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0417"/>
  <workbookPr dateCompatibility="0" defaultThemeVersion="166925"/>
  <mc:AlternateContent xmlns:mc="http://schemas.openxmlformats.org/markup-compatibility/2006">
    <mc:Choice Requires="x15">
      <x15ac:absPath xmlns:x15ac="http://schemas.microsoft.com/office/spreadsheetml/2010/11/ac" url="E:\"/>
    </mc:Choice>
  </mc:AlternateContent>
  <xr:revisionPtr revIDLastSave="0" documentId="13_ncr:9_{3BE4D00A-F9EE-4CDC-939C-E1F7B03350AC}" xr6:coauthVersionLast="36" xr6:coauthVersionMax="36" xr10:uidLastSave="{00000000-0000-0000-0000-000000000000}"/>
  <bookViews>
    <workbookView xWindow="0" yWindow="0" windowWidth="20490" windowHeight="7545" xr2:uid="{00000000-000D-0000-FFFF-FFFF00000000}"/>
  </bookViews>
  <sheets>
    <sheet name="HR_Dashboard" sheetId="12" r:id="rId1"/>
    <sheet name="KPI_Analysis" sheetId="3" r:id="rId2"/>
    <sheet name="Dept_Attrition" sheetId="4" r:id="rId3"/>
    <sheet name="JobRole_Attrition" sheetId="6" r:id="rId4"/>
    <sheet name="Category_Attrition" sheetId="9" r:id="rId5"/>
    <sheet name="Income_Attrition" sheetId="10" r:id="rId6"/>
    <sheet name="Experience_Attrition" sheetId="11" r:id="rId7"/>
    <sheet name="Lookup_Tables" sheetId="5" r:id="rId8"/>
    <sheet name="Final_dataset_Attrition" sheetId="1" r:id="rId9"/>
    <sheet name="Raw_Data" sheetId="13" r:id="rId10"/>
  </sheets>
  <definedNames>
    <definedName name="Slicer_Department">#N/A</definedName>
    <definedName name="Slicer_Experience_Band">#N/A</definedName>
    <definedName name="Slicer_Gender">#N/A</definedName>
    <definedName name="Slicer_Income_Band">#N/A</definedName>
    <definedName name="Slicer_Mode_of_work">#N/A</definedName>
    <definedName name="Slicer_Role_Category">#N/A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purl.oclc.org/ooxml/spreadsheetml/main">
  <c r="A2" i="12" l="1"/>
  <c r="E2" i="12"/>
  <c r="F5" i="11"/>
  <c r="F6" i="11"/>
  <c r="F7" i="11"/>
  <c r="F4" i="11"/>
  <c r="F5" i="10"/>
  <c r="F4" i="10"/>
  <c r="F5" i="9"/>
  <c r="F6" i="9"/>
  <c r="F7" i="9"/>
  <c r="F8" i="9"/>
  <c r="F4" i="9"/>
  <c r="F6" i="6"/>
  <c r="F5" i="6"/>
  <c r="F11" i="6"/>
  <c r="F4" i="6"/>
  <c r="F10" i="6"/>
  <c r="F12" i="6"/>
  <c r="F7" i="6"/>
  <c r="F8" i="6"/>
  <c r="F9" i="6"/>
  <c r="AK2"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F4" i="4"/>
  <c r="F5" i="4"/>
  <c r="F6" i="4"/>
  <c r="AJ2"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E4" i="3"/>
  <c r="D4" i="3"/>
  <c r="I2" i="12" l="1"/>
  <c r="M2" i="12"/>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alcChain>
</file>

<file path=xl/sharedStrings.xml><?xml version="1.0" encoding="utf-8"?>
<sst xmlns="http://purl.oclc.org/ooxml/spreadsheetml/main" count="38299" uniqueCount="98">
  <si>
    <t>Age</t>
  </si>
  <si>
    <t>Attrition</t>
  </si>
  <si>
    <t>BusinessTravel</t>
  </si>
  <si>
    <t>Department</t>
  </si>
  <si>
    <t>DistanceFromHome</t>
  </si>
  <si>
    <t>Gender</t>
  </si>
  <si>
    <t>JobInvolvement</t>
  </si>
  <si>
    <t>JobLevel</t>
  </si>
  <si>
    <t>JobRole</t>
  </si>
  <si>
    <t>JobSatisfaction</t>
  </si>
  <si>
    <t>MaritalStatus</t>
  </si>
  <si>
    <t>MonthlyIncome</t>
  </si>
  <si>
    <t>NumCompaniesWorked</t>
  </si>
  <si>
    <t>OverTime</t>
  </si>
  <si>
    <t>PercentSalaryHike</t>
  </si>
  <si>
    <t>PerformanceRating</t>
  </si>
  <si>
    <t>StockOptionLevel</t>
  </si>
  <si>
    <t>TotalWorkingYears</t>
  </si>
  <si>
    <t>TrainingTimesLastYear</t>
  </si>
  <si>
    <t>YearsAtCompany</t>
  </si>
  <si>
    <t>YearsSinceLastPromotion</t>
  </si>
  <si>
    <t>YearsWithCurrManager</t>
  </si>
  <si>
    <t>Higher_Education</t>
  </si>
  <si>
    <t>Date_of_Hire</t>
  </si>
  <si>
    <t>Date_of_termination</t>
  </si>
  <si>
    <t>Status_of_leaving</t>
  </si>
  <si>
    <t>Mode_of_work</t>
  </si>
  <si>
    <t>Leaves</t>
  </si>
  <si>
    <t>Absenteeism</t>
  </si>
  <si>
    <t>Work_accident</t>
  </si>
  <si>
    <t>Source_of_Hire</t>
  </si>
  <si>
    <t>Job_mode</t>
  </si>
  <si>
    <t>Yes</t>
  </si>
  <si>
    <t>Travel_Rarely</t>
  </si>
  <si>
    <t>Research &amp; Development</t>
  </si>
  <si>
    <t>Male</t>
  </si>
  <si>
    <t>Laboratory Technician</t>
  </si>
  <si>
    <t>Single</t>
  </si>
  <si>
    <t>Graduation</t>
  </si>
  <si>
    <t>Salary</t>
  </si>
  <si>
    <t>OFFICE</t>
  </si>
  <si>
    <t>No</t>
  </si>
  <si>
    <t>Job Event</t>
  </si>
  <si>
    <t>Contract</t>
  </si>
  <si>
    <t>Research Scientist</t>
  </si>
  <si>
    <t>Work Accident</t>
  </si>
  <si>
    <t>WFH</t>
  </si>
  <si>
    <t>Recruiter</t>
  </si>
  <si>
    <t>Part Time</t>
  </si>
  <si>
    <t>Research Director</t>
  </si>
  <si>
    <t>Married</t>
  </si>
  <si>
    <t>Post-Graduation</t>
  </si>
  <si>
    <t>Dept.Head</t>
  </si>
  <si>
    <t>Sales</t>
  </si>
  <si>
    <t>Sales Representative</t>
  </si>
  <si>
    <t>Divorced</t>
  </si>
  <si>
    <t>PHD</t>
  </si>
  <si>
    <t>FullTime</t>
  </si>
  <si>
    <t>Female</t>
  </si>
  <si>
    <t>Better Opportunity</t>
  </si>
  <si>
    <t>Job Portal</t>
  </si>
  <si>
    <t>Travel_Frequently</t>
  </si>
  <si>
    <t>Walk-in</t>
  </si>
  <si>
    <t>Work Environment</t>
  </si>
  <si>
    <t>Sales Executive</t>
  </si>
  <si>
    <t>12th</t>
  </si>
  <si>
    <t>Manager</t>
  </si>
  <si>
    <t>Manufacturing Director</t>
  </si>
  <si>
    <t>Non-Travel</t>
  </si>
  <si>
    <t>Healthcare Representative</t>
  </si>
  <si>
    <t>Human Resources</t>
  </si>
  <si>
    <t>Attrition_Flag</t>
  </si>
  <si>
    <t>Employment_Status</t>
  </si>
  <si>
    <t>Experience_Band</t>
  </si>
  <si>
    <t>Income_Band</t>
  </si>
  <si>
    <t>Row Labels</t>
  </si>
  <si>
    <t>Grand Total</t>
  </si>
  <si>
    <t>Total Employees</t>
  </si>
  <si>
    <t>Employees Left</t>
  </si>
  <si>
    <t>Attrition Rate</t>
  </si>
  <si>
    <t>Active Employees</t>
  </si>
  <si>
    <t>Total_Employees</t>
  </si>
  <si>
    <t>Role_Category</t>
  </si>
  <si>
    <t>Technical</t>
  </si>
  <si>
    <t>Operations</t>
  </si>
  <si>
    <t>HR</t>
  </si>
  <si>
    <t>Management</t>
  </si>
  <si>
    <t>Attrition  Rate</t>
  </si>
  <si>
    <t>Role Category</t>
  </si>
  <si>
    <t>High</t>
  </si>
  <si>
    <t>Medium</t>
  </si>
  <si>
    <t>Fresher</t>
  </si>
  <si>
    <t>Junior</t>
  </si>
  <si>
    <t>Mid</t>
  </si>
  <si>
    <t>Senior</t>
  </si>
  <si>
    <t>Income Band</t>
  </si>
  <si>
    <t>Experience Band</t>
  </si>
  <si>
    <t>HR ATTRITION ANALYSIS DASHBOARD</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</si>
</sst>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FFFFFF"/>
      <name val="Segoe UI"/>
      <family val="2"/>
    </font>
    <font>
      <b/>
      <sz val="18"/>
      <color theme="1"/>
      <name val="Arial"/>
      <family val="2"/>
    </font>
    <font>
      <b/>
      <sz val="18"/>
      <color theme="1" tint="4.9989318521683403E-2"/>
      <name val="Arial"/>
      <family val="2"/>
    </font>
    <font>
      <b/>
      <sz val="20"/>
      <color theme="4" tint="-0.499984740745262"/>
      <name val="Calibri"/>
      <family val="2"/>
      <scheme val="minor"/>
    </font>
    <font>
      <b/>
      <sz val="20"/>
      <color rgb="FFC00000"/>
      <name val="Calibri"/>
      <family val="2"/>
      <scheme val="minor"/>
    </font>
    <font>
      <b/>
      <sz val="20"/>
      <color theme="5"/>
      <name val="Calibri"/>
      <family val="2"/>
      <scheme val="minor"/>
    </font>
    <font>
      <b/>
      <sz val="20"/>
      <color theme="9" tint="-0.499984740745262"/>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2" tint="-0.249977111117893"/>
        <bgColor theme="4" tint="0.79998168889431442"/>
      </patternFill>
    </fill>
    <fill>
      <patternFill patternType="solid">
        <fgColor theme="2" tint="-9.9978637043366805E-2"/>
        <bgColor indexed="64"/>
      </patternFill>
    </fill>
    <fill>
      <patternFill patternType="solid">
        <fgColor theme="4" tint="0.39997558519241921"/>
        <bgColor indexed="64"/>
      </patternFill>
    </fill>
  </fills>
  <borders count="27">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thin">
        <color indexed="64"/>
      </start>
      <end style="thin">
        <color indexed="64"/>
      </end>
      <top style="thin">
        <color indexed="64"/>
      </top>
      <bottom style="thin">
        <color indexed="64"/>
      </bottom>
      <diagonal/>
    </border>
    <border>
      <start style="medium">
        <color indexed="64"/>
      </start>
      <end style="thin">
        <color indexed="64"/>
      </end>
      <top style="thin">
        <color indexed="64"/>
      </top>
      <bottom style="thin">
        <color indexed="64"/>
      </bottom>
      <diagonal/>
    </border>
    <border>
      <start/>
      <end style="medium">
        <color indexed="64"/>
      </end>
      <top/>
      <bottom/>
      <diagonal/>
    </border>
    <border>
      <start style="medium">
        <color indexed="64"/>
      </start>
      <end/>
      <top/>
      <bottom/>
      <diagonal/>
    </border>
    <border>
      <start style="medium">
        <color indexed="64"/>
      </start>
      <end/>
      <top/>
      <bottom style="medium">
        <color indexed="64"/>
      </bottom>
      <diagonal/>
    </border>
    <border>
      <start/>
      <end/>
      <top/>
      <bottom style="medium">
        <color indexed="64"/>
      </bottom>
      <diagonal/>
    </border>
    <border>
      <start/>
      <end style="medium">
        <color indexed="64"/>
      </end>
      <top/>
      <bottom style="medium">
        <color indexed="64"/>
      </bottom>
      <diagonal/>
    </border>
    <border>
      <start style="medium">
        <color indexed="64"/>
      </start>
      <end/>
      <top style="thin">
        <color indexed="64"/>
      </top>
      <bottom/>
      <diagonal/>
    </border>
    <border>
      <start/>
      <end/>
      <top style="thin">
        <color indexed="64"/>
      </top>
      <bottom/>
      <diagonal/>
    </border>
    <border>
      <start/>
      <end style="medium">
        <color indexed="64"/>
      </end>
      <top style="thin">
        <color indexed="64"/>
      </top>
      <bottom/>
      <diagonal/>
    </border>
    <border>
      <start style="medium">
        <color indexed="64"/>
      </start>
      <end style="thin">
        <color indexed="64"/>
      </end>
      <top style="medium">
        <color indexed="64"/>
      </top>
      <bottom style="thin">
        <color indexed="64"/>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63">
    <xf numFmtId="0" fontId="0" fillId="0" borderId="0" xfId="0"/>
    <xf numFmtId="14" fontId="0" fillId="0" borderId="0" xfId="0" applyNumberFormat="1"/>
    <xf numFmtId="0" fontId="0" fillId="0" borderId="0" xfId="0" applyNumberFormat="1"/>
    <xf numFmtId="0" fontId="18" fillId="0" borderId="0" xfId="0" applyFont="1"/>
    <xf numFmtId="0" fontId="0" fillId="0" borderId="0" xfId="0" pivotButton="1"/>
    <xf numFmtId="0" fontId="0" fillId="0" borderId="0" xfId="0" applyAlignment="1">
      <alignment horizontal="left"/>
    </xf>
    <xf numFmtId="9" fontId="0" fillId="0" borderId="0" xfId="42" applyFont="1"/>
    <xf numFmtId="10" fontId="0" fillId="0" borderId="0" xfId="42" applyNumberFormat="1" applyFont="1"/>
    <xf numFmtId="0" fontId="0" fillId="0" borderId="10" xfId="0" applyBorder="1"/>
    <xf numFmtId="9" fontId="0" fillId="0" borderId="10" xfId="42" applyFont="1" applyBorder="1"/>
    <xf numFmtId="0" fontId="0" fillId="33" borderId="10" xfId="0" applyFill="1" applyBorder="1"/>
    <xf numFmtId="0" fontId="0" fillId="0" borderId="10" xfId="0" applyBorder="1" applyAlignment="1">
      <alignment horizontal="left"/>
    </xf>
    <xf numFmtId="9" fontId="0" fillId="33" borderId="10" xfId="42" applyFont="1" applyFill="1" applyBorder="1"/>
    <xf numFmtId="0" fontId="0" fillId="0" borderId="0" xfId="0" applyBorder="1"/>
    <xf numFmtId="0" fontId="0" fillId="0" borderId="10" xfId="0" applyFill="1" applyBorder="1" applyAlignment="1">
      <alignment horizontal="left"/>
    </xf>
    <xf numFmtId="9" fontId="0" fillId="0" borderId="10" xfId="42" applyNumberFormat="1" applyFont="1" applyFill="1" applyBorder="1"/>
    <xf numFmtId="0" fontId="16" fillId="34" borderId="10" xfId="0" applyFont="1" applyFill="1" applyBorder="1"/>
    <xf numFmtId="0" fontId="0" fillId="35" borderId="0" xfId="0" applyFill="1" applyBorder="1"/>
    <xf numFmtId="0" fontId="0" fillId="35" borderId="12" xfId="0" applyFill="1" applyBorder="1"/>
    <xf numFmtId="0" fontId="0" fillId="35" borderId="13" xfId="0" applyFill="1" applyBorder="1"/>
    <xf numFmtId="0" fontId="0" fillId="35" borderId="14" xfId="0" applyFill="1" applyBorder="1"/>
    <xf numFmtId="0" fontId="0" fillId="35" borderId="15" xfId="0" applyFill="1" applyBorder="1"/>
    <xf numFmtId="0" fontId="0" fillId="35" borderId="16" xfId="0" applyFill="1" applyBorder="1"/>
    <xf numFmtId="0" fontId="0" fillId="0" borderId="0" xfId="0" applyFill="1"/>
    <xf numFmtId="0" fontId="24" fillId="35" borderId="20" xfId="0" applyFont="1" applyFill="1" applyBorder="1" applyAlignment="1">
      <alignment horizontal="center"/>
    </xf>
    <xf numFmtId="0" fontId="24" fillId="35" borderId="21" xfId="0" applyFont="1" applyFill="1" applyBorder="1" applyAlignment="1">
      <alignment horizontal="center"/>
    </xf>
    <xf numFmtId="0" fontId="24" fillId="35" borderId="22" xfId="0" applyFont="1" applyFill="1" applyBorder="1" applyAlignment="1">
      <alignment horizontal="center"/>
    </xf>
    <xf numFmtId="0" fontId="24" fillId="35" borderId="11" xfId="0" applyFont="1" applyFill="1" applyBorder="1" applyAlignment="1">
      <alignment horizontal="center"/>
    </xf>
    <xf numFmtId="0" fontId="24" fillId="35" borderId="10" xfId="0" applyFont="1" applyFill="1" applyBorder="1" applyAlignment="1">
      <alignment horizontal="center"/>
    </xf>
    <xf numFmtId="0" fontId="24" fillId="35" borderId="23" xfId="0" applyFont="1" applyFill="1" applyBorder="1" applyAlignment="1">
      <alignment horizontal="center"/>
    </xf>
    <xf numFmtId="0" fontId="24" fillId="35" borderId="24" xfId="0" applyFont="1" applyFill="1" applyBorder="1" applyAlignment="1">
      <alignment horizontal="center"/>
    </xf>
    <xf numFmtId="0" fontId="24" fillId="35" borderId="25" xfId="0" applyFont="1" applyFill="1" applyBorder="1" applyAlignment="1">
      <alignment horizontal="center"/>
    </xf>
    <xf numFmtId="0" fontId="24" fillId="35" borderId="26" xfId="0" applyFont="1" applyFill="1" applyBorder="1" applyAlignment="1">
      <alignment horizontal="center"/>
    </xf>
    <xf numFmtId="9" fontId="23" fillId="35" borderId="20" xfId="42" applyFont="1" applyFill="1" applyBorder="1" applyAlignment="1">
      <alignment horizontal="center"/>
    </xf>
    <xf numFmtId="9" fontId="23" fillId="35" borderId="21" xfId="42" applyFont="1" applyFill="1" applyBorder="1" applyAlignment="1">
      <alignment horizontal="center"/>
    </xf>
    <xf numFmtId="9" fontId="23" fillId="35" borderId="22" xfId="42" applyFont="1" applyFill="1" applyBorder="1" applyAlignment="1">
      <alignment horizontal="center"/>
    </xf>
    <xf numFmtId="9" fontId="23" fillId="35" borderId="11" xfId="42" applyFont="1" applyFill="1" applyBorder="1" applyAlignment="1">
      <alignment horizontal="center"/>
    </xf>
    <xf numFmtId="9" fontId="23" fillId="35" borderId="10" xfId="42" applyFont="1" applyFill="1" applyBorder="1" applyAlignment="1">
      <alignment horizontal="center"/>
    </xf>
    <xf numFmtId="9" fontId="23" fillId="35" borderId="23" xfId="42" applyFont="1" applyFill="1" applyBorder="1" applyAlignment="1">
      <alignment horizontal="center"/>
    </xf>
    <xf numFmtId="9" fontId="23" fillId="35" borderId="24" xfId="42" applyFont="1" applyFill="1" applyBorder="1" applyAlignment="1">
      <alignment horizontal="center"/>
    </xf>
    <xf numFmtId="9" fontId="23" fillId="35" borderId="25" xfId="42" applyFont="1" applyFill="1" applyBorder="1" applyAlignment="1">
      <alignment horizontal="center"/>
    </xf>
    <xf numFmtId="9" fontId="23" fillId="35" borderId="26" xfId="42" applyFont="1" applyFill="1" applyBorder="1" applyAlignment="1">
      <alignment horizontal="center"/>
    </xf>
    <xf numFmtId="0" fontId="22" fillId="35" borderId="20" xfId="0" applyFont="1" applyFill="1" applyBorder="1" applyAlignment="1">
      <alignment horizontal="center"/>
    </xf>
    <xf numFmtId="0" fontId="22" fillId="35" borderId="21" xfId="0" applyFont="1" applyFill="1" applyBorder="1" applyAlignment="1">
      <alignment horizontal="center"/>
    </xf>
    <xf numFmtId="0" fontId="22" fillId="35" borderId="22" xfId="0" applyFont="1" applyFill="1" applyBorder="1" applyAlignment="1">
      <alignment horizontal="center"/>
    </xf>
    <xf numFmtId="0" fontId="22" fillId="35" borderId="11" xfId="0" applyFont="1" applyFill="1" applyBorder="1" applyAlignment="1">
      <alignment horizontal="center"/>
    </xf>
    <xf numFmtId="0" fontId="22" fillId="35" borderId="10" xfId="0" applyFont="1" applyFill="1" applyBorder="1" applyAlignment="1">
      <alignment horizontal="center"/>
    </xf>
    <xf numFmtId="0" fontId="22" fillId="35" borderId="23" xfId="0" applyFont="1" applyFill="1" applyBorder="1" applyAlignment="1">
      <alignment horizontal="center"/>
    </xf>
    <xf numFmtId="0" fontId="22" fillId="35" borderId="24" xfId="0" applyFont="1" applyFill="1" applyBorder="1" applyAlignment="1">
      <alignment horizontal="center"/>
    </xf>
    <xf numFmtId="0" fontId="22" fillId="35" borderId="25" xfId="0" applyFont="1" applyFill="1" applyBorder="1" applyAlignment="1">
      <alignment horizontal="center"/>
    </xf>
    <xf numFmtId="0" fontId="22" fillId="35" borderId="26" xfId="0" applyFont="1" applyFill="1" applyBorder="1" applyAlignment="1">
      <alignment horizontal="center"/>
    </xf>
    <xf numFmtId="0" fontId="21" fillId="35" borderId="20" xfId="0" applyFont="1" applyFill="1" applyBorder="1" applyAlignment="1">
      <alignment horizontal="center"/>
    </xf>
    <xf numFmtId="0" fontId="21" fillId="35" borderId="21" xfId="0" applyFont="1" applyFill="1" applyBorder="1" applyAlignment="1">
      <alignment horizontal="center"/>
    </xf>
    <xf numFmtId="0" fontId="21" fillId="35" borderId="22" xfId="0" applyFont="1" applyFill="1" applyBorder="1" applyAlignment="1">
      <alignment horizontal="center"/>
    </xf>
    <xf numFmtId="0" fontId="21" fillId="35" borderId="11" xfId="0" applyFont="1" applyFill="1" applyBorder="1" applyAlignment="1">
      <alignment horizontal="center"/>
    </xf>
    <xf numFmtId="0" fontId="21" fillId="35" borderId="10" xfId="0" applyFont="1" applyFill="1" applyBorder="1" applyAlignment="1">
      <alignment horizontal="center"/>
    </xf>
    <xf numFmtId="0" fontId="21" fillId="35" borderId="23" xfId="0" applyFont="1" applyFill="1" applyBorder="1" applyAlignment="1">
      <alignment horizontal="center"/>
    </xf>
    <xf numFmtId="0" fontId="21" fillId="35" borderId="24" xfId="0" applyFont="1" applyFill="1" applyBorder="1" applyAlignment="1">
      <alignment horizontal="center"/>
    </xf>
    <xf numFmtId="0" fontId="21" fillId="35" borderId="25" xfId="0" applyFont="1" applyFill="1" applyBorder="1" applyAlignment="1">
      <alignment horizontal="center"/>
    </xf>
    <xf numFmtId="0" fontId="21" fillId="35" borderId="26" xfId="0" applyFont="1" applyFill="1" applyBorder="1" applyAlignment="1">
      <alignment horizontal="center"/>
    </xf>
    <xf numFmtId="0" fontId="20" fillId="36" borderId="17" xfId="0" applyFont="1" applyFill="1" applyBorder="1" applyAlignment="1">
      <alignment horizontal="center" vertical="center"/>
    </xf>
    <xf numFmtId="0" fontId="19" fillId="36" borderId="18" xfId="0" applyFont="1" applyFill="1" applyBorder="1" applyAlignment="1">
      <alignment horizontal="center" vertical="center"/>
    </xf>
    <xf numFmtId="0" fontId="19" fillId="36" borderId="19" xfId="0" applyFont="1" applyFill="1"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colors>
    <mruColors>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worksheet" Target="worksheets/sheet8.xml"/><Relationship Id="rId13" Type="http://schemas.microsoft.com/office/2007/relationships/slicerCache" Target="slicerCaches/slicerCache2.xml"/><Relationship Id="rId18" Type="http://purl.oclc.org/ooxml/officeDocument/relationships/theme" Target="theme/theme1.xml"/><Relationship Id="rId3" Type="http://purl.oclc.org/ooxml/officeDocument/relationships/worksheet" Target="worksheets/sheet3.xml"/><Relationship Id="rId21" Type="http://purl.oclc.org/ooxml/officeDocument/relationships/calcChain" Target="calcChain.xml"/><Relationship Id="rId7" Type="http://purl.oclc.org/ooxml/officeDocument/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purl.oclc.org/ooxml/officeDocument/relationships/worksheet" Target="worksheets/sheet2.xml"/><Relationship Id="rId16" Type="http://schemas.microsoft.com/office/2007/relationships/slicerCache" Target="slicerCaches/slicerCache5.xml"/><Relationship Id="rId20" Type="http://purl.oclc.org/ooxml/officeDocument/relationships/sharedStrings" Target="sharedStrings.xml"/><Relationship Id="rId1" Type="http://purl.oclc.org/ooxml/officeDocument/relationships/worksheet" Target="worksheets/sheet1.xml"/><Relationship Id="rId6" Type="http://purl.oclc.org/ooxml/officeDocument/relationships/worksheet" Target="worksheets/sheet6.xml"/><Relationship Id="rId11" Type="http://purl.oclc.org/ooxml/officeDocument/relationships/pivotCacheDefinition" Target="pivotCache/pivotCacheDefinition1.xml"/><Relationship Id="rId5" Type="http://purl.oclc.org/ooxml/officeDocument/relationships/worksheet" Target="worksheets/sheet5.xml"/><Relationship Id="rId15" Type="http://schemas.microsoft.com/office/2007/relationships/slicerCache" Target="slicerCaches/slicerCache4.xml"/><Relationship Id="rId10" Type="http://purl.oclc.org/ooxml/officeDocument/relationships/worksheet" Target="worksheets/sheet10.xml"/><Relationship Id="rId19" Type="http://purl.oclc.org/ooxml/officeDocument/relationships/styles" Target="styles.xml"/><Relationship Id="rId4" Type="http://purl.oclc.org/ooxml/officeDocument/relationships/worksheet" Target="worksheets/sheet4.xml"/><Relationship Id="rId9" Type="http://purl.oclc.org/ooxml/officeDocument/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
                    <a:lumOff val="35%"/>
                  </a:schemeClr>
                </a:solidFill>
                <a:latin typeface="+mn-lt"/>
                <a:ea typeface="+mn-ea"/>
                <a:cs typeface="+mn-cs"/>
              </a:defRPr>
            </a:pPr>
            <a:r>
              <a:rPr lang="en-US" sz="1200" b="0" i="0" u="none" strike="noStrike" baseline="0%"/>
              <a:t>Department-wise Attrition Rate</a:t>
            </a:r>
            <a:endParaRPr lang="en-US" sz="1200"/>
          </a:p>
        </c:rich>
      </c:tx>
      <c:layout>
        <c:manualLayout>
          <c:xMode val="edge"/>
          <c:yMode val="edge"/>
          <c:x val="0.15301473791881362"/>
          <c:y val="4.761904761904761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
                  <a:lumOff val="35%"/>
                </a:schemeClr>
              </a:solidFill>
              <a:latin typeface="+mn-lt"/>
              <a:ea typeface="+mn-ea"/>
              <a:cs typeface="+mn-cs"/>
            </a:defRPr>
          </a:pPr>
          <a:endParaRPr lang="en-US"/>
        </a:p>
      </c:txPr>
    </c:title>
    <c:autoTitleDeleted val="0"/>
    <c:plotArea>
      <c:layout>
        <c:manualLayout>
          <c:layoutTarget val="inner"/>
          <c:xMode val="edge"/>
          <c:yMode val="edge"/>
          <c:x val="0.1585273029826044"/>
          <c:y val="0.2388095238095238"/>
          <c:w val="0.81223345499321709"/>
          <c:h val="0.48168041494813141"/>
        </c:manualLayout>
      </c:layout>
      <c:barChart>
        <c:barDir val="col"/>
        <c:grouping val="clustered"/>
        <c:varyColors val="0"/>
        <c:ser>
          <c:idx val="0"/>
          <c:order val="0"/>
          <c:tx>
            <c:strRef>
              <c:f>Dept_Attrition!$F$3</c:f>
              <c:strCache>
                <c:ptCount val="1"/>
                <c:pt idx="0">
                  <c:v>Attrition Rate</c:v>
                </c:pt>
              </c:strCache>
            </c:strRef>
          </c:tx>
          <c:spPr>
            <a:solidFill>
              <a:schemeClr val="accent1"/>
            </a:solidFill>
            <a:ln>
              <a:noFill/>
            </a:ln>
            <a:effectLst/>
          </c:spPr>
          <c:invertIfNegative val="0"/>
          <c:cat>
            <c:strRef>
              <c:f>Dept_Attrition!$E$4:$E$6</c:f>
              <c:strCache>
                <c:ptCount val="3"/>
                <c:pt idx="0">
                  <c:v>Human Resources</c:v>
                </c:pt>
                <c:pt idx="1">
                  <c:v>Research &amp; Development</c:v>
                </c:pt>
                <c:pt idx="2">
                  <c:v>Sales</c:v>
                </c:pt>
              </c:strCache>
            </c:strRef>
          </c:cat>
          <c:val>
            <c:numRef>
              <c:f>Dept_Attrition!$F$4:$F$6</c:f>
              <c:numCache>
                <c:formatCode>0%</c:formatCode>
                <c:ptCount val="3"/>
                <c:pt idx="0">
                  <c:v>0.2054176072234763</c:v>
                </c:pt>
                <c:pt idx="1">
                  <c:v>0.19354838709677419</c:v>
                </c:pt>
                <c:pt idx="2">
                  <c:v>0.13778705636743216</c:v>
                </c:pt>
              </c:numCache>
            </c:numRef>
          </c:val>
          <c:extLst>
            <c:ext xmlns:c16="http://schemas.microsoft.com/office/drawing/2014/chart" uri="{C3380CC4-5D6E-409C-BE32-E72D297353CC}">
              <c16:uniqueId val="{00000000-7F45-4FE6-9CD9-90A314F80C26}"/>
            </c:ext>
          </c:extLst>
        </c:ser>
        <c:dLbls>
          <c:showLegendKey val="0"/>
          <c:showVal val="0"/>
          <c:showCatName val="0"/>
          <c:showSerName val="0"/>
          <c:showPercent val="0"/>
          <c:showBubbleSize val="0"/>
        </c:dLbls>
        <c:gapWidth val="219"/>
        <c:overlap val="-27"/>
        <c:axId val="18584815"/>
        <c:axId val="19184511"/>
      </c:barChart>
      <c:catAx>
        <c:axId val="18584815"/>
        <c:scaling>
          <c:orientation val="minMax"/>
        </c:scaling>
        <c:delete val="0"/>
        <c:axPos val="b"/>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9184511"/>
        <c:crosses val="autoZero"/>
        <c:auto val="1"/>
        <c:lblAlgn val="ctr"/>
        <c:lblOffset val="100"/>
        <c:noMultiLvlLbl val="0"/>
      </c:catAx>
      <c:valAx>
        <c:axId val="1918451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584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t>Job Role-wise Attrition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manualLayout>
          <c:layoutTarget val="inner"/>
          <c:xMode val="edge"/>
          <c:yMode val="edge"/>
          <c:x val="0.46537971844428538"/>
          <c:y val="0.25317569968516346"/>
          <c:w val="0.46782037699832973"/>
          <c:h val="0.56380037820148055"/>
        </c:manualLayout>
      </c:layout>
      <c:barChart>
        <c:barDir val="bar"/>
        <c:grouping val="clustered"/>
        <c:varyColors val="0"/>
        <c:ser>
          <c:idx val="0"/>
          <c:order val="0"/>
          <c:tx>
            <c:strRef>
              <c:f>JobRole_Attrition!$F$3</c:f>
              <c:strCache>
                <c:ptCount val="1"/>
                <c:pt idx="0">
                  <c:v>Attrition  Rate</c:v>
                </c:pt>
              </c:strCache>
            </c:strRef>
          </c:tx>
          <c:spPr>
            <a:solidFill>
              <a:schemeClr val="accent1"/>
            </a:solidFill>
            <a:ln>
              <a:noFill/>
            </a:ln>
            <a:effectLst/>
          </c:spPr>
          <c:invertIfNegative val="0"/>
          <c:cat>
            <c:strRef>
              <c:f>JobRole_Attrition!$E$4:$E$12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JobRole_Attrition!$F$4:$F$12</c:f>
              <c:numCache>
                <c:formatCode>0%</c:formatCode>
                <c:ptCount val="9"/>
                <c:pt idx="0">
                  <c:v>6.8702290076335881E-2</c:v>
                </c:pt>
                <c:pt idx="1">
                  <c:v>0.23529411764705882</c:v>
                </c:pt>
                <c:pt idx="2">
                  <c:v>0.23643410852713179</c:v>
                </c:pt>
                <c:pt idx="3">
                  <c:v>4.9504950495049507E-2</c:v>
                </c:pt>
                <c:pt idx="4">
                  <c:v>6.8965517241379309E-2</c:v>
                </c:pt>
                <c:pt idx="5">
                  <c:v>2.5000000000000001E-2</c:v>
                </c:pt>
                <c:pt idx="6">
                  <c:v>0.16151202749140894</c:v>
                </c:pt>
                <c:pt idx="7">
                  <c:v>0.17592592592592593</c:v>
                </c:pt>
                <c:pt idx="8">
                  <c:v>0.3902439024390244</c:v>
                </c:pt>
              </c:numCache>
            </c:numRef>
          </c:val>
          <c:extLst>
            <c:ext xmlns:c16="http://schemas.microsoft.com/office/drawing/2014/chart" uri="{C3380CC4-5D6E-409C-BE32-E72D297353CC}">
              <c16:uniqueId val="{00000000-FEA7-417B-BB2F-F9D685028CBE}"/>
            </c:ext>
          </c:extLst>
        </c:ser>
        <c:dLbls>
          <c:showLegendKey val="0"/>
          <c:showVal val="0"/>
          <c:showCatName val="0"/>
          <c:showSerName val="0"/>
          <c:showPercent val="0"/>
          <c:showBubbleSize val="0"/>
        </c:dLbls>
        <c:gapWidth val="182"/>
        <c:axId val="59682687"/>
        <c:axId val="62228799"/>
      </c:barChart>
      <c:catAx>
        <c:axId val="59682687"/>
        <c:scaling>
          <c:orientation val="minMax"/>
        </c:scaling>
        <c:delete val="0"/>
        <c:axPos val="l"/>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2228799"/>
        <c:crosses val="autoZero"/>
        <c:auto val="1"/>
        <c:lblAlgn val="ctr"/>
        <c:lblOffset val="100"/>
        <c:noMultiLvlLbl val="0"/>
      </c:catAx>
      <c:valAx>
        <c:axId val="6222879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9682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200" b="0" i="0" u="none" strike="noStrike" baseline="0%"/>
              <a:t>Attrition Rate by Income Band</a:t>
            </a:r>
            <a:endParaRPr lang="en-US" sz="1200"/>
          </a:p>
        </c:rich>
      </c:tx>
      <c:layout>
        <c:manualLayout>
          <c:xMode val="edge"/>
          <c:yMode val="edge"/>
          <c:x val="0.14824940047961629"/>
          <c:y val="7.14285714285714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barChart>
        <c:barDir val="col"/>
        <c:grouping val="clustered"/>
        <c:varyColors val="0"/>
        <c:ser>
          <c:idx val="0"/>
          <c:order val="0"/>
          <c:tx>
            <c:strRef>
              <c:f>Income_Attrition!$F$3</c:f>
              <c:strCache>
                <c:ptCount val="1"/>
                <c:pt idx="0">
                  <c:v>Attrition Rate</c:v>
                </c:pt>
              </c:strCache>
            </c:strRef>
          </c:tx>
          <c:spPr>
            <a:solidFill>
              <a:schemeClr val="accent1"/>
            </a:solidFill>
            <a:ln>
              <a:noFill/>
            </a:ln>
            <a:effectLst/>
          </c:spPr>
          <c:invertIfNegative val="0"/>
          <c:cat>
            <c:strRef>
              <c:f>Income_Attrition!$E$4:$E$5</c:f>
              <c:strCache>
                <c:ptCount val="2"/>
                <c:pt idx="0">
                  <c:v>High</c:v>
                </c:pt>
                <c:pt idx="1">
                  <c:v>Medium</c:v>
                </c:pt>
              </c:strCache>
            </c:strRef>
          </c:cat>
          <c:val>
            <c:numRef>
              <c:f>Income_Attrition!$F$4:$F$5</c:f>
              <c:numCache>
                <c:formatCode>0%</c:formatCode>
                <c:ptCount val="2"/>
                <c:pt idx="0">
                  <c:v>0.10829493087557604</c:v>
                </c:pt>
                <c:pt idx="1">
                  <c:v>0.1827016520894072</c:v>
                </c:pt>
              </c:numCache>
            </c:numRef>
          </c:val>
          <c:extLst>
            <c:ext xmlns:c16="http://schemas.microsoft.com/office/drawing/2014/chart" uri="{C3380CC4-5D6E-409C-BE32-E72D297353CC}">
              <c16:uniqueId val="{00000000-EC8A-4C41-A07E-64951851B75E}"/>
            </c:ext>
          </c:extLst>
        </c:ser>
        <c:dLbls>
          <c:showLegendKey val="0"/>
          <c:showVal val="0"/>
          <c:showCatName val="0"/>
          <c:showSerName val="0"/>
          <c:showPercent val="0"/>
          <c:showBubbleSize val="0"/>
        </c:dLbls>
        <c:gapWidth val="219"/>
        <c:overlap val="-27"/>
        <c:axId val="59700287"/>
        <c:axId val="60309119"/>
      </c:barChart>
      <c:catAx>
        <c:axId val="59700287"/>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309119"/>
        <c:crosses val="autoZero"/>
        <c:auto val="1"/>
        <c:lblAlgn val="ctr"/>
        <c:lblOffset val="100"/>
        <c:noMultiLvlLbl val="0"/>
      </c:catAx>
      <c:valAx>
        <c:axId val="6030911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5970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r>
              <a:rPr lang="en-US" sz="1400" b="0" i="0" u="none" strike="noStrike" baseline="0%"/>
              <a:t>Attrition Rate by Experience Band</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US"/>
        </a:p>
      </c:txPr>
    </c:title>
    <c:autoTitleDeleted val="0"/>
    <c:plotArea>
      <c:layout>
        <c:manualLayout>
          <c:layoutTarget val="inner"/>
          <c:xMode val="edge"/>
          <c:yMode val="edge"/>
          <c:x val="0.14027305316479241"/>
          <c:y val="0.19111123271214997"/>
          <c:w val="0.80897721674966327"/>
          <c:h val="0.62142789878495119"/>
        </c:manualLayout>
      </c:layout>
      <c:barChart>
        <c:barDir val="col"/>
        <c:grouping val="clustered"/>
        <c:varyColors val="0"/>
        <c:ser>
          <c:idx val="0"/>
          <c:order val="0"/>
          <c:tx>
            <c:strRef>
              <c:f>Experience_Attrition!$F$3</c:f>
              <c:strCache>
                <c:ptCount val="1"/>
                <c:pt idx="0">
                  <c:v>Attrition Rate</c:v>
                </c:pt>
              </c:strCache>
            </c:strRef>
          </c:tx>
          <c:spPr>
            <a:solidFill>
              <a:schemeClr val="accent1"/>
            </a:solidFill>
            <a:ln>
              <a:noFill/>
            </a:ln>
            <a:effectLst/>
          </c:spPr>
          <c:invertIfNegative val="0"/>
          <c:cat>
            <c:strRef>
              <c:f>Experience_Attrition!$E$4:$E$7</c:f>
              <c:strCache>
                <c:ptCount val="4"/>
                <c:pt idx="0">
                  <c:v>Fresher</c:v>
                </c:pt>
                <c:pt idx="1">
                  <c:v>Junior</c:v>
                </c:pt>
                <c:pt idx="2">
                  <c:v>Mid</c:v>
                </c:pt>
                <c:pt idx="3">
                  <c:v>Senior</c:v>
                </c:pt>
              </c:strCache>
            </c:strRef>
          </c:cat>
          <c:val>
            <c:numRef>
              <c:f>Experience_Attrition!$F$4:$F$7</c:f>
              <c:numCache>
                <c:formatCode>0%</c:formatCode>
                <c:ptCount val="4"/>
                <c:pt idx="0">
                  <c:v>0.29585798816568049</c:v>
                </c:pt>
                <c:pt idx="1">
                  <c:v>0.13824884792626729</c:v>
                </c:pt>
                <c:pt idx="2">
                  <c:v>0.12359550561797752</c:v>
                </c:pt>
                <c:pt idx="3">
                  <c:v>8.1300813008130079E-2</c:v>
                </c:pt>
              </c:numCache>
            </c:numRef>
          </c:val>
          <c:extLst>
            <c:ext xmlns:c16="http://schemas.microsoft.com/office/drawing/2014/chart" uri="{C3380CC4-5D6E-409C-BE32-E72D297353CC}">
              <c16:uniqueId val="{00000000-981A-4D22-8581-2F944F0304A1}"/>
            </c:ext>
          </c:extLst>
        </c:ser>
        <c:dLbls>
          <c:showLegendKey val="0"/>
          <c:showVal val="0"/>
          <c:showCatName val="0"/>
          <c:showSerName val="0"/>
          <c:showPercent val="0"/>
          <c:showBubbleSize val="0"/>
        </c:dLbls>
        <c:gapWidth val="219"/>
        <c:overlap val="-27"/>
        <c:axId val="18607615"/>
        <c:axId val="60302047"/>
      </c:barChart>
      <c:catAx>
        <c:axId val="18607615"/>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60302047"/>
        <c:crosses val="autoZero"/>
        <c:auto val="1"/>
        <c:lblAlgn val="ctr"/>
        <c:lblOffset val="100"/>
        <c:noMultiLvlLbl val="0"/>
      </c:catAx>
      <c:valAx>
        <c:axId val="603020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US"/>
          </a:p>
        </c:txPr>
        <c:crossAx val="18607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16">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4"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0</xdr:col>
      <xdr:colOff>19052</xdr:colOff>
      <xdr:row>4</xdr:row>
      <xdr:rowOff>19050</xdr:rowOff>
    </xdr:from>
    <xdr:to>
      <xdr:col>4</xdr:col>
      <xdr:colOff>561975</xdr:colOff>
      <xdr:row>12</xdr:row>
      <xdr:rowOff>95250</xdr:rowOff>
    </xdr:to>
    <xdr:graphicFrame macro="">
      <xdr:nvGraphicFramePr>
        <xdr:cNvPr id="2" name="Chart 1">
          <a:extLst>
            <a:ext uri="{FF2B5EF4-FFF2-40B4-BE49-F238E27FC236}">
              <a16:creationId xmlns:a16="http://schemas.microsoft.com/office/drawing/2014/main" id="{5103AD6F-AF07-44DB-B42A-F6DAA891D569}"/>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4</xdr:col>
      <xdr:colOff>600076</xdr:colOff>
      <xdr:row>4</xdr:row>
      <xdr:rowOff>11098</xdr:rowOff>
    </xdr:from>
    <xdr:to>
      <xdr:col>11</xdr:col>
      <xdr:colOff>0</xdr:colOff>
      <xdr:row>12</xdr:row>
      <xdr:rowOff>93679</xdr:rowOff>
    </xdr:to>
    <xdr:graphicFrame macro="">
      <xdr:nvGraphicFramePr>
        <xdr:cNvPr id="3" name="Chart 2">
          <a:extLst>
            <a:ext uri="{FF2B5EF4-FFF2-40B4-BE49-F238E27FC236}">
              <a16:creationId xmlns:a16="http://schemas.microsoft.com/office/drawing/2014/main" id="{EA65291D-0FCC-4294-A746-91F83548E005}"/>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0</xdr:col>
      <xdr:colOff>0</xdr:colOff>
      <xdr:row>12</xdr:row>
      <xdr:rowOff>114300</xdr:rowOff>
    </xdr:from>
    <xdr:to>
      <xdr:col>4</xdr:col>
      <xdr:colOff>561975</xdr:colOff>
      <xdr:row>20</xdr:row>
      <xdr:rowOff>180975</xdr:rowOff>
    </xdr:to>
    <xdr:graphicFrame macro="">
      <xdr:nvGraphicFramePr>
        <xdr:cNvPr id="4" name="Chart 3">
          <a:extLst>
            <a:ext uri="{FF2B5EF4-FFF2-40B4-BE49-F238E27FC236}">
              <a16:creationId xmlns:a16="http://schemas.microsoft.com/office/drawing/2014/main" id="{DECB7F00-23BA-4565-9DF4-CF8F4BF6F78A}"/>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4</xdr:col>
      <xdr:colOff>590551</xdr:colOff>
      <xdr:row>12</xdr:row>
      <xdr:rowOff>114301</xdr:rowOff>
    </xdr:from>
    <xdr:to>
      <xdr:col>11</xdr:col>
      <xdr:colOff>0</xdr:colOff>
      <xdr:row>21</xdr:row>
      <xdr:rowOff>1</xdr:rowOff>
    </xdr:to>
    <xdr:graphicFrame macro="">
      <xdr:nvGraphicFramePr>
        <xdr:cNvPr id="5" name="Chart 4">
          <a:extLst>
            <a:ext uri="{FF2B5EF4-FFF2-40B4-BE49-F238E27FC236}">
              <a16:creationId xmlns:a16="http://schemas.microsoft.com/office/drawing/2014/main" id="{15241765-40EB-40BA-A791-62E257B16378}"/>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xdr:twoCellAnchor editAs="oneCell">
    <xdr:from>
      <xdr:col>11</xdr:col>
      <xdr:colOff>47625</xdr:colOff>
      <xdr:row>4</xdr:row>
      <xdr:rowOff>9526</xdr:rowOff>
    </xdr:from>
    <xdr:to>
      <xdr:col>14</xdr:col>
      <xdr:colOff>657225</xdr:colOff>
      <xdr:row>10</xdr:row>
      <xdr:rowOff>47625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5A47FDB9-3EEE-4B67-9CB5-EEF9727BB99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6448425" y="800101"/>
              <a:ext cx="154305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676273</xdr:colOff>
      <xdr:row>4</xdr:row>
      <xdr:rowOff>19051</xdr:rowOff>
    </xdr:from>
    <xdr:to>
      <xdr:col>16</xdr:col>
      <xdr:colOff>533399</xdr:colOff>
      <xdr:row>8</xdr:row>
      <xdr:rowOff>152401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41CB8060-32DB-49E6-AF65-14E7CFAD37A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8010523" y="809626"/>
              <a:ext cx="1733551"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16</xdr:row>
      <xdr:rowOff>142876</xdr:rowOff>
    </xdr:from>
    <xdr:to>
      <xdr:col>14</xdr:col>
      <xdr:colOff>647700</xdr:colOff>
      <xdr:row>21</xdr:row>
      <xdr:rowOff>95250</xdr:rowOff>
    </xdr:to>
    <mc:AlternateContent xmlns:mc="http://schemas.openxmlformats.org/markup-compatibility/2006" xmlns:a14="http://schemas.microsoft.com/office/drawing/2010/main">
      <mc:Choice Requires="a14">
        <xdr:graphicFrame macro="">
          <xdr:nvGraphicFramePr>
            <xdr:cNvPr id="8" name="Mode_of_work">
              <a:extLst>
                <a:ext uri="{FF2B5EF4-FFF2-40B4-BE49-F238E27FC236}">
                  <a16:creationId xmlns:a16="http://schemas.microsoft.com/office/drawing/2014/main" id="{BC1038E9-B894-4379-ACD7-D2566C42D339}"/>
                </a:ext>
              </a:extLst>
            </xdr:cNvPr>
            <xdr:cNvGraphicFramePr/>
          </xdr:nvGraphicFramePr>
          <xdr:xfrm>
            <a:off x="0" y="0"/>
            <a:ext cx="0" cy="0"/>
          </xdr:xfrm>
          <a:graphic>
            <a:graphicData uri="http://schemas.microsoft.com/office/drawing/2010/slicer">
              <sle:slicer xmlns:sle="http://schemas.microsoft.com/office/drawing/2010/slicer" name="Mode_of_work"/>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6438900" y="3219451"/>
              <a:ext cx="1543050" cy="904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676274</xdr:colOff>
      <xdr:row>13</xdr:row>
      <xdr:rowOff>180976</xdr:rowOff>
    </xdr:from>
    <xdr:to>
      <xdr:col>16</xdr:col>
      <xdr:colOff>542924</xdr:colOff>
      <xdr:row>21</xdr:row>
      <xdr:rowOff>95250</xdr:rowOff>
    </xdr:to>
    <mc:AlternateContent xmlns:mc="http://schemas.openxmlformats.org/markup-compatibility/2006" xmlns:a14="http://schemas.microsoft.com/office/drawing/2010/main">
      <mc:Choice Requires="a14">
        <xdr:graphicFrame macro="">
          <xdr:nvGraphicFramePr>
            <xdr:cNvPr id="9" name="Experience_Band">
              <a:extLst>
                <a:ext uri="{FF2B5EF4-FFF2-40B4-BE49-F238E27FC236}">
                  <a16:creationId xmlns:a16="http://schemas.microsoft.com/office/drawing/2014/main" id="{68A67557-9DC1-4959-B6C5-6D62EA8CE328}"/>
                </a:ext>
              </a:extLst>
            </xdr:cNvPr>
            <xdr:cNvGraphicFramePr/>
          </xdr:nvGraphicFramePr>
          <xdr:xfrm>
            <a:off x="0" y="0"/>
            <a:ext cx="0" cy="0"/>
          </xdr:xfrm>
          <a:graphic>
            <a:graphicData uri="http://schemas.microsoft.com/office/drawing/2010/slicer">
              <sle:slicer xmlns:sle="http://schemas.microsoft.com/office/drawing/2010/slicer" name="Experience_Band"/>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8010524" y="2686051"/>
              <a:ext cx="1743075" cy="143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676274</xdr:colOff>
      <xdr:row>9</xdr:row>
      <xdr:rowOff>0</xdr:rowOff>
    </xdr:from>
    <xdr:to>
      <xdr:col>16</xdr:col>
      <xdr:colOff>542925</xdr:colOff>
      <xdr:row>13</xdr:row>
      <xdr:rowOff>171450</xdr:rowOff>
    </xdr:to>
    <mc:AlternateContent xmlns:mc="http://schemas.openxmlformats.org/markup-compatibility/2006" xmlns:a14="http://schemas.microsoft.com/office/drawing/2010/main">
      <mc:Choice Requires="a14">
        <xdr:graphicFrame macro="">
          <xdr:nvGraphicFramePr>
            <xdr:cNvPr id="10" name="Income_Band">
              <a:extLst>
                <a:ext uri="{FF2B5EF4-FFF2-40B4-BE49-F238E27FC236}">
                  <a16:creationId xmlns:a16="http://schemas.microsoft.com/office/drawing/2014/main" id="{6F473D4C-11B4-4007-9689-8EBA80E03245}"/>
                </a:ext>
              </a:extLst>
            </xdr:cNvPr>
            <xdr:cNvGraphicFramePr/>
          </xdr:nvGraphicFramePr>
          <xdr:xfrm>
            <a:off x="0" y="0"/>
            <a:ext cx="0" cy="0"/>
          </xdr:xfrm>
          <a:graphic>
            <a:graphicData uri="http://schemas.microsoft.com/office/drawing/2010/slicer">
              <sle:slicer xmlns:sle="http://schemas.microsoft.com/office/drawing/2010/slicer" name="Income_Band"/>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8010524" y="1743075"/>
              <a:ext cx="1743076"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xdr:colOff>
      <xdr:row>10</xdr:row>
      <xdr:rowOff>76201</xdr:rowOff>
    </xdr:from>
    <xdr:to>
      <xdr:col>14</xdr:col>
      <xdr:colOff>647700</xdr:colOff>
      <xdr:row>16</xdr:row>
      <xdr:rowOff>114300</xdr:rowOff>
    </xdr:to>
    <mc:AlternateContent xmlns:mc="http://schemas.openxmlformats.org/markup-compatibility/2006" xmlns:a14="http://schemas.microsoft.com/office/drawing/2010/main">
      <mc:Choice Requires="a14">
        <xdr:graphicFrame macro="">
          <xdr:nvGraphicFramePr>
            <xdr:cNvPr id="11" name="Role_Category">
              <a:extLst>
                <a:ext uri="{FF2B5EF4-FFF2-40B4-BE49-F238E27FC236}">
                  <a16:creationId xmlns:a16="http://schemas.microsoft.com/office/drawing/2014/main" id="{B4035B09-E72C-4B92-AA1A-705448E6FB28}"/>
                </a:ext>
              </a:extLst>
            </xdr:cNvPr>
            <xdr:cNvGraphicFramePr/>
          </xdr:nvGraphicFramePr>
          <xdr:xfrm>
            <a:off x="0" y="0"/>
            <a:ext cx="0" cy="0"/>
          </xdr:xfrm>
          <a:graphic>
            <a:graphicData uri="http://schemas.microsoft.com/office/drawing/2010/slicer">
              <sle:slicer xmlns:sle="http://schemas.microsoft.com/office/drawing/2010/slicer" name="Role_Category"/>
            </a:graphicData>
          </a:graphic>
        </xdr:graphicFrame>
      </mc:Choice>
      <mc:Fallback xmlns:a="http://schemas.openxmlformats.org/drawingml/2006/main" xmlns:xdr="http://schemas.openxmlformats.org/drawingml/2006/spreadsheetDrawing" xmlns="">
        <xdr:sp macro="" textlink="">
          <xdr:nvSpPr>
            <xdr:cNvPr id="0" name=""/>
            <xdr:cNvSpPr>
              <a:spLocks noTextEdit="1"/>
            </xdr:cNvSpPr>
          </xdr:nvSpPr>
          <xdr:spPr>
            <a:xfrm>
              <a:off x="6448425" y="2009776"/>
              <a:ext cx="1533525"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552450</xdr:colOff>
      <xdr:row>1</xdr:row>
      <xdr:rowOff>0</xdr:rowOff>
    </xdr:from>
    <xdr:to>
      <xdr:col>2</xdr:col>
      <xdr:colOff>628650</xdr:colOff>
      <xdr:row>2</xdr:row>
      <xdr:rowOff>57150</xdr:rowOff>
    </xdr:to>
    <xdr:sp macro="" textlink="">
      <xdr:nvSpPr>
        <xdr:cNvPr id="12" name="TextBox 11">
          <a:extLst>
            <a:ext uri="{FF2B5EF4-FFF2-40B4-BE49-F238E27FC236}">
              <a16:creationId xmlns:a16="http://schemas.microsoft.com/office/drawing/2014/main" id="{3BE381F9-60B0-406B-AF8F-D80977BE6A89}"/>
            </a:ext>
          </a:extLst>
        </xdr:cNvPr>
        <xdr:cNvSpPr txBox="1"/>
      </xdr:nvSpPr>
      <xdr:spPr>
        <a:xfrm>
          <a:off x="552450" y="276225"/>
          <a:ext cx="1295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tx1"/>
              </a:solidFill>
            </a:rPr>
            <a:t>TOTAL</a:t>
          </a:r>
          <a:r>
            <a:rPr lang="en-US" sz="1100" b="1" baseline="0%">
              <a:solidFill>
                <a:schemeClr val="tx1"/>
              </a:solidFill>
            </a:rPr>
            <a:t> EMPLOYEES</a:t>
          </a:r>
          <a:endParaRPr lang="en-US" sz="1100" b="1">
            <a:solidFill>
              <a:schemeClr val="tx1"/>
            </a:solidFill>
          </a:endParaRPr>
        </a:p>
      </xdr:txBody>
    </xdr:sp>
    <xdr:clientData/>
  </xdr:twoCellAnchor>
  <xdr:twoCellAnchor>
    <xdr:from>
      <xdr:col>4</xdr:col>
      <xdr:colOff>542925</xdr:colOff>
      <xdr:row>1</xdr:row>
      <xdr:rowOff>9525</xdr:rowOff>
    </xdr:from>
    <xdr:to>
      <xdr:col>6</xdr:col>
      <xdr:colOff>619125</xdr:colOff>
      <xdr:row>2</xdr:row>
      <xdr:rowOff>66675</xdr:rowOff>
    </xdr:to>
    <xdr:sp macro="" textlink="">
      <xdr:nvSpPr>
        <xdr:cNvPr id="13" name="TextBox 12">
          <a:extLst>
            <a:ext uri="{FF2B5EF4-FFF2-40B4-BE49-F238E27FC236}">
              <a16:creationId xmlns:a16="http://schemas.microsoft.com/office/drawing/2014/main" id="{051D3B01-DC07-4AD2-A74C-33AAB943DFAA}"/>
            </a:ext>
          </a:extLst>
        </xdr:cNvPr>
        <xdr:cNvSpPr txBox="1"/>
      </xdr:nvSpPr>
      <xdr:spPr>
        <a:xfrm>
          <a:off x="2667000" y="285750"/>
          <a:ext cx="1295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tx1"/>
              </a:solidFill>
              <a:latin typeface="+mn-lt"/>
              <a:ea typeface="+mn-ea"/>
              <a:cs typeface="+mn-cs"/>
            </a:rPr>
            <a:t>EMPLOYEES</a:t>
          </a:r>
          <a:r>
            <a:rPr lang="en-US" sz="1100" b="1" baseline="0%">
              <a:solidFill>
                <a:schemeClr val="tx1"/>
              </a:solidFill>
              <a:latin typeface="+mn-lt"/>
              <a:ea typeface="+mn-ea"/>
              <a:cs typeface="+mn-cs"/>
            </a:rPr>
            <a:t> LEFT</a:t>
          </a:r>
          <a:endParaRPr lang="en-US" sz="1100" b="1">
            <a:solidFill>
              <a:schemeClr val="tx1"/>
            </a:solidFill>
            <a:latin typeface="+mn-lt"/>
            <a:ea typeface="+mn-ea"/>
            <a:cs typeface="+mn-cs"/>
          </a:endParaRPr>
        </a:p>
      </xdr:txBody>
    </xdr:sp>
    <xdr:clientData/>
  </xdr:twoCellAnchor>
  <xdr:twoCellAnchor>
    <xdr:from>
      <xdr:col>8</xdr:col>
      <xdr:colOff>561975</xdr:colOff>
      <xdr:row>1</xdr:row>
      <xdr:rowOff>0</xdr:rowOff>
    </xdr:from>
    <xdr:to>
      <xdr:col>10</xdr:col>
      <xdr:colOff>638175</xdr:colOff>
      <xdr:row>2</xdr:row>
      <xdr:rowOff>57150</xdr:rowOff>
    </xdr:to>
    <xdr:sp macro="" textlink="">
      <xdr:nvSpPr>
        <xdr:cNvPr id="14" name="TextBox 13">
          <a:extLst>
            <a:ext uri="{FF2B5EF4-FFF2-40B4-BE49-F238E27FC236}">
              <a16:creationId xmlns:a16="http://schemas.microsoft.com/office/drawing/2014/main" id="{AEFE5C71-9406-4D82-A1E2-2A187A688566}"/>
            </a:ext>
          </a:extLst>
        </xdr:cNvPr>
        <xdr:cNvSpPr txBox="1"/>
      </xdr:nvSpPr>
      <xdr:spPr>
        <a:xfrm>
          <a:off x="4819650" y="276225"/>
          <a:ext cx="1295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ATTRITION RATE</a:t>
          </a:r>
        </a:p>
      </xdr:txBody>
    </xdr:sp>
    <xdr:clientData/>
  </xdr:twoCellAnchor>
  <xdr:twoCellAnchor>
    <xdr:from>
      <xdr:col>13</xdr:col>
      <xdr:colOff>200024</xdr:colOff>
      <xdr:row>1</xdr:row>
      <xdr:rowOff>0</xdr:rowOff>
    </xdr:from>
    <xdr:to>
      <xdr:col>14</xdr:col>
      <xdr:colOff>952499</xdr:colOff>
      <xdr:row>2</xdr:row>
      <xdr:rowOff>57150</xdr:rowOff>
    </xdr:to>
    <xdr:sp macro="" textlink="">
      <xdr:nvSpPr>
        <xdr:cNvPr id="15" name="TextBox 14">
          <a:extLst>
            <a:ext uri="{FF2B5EF4-FFF2-40B4-BE49-F238E27FC236}">
              <a16:creationId xmlns:a16="http://schemas.microsoft.com/office/drawing/2014/main" id="{8302AFA2-5608-4988-8A9A-ACC7AFAF226A}"/>
            </a:ext>
          </a:extLst>
        </xdr:cNvPr>
        <xdr:cNvSpPr txBox="1"/>
      </xdr:nvSpPr>
      <xdr:spPr>
        <a:xfrm>
          <a:off x="6924674" y="276225"/>
          <a:ext cx="13620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t>ACTIVE EMPLOYEES</a:t>
          </a:r>
        </a:p>
      </xdr:txBody>
    </xdr:sp>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HP" refreshedDateIso="2025-12-17T12:07:25.79900018870830350" createdVersion="6" refreshedVersion="6" minRefreshableVersion="3" recordCount="1463" xr:uid="{86F8F264-20F9-4CB7-A9A4-4591BE344667}">
  <cacheSource type="worksheet">
    <worksheetSource name="HR_Data"/>
  </cacheSource>
  <cacheFields count="37">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Gender" numFmtId="0">
      <sharedItems count="2">
        <s v="Male"/>
        <s v="Female"/>
      </sharedItems>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Research Scientist"/>
        <s v="Research Director"/>
        <s v="Sales Representative"/>
        <s v="Sales Executive"/>
        <s v="Manager"/>
        <s v="Manufacturing Director"/>
        <s v="Healthcare Representative"/>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NumCompaniesWorked" numFmtId="0">
      <sharedItems containsSemiMixedTypes="0" containsString="0" containsNumber="1" containsInteger="1" minValue="0" maxValue="9"/>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Higher_Education" numFmtId="0">
      <sharedItems/>
    </cacheField>
    <cacheField name="Date_of_Hire" numFmtId="14">
      <sharedItems containsSemiMixedTypes="0" containsNonDate="0" containsDate="1" containsString="0" minDate="1969-06-19T00:00:00" maxDate="2021-06-26T00:00:00"/>
    </cacheField>
    <cacheField name="Date_of_termination" numFmtId="0">
      <sharedItems containsNonDate="0" containsString="0" containsBlank="1"/>
    </cacheField>
    <cacheField name="Status_of_leaving" numFmtId="0">
      <sharedItems/>
    </cacheField>
    <cacheField name="Mode_of_work" numFmtId="0">
      <sharedItems count="2">
        <s v="OFFICE"/>
        <s v="WFH"/>
      </sharedItems>
    </cacheField>
    <cacheField name="Leaves" numFmtId="0">
      <sharedItems containsSemiMixedTypes="0" containsString="0" containsNumber="1" containsInteger="1" minValue="0" maxValue="5"/>
    </cacheField>
    <cacheField name="Absenteeism" numFmtId="0">
      <sharedItems containsSemiMixedTypes="0" containsString="0" containsNumber="1" containsInteger="1" minValue="0" maxValue="3"/>
    </cacheField>
    <cacheField name="Work_accident" numFmtId="0">
      <sharedItems/>
    </cacheField>
    <cacheField name="Source_of_Hire" numFmtId="0">
      <sharedItems/>
    </cacheField>
    <cacheField name="Job_mode" numFmtId="0">
      <sharedItems/>
    </cacheField>
    <cacheField name="Attrition_Flag" numFmtId="0">
      <sharedItems containsSemiMixedTypes="0" containsString="0" containsNumber="1" containsInteger="1" minValue="0" maxValue="1"/>
    </cacheField>
    <cacheField name="Employment_Status" numFmtId="0">
      <sharedItems/>
    </cacheField>
    <cacheField name="Experience_Band" numFmtId="0">
      <sharedItems count="4">
        <s v="Fresher"/>
        <s v="Junior"/>
        <s v="Mid"/>
        <s v="Senior"/>
      </sharedItems>
    </cacheField>
    <cacheField name="Income_Band" numFmtId="0">
      <sharedItems count="2">
        <s v="Medium"/>
        <s v="High"/>
      </sharedItems>
    </cacheField>
    <cacheField name="Role_Category" numFmtId="0">
      <sharedItems count="5">
        <s v="Technical"/>
        <s v="Management"/>
        <s v="Sales"/>
        <s v="Operations"/>
        <s v="HR"/>
      </sharedItems>
    </cacheField>
  </cacheFields>
  <extLst>
    <ext xmlns:x14="http://schemas.microsoft.com/office/spreadsheetml/2009/9/main" uri="{725AE2AE-9491-48be-B2B4-4EB974FC3084}">
      <x14:pivotCacheDefinition pivotCacheId="1905398905"/>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463">
  <r>
    <n v="37"/>
    <s v="Yes"/>
    <s v="Travel_Rarely"/>
    <x v="0"/>
    <n v="2"/>
    <x v="0"/>
    <n v="2"/>
    <n v="1"/>
    <x v="0"/>
    <n v="3"/>
    <s v="Single"/>
    <n v="2090"/>
    <n v="6"/>
    <s v="Yes"/>
    <n v="15"/>
    <n v="3"/>
    <n v="0"/>
    <n v="7"/>
    <n v="3"/>
    <n v="0"/>
    <n v="0"/>
    <n v="0"/>
    <s v="Graduation"/>
    <d v="2021-01-21T00:00:00"/>
    <m/>
    <s v="Salary"/>
    <x v="0"/>
    <n v="4"/>
    <n v="2"/>
    <s v="No"/>
    <s v="Job Event"/>
    <s v="Contract"/>
    <n v="1"/>
    <s v="Active"/>
    <x v="0"/>
    <x v="0"/>
    <x v="0"/>
  </r>
  <r>
    <n v="21"/>
    <s v="No"/>
    <s v="Travel_Rarely"/>
    <x v="0"/>
    <n v="15"/>
    <x v="0"/>
    <n v="3"/>
    <n v="1"/>
    <x v="1"/>
    <n v="4"/>
    <s v="Single"/>
    <n v="1232"/>
    <n v="1"/>
    <s v="No"/>
    <n v="14"/>
    <n v="3"/>
    <n v="0"/>
    <n v="0"/>
    <n v="6"/>
    <n v="0"/>
    <n v="0"/>
    <n v="0"/>
    <s v="Graduation"/>
    <d v="2021-03-13T00:00:00"/>
    <m/>
    <s v="Work Accident"/>
    <x v="1"/>
    <n v="5"/>
    <n v="2"/>
    <s v="No"/>
    <s v="Recruiter"/>
    <s v="Part Time"/>
    <n v="0"/>
    <s v="Active"/>
    <x v="0"/>
    <x v="0"/>
    <x v="0"/>
  </r>
  <r>
    <n v="45"/>
    <s v="No"/>
    <s v="Travel_Rarely"/>
    <x v="0"/>
    <n v="6"/>
    <x v="0"/>
    <n v="3"/>
    <n v="3"/>
    <x v="2"/>
    <n v="1"/>
    <s v="Married"/>
    <n v="13245"/>
    <n v="4"/>
    <s v="Yes"/>
    <n v="14"/>
    <n v="3"/>
    <n v="0"/>
    <n v="17"/>
    <n v="3"/>
    <n v="0"/>
    <n v="0"/>
    <n v="0"/>
    <s v="Post-Graduation"/>
    <d v="2021-01-23T00:00:00"/>
    <m/>
    <s v="Dept.Head"/>
    <x v="1"/>
    <n v="1"/>
    <n v="3"/>
    <s v="No"/>
    <s v="Job Event"/>
    <s v="Contract"/>
    <n v="0"/>
    <s v="Active"/>
    <x v="0"/>
    <x v="1"/>
    <x v="1"/>
  </r>
  <r>
    <n v="23"/>
    <s v="No"/>
    <s v="Travel_Rarely"/>
    <x v="1"/>
    <n v="2"/>
    <x v="0"/>
    <n v="3"/>
    <n v="1"/>
    <x v="3"/>
    <n v="1"/>
    <s v="Divorced"/>
    <n v="2322"/>
    <n v="3"/>
    <s v="No"/>
    <n v="13"/>
    <n v="3"/>
    <n v="1"/>
    <n v="3"/>
    <n v="3"/>
    <n v="0"/>
    <n v="0"/>
    <n v="0"/>
    <s v="PHD"/>
    <d v="2021-04-25T00:00:00"/>
    <m/>
    <s v="Work Accident"/>
    <x v="0"/>
    <n v="1"/>
    <n v="0"/>
    <s v="Yes"/>
    <s v="Recruiter"/>
    <s v="FullTime"/>
    <n v="0"/>
    <s v="Active"/>
    <x v="0"/>
    <x v="0"/>
    <x v="2"/>
  </r>
  <r>
    <n v="22"/>
    <s v="No"/>
    <s v="Travel_Rarely"/>
    <x v="0"/>
    <n v="15"/>
    <x v="1"/>
    <n v="3"/>
    <n v="1"/>
    <x v="0"/>
    <n v="4"/>
    <s v="Single"/>
    <n v="2871"/>
    <n v="1"/>
    <s v="No"/>
    <n v="15"/>
    <n v="3"/>
    <n v="0"/>
    <n v="1"/>
    <n v="5"/>
    <n v="0"/>
    <n v="0"/>
    <n v="0"/>
    <s v="PHD"/>
    <d v="2021-06-14T00:00:00"/>
    <m/>
    <s v="Better Opportunity"/>
    <x v="1"/>
    <n v="5"/>
    <n v="2"/>
    <s v="No"/>
    <s v="Job Event"/>
    <s v="Contract"/>
    <n v="0"/>
    <s v="Active"/>
    <x v="0"/>
    <x v="0"/>
    <x v="0"/>
  </r>
  <r>
    <n v="19"/>
    <s v="Yes"/>
    <s v="Travel_Rarely"/>
    <x v="1"/>
    <n v="22"/>
    <x v="0"/>
    <n v="3"/>
    <n v="1"/>
    <x v="3"/>
    <n v="3"/>
    <s v="Single"/>
    <n v="1675"/>
    <n v="1"/>
    <s v="Yes"/>
    <n v="19"/>
    <n v="3"/>
    <n v="0"/>
    <n v="0"/>
    <n v="2"/>
    <n v="0"/>
    <n v="0"/>
    <n v="0"/>
    <s v="PHD"/>
    <d v="2021-04-14T00:00:00"/>
    <m/>
    <s v="Work Accident"/>
    <x v="1"/>
    <n v="1"/>
    <n v="1"/>
    <s v="Yes"/>
    <s v="Job Portal"/>
    <s v="Part Time"/>
    <n v="1"/>
    <s v="Active"/>
    <x v="0"/>
    <x v="0"/>
    <x v="2"/>
  </r>
  <r>
    <n v="19"/>
    <s v="Yes"/>
    <s v="Travel_Frequently"/>
    <x v="1"/>
    <n v="1"/>
    <x v="1"/>
    <n v="1"/>
    <n v="1"/>
    <x v="3"/>
    <n v="1"/>
    <s v="Single"/>
    <n v="2325"/>
    <n v="0"/>
    <s v="No"/>
    <n v="21"/>
    <n v="4"/>
    <n v="0"/>
    <n v="1"/>
    <n v="5"/>
    <n v="0"/>
    <n v="0"/>
    <n v="0"/>
    <s v="PHD"/>
    <d v="2021-01-12T00:00:00"/>
    <m/>
    <s v="Work Accident"/>
    <x v="1"/>
    <n v="2"/>
    <n v="2"/>
    <s v="No"/>
    <s v="Walk-in"/>
    <s v="Contract"/>
    <n v="1"/>
    <s v="Active"/>
    <x v="0"/>
    <x v="0"/>
    <x v="2"/>
  </r>
  <r>
    <n v="28"/>
    <s v="Yes"/>
    <s v="Travel_Rarely"/>
    <x v="0"/>
    <n v="2"/>
    <x v="0"/>
    <n v="3"/>
    <n v="1"/>
    <x v="0"/>
    <n v="3"/>
    <s v="Single"/>
    <n v="3485"/>
    <n v="2"/>
    <s v="No"/>
    <n v="11"/>
    <n v="3"/>
    <n v="0"/>
    <n v="5"/>
    <n v="5"/>
    <n v="0"/>
    <n v="0"/>
    <n v="0"/>
    <s v="Post-Graduation"/>
    <d v="2021-05-30T00:00:00"/>
    <m/>
    <s v="Work Environment"/>
    <x v="1"/>
    <n v="0"/>
    <n v="2"/>
    <s v="No"/>
    <s v="Walk-in"/>
    <s v="Contract"/>
    <n v="1"/>
    <s v="Active"/>
    <x v="0"/>
    <x v="0"/>
    <x v="0"/>
  </r>
  <r>
    <n v="29"/>
    <s v="No"/>
    <s v="Travel_Rarely"/>
    <x v="1"/>
    <n v="2"/>
    <x v="0"/>
    <n v="2"/>
    <n v="2"/>
    <x v="4"/>
    <n v="2"/>
    <s v="Married"/>
    <n v="6644"/>
    <n v="2"/>
    <s v="No"/>
    <n v="19"/>
    <n v="3"/>
    <n v="2"/>
    <n v="10"/>
    <n v="2"/>
    <n v="0"/>
    <n v="0"/>
    <n v="0"/>
    <s v="Graduation"/>
    <d v="2021-02-28T00:00:00"/>
    <m/>
    <s v="Better Opportunity"/>
    <x v="0"/>
    <n v="5"/>
    <n v="2"/>
    <s v="No"/>
    <s v="Walk-in"/>
    <s v="Part Time"/>
    <n v="0"/>
    <s v="Active"/>
    <x v="0"/>
    <x v="0"/>
    <x v="2"/>
  </r>
  <r>
    <n v="18"/>
    <s v="Yes"/>
    <s v="Travel_Rarely"/>
    <x v="0"/>
    <n v="3"/>
    <x v="0"/>
    <n v="3"/>
    <n v="1"/>
    <x v="0"/>
    <n v="3"/>
    <s v="Single"/>
    <n v="1420"/>
    <n v="1"/>
    <s v="No"/>
    <n v="13"/>
    <n v="3"/>
    <n v="0"/>
    <n v="0"/>
    <n v="2"/>
    <n v="0"/>
    <n v="0"/>
    <n v="0"/>
    <s v="PHD"/>
    <d v="2021-05-06T00:00:00"/>
    <m/>
    <s v="Work Environment"/>
    <x v="1"/>
    <n v="5"/>
    <n v="2"/>
    <s v="No"/>
    <s v="Walk-in"/>
    <s v="FullTime"/>
    <n v="1"/>
    <s v="Active"/>
    <x v="0"/>
    <x v="0"/>
    <x v="0"/>
  </r>
  <r>
    <n v="18"/>
    <s v="No"/>
    <s v="Travel_Rarely"/>
    <x v="1"/>
    <n v="10"/>
    <x v="1"/>
    <n v="2"/>
    <n v="1"/>
    <x v="3"/>
    <n v="3"/>
    <s v="Single"/>
    <n v="1200"/>
    <n v="1"/>
    <s v="No"/>
    <n v="12"/>
    <n v="3"/>
    <n v="0"/>
    <n v="0"/>
    <n v="2"/>
    <n v="0"/>
    <n v="0"/>
    <n v="0"/>
    <s v="12th"/>
    <d v="2021-06-17T00:00:00"/>
    <m/>
    <s v="Work Environment"/>
    <x v="1"/>
    <n v="1"/>
    <n v="2"/>
    <s v="Yes"/>
    <s v="Job Portal"/>
    <s v="FullTime"/>
    <n v="0"/>
    <s v="Active"/>
    <x v="0"/>
    <x v="0"/>
    <x v="2"/>
  </r>
  <r>
    <n v="47"/>
    <s v="No"/>
    <s v="Travel_Frequently"/>
    <x v="1"/>
    <n v="4"/>
    <x v="0"/>
    <n v="3"/>
    <n v="2"/>
    <x v="3"/>
    <n v="3"/>
    <s v="Single"/>
    <n v="2976"/>
    <n v="3"/>
    <s v="No"/>
    <n v="19"/>
    <n v="3"/>
    <n v="0"/>
    <n v="5"/>
    <n v="3"/>
    <n v="0"/>
    <n v="0"/>
    <n v="0"/>
    <s v="12th"/>
    <d v="2021-02-25T00:00:00"/>
    <m/>
    <s v="Work Environment"/>
    <x v="1"/>
    <n v="5"/>
    <n v="0"/>
    <s v="Yes"/>
    <s v="Walk-in"/>
    <s v="FullTime"/>
    <n v="0"/>
    <s v="Active"/>
    <x v="0"/>
    <x v="0"/>
    <x v="2"/>
  </r>
  <r>
    <n v="48"/>
    <s v="No"/>
    <s v="Travel_Rarely"/>
    <x v="1"/>
    <n v="29"/>
    <x v="1"/>
    <n v="3"/>
    <n v="3"/>
    <x v="5"/>
    <n v="3"/>
    <s v="Married"/>
    <n v="12504"/>
    <n v="3"/>
    <s v="No"/>
    <n v="21"/>
    <n v="4"/>
    <n v="1"/>
    <n v="15"/>
    <n v="3"/>
    <n v="0"/>
    <n v="0"/>
    <n v="0"/>
    <s v="PHD"/>
    <d v="2021-05-06T00:00:00"/>
    <m/>
    <s v="Work Accident"/>
    <x v="1"/>
    <n v="1"/>
    <n v="2"/>
    <s v="Yes"/>
    <s v="Job Event"/>
    <s v="Part Time"/>
    <n v="0"/>
    <s v="Active"/>
    <x v="0"/>
    <x v="1"/>
    <x v="1"/>
  </r>
  <r>
    <n v="18"/>
    <s v="Yes"/>
    <s v="Travel_Frequently"/>
    <x v="1"/>
    <n v="5"/>
    <x v="0"/>
    <n v="3"/>
    <n v="1"/>
    <x v="3"/>
    <n v="2"/>
    <s v="Single"/>
    <n v="1878"/>
    <n v="1"/>
    <s v="Yes"/>
    <n v="14"/>
    <n v="3"/>
    <n v="0"/>
    <n v="0"/>
    <n v="3"/>
    <n v="0"/>
    <n v="0"/>
    <n v="0"/>
    <s v="Post-Graduation"/>
    <d v="2021-05-12T00:00:00"/>
    <m/>
    <s v="Work Environment"/>
    <x v="1"/>
    <n v="3"/>
    <n v="2"/>
    <s v="No"/>
    <s v="Job Portal"/>
    <s v="FullTime"/>
    <n v="1"/>
    <s v="Active"/>
    <x v="0"/>
    <x v="0"/>
    <x v="2"/>
  </r>
  <r>
    <n v="26"/>
    <s v="No"/>
    <s v="Travel_Rarely"/>
    <x v="1"/>
    <n v="29"/>
    <x v="0"/>
    <n v="3"/>
    <n v="2"/>
    <x v="4"/>
    <n v="3"/>
    <s v="Divorced"/>
    <n v="4306"/>
    <n v="5"/>
    <s v="No"/>
    <n v="12"/>
    <n v="3"/>
    <n v="2"/>
    <n v="8"/>
    <n v="5"/>
    <n v="0"/>
    <n v="0"/>
    <n v="0"/>
    <s v="Graduation"/>
    <d v="2021-05-25T00:00:00"/>
    <m/>
    <s v="Dept.Head"/>
    <x v="1"/>
    <n v="0"/>
    <n v="3"/>
    <s v="Yes"/>
    <s v="Job Event"/>
    <s v="Part Time"/>
    <n v="0"/>
    <s v="Active"/>
    <x v="0"/>
    <x v="0"/>
    <x v="2"/>
  </r>
  <r>
    <n v="38"/>
    <s v="No"/>
    <s v="Travel_Rarely"/>
    <x v="0"/>
    <n v="1"/>
    <x v="1"/>
    <n v="3"/>
    <n v="1"/>
    <x v="1"/>
    <n v="1"/>
    <s v="Single"/>
    <n v="2619"/>
    <n v="3"/>
    <s v="No"/>
    <n v="17"/>
    <n v="3"/>
    <n v="0"/>
    <n v="8"/>
    <n v="3"/>
    <n v="0"/>
    <n v="0"/>
    <n v="0"/>
    <s v="Graduation"/>
    <d v="2021-03-30T00:00:00"/>
    <m/>
    <s v="Dept.Head"/>
    <x v="1"/>
    <n v="2"/>
    <n v="3"/>
    <s v="No"/>
    <s v="Walk-in"/>
    <s v="FullTime"/>
    <n v="0"/>
    <s v="Active"/>
    <x v="0"/>
    <x v="0"/>
    <x v="0"/>
  </r>
  <r>
    <n v="34"/>
    <s v="No"/>
    <s v="Travel_Rarely"/>
    <x v="0"/>
    <n v="8"/>
    <x v="1"/>
    <n v="3"/>
    <n v="2"/>
    <x v="6"/>
    <n v="1"/>
    <s v="Divorced"/>
    <n v="5121"/>
    <n v="3"/>
    <s v="No"/>
    <n v="14"/>
    <n v="3"/>
    <n v="1"/>
    <n v="7"/>
    <n v="3"/>
    <n v="0"/>
    <n v="0"/>
    <n v="0"/>
    <s v="12th"/>
    <d v="2021-02-16T00:00:00"/>
    <m/>
    <s v="Salary"/>
    <x v="1"/>
    <n v="3"/>
    <n v="0"/>
    <s v="No"/>
    <s v="Job Portal"/>
    <s v="Part Time"/>
    <n v="0"/>
    <s v="Active"/>
    <x v="0"/>
    <x v="0"/>
    <x v="3"/>
  </r>
  <r>
    <n v="23"/>
    <s v="Yes"/>
    <s v="Travel_Rarely"/>
    <x v="0"/>
    <n v="6"/>
    <x v="0"/>
    <n v="4"/>
    <n v="1"/>
    <x v="0"/>
    <n v="1"/>
    <s v="Married"/>
    <n v="1601"/>
    <n v="1"/>
    <s v="Yes"/>
    <n v="21"/>
    <n v="4"/>
    <n v="2"/>
    <n v="1"/>
    <n v="2"/>
    <n v="0"/>
    <n v="0"/>
    <n v="0"/>
    <s v="Graduation"/>
    <d v="2021-03-10T00:00:00"/>
    <m/>
    <s v="Dept.Head"/>
    <x v="0"/>
    <n v="2"/>
    <n v="1"/>
    <s v="Yes"/>
    <s v="Job Event"/>
    <s v="Part Time"/>
    <n v="1"/>
    <s v="Active"/>
    <x v="0"/>
    <x v="0"/>
    <x v="0"/>
  </r>
  <r>
    <n v="30"/>
    <s v="No"/>
    <s v="Travel_Rarely"/>
    <x v="0"/>
    <n v="2"/>
    <x v="1"/>
    <n v="2"/>
    <n v="2"/>
    <x v="6"/>
    <n v="4"/>
    <s v="Single"/>
    <n v="6877"/>
    <n v="5"/>
    <s v="Yes"/>
    <n v="24"/>
    <n v="4"/>
    <n v="0"/>
    <n v="12"/>
    <n v="4"/>
    <n v="0"/>
    <n v="0"/>
    <n v="0"/>
    <s v="Graduation"/>
    <d v="2021-06-25T00:00:00"/>
    <m/>
    <s v="Work Environment"/>
    <x v="1"/>
    <n v="3"/>
    <n v="3"/>
    <s v="Yes"/>
    <s v="Job Event"/>
    <s v="Part Time"/>
    <n v="0"/>
    <s v="Active"/>
    <x v="0"/>
    <x v="0"/>
    <x v="3"/>
  </r>
  <r>
    <n v="27"/>
    <s v="No"/>
    <s v="Non-Travel"/>
    <x v="0"/>
    <n v="3"/>
    <x v="0"/>
    <n v="3"/>
    <n v="1"/>
    <x v="1"/>
    <n v="4"/>
    <s v="Married"/>
    <n v="1706"/>
    <n v="1"/>
    <s v="No"/>
    <n v="11"/>
    <n v="3"/>
    <n v="3"/>
    <n v="0"/>
    <n v="6"/>
    <n v="0"/>
    <n v="0"/>
    <n v="0"/>
    <s v="Graduation"/>
    <d v="2021-04-12T00:00:00"/>
    <m/>
    <s v="Dept.Head"/>
    <x v="0"/>
    <n v="3"/>
    <n v="2"/>
    <s v="No"/>
    <s v="Job Portal"/>
    <s v="Contract"/>
    <n v="0"/>
    <s v="Active"/>
    <x v="0"/>
    <x v="0"/>
    <x v="0"/>
  </r>
  <r>
    <n v="48"/>
    <s v="No"/>
    <s v="Travel_Rarely"/>
    <x v="0"/>
    <n v="20"/>
    <x v="0"/>
    <n v="3"/>
    <n v="1"/>
    <x v="1"/>
    <n v="3"/>
    <s v="Married"/>
    <n v="2259"/>
    <n v="4"/>
    <s v="No"/>
    <n v="17"/>
    <n v="3"/>
    <n v="2"/>
    <n v="13"/>
    <n v="2"/>
    <n v="0"/>
    <n v="0"/>
    <n v="0"/>
    <s v="Post-Graduation"/>
    <d v="2021-04-25T00:00:00"/>
    <m/>
    <s v="Dept.Head"/>
    <x v="1"/>
    <n v="0"/>
    <n v="2"/>
    <s v="Yes"/>
    <s v="Walk-in"/>
    <s v="FullTime"/>
    <n v="0"/>
    <s v="Active"/>
    <x v="0"/>
    <x v="0"/>
    <x v="0"/>
  </r>
  <r>
    <n v="29"/>
    <s v="Yes"/>
    <s v="Travel_Rarely"/>
    <x v="0"/>
    <n v="10"/>
    <x v="1"/>
    <n v="2"/>
    <n v="1"/>
    <x v="1"/>
    <n v="1"/>
    <s v="Single"/>
    <n v="2404"/>
    <n v="6"/>
    <s v="Yes"/>
    <n v="20"/>
    <n v="4"/>
    <n v="0"/>
    <n v="3"/>
    <n v="5"/>
    <n v="0"/>
    <n v="0"/>
    <n v="0"/>
    <s v="12th"/>
    <d v="2021-05-11T00:00:00"/>
    <m/>
    <s v="Salary"/>
    <x v="1"/>
    <n v="1"/>
    <n v="0"/>
    <s v="No"/>
    <s v="Job Portal"/>
    <s v="FullTime"/>
    <n v="1"/>
    <s v="Active"/>
    <x v="0"/>
    <x v="0"/>
    <x v="0"/>
  </r>
  <r>
    <n v="18"/>
    <s v="No"/>
    <s v="Non-Travel"/>
    <x v="0"/>
    <n v="5"/>
    <x v="0"/>
    <n v="3"/>
    <n v="1"/>
    <x v="1"/>
    <n v="4"/>
    <s v="Single"/>
    <n v="1051"/>
    <n v="1"/>
    <s v="No"/>
    <n v="15"/>
    <n v="3"/>
    <n v="0"/>
    <n v="0"/>
    <n v="2"/>
    <n v="0"/>
    <n v="0"/>
    <n v="0"/>
    <s v="Post-Graduation"/>
    <d v="2021-03-19T00:00:00"/>
    <m/>
    <s v="Dept.Head"/>
    <x v="1"/>
    <n v="3"/>
    <n v="0"/>
    <s v="No"/>
    <s v="Job Portal"/>
    <s v="FullTime"/>
    <n v="0"/>
    <s v="Active"/>
    <x v="0"/>
    <x v="0"/>
    <x v="0"/>
  </r>
  <r>
    <n v="50"/>
    <s v="Yes"/>
    <s v="Travel_Frequently"/>
    <x v="1"/>
    <n v="1"/>
    <x v="0"/>
    <n v="3"/>
    <n v="2"/>
    <x v="4"/>
    <n v="3"/>
    <s v="Single"/>
    <n v="4728"/>
    <n v="3"/>
    <s v="Yes"/>
    <n v="14"/>
    <n v="3"/>
    <n v="0"/>
    <n v="5"/>
    <n v="4"/>
    <n v="0"/>
    <n v="0"/>
    <n v="0"/>
    <s v="Graduation"/>
    <d v="2021-04-29T00:00:00"/>
    <m/>
    <s v="Dept.Head"/>
    <x v="0"/>
    <n v="1"/>
    <n v="3"/>
    <s v="No"/>
    <s v="Recruiter"/>
    <s v="Part Time"/>
    <n v="1"/>
    <s v="Active"/>
    <x v="0"/>
    <x v="0"/>
    <x v="2"/>
  </r>
  <r>
    <n v="34"/>
    <s v="No"/>
    <s v="Non-Travel"/>
    <x v="0"/>
    <n v="3"/>
    <x v="0"/>
    <n v="2"/>
    <n v="1"/>
    <x v="1"/>
    <n v="4"/>
    <s v="Married"/>
    <n v="2979"/>
    <n v="3"/>
    <s v="No"/>
    <n v="17"/>
    <n v="3"/>
    <n v="3"/>
    <n v="6"/>
    <n v="2"/>
    <n v="0"/>
    <n v="0"/>
    <n v="0"/>
    <s v="12th"/>
    <d v="2021-05-23T00:00:00"/>
    <m/>
    <s v="Work Environment"/>
    <x v="1"/>
    <n v="0"/>
    <n v="2"/>
    <s v="No"/>
    <s v="Recruiter"/>
    <s v="Contract"/>
    <n v="0"/>
    <s v="Active"/>
    <x v="0"/>
    <x v="0"/>
    <x v="0"/>
  </r>
  <r>
    <n v="18"/>
    <s v="Yes"/>
    <s v="Non-Travel"/>
    <x v="0"/>
    <n v="8"/>
    <x v="0"/>
    <n v="3"/>
    <n v="1"/>
    <x v="0"/>
    <n v="3"/>
    <s v="Single"/>
    <n v="1904"/>
    <n v="1"/>
    <s v="No"/>
    <n v="12"/>
    <n v="3"/>
    <n v="0"/>
    <n v="0"/>
    <n v="0"/>
    <n v="0"/>
    <n v="0"/>
    <n v="0"/>
    <s v="PHD"/>
    <d v="2021-01-06T00:00:00"/>
    <m/>
    <s v="Work Accident"/>
    <x v="0"/>
    <n v="5"/>
    <n v="3"/>
    <s v="No"/>
    <s v="Recruiter"/>
    <s v="FullTime"/>
    <n v="1"/>
    <s v="Active"/>
    <x v="0"/>
    <x v="0"/>
    <x v="0"/>
  </r>
  <r>
    <n v="22"/>
    <s v="Yes"/>
    <s v="Travel_Frequently"/>
    <x v="0"/>
    <n v="3"/>
    <x v="0"/>
    <n v="2"/>
    <n v="1"/>
    <x v="1"/>
    <n v="4"/>
    <s v="Married"/>
    <n v="2853"/>
    <n v="0"/>
    <s v="Yes"/>
    <n v="11"/>
    <n v="3"/>
    <n v="1"/>
    <n v="1"/>
    <n v="5"/>
    <n v="0"/>
    <n v="0"/>
    <n v="0"/>
    <s v="12th"/>
    <d v="2021-05-26T00:00:00"/>
    <m/>
    <s v="Dept.Head"/>
    <x v="1"/>
    <n v="5"/>
    <n v="1"/>
    <s v="No"/>
    <s v="Walk-in"/>
    <s v="FullTime"/>
    <n v="1"/>
    <s v="Active"/>
    <x v="0"/>
    <x v="0"/>
    <x v="0"/>
  </r>
  <r>
    <n v="44"/>
    <s v="No"/>
    <s v="Non-Travel"/>
    <x v="0"/>
    <n v="17"/>
    <x v="0"/>
    <n v="1"/>
    <n v="1"/>
    <x v="1"/>
    <n v="3"/>
    <s v="Single"/>
    <n v="2290"/>
    <n v="2"/>
    <s v="No"/>
    <n v="13"/>
    <n v="3"/>
    <n v="0"/>
    <n v="6"/>
    <n v="3"/>
    <n v="0"/>
    <n v="0"/>
    <n v="0"/>
    <s v="PHD"/>
    <d v="2021-01-04T00:00:00"/>
    <m/>
    <s v="Work Accident"/>
    <x v="1"/>
    <n v="1"/>
    <n v="3"/>
    <s v="No"/>
    <s v="Recruiter"/>
    <s v="Contract"/>
    <n v="0"/>
    <s v="Active"/>
    <x v="0"/>
    <x v="0"/>
    <x v="0"/>
  </r>
  <r>
    <n v="40"/>
    <s v="No"/>
    <s v="Travel_Frequently"/>
    <x v="1"/>
    <n v="2"/>
    <x v="0"/>
    <n v="3"/>
    <n v="2"/>
    <x v="4"/>
    <n v="2"/>
    <s v="Married"/>
    <n v="4327"/>
    <n v="5"/>
    <s v="No"/>
    <n v="12"/>
    <n v="3"/>
    <n v="3"/>
    <n v="5"/>
    <n v="2"/>
    <n v="0"/>
    <n v="0"/>
    <n v="0"/>
    <s v="Post-Graduation"/>
    <d v="2021-02-01T00:00:00"/>
    <m/>
    <s v="Salary"/>
    <x v="1"/>
    <n v="2"/>
    <n v="3"/>
    <s v="Yes"/>
    <s v="Walk-in"/>
    <s v="FullTime"/>
    <n v="0"/>
    <s v="Active"/>
    <x v="0"/>
    <x v="0"/>
    <x v="2"/>
  </r>
  <r>
    <n v="45"/>
    <s v="No"/>
    <s v="Travel_Frequently"/>
    <x v="0"/>
    <n v="25"/>
    <x v="1"/>
    <n v="3"/>
    <n v="5"/>
    <x v="5"/>
    <n v="2"/>
    <s v="Single"/>
    <n v="18061"/>
    <n v="3"/>
    <s v="No"/>
    <n v="22"/>
    <n v="4"/>
    <n v="0"/>
    <n v="22"/>
    <n v="4"/>
    <n v="0"/>
    <n v="0"/>
    <n v="0"/>
    <s v="12th"/>
    <d v="2021-04-16T00:00:00"/>
    <m/>
    <s v="Work Accident"/>
    <x v="0"/>
    <n v="4"/>
    <n v="3"/>
    <s v="Yes"/>
    <s v="Job Portal"/>
    <s v="Contract"/>
    <n v="0"/>
    <s v="Active"/>
    <x v="0"/>
    <x v="1"/>
    <x v="1"/>
  </r>
  <r>
    <n v="18"/>
    <s v="No"/>
    <s v="Non-Travel"/>
    <x v="0"/>
    <n v="1"/>
    <x v="1"/>
    <n v="3"/>
    <n v="1"/>
    <x v="0"/>
    <n v="4"/>
    <s v="Single"/>
    <n v="1611"/>
    <n v="1"/>
    <s v="No"/>
    <n v="15"/>
    <n v="3"/>
    <n v="0"/>
    <n v="0"/>
    <n v="5"/>
    <n v="0"/>
    <n v="0"/>
    <n v="0"/>
    <s v="12th"/>
    <d v="2021-01-04T00:00:00"/>
    <m/>
    <s v="Salary"/>
    <x v="1"/>
    <n v="1"/>
    <n v="3"/>
    <s v="Yes"/>
    <s v="Job Event"/>
    <s v="Part Time"/>
    <n v="0"/>
    <s v="Active"/>
    <x v="0"/>
    <x v="0"/>
    <x v="0"/>
  </r>
  <r>
    <n v="24"/>
    <s v="Yes"/>
    <s v="Travel_Frequently"/>
    <x v="0"/>
    <n v="9"/>
    <x v="0"/>
    <n v="3"/>
    <n v="1"/>
    <x v="0"/>
    <n v="1"/>
    <s v="Single"/>
    <n v="3172"/>
    <n v="2"/>
    <s v="Yes"/>
    <n v="11"/>
    <n v="3"/>
    <n v="0"/>
    <n v="4"/>
    <n v="2"/>
    <n v="0"/>
    <n v="0"/>
    <n v="0"/>
    <s v="Graduation"/>
    <d v="2021-04-22T00:00:00"/>
    <m/>
    <s v="Work Environment"/>
    <x v="0"/>
    <n v="5"/>
    <n v="2"/>
    <s v="Yes"/>
    <s v="Job Event"/>
    <s v="Part Time"/>
    <n v="1"/>
    <s v="Active"/>
    <x v="0"/>
    <x v="0"/>
    <x v="0"/>
  </r>
  <r>
    <n v="28"/>
    <s v="Yes"/>
    <s v="Travel_Frequently"/>
    <x v="0"/>
    <n v="2"/>
    <x v="0"/>
    <n v="2"/>
    <n v="1"/>
    <x v="0"/>
    <n v="1"/>
    <s v="Single"/>
    <n v="2561"/>
    <n v="7"/>
    <s v="No"/>
    <n v="11"/>
    <n v="3"/>
    <n v="0"/>
    <n v="8"/>
    <n v="2"/>
    <n v="0"/>
    <n v="0"/>
    <n v="0"/>
    <s v="12th"/>
    <d v="2021-02-20T00:00:00"/>
    <m/>
    <s v="Dept.Head"/>
    <x v="1"/>
    <n v="5"/>
    <n v="0"/>
    <s v="No"/>
    <s v="Job Event"/>
    <s v="FullTime"/>
    <n v="1"/>
    <s v="Active"/>
    <x v="0"/>
    <x v="0"/>
    <x v="0"/>
  </r>
  <r>
    <n v="33"/>
    <s v="No"/>
    <s v="Travel_Rarely"/>
    <x v="0"/>
    <n v="8"/>
    <x v="0"/>
    <n v="3"/>
    <n v="2"/>
    <x v="7"/>
    <n v="3"/>
    <s v="Single"/>
    <n v="6388"/>
    <n v="2"/>
    <s v="Yes"/>
    <n v="17"/>
    <n v="3"/>
    <n v="0"/>
    <n v="14"/>
    <n v="6"/>
    <n v="0"/>
    <n v="0"/>
    <n v="0"/>
    <s v="Graduation"/>
    <d v="2021-04-06T00:00:00"/>
    <m/>
    <s v="Work Accident"/>
    <x v="0"/>
    <n v="3"/>
    <n v="3"/>
    <s v="No"/>
    <s v="Job Portal"/>
    <s v="FullTime"/>
    <n v="0"/>
    <s v="Active"/>
    <x v="0"/>
    <x v="0"/>
    <x v="3"/>
  </r>
  <r>
    <n v="18"/>
    <s v="Yes"/>
    <s v="Travel_Frequently"/>
    <x v="1"/>
    <n v="3"/>
    <x v="1"/>
    <n v="3"/>
    <n v="1"/>
    <x v="3"/>
    <n v="4"/>
    <s v="Single"/>
    <n v="1569"/>
    <n v="1"/>
    <s v="Yes"/>
    <n v="12"/>
    <n v="3"/>
    <n v="0"/>
    <n v="0"/>
    <n v="2"/>
    <n v="0"/>
    <n v="0"/>
    <n v="0"/>
    <s v="12th"/>
    <d v="2021-01-29T00:00:00"/>
    <m/>
    <s v="Dept.Head"/>
    <x v="0"/>
    <n v="0"/>
    <n v="1"/>
    <s v="No"/>
    <s v="Recruiter"/>
    <s v="Part Time"/>
    <n v="1"/>
    <s v="Active"/>
    <x v="0"/>
    <x v="0"/>
    <x v="2"/>
  </r>
  <r>
    <n v="38"/>
    <s v="No"/>
    <s v="Travel_Rarely"/>
    <x v="0"/>
    <n v="4"/>
    <x v="1"/>
    <n v="3"/>
    <n v="1"/>
    <x v="0"/>
    <n v="3"/>
    <s v="Married"/>
    <n v="3306"/>
    <n v="7"/>
    <s v="No"/>
    <n v="19"/>
    <n v="3"/>
    <n v="1"/>
    <n v="7"/>
    <n v="5"/>
    <n v="0"/>
    <n v="0"/>
    <n v="0"/>
    <s v="Post-Graduation"/>
    <d v="2021-01-25T00:00:00"/>
    <m/>
    <s v="Dept.Head"/>
    <x v="0"/>
    <n v="2"/>
    <n v="3"/>
    <s v="Yes"/>
    <s v="Walk-in"/>
    <s v="FullTime"/>
    <n v="0"/>
    <s v="Active"/>
    <x v="0"/>
    <x v="0"/>
    <x v="0"/>
  </r>
  <r>
    <n v="32"/>
    <s v="Yes"/>
    <s v="Travel_Rarely"/>
    <x v="1"/>
    <n v="1"/>
    <x v="0"/>
    <n v="1"/>
    <n v="2"/>
    <x v="4"/>
    <n v="2"/>
    <s v="Single"/>
    <n v="6735"/>
    <n v="6"/>
    <s v="No"/>
    <n v="15"/>
    <n v="3"/>
    <n v="0"/>
    <n v="10"/>
    <n v="2"/>
    <n v="0"/>
    <n v="0"/>
    <n v="0"/>
    <s v="PHD"/>
    <d v="2021-06-17T00:00:00"/>
    <m/>
    <s v="Work Environment"/>
    <x v="1"/>
    <n v="1"/>
    <n v="1"/>
    <s v="Yes"/>
    <s v="Recruiter"/>
    <s v="FullTime"/>
    <n v="1"/>
    <s v="Active"/>
    <x v="0"/>
    <x v="0"/>
    <x v="2"/>
  </r>
  <r>
    <n v="33"/>
    <s v="Yes"/>
    <s v="Travel_Rarely"/>
    <x v="1"/>
    <n v="16"/>
    <x v="1"/>
    <n v="3"/>
    <n v="3"/>
    <x v="4"/>
    <n v="1"/>
    <s v="Single"/>
    <n v="8564"/>
    <n v="2"/>
    <s v="Yes"/>
    <n v="20"/>
    <n v="4"/>
    <n v="0"/>
    <n v="11"/>
    <n v="2"/>
    <n v="0"/>
    <n v="0"/>
    <n v="0"/>
    <s v="Post-Graduation"/>
    <d v="2021-01-07T00:00:00"/>
    <m/>
    <s v="Salary"/>
    <x v="0"/>
    <n v="5"/>
    <n v="1"/>
    <s v="No"/>
    <s v="Recruiter"/>
    <s v="Contract"/>
    <n v="1"/>
    <s v="Active"/>
    <x v="0"/>
    <x v="1"/>
    <x v="2"/>
  </r>
  <r>
    <n v="42"/>
    <s v="No"/>
    <s v="Travel_Rarely"/>
    <x v="0"/>
    <n v="13"/>
    <x v="0"/>
    <n v="4"/>
    <n v="2"/>
    <x v="7"/>
    <n v="1"/>
    <s v="Married"/>
    <n v="5538"/>
    <n v="5"/>
    <s v="No"/>
    <n v="18"/>
    <n v="3"/>
    <n v="2"/>
    <n v="10"/>
    <n v="2"/>
    <n v="0"/>
    <n v="0"/>
    <n v="0"/>
    <s v="Post-Graduation"/>
    <d v="2021-03-02T00:00:00"/>
    <m/>
    <s v="Work Accident"/>
    <x v="1"/>
    <n v="3"/>
    <n v="0"/>
    <s v="Yes"/>
    <s v="Job Event"/>
    <s v="Contract"/>
    <n v="0"/>
    <s v="Active"/>
    <x v="0"/>
    <x v="0"/>
    <x v="3"/>
  </r>
  <r>
    <n v="18"/>
    <s v="No"/>
    <s v="Non-Travel"/>
    <x v="0"/>
    <n v="14"/>
    <x v="1"/>
    <n v="3"/>
    <n v="1"/>
    <x v="1"/>
    <n v="3"/>
    <s v="Single"/>
    <n v="1514"/>
    <n v="1"/>
    <s v="No"/>
    <n v="16"/>
    <n v="3"/>
    <n v="0"/>
    <n v="0"/>
    <n v="4"/>
    <n v="0"/>
    <n v="0"/>
    <n v="0"/>
    <s v="Graduation"/>
    <d v="2021-03-23T00:00:00"/>
    <m/>
    <s v="Work Environment"/>
    <x v="1"/>
    <n v="4"/>
    <n v="3"/>
    <s v="No"/>
    <s v="Walk-in"/>
    <s v="Contract"/>
    <n v="0"/>
    <s v="Active"/>
    <x v="0"/>
    <x v="0"/>
    <x v="0"/>
  </r>
  <r>
    <n v="32"/>
    <s v="No"/>
    <s v="Travel_Frequently"/>
    <x v="1"/>
    <n v="10"/>
    <x v="0"/>
    <n v="3"/>
    <n v="2"/>
    <x v="4"/>
    <n v="4"/>
    <s v="Single"/>
    <n v="4648"/>
    <n v="8"/>
    <s v="No"/>
    <n v="13"/>
    <n v="3"/>
    <n v="0"/>
    <n v="4"/>
    <n v="2"/>
    <n v="0"/>
    <n v="0"/>
    <n v="0"/>
    <s v="Post-Graduation"/>
    <d v="2021-03-20T00:00:00"/>
    <m/>
    <s v="Work Environment"/>
    <x v="0"/>
    <n v="3"/>
    <n v="3"/>
    <s v="Yes"/>
    <s v="Walk-in"/>
    <s v="Contract"/>
    <n v="0"/>
    <s v="Active"/>
    <x v="0"/>
    <x v="0"/>
    <x v="2"/>
  </r>
  <r>
    <n v="42"/>
    <s v="No"/>
    <s v="Travel_Rarely"/>
    <x v="0"/>
    <n v="8"/>
    <x v="0"/>
    <n v="3"/>
    <n v="1"/>
    <x v="0"/>
    <n v="3"/>
    <s v="Single"/>
    <n v="3968"/>
    <n v="4"/>
    <s v="No"/>
    <n v="13"/>
    <n v="3"/>
    <n v="0"/>
    <n v="8"/>
    <n v="3"/>
    <n v="0"/>
    <n v="0"/>
    <n v="0"/>
    <s v="Graduation"/>
    <d v="2021-03-09T00:00:00"/>
    <m/>
    <s v="Better Opportunity"/>
    <x v="0"/>
    <n v="5"/>
    <n v="1"/>
    <s v="No"/>
    <s v="Job Portal"/>
    <s v="FullTime"/>
    <n v="0"/>
    <s v="Active"/>
    <x v="0"/>
    <x v="0"/>
    <x v="0"/>
  </r>
  <r>
    <n v="56"/>
    <s v="No"/>
    <s v="Travel_Rarely"/>
    <x v="1"/>
    <n v="11"/>
    <x v="1"/>
    <n v="2"/>
    <n v="2"/>
    <x v="4"/>
    <n v="1"/>
    <s v="Married"/>
    <n v="5380"/>
    <n v="4"/>
    <s v="No"/>
    <n v="16"/>
    <n v="3"/>
    <n v="1"/>
    <n v="6"/>
    <n v="3"/>
    <n v="0"/>
    <n v="0"/>
    <n v="0"/>
    <s v="PHD"/>
    <d v="2021-05-30T00:00:00"/>
    <m/>
    <s v="Better Opportunity"/>
    <x v="0"/>
    <n v="5"/>
    <n v="0"/>
    <s v="Yes"/>
    <s v="Recruiter"/>
    <s v="Contract"/>
    <n v="0"/>
    <s v="Active"/>
    <x v="0"/>
    <x v="0"/>
    <x v="2"/>
  </r>
  <r>
    <n v="42"/>
    <s v="No"/>
    <s v="Travel_Rarely"/>
    <x v="1"/>
    <n v="12"/>
    <x v="0"/>
    <n v="3"/>
    <n v="2"/>
    <x v="4"/>
    <n v="4"/>
    <s v="Divorced"/>
    <n v="5087"/>
    <n v="3"/>
    <s v="Yes"/>
    <n v="12"/>
    <n v="3"/>
    <n v="2"/>
    <n v="14"/>
    <n v="4"/>
    <n v="0"/>
    <n v="0"/>
    <n v="0"/>
    <s v="PHD"/>
    <d v="2021-02-12T00:00:00"/>
    <m/>
    <s v="Work Environment"/>
    <x v="0"/>
    <n v="1"/>
    <n v="2"/>
    <s v="No"/>
    <s v="Recruiter"/>
    <s v="Part Time"/>
    <n v="0"/>
    <s v="Active"/>
    <x v="0"/>
    <x v="0"/>
    <x v="2"/>
  </r>
  <r>
    <n v="59"/>
    <s v="No"/>
    <s v="Travel_Rarely"/>
    <x v="0"/>
    <n v="3"/>
    <x v="1"/>
    <n v="4"/>
    <n v="1"/>
    <x v="0"/>
    <n v="1"/>
    <s v="Married"/>
    <n v="2670"/>
    <n v="4"/>
    <s v="Yes"/>
    <n v="20"/>
    <n v="4"/>
    <n v="3"/>
    <n v="12"/>
    <n v="3"/>
    <n v="1"/>
    <n v="0"/>
    <n v="0"/>
    <s v="Post-Graduation"/>
    <d v="2020-05-10T00:00:00"/>
    <m/>
    <s v="Work Accident"/>
    <x v="0"/>
    <n v="2"/>
    <n v="1"/>
    <s v="Yes"/>
    <s v="Job Event"/>
    <s v="Contract"/>
    <n v="0"/>
    <s v="Active"/>
    <x v="0"/>
    <x v="0"/>
    <x v="0"/>
  </r>
  <r>
    <n v="30"/>
    <s v="No"/>
    <s v="Travel_Rarely"/>
    <x v="0"/>
    <n v="24"/>
    <x v="0"/>
    <n v="3"/>
    <n v="1"/>
    <x v="0"/>
    <n v="3"/>
    <s v="Divorced"/>
    <n v="2693"/>
    <n v="1"/>
    <s v="No"/>
    <n v="22"/>
    <n v="4"/>
    <n v="1"/>
    <n v="1"/>
    <n v="2"/>
    <n v="1"/>
    <n v="0"/>
    <n v="0"/>
    <s v="Graduation"/>
    <d v="2020-02-28T00:00:00"/>
    <m/>
    <s v="Work Accident"/>
    <x v="1"/>
    <n v="2"/>
    <n v="3"/>
    <s v="No"/>
    <s v="Walk-in"/>
    <s v="Part Time"/>
    <n v="0"/>
    <s v="Active"/>
    <x v="0"/>
    <x v="0"/>
    <x v="0"/>
  </r>
  <r>
    <n v="22"/>
    <s v="No"/>
    <s v="Non-Travel"/>
    <x v="0"/>
    <n v="16"/>
    <x v="0"/>
    <n v="4"/>
    <n v="1"/>
    <x v="0"/>
    <n v="4"/>
    <s v="Divorced"/>
    <n v="2935"/>
    <n v="1"/>
    <s v="Yes"/>
    <n v="13"/>
    <n v="3"/>
    <n v="2"/>
    <n v="1"/>
    <n v="2"/>
    <n v="1"/>
    <n v="0"/>
    <n v="0"/>
    <s v="PHD"/>
    <d v="2020-04-14T00:00:00"/>
    <m/>
    <s v="Salary"/>
    <x v="0"/>
    <n v="0"/>
    <n v="0"/>
    <s v="Yes"/>
    <s v="Walk-in"/>
    <s v="Contract"/>
    <n v="0"/>
    <s v="Active"/>
    <x v="0"/>
    <x v="0"/>
    <x v="0"/>
  </r>
  <r>
    <n v="33"/>
    <s v="No"/>
    <s v="Travel_Rarely"/>
    <x v="0"/>
    <n v="2"/>
    <x v="0"/>
    <n v="3"/>
    <n v="1"/>
    <x v="0"/>
    <n v="4"/>
    <s v="Single"/>
    <n v="2496"/>
    <n v="4"/>
    <s v="No"/>
    <n v="11"/>
    <n v="3"/>
    <n v="0"/>
    <n v="7"/>
    <n v="3"/>
    <n v="1"/>
    <n v="0"/>
    <n v="0"/>
    <s v="PHD"/>
    <d v="2020-06-03T00:00:00"/>
    <m/>
    <s v="Work Environment"/>
    <x v="0"/>
    <n v="1"/>
    <n v="0"/>
    <s v="Yes"/>
    <s v="Job Event"/>
    <s v="Contract"/>
    <n v="0"/>
    <s v="Active"/>
    <x v="0"/>
    <x v="0"/>
    <x v="0"/>
  </r>
  <r>
    <n v="39"/>
    <s v="Yes"/>
    <s v="Travel_Rarely"/>
    <x v="1"/>
    <n v="5"/>
    <x v="0"/>
    <n v="3"/>
    <n v="2"/>
    <x v="3"/>
    <n v="4"/>
    <s v="Married"/>
    <n v="2086"/>
    <n v="3"/>
    <s v="No"/>
    <n v="14"/>
    <n v="3"/>
    <n v="1"/>
    <n v="19"/>
    <n v="6"/>
    <n v="1"/>
    <n v="0"/>
    <n v="0"/>
    <s v="Post-Graduation"/>
    <d v="2020-04-27T00:00:00"/>
    <m/>
    <s v="Dept.Head"/>
    <x v="0"/>
    <n v="5"/>
    <n v="0"/>
    <s v="No"/>
    <s v="Recruiter"/>
    <s v="Contract"/>
    <n v="1"/>
    <s v="Active"/>
    <x v="0"/>
    <x v="0"/>
    <x v="2"/>
  </r>
  <r>
    <n v="36"/>
    <s v="No"/>
    <s v="Travel_Rarely"/>
    <x v="0"/>
    <n v="5"/>
    <x v="1"/>
    <n v="2"/>
    <n v="1"/>
    <x v="1"/>
    <n v="1"/>
    <s v="Married"/>
    <n v="3419"/>
    <n v="9"/>
    <s v="Yes"/>
    <n v="14"/>
    <n v="3"/>
    <n v="1"/>
    <n v="6"/>
    <n v="3"/>
    <n v="1"/>
    <n v="0"/>
    <n v="0"/>
    <s v="Graduation"/>
    <d v="2020-03-24T00:00:00"/>
    <m/>
    <s v="Work Environment"/>
    <x v="0"/>
    <n v="4"/>
    <n v="2"/>
    <s v="No"/>
    <s v="Recruiter"/>
    <s v="Part Time"/>
    <n v="0"/>
    <s v="Active"/>
    <x v="0"/>
    <x v="0"/>
    <x v="0"/>
  </r>
  <r>
    <n v="35"/>
    <s v="No"/>
    <s v="Travel_Rarely"/>
    <x v="0"/>
    <n v="4"/>
    <x v="0"/>
    <n v="3"/>
    <n v="1"/>
    <x v="0"/>
    <n v="4"/>
    <s v="Divorced"/>
    <n v="1951"/>
    <n v="1"/>
    <s v="No"/>
    <n v="12"/>
    <n v="3"/>
    <n v="1"/>
    <n v="1"/>
    <n v="3"/>
    <n v="1"/>
    <n v="0"/>
    <n v="0"/>
    <s v="Graduation"/>
    <d v="2020-06-14T00:00:00"/>
    <m/>
    <s v="Better Opportunity"/>
    <x v="1"/>
    <n v="0"/>
    <n v="3"/>
    <s v="No"/>
    <s v="Job Portal"/>
    <s v="FullTime"/>
    <n v="0"/>
    <s v="Active"/>
    <x v="0"/>
    <x v="0"/>
    <x v="0"/>
  </r>
  <r>
    <n v="27"/>
    <s v="No"/>
    <s v="Travel_Rarely"/>
    <x v="0"/>
    <n v="2"/>
    <x v="1"/>
    <n v="3"/>
    <n v="1"/>
    <x v="0"/>
    <n v="1"/>
    <s v="Divorced"/>
    <n v="2341"/>
    <n v="1"/>
    <s v="No"/>
    <n v="13"/>
    <n v="3"/>
    <n v="1"/>
    <n v="1"/>
    <n v="6"/>
    <n v="1"/>
    <n v="0"/>
    <n v="0"/>
    <s v="12th"/>
    <d v="2020-03-04T00:00:00"/>
    <m/>
    <s v="Better Opportunity"/>
    <x v="0"/>
    <n v="5"/>
    <n v="0"/>
    <s v="No"/>
    <s v="Job Event"/>
    <s v="Part Time"/>
    <n v="0"/>
    <s v="Active"/>
    <x v="0"/>
    <x v="0"/>
    <x v="0"/>
  </r>
  <r>
    <n v="26"/>
    <s v="Yes"/>
    <s v="Travel_Rarely"/>
    <x v="0"/>
    <n v="25"/>
    <x v="0"/>
    <n v="1"/>
    <n v="1"/>
    <x v="0"/>
    <n v="3"/>
    <s v="Single"/>
    <n v="2293"/>
    <n v="1"/>
    <s v="No"/>
    <n v="12"/>
    <n v="3"/>
    <n v="0"/>
    <n v="1"/>
    <n v="2"/>
    <n v="1"/>
    <n v="0"/>
    <n v="1"/>
    <s v="Post-Graduation"/>
    <d v="2020-01-15T00:00:00"/>
    <m/>
    <s v="Dept.Head"/>
    <x v="1"/>
    <n v="4"/>
    <n v="3"/>
    <s v="No"/>
    <s v="Job Portal"/>
    <s v="Part Time"/>
    <n v="1"/>
    <s v="Active"/>
    <x v="0"/>
    <x v="0"/>
    <x v="0"/>
  </r>
  <r>
    <n v="37"/>
    <s v="No"/>
    <s v="Travel_Rarely"/>
    <x v="0"/>
    <n v="19"/>
    <x v="0"/>
    <n v="3"/>
    <n v="1"/>
    <x v="1"/>
    <n v="2"/>
    <s v="Married"/>
    <n v="3022"/>
    <n v="4"/>
    <s v="No"/>
    <n v="21"/>
    <n v="4"/>
    <n v="0"/>
    <n v="8"/>
    <n v="1"/>
    <n v="1"/>
    <n v="0"/>
    <n v="0"/>
    <s v="PHD"/>
    <d v="2020-02-04T00:00:00"/>
    <m/>
    <s v="Work Environment"/>
    <x v="1"/>
    <n v="5"/>
    <n v="1"/>
    <s v="No"/>
    <s v="Job Event"/>
    <s v="Part Time"/>
    <n v="0"/>
    <s v="Active"/>
    <x v="0"/>
    <x v="0"/>
    <x v="0"/>
  </r>
  <r>
    <n v="35"/>
    <s v="No"/>
    <s v="Travel_Rarely"/>
    <x v="0"/>
    <n v="8"/>
    <x v="0"/>
    <n v="4"/>
    <n v="1"/>
    <x v="0"/>
    <n v="4"/>
    <s v="Married"/>
    <n v="2269"/>
    <n v="1"/>
    <s v="No"/>
    <n v="19"/>
    <n v="3"/>
    <n v="0"/>
    <n v="1"/>
    <n v="2"/>
    <n v="1"/>
    <n v="0"/>
    <n v="1"/>
    <s v="PHD"/>
    <d v="2020-04-21T00:00:00"/>
    <m/>
    <s v="Salary"/>
    <x v="0"/>
    <n v="2"/>
    <n v="2"/>
    <s v="Yes"/>
    <s v="Walk-in"/>
    <s v="FullTime"/>
    <n v="0"/>
    <s v="Active"/>
    <x v="0"/>
    <x v="0"/>
    <x v="0"/>
  </r>
  <r>
    <n v="48"/>
    <s v="Yes"/>
    <s v="Travel_Rarely"/>
    <x v="0"/>
    <n v="1"/>
    <x v="0"/>
    <n v="2"/>
    <n v="3"/>
    <x v="0"/>
    <n v="3"/>
    <s v="Single"/>
    <n v="5381"/>
    <n v="9"/>
    <s v="Yes"/>
    <n v="13"/>
    <n v="3"/>
    <n v="0"/>
    <n v="23"/>
    <n v="2"/>
    <n v="1"/>
    <n v="0"/>
    <n v="0"/>
    <s v="Graduation"/>
    <d v="2020-01-08T00:00:00"/>
    <m/>
    <s v="Work Accident"/>
    <x v="0"/>
    <n v="4"/>
    <n v="2"/>
    <s v="No"/>
    <s v="Recruiter"/>
    <s v="Contract"/>
    <n v="1"/>
    <s v="Active"/>
    <x v="0"/>
    <x v="0"/>
    <x v="0"/>
  </r>
  <r>
    <n v="45"/>
    <s v="No"/>
    <s v="Travel_Rarely"/>
    <x v="0"/>
    <n v="7"/>
    <x v="0"/>
    <n v="3"/>
    <n v="3"/>
    <x v="1"/>
    <n v="1"/>
    <s v="Divorced"/>
    <n v="9724"/>
    <n v="2"/>
    <s v="No"/>
    <n v="17"/>
    <n v="3"/>
    <n v="1"/>
    <n v="25"/>
    <n v="2"/>
    <n v="1"/>
    <n v="0"/>
    <n v="0"/>
    <s v="Graduation"/>
    <d v="2020-01-09T00:00:00"/>
    <m/>
    <s v="Work Environment"/>
    <x v="0"/>
    <n v="5"/>
    <n v="0"/>
    <s v="No"/>
    <s v="Job Portal"/>
    <s v="Part Time"/>
    <n v="0"/>
    <s v="Active"/>
    <x v="0"/>
    <x v="1"/>
    <x v="0"/>
  </r>
  <r>
    <n v="36"/>
    <s v="Yes"/>
    <s v="Travel_Rarely"/>
    <x v="0"/>
    <n v="9"/>
    <x v="0"/>
    <n v="2"/>
    <n v="1"/>
    <x v="1"/>
    <n v="3"/>
    <s v="Married"/>
    <n v="3388"/>
    <n v="0"/>
    <s v="Yes"/>
    <n v="17"/>
    <n v="3"/>
    <n v="1"/>
    <n v="2"/>
    <n v="0"/>
    <n v="1"/>
    <n v="0"/>
    <n v="0"/>
    <s v="Post-Graduation"/>
    <d v="2020-01-09T00:00:00"/>
    <m/>
    <s v="Work Accident"/>
    <x v="1"/>
    <n v="4"/>
    <n v="3"/>
    <s v="Yes"/>
    <s v="Job Event"/>
    <s v="FullTime"/>
    <n v="1"/>
    <s v="Active"/>
    <x v="0"/>
    <x v="0"/>
    <x v="0"/>
  </r>
  <r>
    <n v="31"/>
    <s v="No"/>
    <s v="Travel_Rarely"/>
    <x v="0"/>
    <n v="1"/>
    <x v="0"/>
    <n v="3"/>
    <n v="1"/>
    <x v="1"/>
    <n v="2"/>
    <s v="Single"/>
    <n v="2501"/>
    <n v="1"/>
    <s v="No"/>
    <n v="17"/>
    <n v="3"/>
    <n v="0"/>
    <n v="1"/>
    <n v="4"/>
    <n v="1"/>
    <n v="1"/>
    <n v="0"/>
    <s v="Graduation"/>
    <d v="2020-05-14T00:00:00"/>
    <m/>
    <s v="Salary"/>
    <x v="1"/>
    <n v="0"/>
    <n v="3"/>
    <s v="No"/>
    <s v="Recruiter"/>
    <s v="Contract"/>
    <n v="0"/>
    <s v="Active"/>
    <x v="0"/>
    <x v="0"/>
    <x v="0"/>
  </r>
  <r>
    <n v="36"/>
    <s v="No"/>
    <s v="Travel_Rarely"/>
    <x v="0"/>
    <n v="6"/>
    <x v="1"/>
    <n v="4"/>
    <n v="1"/>
    <x v="0"/>
    <n v="4"/>
    <s v="Married"/>
    <n v="3038"/>
    <n v="3"/>
    <s v="No"/>
    <n v="12"/>
    <n v="3"/>
    <n v="0"/>
    <n v="5"/>
    <n v="3"/>
    <n v="1"/>
    <n v="0"/>
    <n v="0"/>
    <s v="12th"/>
    <d v="2020-01-15T00:00:00"/>
    <m/>
    <s v="Dept.Head"/>
    <x v="0"/>
    <n v="3"/>
    <n v="1"/>
    <s v="Yes"/>
    <s v="Walk-in"/>
    <s v="Contract"/>
    <n v="0"/>
    <s v="Active"/>
    <x v="0"/>
    <x v="0"/>
    <x v="0"/>
  </r>
  <r>
    <n v="55"/>
    <s v="No"/>
    <s v="Travel_Rarely"/>
    <x v="1"/>
    <n v="1"/>
    <x v="0"/>
    <n v="3"/>
    <n v="3"/>
    <x v="4"/>
    <n v="4"/>
    <s v="Married"/>
    <n v="10239"/>
    <n v="3"/>
    <s v="No"/>
    <n v="14"/>
    <n v="3"/>
    <n v="1"/>
    <n v="24"/>
    <n v="4"/>
    <n v="1"/>
    <n v="1"/>
    <n v="0"/>
    <s v="PHD"/>
    <d v="2020-02-09T00:00:00"/>
    <m/>
    <s v="Work Environment"/>
    <x v="1"/>
    <n v="0"/>
    <n v="2"/>
    <s v="No"/>
    <s v="Job Portal"/>
    <s v="FullTime"/>
    <n v="0"/>
    <s v="Active"/>
    <x v="0"/>
    <x v="1"/>
    <x v="2"/>
  </r>
  <r>
    <n v="32"/>
    <s v="No"/>
    <s v="Travel_Rarely"/>
    <x v="0"/>
    <n v="1"/>
    <x v="0"/>
    <n v="3"/>
    <n v="1"/>
    <x v="1"/>
    <n v="1"/>
    <s v="Single"/>
    <n v="2956"/>
    <n v="1"/>
    <s v="No"/>
    <n v="13"/>
    <n v="3"/>
    <n v="0"/>
    <n v="1"/>
    <n v="2"/>
    <n v="1"/>
    <n v="0"/>
    <n v="0"/>
    <s v="12th"/>
    <d v="2020-02-20T00:00:00"/>
    <m/>
    <s v="Salary"/>
    <x v="1"/>
    <n v="4"/>
    <n v="1"/>
    <s v="Yes"/>
    <s v="Job Portal"/>
    <s v="FullTime"/>
    <n v="0"/>
    <s v="Active"/>
    <x v="0"/>
    <x v="0"/>
    <x v="0"/>
  </r>
  <r>
    <n v="20"/>
    <s v="Yes"/>
    <s v="Travel_Frequently"/>
    <x v="0"/>
    <n v="6"/>
    <x v="1"/>
    <n v="2"/>
    <n v="1"/>
    <x v="0"/>
    <n v="4"/>
    <s v="Single"/>
    <n v="2926"/>
    <n v="1"/>
    <s v="Yes"/>
    <n v="18"/>
    <n v="3"/>
    <n v="0"/>
    <n v="1"/>
    <n v="5"/>
    <n v="1"/>
    <n v="1"/>
    <n v="0"/>
    <s v="Graduation"/>
    <d v="2020-03-27T00:00:00"/>
    <m/>
    <s v="Dept.Head"/>
    <x v="1"/>
    <n v="3"/>
    <n v="3"/>
    <s v="No"/>
    <s v="Recruiter"/>
    <s v="Contract"/>
    <n v="1"/>
    <s v="Active"/>
    <x v="0"/>
    <x v="0"/>
    <x v="0"/>
  </r>
  <r>
    <n v="37"/>
    <s v="No"/>
    <s v="Non-Travel"/>
    <x v="0"/>
    <n v="2"/>
    <x v="0"/>
    <n v="2"/>
    <n v="2"/>
    <x v="7"/>
    <n v="4"/>
    <s v="Divorced"/>
    <n v="5163"/>
    <n v="5"/>
    <s v="No"/>
    <n v="14"/>
    <n v="3"/>
    <n v="1"/>
    <n v="17"/>
    <n v="2"/>
    <n v="1"/>
    <n v="0"/>
    <n v="0"/>
    <s v="12th"/>
    <d v="2020-01-24T00:00:00"/>
    <m/>
    <s v="Work Environment"/>
    <x v="1"/>
    <n v="3"/>
    <n v="0"/>
    <s v="No"/>
    <s v="Recruiter"/>
    <s v="Contract"/>
    <n v="0"/>
    <s v="Active"/>
    <x v="0"/>
    <x v="0"/>
    <x v="3"/>
  </r>
  <r>
    <n v="34"/>
    <s v="No"/>
    <s v="Travel_Rarely"/>
    <x v="0"/>
    <n v="6"/>
    <x v="1"/>
    <n v="2"/>
    <n v="2"/>
    <x v="1"/>
    <n v="2"/>
    <s v="Divorced"/>
    <n v="4505"/>
    <n v="6"/>
    <s v="No"/>
    <n v="15"/>
    <n v="3"/>
    <n v="1"/>
    <n v="12"/>
    <n v="3"/>
    <n v="1"/>
    <n v="0"/>
    <n v="0"/>
    <s v="12th"/>
    <d v="2020-06-16T00:00:00"/>
    <m/>
    <s v="Salary"/>
    <x v="1"/>
    <n v="5"/>
    <n v="2"/>
    <s v="Yes"/>
    <s v="Job Portal"/>
    <s v="Contract"/>
    <n v="0"/>
    <s v="Active"/>
    <x v="0"/>
    <x v="0"/>
    <x v="0"/>
  </r>
  <r>
    <n v="36"/>
    <s v="No"/>
    <s v="Travel_Rarely"/>
    <x v="0"/>
    <n v="3"/>
    <x v="1"/>
    <n v="3"/>
    <n v="1"/>
    <x v="0"/>
    <n v="4"/>
    <s v="Divorced"/>
    <n v="2835"/>
    <n v="5"/>
    <s v="No"/>
    <n v="22"/>
    <n v="4"/>
    <n v="1"/>
    <n v="7"/>
    <n v="2"/>
    <n v="1"/>
    <n v="0"/>
    <n v="0"/>
    <s v="Graduation"/>
    <d v="2020-03-29T00:00:00"/>
    <m/>
    <s v="Salary"/>
    <x v="0"/>
    <n v="5"/>
    <n v="2"/>
    <s v="No"/>
    <s v="Job Event"/>
    <s v="FullTime"/>
    <n v="0"/>
    <s v="Active"/>
    <x v="0"/>
    <x v="0"/>
    <x v="0"/>
  </r>
  <r>
    <n v="19"/>
    <s v="No"/>
    <s v="Travel_Rarely"/>
    <x v="0"/>
    <n v="3"/>
    <x v="1"/>
    <n v="3"/>
    <n v="1"/>
    <x v="0"/>
    <n v="2"/>
    <s v="Single"/>
    <n v="1483"/>
    <n v="1"/>
    <s v="No"/>
    <n v="14"/>
    <n v="3"/>
    <n v="0"/>
    <n v="1"/>
    <n v="3"/>
    <n v="1"/>
    <n v="0"/>
    <n v="0"/>
    <s v="12th"/>
    <d v="2020-03-22T00:00:00"/>
    <m/>
    <s v="Work Accident"/>
    <x v="0"/>
    <n v="0"/>
    <n v="0"/>
    <s v="No"/>
    <s v="Job Event"/>
    <s v="FullTime"/>
    <n v="0"/>
    <s v="Active"/>
    <x v="0"/>
    <x v="0"/>
    <x v="0"/>
  </r>
  <r>
    <n v="51"/>
    <s v="No"/>
    <s v="Travel_Rarely"/>
    <x v="0"/>
    <n v="7"/>
    <x v="0"/>
    <n v="2"/>
    <n v="2"/>
    <x v="6"/>
    <n v="3"/>
    <s v="Married"/>
    <n v="6132"/>
    <n v="2"/>
    <s v="No"/>
    <n v="17"/>
    <n v="3"/>
    <n v="0"/>
    <n v="10"/>
    <n v="2"/>
    <n v="1"/>
    <n v="0"/>
    <n v="0"/>
    <s v="Post-Graduation"/>
    <d v="2020-04-14T00:00:00"/>
    <m/>
    <s v="Work Environment"/>
    <x v="1"/>
    <n v="1"/>
    <n v="1"/>
    <s v="Yes"/>
    <s v="Job Event"/>
    <s v="Contract"/>
    <n v="0"/>
    <s v="Active"/>
    <x v="0"/>
    <x v="0"/>
    <x v="3"/>
  </r>
  <r>
    <n v="58"/>
    <s v="No"/>
    <s v="Travel_Rarely"/>
    <x v="0"/>
    <n v="9"/>
    <x v="1"/>
    <n v="2"/>
    <n v="1"/>
    <x v="1"/>
    <n v="2"/>
    <s v="Married"/>
    <n v="3346"/>
    <n v="4"/>
    <s v="Yes"/>
    <n v="20"/>
    <n v="4"/>
    <n v="1"/>
    <n v="9"/>
    <n v="3"/>
    <n v="1"/>
    <n v="0"/>
    <n v="0"/>
    <s v="Graduation"/>
    <d v="2020-05-10T00:00:00"/>
    <m/>
    <s v="Work Accident"/>
    <x v="1"/>
    <n v="3"/>
    <n v="0"/>
    <s v="No"/>
    <s v="Job Event"/>
    <s v="Contract"/>
    <n v="0"/>
    <s v="Active"/>
    <x v="0"/>
    <x v="0"/>
    <x v="0"/>
  </r>
  <r>
    <n v="27"/>
    <s v="No"/>
    <s v="Non-Travel"/>
    <x v="0"/>
    <n v="3"/>
    <x v="0"/>
    <n v="2"/>
    <n v="1"/>
    <x v="1"/>
    <n v="3"/>
    <s v="Divorced"/>
    <n v="2566"/>
    <n v="1"/>
    <s v="Yes"/>
    <n v="15"/>
    <n v="3"/>
    <n v="1"/>
    <n v="1"/>
    <n v="2"/>
    <n v="1"/>
    <n v="0"/>
    <n v="1"/>
    <s v="Post-Graduation"/>
    <d v="2020-03-10T00:00:00"/>
    <m/>
    <s v="Work Environment"/>
    <x v="1"/>
    <n v="5"/>
    <n v="1"/>
    <s v="Yes"/>
    <s v="Job Event"/>
    <s v="Contract"/>
    <n v="0"/>
    <s v="Active"/>
    <x v="0"/>
    <x v="0"/>
    <x v="0"/>
  </r>
  <r>
    <n v="19"/>
    <s v="Yes"/>
    <s v="Travel_Rarely"/>
    <x v="0"/>
    <n v="2"/>
    <x v="0"/>
    <n v="2"/>
    <n v="1"/>
    <x v="0"/>
    <n v="4"/>
    <s v="Single"/>
    <n v="1102"/>
    <n v="1"/>
    <s v="No"/>
    <n v="22"/>
    <n v="4"/>
    <n v="0"/>
    <n v="1"/>
    <n v="3"/>
    <n v="1"/>
    <n v="1"/>
    <n v="0"/>
    <s v="Post-Graduation"/>
    <d v="2020-04-04T00:00:00"/>
    <m/>
    <s v="Work Environment"/>
    <x v="0"/>
    <n v="0"/>
    <n v="1"/>
    <s v="No"/>
    <s v="Job Portal"/>
    <s v="Contract"/>
    <n v="1"/>
    <s v="Active"/>
    <x v="0"/>
    <x v="0"/>
    <x v="0"/>
  </r>
  <r>
    <n v="35"/>
    <s v="Yes"/>
    <s v="Travel_Rarely"/>
    <x v="0"/>
    <n v="23"/>
    <x v="0"/>
    <n v="2"/>
    <n v="2"/>
    <x v="6"/>
    <n v="3"/>
    <s v="Married"/>
    <n v="5916"/>
    <n v="3"/>
    <s v="Yes"/>
    <n v="13"/>
    <n v="3"/>
    <n v="0"/>
    <n v="8"/>
    <n v="1"/>
    <n v="1"/>
    <n v="0"/>
    <n v="1"/>
    <s v="PHD"/>
    <d v="2020-03-18T00:00:00"/>
    <m/>
    <s v="Salary"/>
    <x v="1"/>
    <n v="0"/>
    <n v="0"/>
    <s v="Yes"/>
    <s v="Recruiter"/>
    <s v="FullTime"/>
    <n v="1"/>
    <s v="Active"/>
    <x v="0"/>
    <x v="0"/>
    <x v="3"/>
  </r>
  <r>
    <n v="38"/>
    <s v="No"/>
    <s v="Travel_Rarely"/>
    <x v="0"/>
    <n v="2"/>
    <x v="0"/>
    <n v="3"/>
    <n v="2"/>
    <x v="6"/>
    <n v="3"/>
    <s v="Married"/>
    <n v="6553"/>
    <n v="9"/>
    <s v="No"/>
    <n v="14"/>
    <n v="3"/>
    <n v="0"/>
    <n v="14"/>
    <n v="3"/>
    <n v="1"/>
    <n v="0"/>
    <n v="0"/>
    <s v="Post-Graduation"/>
    <d v="2020-05-18T00:00:00"/>
    <m/>
    <s v="Better Opportunity"/>
    <x v="0"/>
    <n v="3"/>
    <n v="2"/>
    <s v="Yes"/>
    <s v="Job Event"/>
    <s v="FullTime"/>
    <n v="0"/>
    <s v="Active"/>
    <x v="0"/>
    <x v="0"/>
    <x v="3"/>
  </r>
  <r>
    <n v="38"/>
    <s v="Yes"/>
    <s v="Travel_Rarely"/>
    <x v="0"/>
    <n v="29"/>
    <x v="0"/>
    <n v="3"/>
    <n v="2"/>
    <x v="7"/>
    <n v="1"/>
    <s v="Married"/>
    <n v="6673"/>
    <n v="7"/>
    <s v="Yes"/>
    <n v="19"/>
    <n v="3"/>
    <n v="0"/>
    <n v="17"/>
    <n v="2"/>
    <n v="1"/>
    <n v="0"/>
    <n v="0"/>
    <s v="Post-Graduation"/>
    <d v="2020-01-05T00:00:00"/>
    <m/>
    <s v="Better Opportunity"/>
    <x v="0"/>
    <n v="3"/>
    <n v="2"/>
    <s v="No"/>
    <s v="Recruiter"/>
    <s v="Part Time"/>
    <n v="1"/>
    <s v="Active"/>
    <x v="0"/>
    <x v="0"/>
    <x v="3"/>
  </r>
  <r>
    <n v="41"/>
    <s v="No"/>
    <s v="Travel_Rarely"/>
    <x v="1"/>
    <n v="6"/>
    <x v="1"/>
    <n v="3"/>
    <n v="3"/>
    <x v="5"/>
    <n v="4"/>
    <s v="Single"/>
    <n v="13591"/>
    <n v="3"/>
    <s v="Yes"/>
    <n v="18"/>
    <n v="3"/>
    <n v="0"/>
    <n v="16"/>
    <n v="3"/>
    <n v="1"/>
    <n v="0"/>
    <n v="0"/>
    <s v="PHD"/>
    <d v="2020-05-16T00:00:00"/>
    <m/>
    <s v="Work Accident"/>
    <x v="1"/>
    <n v="5"/>
    <n v="1"/>
    <s v="Yes"/>
    <s v="Walk-in"/>
    <s v="Part Time"/>
    <n v="0"/>
    <s v="Active"/>
    <x v="0"/>
    <x v="1"/>
    <x v="1"/>
  </r>
  <r>
    <n v="59"/>
    <s v="No"/>
    <s v="Travel_Rarely"/>
    <x v="0"/>
    <n v="3"/>
    <x v="0"/>
    <n v="2"/>
    <n v="1"/>
    <x v="1"/>
    <n v="4"/>
    <s v="Married"/>
    <n v="2177"/>
    <n v="3"/>
    <s v="No"/>
    <n v="17"/>
    <n v="3"/>
    <n v="1"/>
    <n v="7"/>
    <n v="6"/>
    <n v="1"/>
    <n v="0"/>
    <n v="0"/>
    <s v="PHD"/>
    <d v="2020-05-17T00:00:00"/>
    <m/>
    <s v="Dept.Head"/>
    <x v="0"/>
    <n v="4"/>
    <n v="1"/>
    <s v="Yes"/>
    <s v="Recruiter"/>
    <s v="Contract"/>
    <n v="0"/>
    <s v="Active"/>
    <x v="0"/>
    <x v="0"/>
    <x v="0"/>
  </r>
  <r>
    <n v="41"/>
    <s v="No"/>
    <s v="Travel_Rarely"/>
    <x v="0"/>
    <n v="19"/>
    <x v="0"/>
    <n v="3"/>
    <n v="2"/>
    <x v="1"/>
    <n v="1"/>
    <s v="Divorced"/>
    <n v="3072"/>
    <n v="2"/>
    <s v="No"/>
    <n v="16"/>
    <n v="3"/>
    <n v="2"/>
    <n v="17"/>
    <n v="2"/>
    <n v="1"/>
    <n v="0"/>
    <n v="0"/>
    <s v="Graduation"/>
    <d v="2020-05-31T00:00:00"/>
    <m/>
    <s v="Dept.Head"/>
    <x v="1"/>
    <n v="0"/>
    <n v="1"/>
    <s v="Yes"/>
    <s v="Job Event"/>
    <s v="Part Time"/>
    <n v="0"/>
    <s v="Active"/>
    <x v="0"/>
    <x v="0"/>
    <x v="0"/>
  </r>
  <r>
    <n v="37"/>
    <s v="Yes"/>
    <s v="Travel_Frequently"/>
    <x v="0"/>
    <n v="10"/>
    <x v="0"/>
    <n v="3"/>
    <n v="3"/>
    <x v="6"/>
    <n v="3"/>
    <s v="Divorced"/>
    <n v="10048"/>
    <n v="6"/>
    <s v="No"/>
    <n v="11"/>
    <n v="3"/>
    <n v="2"/>
    <n v="17"/>
    <n v="5"/>
    <n v="1"/>
    <n v="0"/>
    <n v="0"/>
    <s v="Graduation"/>
    <d v="2020-05-29T00:00:00"/>
    <m/>
    <s v="Salary"/>
    <x v="1"/>
    <n v="0"/>
    <n v="1"/>
    <s v="Yes"/>
    <s v="Recruiter"/>
    <s v="Part Time"/>
    <n v="1"/>
    <s v="Active"/>
    <x v="0"/>
    <x v="1"/>
    <x v="3"/>
  </r>
  <r>
    <n v="51"/>
    <s v="No"/>
    <s v="Travel_Rarely"/>
    <x v="0"/>
    <n v="1"/>
    <x v="0"/>
    <n v="3"/>
    <n v="1"/>
    <x v="1"/>
    <n v="4"/>
    <s v="Married"/>
    <n v="2723"/>
    <n v="1"/>
    <s v="No"/>
    <n v="11"/>
    <n v="3"/>
    <n v="0"/>
    <n v="1"/>
    <n v="0"/>
    <n v="1"/>
    <n v="0"/>
    <n v="0"/>
    <s v="12th"/>
    <d v="2020-04-02T00:00:00"/>
    <m/>
    <s v="Better Opportunity"/>
    <x v="1"/>
    <n v="2"/>
    <n v="1"/>
    <s v="Yes"/>
    <s v="Recruiter"/>
    <s v="Part Time"/>
    <n v="0"/>
    <s v="Active"/>
    <x v="0"/>
    <x v="0"/>
    <x v="0"/>
  </r>
  <r>
    <n v="44"/>
    <s v="Yes"/>
    <s v="Travel_Frequently"/>
    <x v="0"/>
    <n v="24"/>
    <x v="0"/>
    <n v="3"/>
    <n v="1"/>
    <x v="0"/>
    <n v="3"/>
    <s v="Divorced"/>
    <n v="3161"/>
    <n v="3"/>
    <s v="Yes"/>
    <n v="22"/>
    <n v="4"/>
    <n v="1"/>
    <n v="19"/>
    <n v="0"/>
    <n v="1"/>
    <n v="0"/>
    <n v="0"/>
    <s v="Post-Graduation"/>
    <d v="2020-01-29T00:00:00"/>
    <m/>
    <s v="Work Accident"/>
    <x v="0"/>
    <n v="0"/>
    <n v="2"/>
    <s v="No"/>
    <s v="Recruiter"/>
    <s v="Contract"/>
    <n v="1"/>
    <s v="Active"/>
    <x v="0"/>
    <x v="0"/>
    <x v="0"/>
  </r>
  <r>
    <n v="36"/>
    <s v="No"/>
    <s v="Travel_Frequently"/>
    <x v="0"/>
    <n v="18"/>
    <x v="0"/>
    <n v="4"/>
    <n v="1"/>
    <x v="0"/>
    <n v="4"/>
    <s v="Married"/>
    <n v="3688"/>
    <n v="4"/>
    <s v="No"/>
    <n v="18"/>
    <n v="3"/>
    <n v="2"/>
    <n v="4"/>
    <n v="2"/>
    <n v="1"/>
    <n v="0"/>
    <n v="0"/>
    <s v="12th"/>
    <d v="2020-01-06T00:00:00"/>
    <m/>
    <s v="Better Opportunity"/>
    <x v="0"/>
    <n v="4"/>
    <n v="0"/>
    <s v="No"/>
    <s v="Recruiter"/>
    <s v="FullTime"/>
    <n v="0"/>
    <s v="Active"/>
    <x v="0"/>
    <x v="0"/>
    <x v="0"/>
  </r>
  <r>
    <n v="39"/>
    <s v="Yes"/>
    <s v="Travel_Rarely"/>
    <x v="1"/>
    <n v="3"/>
    <x v="1"/>
    <n v="3"/>
    <n v="2"/>
    <x v="4"/>
    <n v="3"/>
    <s v="Married"/>
    <n v="5238"/>
    <n v="4"/>
    <s v="Yes"/>
    <n v="18"/>
    <n v="3"/>
    <n v="0"/>
    <n v="12"/>
    <n v="3"/>
    <n v="1"/>
    <n v="0"/>
    <n v="0"/>
    <s v="PHD"/>
    <d v="2020-05-01T00:00:00"/>
    <m/>
    <s v="Work Accident"/>
    <x v="0"/>
    <n v="0"/>
    <n v="1"/>
    <s v="Yes"/>
    <s v="Job Event"/>
    <s v="FullTime"/>
    <n v="1"/>
    <s v="Active"/>
    <x v="0"/>
    <x v="0"/>
    <x v="2"/>
  </r>
  <r>
    <n v="43"/>
    <s v="No"/>
    <s v="Travel_Rarely"/>
    <x v="0"/>
    <n v="7"/>
    <x v="1"/>
    <n v="3"/>
    <n v="3"/>
    <x v="7"/>
    <n v="1"/>
    <s v="Married"/>
    <n v="9985"/>
    <n v="8"/>
    <s v="No"/>
    <n v="16"/>
    <n v="3"/>
    <n v="1"/>
    <n v="10"/>
    <n v="1"/>
    <n v="1"/>
    <n v="0"/>
    <n v="0"/>
    <s v="Graduation"/>
    <d v="2020-04-15T00:00:00"/>
    <m/>
    <s v="Dept.Head"/>
    <x v="1"/>
    <n v="1"/>
    <n v="3"/>
    <s v="No"/>
    <s v="Recruiter"/>
    <s v="FullTime"/>
    <n v="0"/>
    <s v="Active"/>
    <x v="0"/>
    <x v="1"/>
    <x v="3"/>
  </r>
  <r>
    <n v="42"/>
    <s v="No"/>
    <s v="Travel_Rarely"/>
    <x v="0"/>
    <n v="23"/>
    <x v="1"/>
    <n v="3"/>
    <n v="4"/>
    <x v="2"/>
    <n v="4"/>
    <s v="Single"/>
    <n v="15992"/>
    <n v="2"/>
    <s v="No"/>
    <n v="14"/>
    <n v="3"/>
    <n v="0"/>
    <n v="16"/>
    <n v="2"/>
    <n v="1"/>
    <n v="0"/>
    <n v="0"/>
    <s v="Graduation"/>
    <d v="2020-01-11T00:00:00"/>
    <m/>
    <s v="Work Accident"/>
    <x v="1"/>
    <n v="1"/>
    <n v="0"/>
    <s v="No"/>
    <s v="Job Event"/>
    <s v="FullTime"/>
    <n v="0"/>
    <s v="Active"/>
    <x v="0"/>
    <x v="1"/>
    <x v="1"/>
  </r>
  <r>
    <n v="42"/>
    <s v="No"/>
    <s v="Travel_Rarely"/>
    <x v="0"/>
    <n v="2"/>
    <x v="0"/>
    <n v="2"/>
    <n v="2"/>
    <x v="7"/>
    <n v="4"/>
    <s v="Single"/>
    <n v="6781"/>
    <n v="3"/>
    <s v="No"/>
    <n v="23"/>
    <n v="4"/>
    <n v="0"/>
    <n v="14"/>
    <n v="6"/>
    <n v="1"/>
    <n v="0"/>
    <n v="0"/>
    <s v="12th"/>
    <d v="2020-04-26T00:00:00"/>
    <m/>
    <s v="Work Accident"/>
    <x v="1"/>
    <n v="3"/>
    <n v="0"/>
    <s v="Yes"/>
    <s v="Job Event"/>
    <s v="Contract"/>
    <n v="0"/>
    <s v="Active"/>
    <x v="0"/>
    <x v="0"/>
    <x v="3"/>
  </r>
  <r>
    <n v="36"/>
    <s v="No"/>
    <s v="Non-Travel"/>
    <x v="1"/>
    <n v="1"/>
    <x v="1"/>
    <n v="3"/>
    <n v="2"/>
    <x v="4"/>
    <n v="4"/>
    <s v="Single"/>
    <n v="6653"/>
    <n v="4"/>
    <s v="No"/>
    <n v="15"/>
    <n v="3"/>
    <n v="0"/>
    <n v="7"/>
    <n v="6"/>
    <n v="1"/>
    <n v="0"/>
    <n v="0"/>
    <s v="Post-Graduation"/>
    <d v="2020-04-26T00:00:00"/>
    <m/>
    <s v="Work Environment"/>
    <x v="1"/>
    <n v="3"/>
    <n v="0"/>
    <s v="No"/>
    <s v="Recruiter"/>
    <s v="Contract"/>
    <n v="0"/>
    <s v="Active"/>
    <x v="0"/>
    <x v="0"/>
    <x v="2"/>
  </r>
  <r>
    <n v="33"/>
    <s v="Yes"/>
    <s v="Travel_Rarely"/>
    <x v="1"/>
    <n v="5"/>
    <x v="1"/>
    <n v="3"/>
    <n v="1"/>
    <x v="3"/>
    <n v="3"/>
    <s v="Single"/>
    <n v="2851"/>
    <n v="1"/>
    <s v="Yes"/>
    <n v="13"/>
    <n v="3"/>
    <n v="0"/>
    <n v="1"/>
    <n v="2"/>
    <n v="1"/>
    <n v="0"/>
    <n v="0"/>
    <s v="PHD"/>
    <d v="2020-02-23T00:00:00"/>
    <m/>
    <s v="Work Environment"/>
    <x v="0"/>
    <n v="0"/>
    <n v="1"/>
    <s v="No"/>
    <s v="Recruiter"/>
    <s v="Contract"/>
    <n v="1"/>
    <s v="Active"/>
    <x v="0"/>
    <x v="0"/>
    <x v="2"/>
  </r>
  <r>
    <n v="46"/>
    <s v="No"/>
    <s v="Non-Travel"/>
    <x v="0"/>
    <n v="7"/>
    <x v="1"/>
    <n v="3"/>
    <n v="2"/>
    <x v="6"/>
    <n v="3"/>
    <s v="Married"/>
    <n v="5258"/>
    <n v="2"/>
    <s v="No"/>
    <n v="14"/>
    <n v="3"/>
    <n v="0"/>
    <n v="7"/>
    <n v="2"/>
    <n v="1"/>
    <n v="0"/>
    <n v="0"/>
    <s v="Graduation"/>
    <d v="2020-05-21T00:00:00"/>
    <m/>
    <s v="Better Opportunity"/>
    <x v="1"/>
    <n v="1"/>
    <n v="3"/>
    <s v="No"/>
    <s v="Walk-in"/>
    <s v="Contract"/>
    <n v="0"/>
    <s v="Active"/>
    <x v="0"/>
    <x v="0"/>
    <x v="3"/>
  </r>
  <r>
    <n v="21"/>
    <s v="Yes"/>
    <s v="Travel_Rarely"/>
    <x v="1"/>
    <n v="12"/>
    <x v="1"/>
    <n v="4"/>
    <n v="1"/>
    <x v="3"/>
    <n v="2"/>
    <s v="Single"/>
    <n v="2716"/>
    <n v="1"/>
    <s v="No"/>
    <n v="15"/>
    <n v="3"/>
    <n v="0"/>
    <n v="1"/>
    <n v="0"/>
    <n v="1"/>
    <n v="0"/>
    <n v="0"/>
    <s v="12th"/>
    <d v="2020-05-19T00:00:00"/>
    <m/>
    <s v="Salary"/>
    <x v="1"/>
    <n v="1"/>
    <n v="1"/>
    <s v="Yes"/>
    <s v="Recruiter"/>
    <s v="Part Time"/>
    <n v="1"/>
    <s v="Active"/>
    <x v="0"/>
    <x v="0"/>
    <x v="2"/>
  </r>
  <r>
    <n v="35"/>
    <s v="No"/>
    <s v="Travel_Rarely"/>
    <x v="0"/>
    <n v="9"/>
    <x v="0"/>
    <n v="2"/>
    <n v="2"/>
    <x v="7"/>
    <n v="2"/>
    <s v="Single"/>
    <n v="6540"/>
    <n v="9"/>
    <s v="No"/>
    <n v="19"/>
    <n v="3"/>
    <n v="0"/>
    <n v="10"/>
    <n v="5"/>
    <n v="1"/>
    <n v="0"/>
    <n v="0"/>
    <s v="Post-Graduation"/>
    <d v="2020-04-12T00:00:00"/>
    <m/>
    <s v="Work Accident"/>
    <x v="0"/>
    <n v="1"/>
    <n v="2"/>
    <s v="No"/>
    <s v="Job Event"/>
    <s v="FullTime"/>
    <n v="0"/>
    <s v="Active"/>
    <x v="0"/>
    <x v="0"/>
    <x v="3"/>
  </r>
  <r>
    <n v="30"/>
    <s v="No"/>
    <s v="Travel_Rarely"/>
    <x v="1"/>
    <n v="2"/>
    <x v="0"/>
    <n v="3"/>
    <n v="1"/>
    <x v="3"/>
    <n v="2"/>
    <s v="Married"/>
    <n v="2476"/>
    <n v="1"/>
    <s v="No"/>
    <n v="18"/>
    <n v="3"/>
    <n v="1"/>
    <n v="1"/>
    <n v="3"/>
    <n v="1"/>
    <n v="0"/>
    <n v="0"/>
    <s v="PHD"/>
    <d v="2020-02-10T00:00:00"/>
    <m/>
    <s v="Dept.Head"/>
    <x v="1"/>
    <n v="4"/>
    <n v="2"/>
    <s v="No"/>
    <s v="Job Event"/>
    <s v="FullTime"/>
    <n v="0"/>
    <s v="Active"/>
    <x v="0"/>
    <x v="0"/>
    <x v="2"/>
  </r>
  <r>
    <n v="30"/>
    <s v="Yes"/>
    <s v="Travel_Frequently"/>
    <x v="0"/>
    <n v="4"/>
    <x v="0"/>
    <n v="3"/>
    <n v="1"/>
    <x v="1"/>
    <n v="4"/>
    <s v="Single"/>
    <n v="2285"/>
    <n v="9"/>
    <s v="Yes"/>
    <n v="23"/>
    <n v="4"/>
    <n v="0"/>
    <n v="3"/>
    <n v="4"/>
    <n v="1"/>
    <n v="0"/>
    <n v="0"/>
    <s v="12th"/>
    <d v="2020-02-07T00:00:00"/>
    <m/>
    <s v="Work Accident"/>
    <x v="1"/>
    <n v="4"/>
    <n v="1"/>
    <s v="Yes"/>
    <s v="Job Event"/>
    <s v="FullTime"/>
    <n v="1"/>
    <s v="Active"/>
    <x v="0"/>
    <x v="0"/>
    <x v="0"/>
  </r>
  <r>
    <n v="37"/>
    <s v="No"/>
    <s v="Travel_Rarely"/>
    <x v="0"/>
    <n v="10"/>
    <x v="0"/>
    <n v="3"/>
    <n v="2"/>
    <x v="6"/>
    <n v="2"/>
    <s v="Single"/>
    <n v="4197"/>
    <n v="2"/>
    <s v="Yes"/>
    <n v="12"/>
    <n v="3"/>
    <n v="0"/>
    <n v="18"/>
    <n v="2"/>
    <n v="1"/>
    <n v="0"/>
    <n v="1"/>
    <s v="Graduation"/>
    <d v="2020-05-12T00:00:00"/>
    <m/>
    <s v="Work Accident"/>
    <x v="0"/>
    <n v="3"/>
    <n v="3"/>
    <s v="No"/>
    <s v="Job Event"/>
    <s v="FullTime"/>
    <n v="0"/>
    <s v="Active"/>
    <x v="0"/>
    <x v="0"/>
    <x v="3"/>
  </r>
  <r>
    <n v="40"/>
    <s v="No"/>
    <s v="Travel_Rarely"/>
    <x v="0"/>
    <n v="2"/>
    <x v="1"/>
    <n v="2"/>
    <n v="2"/>
    <x v="0"/>
    <n v="3"/>
    <s v="Married"/>
    <n v="3448"/>
    <n v="6"/>
    <s v="No"/>
    <n v="22"/>
    <n v="4"/>
    <n v="1"/>
    <n v="20"/>
    <n v="3"/>
    <n v="1"/>
    <n v="0"/>
    <n v="0"/>
    <s v="Graduation"/>
    <d v="2020-03-02T00:00:00"/>
    <m/>
    <s v="Salary"/>
    <x v="1"/>
    <n v="5"/>
    <n v="1"/>
    <s v="No"/>
    <s v="Recruiter"/>
    <s v="Contract"/>
    <n v="0"/>
    <s v="Active"/>
    <x v="0"/>
    <x v="0"/>
    <x v="0"/>
  </r>
  <r>
    <n v="38"/>
    <s v="No"/>
    <s v="Travel_Frequently"/>
    <x v="0"/>
    <n v="2"/>
    <x v="0"/>
    <n v="3"/>
    <n v="1"/>
    <x v="0"/>
    <n v="4"/>
    <s v="Married"/>
    <n v="1702"/>
    <n v="1"/>
    <s v="Yes"/>
    <n v="23"/>
    <n v="4"/>
    <n v="1"/>
    <n v="1"/>
    <n v="3"/>
    <n v="1"/>
    <n v="0"/>
    <n v="0"/>
    <s v="12th"/>
    <d v="2020-04-21T00:00:00"/>
    <m/>
    <s v="Salary"/>
    <x v="1"/>
    <n v="5"/>
    <n v="2"/>
    <s v="No"/>
    <s v="Recruiter"/>
    <s v="FullTime"/>
    <n v="0"/>
    <s v="Active"/>
    <x v="0"/>
    <x v="0"/>
    <x v="0"/>
  </r>
  <r>
    <n v="19"/>
    <s v="Yes"/>
    <s v="Travel_Rarely"/>
    <x v="2"/>
    <n v="2"/>
    <x v="0"/>
    <n v="2"/>
    <n v="1"/>
    <x v="8"/>
    <n v="4"/>
    <s v="Single"/>
    <n v="2564"/>
    <n v="1"/>
    <s v="No"/>
    <n v="12"/>
    <n v="3"/>
    <n v="0"/>
    <n v="1"/>
    <n v="3"/>
    <n v="1"/>
    <n v="0"/>
    <n v="0"/>
    <s v="Post-Graduation"/>
    <d v="2020-01-21T00:00:00"/>
    <m/>
    <s v="Work Accident"/>
    <x v="1"/>
    <n v="0"/>
    <n v="0"/>
    <s v="Yes"/>
    <s v="Walk-in"/>
    <s v="FullTime"/>
    <n v="1"/>
    <s v="Active"/>
    <x v="0"/>
    <x v="0"/>
    <x v="4"/>
  </r>
  <r>
    <n v="57"/>
    <s v="No"/>
    <s v="Travel_Rarely"/>
    <x v="1"/>
    <n v="29"/>
    <x v="0"/>
    <n v="2"/>
    <n v="4"/>
    <x v="5"/>
    <n v="4"/>
    <s v="Divorced"/>
    <n v="14118"/>
    <n v="3"/>
    <s v="No"/>
    <n v="12"/>
    <n v="3"/>
    <n v="1"/>
    <n v="32"/>
    <n v="3"/>
    <n v="1"/>
    <n v="0"/>
    <n v="0"/>
    <s v="Post-Graduation"/>
    <d v="2020-02-22T00:00:00"/>
    <m/>
    <s v="Work Accident"/>
    <x v="1"/>
    <n v="2"/>
    <n v="3"/>
    <s v="No"/>
    <s v="Walk-in"/>
    <s v="Contract"/>
    <n v="0"/>
    <s v="Active"/>
    <x v="0"/>
    <x v="1"/>
    <x v="1"/>
  </r>
  <r>
    <n v="54"/>
    <s v="No"/>
    <s v="Travel_Rarely"/>
    <x v="0"/>
    <n v="8"/>
    <x v="1"/>
    <n v="3"/>
    <n v="2"/>
    <x v="0"/>
    <n v="3"/>
    <s v="Single"/>
    <n v="3780"/>
    <n v="7"/>
    <s v="No"/>
    <n v="11"/>
    <n v="3"/>
    <n v="0"/>
    <n v="19"/>
    <n v="3"/>
    <n v="1"/>
    <n v="0"/>
    <n v="0"/>
    <s v="Graduation"/>
    <d v="2020-02-17T00:00:00"/>
    <m/>
    <s v="Better Opportunity"/>
    <x v="1"/>
    <n v="0"/>
    <n v="3"/>
    <s v="No"/>
    <s v="Job Event"/>
    <s v="FullTime"/>
    <n v="0"/>
    <s v="Active"/>
    <x v="0"/>
    <x v="0"/>
    <x v="0"/>
  </r>
  <r>
    <n v="31"/>
    <s v="Yes"/>
    <s v="Travel_Frequently"/>
    <x v="0"/>
    <n v="20"/>
    <x v="0"/>
    <n v="3"/>
    <n v="3"/>
    <x v="7"/>
    <n v="3"/>
    <s v="Married"/>
    <n v="9824"/>
    <n v="3"/>
    <s v="No"/>
    <n v="12"/>
    <n v="3"/>
    <n v="0"/>
    <n v="12"/>
    <n v="2"/>
    <n v="1"/>
    <n v="0"/>
    <n v="0"/>
    <s v="Graduation"/>
    <d v="2020-04-12T00:00:00"/>
    <m/>
    <s v="Salary"/>
    <x v="1"/>
    <n v="4"/>
    <n v="0"/>
    <s v="Yes"/>
    <s v="Job Portal"/>
    <s v="FullTime"/>
    <n v="1"/>
    <s v="Active"/>
    <x v="0"/>
    <x v="1"/>
    <x v="3"/>
  </r>
  <r>
    <n v="40"/>
    <s v="No"/>
    <s v="Non-Travel"/>
    <x v="1"/>
    <n v="28"/>
    <x v="0"/>
    <n v="1"/>
    <n v="3"/>
    <x v="4"/>
    <n v="1"/>
    <s v="Divorced"/>
    <n v="10932"/>
    <n v="3"/>
    <s v="No"/>
    <n v="15"/>
    <n v="3"/>
    <n v="1"/>
    <n v="20"/>
    <n v="2"/>
    <n v="1"/>
    <n v="0"/>
    <n v="1"/>
    <s v="PHD"/>
    <d v="2020-06-26T00:00:00"/>
    <m/>
    <s v="Dept.Head"/>
    <x v="1"/>
    <n v="3"/>
    <n v="3"/>
    <s v="No"/>
    <s v="Walk-in"/>
    <s v="FullTime"/>
    <n v="0"/>
    <s v="Active"/>
    <x v="0"/>
    <x v="1"/>
    <x v="2"/>
  </r>
  <r>
    <n v="26"/>
    <s v="Yes"/>
    <s v="Travel_Rarely"/>
    <x v="0"/>
    <n v="24"/>
    <x v="0"/>
    <n v="1"/>
    <n v="1"/>
    <x v="0"/>
    <n v="4"/>
    <s v="Single"/>
    <n v="2340"/>
    <n v="1"/>
    <s v="Yes"/>
    <n v="18"/>
    <n v="3"/>
    <n v="0"/>
    <n v="1"/>
    <n v="3"/>
    <n v="1"/>
    <n v="0"/>
    <n v="0"/>
    <s v="12th"/>
    <d v="2020-04-30T00:00:00"/>
    <m/>
    <s v="Salary"/>
    <x v="1"/>
    <n v="2"/>
    <n v="2"/>
    <s v="No"/>
    <s v="Job Portal"/>
    <s v="Contract"/>
    <n v="1"/>
    <s v="Active"/>
    <x v="0"/>
    <x v="0"/>
    <x v="0"/>
  </r>
  <r>
    <n v="38"/>
    <s v="No"/>
    <s v="Travel_Rarely"/>
    <x v="0"/>
    <n v="10"/>
    <x v="1"/>
    <n v="3"/>
    <n v="2"/>
    <x v="7"/>
    <n v="3"/>
    <s v="Married"/>
    <n v="9824"/>
    <n v="3"/>
    <s v="No"/>
    <n v="19"/>
    <n v="3"/>
    <n v="1"/>
    <n v="18"/>
    <n v="4"/>
    <n v="1"/>
    <n v="0"/>
    <n v="0"/>
    <s v="12th"/>
    <d v="2020-03-04T00:00:00"/>
    <m/>
    <s v="Salary"/>
    <x v="1"/>
    <n v="0"/>
    <n v="3"/>
    <s v="No"/>
    <s v="Walk-in"/>
    <s v="Contract"/>
    <n v="0"/>
    <s v="Active"/>
    <x v="0"/>
    <x v="1"/>
    <x v="3"/>
  </r>
  <r>
    <n v="24"/>
    <s v="No"/>
    <s v="Travel_Rarely"/>
    <x v="0"/>
    <n v="17"/>
    <x v="0"/>
    <n v="2"/>
    <n v="1"/>
    <x v="0"/>
    <n v="2"/>
    <s v="Married"/>
    <n v="2127"/>
    <n v="1"/>
    <s v="No"/>
    <n v="21"/>
    <n v="4"/>
    <n v="1"/>
    <n v="1"/>
    <n v="2"/>
    <n v="1"/>
    <n v="0"/>
    <n v="0"/>
    <s v="PHD"/>
    <d v="2020-02-25T00:00:00"/>
    <m/>
    <s v="Work Accident"/>
    <x v="0"/>
    <n v="5"/>
    <n v="3"/>
    <s v="Yes"/>
    <s v="Job Portal"/>
    <s v="FullTime"/>
    <n v="0"/>
    <s v="Active"/>
    <x v="0"/>
    <x v="0"/>
    <x v="0"/>
  </r>
  <r>
    <n v="30"/>
    <s v="Yes"/>
    <s v="Travel_Frequently"/>
    <x v="1"/>
    <n v="12"/>
    <x v="0"/>
    <n v="2"/>
    <n v="1"/>
    <x v="3"/>
    <n v="1"/>
    <s v="Married"/>
    <n v="2033"/>
    <n v="1"/>
    <s v="No"/>
    <n v="18"/>
    <n v="3"/>
    <n v="1"/>
    <n v="1"/>
    <n v="2"/>
    <n v="1"/>
    <n v="0"/>
    <n v="0"/>
    <s v="Graduation"/>
    <d v="2020-01-21T00:00:00"/>
    <m/>
    <s v="Salary"/>
    <x v="1"/>
    <n v="4"/>
    <n v="3"/>
    <s v="Yes"/>
    <s v="Job Event"/>
    <s v="Contract"/>
    <n v="1"/>
    <s v="Active"/>
    <x v="0"/>
    <x v="0"/>
    <x v="2"/>
  </r>
  <r>
    <n v="20"/>
    <s v="No"/>
    <s v="Travel_Rarely"/>
    <x v="0"/>
    <n v="1"/>
    <x v="1"/>
    <n v="2"/>
    <n v="1"/>
    <x v="1"/>
    <n v="2"/>
    <s v="Single"/>
    <n v="2836"/>
    <n v="1"/>
    <s v="No"/>
    <n v="13"/>
    <n v="3"/>
    <n v="0"/>
    <n v="1"/>
    <n v="0"/>
    <n v="1"/>
    <n v="0"/>
    <n v="0"/>
    <s v="12th"/>
    <d v="2020-05-08T00:00:00"/>
    <m/>
    <s v="Salary"/>
    <x v="1"/>
    <n v="0"/>
    <n v="2"/>
    <s v="No"/>
    <s v="Job Portal"/>
    <s v="Part Time"/>
    <n v="0"/>
    <s v="Active"/>
    <x v="0"/>
    <x v="0"/>
    <x v="0"/>
  </r>
  <r>
    <n v="43"/>
    <s v="No"/>
    <s v="Travel_Rarely"/>
    <x v="0"/>
    <n v="6"/>
    <x v="0"/>
    <n v="2"/>
    <n v="4"/>
    <x v="2"/>
    <n v="4"/>
    <s v="Divorced"/>
    <n v="16627"/>
    <n v="4"/>
    <s v="Yes"/>
    <n v="14"/>
    <n v="3"/>
    <n v="1"/>
    <n v="21"/>
    <n v="3"/>
    <n v="1"/>
    <n v="0"/>
    <n v="0"/>
    <s v="12th"/>
    <d v="2020-02-13T00:00:00"/>
    <m/>
    <s v="Dept.Head"/>
    <x v="1"/>
    <n v="4"/>
    <n v="3"/>
    <s v="No"/>
    <s v="Job Event"/>
    <s v="Contract"/>
    <n v="0"/>
    <s v="Active"/>
    <x v="0"/>
    <x v="1"/>
    <x v="1"/>
  </r>
  <r>
    <n v="30"/>
    <s v="No"/>
    <s v="Travel_Frequently"/>
    <x v="0"/>
    <n v="3"/>
    <x v="1"/>
    <n v="3"/>
    <n v="1"/>
    <x v="1"/>
    <n v="3"/>
    <s v="Divorced"/>
    <n v="2083"/>
    <n v="1"/>
    <s v="No"/>
    <n v="20"/>
    <n v="4"/>
    <n v="1"/>
    <n v="1"/>
    <n v="2"/>
    <n v="1"/>
    <n v="0"/>
    <n v="0"/>
    <s v="Graduation"/>
    <d v="2020-05-28T00:00:00"/>
    <m/>
    <s v="Work Environment"/>
    <x v="1"/>
    <n v="4"/>
    <n v="0"/>
    <s v="Yes"/>
    <s v="Walk-in"/>
    <s v="FullTime"/>
    <n v="0"/>
    <s v="Active"/>
    <x v="0"/>
    <x v="0"/>
    <x v="0"/>
  </r>
  <r>
    <n v="45"/>
    <s v="Yes"/>
    <s v="Travel_Frequently"/>
    <x v="1"/>
    <n v="26"/>
    <x v="1"/>
    <n v="3"/>
    <n v="2"/>
    <x v="4"/>
    <n v="1"/>
    <s v="Married"/>
    <n v="4286"/>
    <n v="2"/>
    <s v="No"/>
    <n v="14"/>
    <n v="3"/>
    <n v="2"/>
    <n v="5"/>
    <n v="4"/>
    <n v="1"/>
    <n v="0"/>
    <n v="0"/>
    <s v="Post-Graduation"/>
    <d v="2020-01-30T00:00:00"/>
    <m/>
    <s v="Dept.Head"/>
    <x v="0"/>
    <n v="0"/>
    <n v="3"/>
    <s v="Yes"/>
    <s v="Job Portal"/>
    <s v="Contract"/>
    <n v="1"/>
    <s v="Active"/>
    <x v="0"/>
    <x v="0"/>
    <x v="2"/>
  </r>
  <r>
    <n v="20"/>
    <s v="Yes"/>
    <s v="Travel_Rarely"/>
    <x v="0"/>
    <n v="10"/>
    <x v="0"/>
    <n v="3"/>
    <n v="1"/>
    <x v="1"/>
    <n v="3"/>
    <s v="Single"/>
    <n v="1009"/>
    <n v="1"/>
    <s v="Yes"/>
    <n v="11"/>
    <n v="3"/>
    <n v="0"/>
    <n v="1"/>
    <n v="5"/>
    <n v="1"/>
    <n v="1"/>
    <n v="1"/>
    <s v="Graduation"/>
    <d v="2020-06-09T00:00:00"/>
    <m/>
    <s v="Salary"/>
    <x v="0"/>
    <n v="1"/>
    <n v="3"/>
    <s v="No"/>
    <s v="Job Portal"/>
    <s v="FullTime"/>
    <n v="1"/>
    <s v="Active"/>
    <x v="0"/>
    <x v="0"/>
    <x v="0"/>
  </r>
  <r>
    <n v="35"/>
    <s v="No"/>
    <s v="Non-Travel"/>
    <x v="0"/>
    <n v="3"/>
    <x v="0"/>
    <n v="2"/>
    <n v="1"/>
    <x v="0"/>
    <n v="3"/>
    <s v="Married"/>
    <n v="1281"/>
    <n v="1"/>
    <s v="No"/>
    <n v="18"/>
    <n v="3"/>
    <n v="2"/>
    <n v="1"/>
    <n v="3"/>
    <n v="1"/>
    <n v="0"/>
    <n v="0"/>
    <s v="Graduation"/>
    <d v="2020-05-24T00:00:00"/>
    <m/>
    <s v="Salary"/>
    <x v="1"/>
    <n v="0"/>
    <n v="1"/>
    <s v="Yes"/>
    <s v="Job Event"/>
    <s v="FullTime"/>
    <n v="0"/>
    <s v="Active"/>
    <x v="0"/>
    <x v="0"/>
    <x v="0"/>
  </r>
  <r>
    <n v="37"/>
    <s v="No"/>
    <s v="Travel_Rarely"/>
    <x v="0"/>
    <n v="10"/>
    <x v="0"/>
    <n v="4"/>
    <n v="1"/>
    <x v="1"/>
    <n v="4"/>
    <s v="Single"/>
    <n v="4680"/>
    <n v="3"/>
    <s v="No"/>
    <n v="17"/>
    <n v="3"/>
    <n v="0"/>
    <n v="4"/>
    <n v="2"/>
    <n v="1"/>
    <n v="0"/>
    <n v="0"/>
    <s v="Graduation"/>
    <d v="2020-04-04T00:00:00"/>
    <m/>
    <s v="Work Accident"/>
    <x v="1"/>
    <n v="5"/>
    <n v="3"/>
    <s v="Yes"/>
    <s v="Recruiter"/>
    <s v="FullTime"/>
    <n v="0"/>
    <s v="Active"/>
    <x v="0"/>
    <x v="0"/>
    <x v="0"/>
  </r>
  <r>
    <n v="38"/>
    <s v="No"/>
    <s v="Travel_Rarely"/>
    <x v="0"/>
    <n v="1"/>
    <x v="1"/>
    <n v="3"/>
    <n v="3"/>
    <x v="6"/>
    <n v="3"/>
    <s v="Single"/>
    <n v="7861"/>
    <n v="4"/>
    <s v="Yes"/>
    <n v="14"/>
    <n v="3"/>
    <n v="0"/>
    <n v="10"/>
    <n v="4"/>
    <n v="1"/>
    <n v="0"/>
    <n v="0"/>
    <s v="Post-Graduation"/>
    <d v="2020-06-12T00:00:00"/>
    <m/>
    <s v="Better Opportunity"/>
    <x v="0"/>
    <n v="4"/>
    <n v="2"/>
    <s v="No"/>
    <s v="Job Event"/>
    <s v="Contract"/>
    <n v="0"/>
    <s v="Active"/>
    <x v="0"/>
    <x v="1"/>
    <x v="3"/>
  </r>
  <r>
    <n v="29"/>
    <s v="No"/>
    <s v="Travel_Rarely"/>
    <x v="1"/>
    <n v="10"/>
    <x v="0"/>
    <n v="3"/>
    <n v="1"/>
    <x v="3"/>
    <n v="3"/>
    <s v="Single"/>
    <n v="2642"/>
    <n v="1"/>
    <s v="No"/>
    <n v="11"/>
    <n v="3"/>
    <n v="0"/>
    <n v="1"/>
    <n v="6"/>
    <n v="1"/>
    <n v="0"/>
    <n v="0"/>
    <s v="12th"/>
    <d v="2020-04-14T00:00:00"/>
    <m/>
    <s v="Salary"/>
    <x v="1"/>
    <n v="5"/>
    <n v="2"/>
    <s v="No"/>
    <s v="Job Event"/>
    <s v="Contract"/>
    <n v="0"/>
    <s v="Active"/>
    <x v="0"/>
    <x v="0"/>
    <x v="2"/>
  </r>
  <r>
    <n v="35"/>
    <s v="No"/>
    <s v="Non-Travel"/>
    <x v="0"/>
    <n v="2"/>
    <x v="1"/>
    <n v="3"/>
    <n v="2"/>
    <x v="7"/>
    <n v="1"/>
    <s v="Divorced"/>
    <n v="5093"/>
    <n v="2"/>
    <s v="No"/>
    <n v="11"/>
    <n v="3"/>
    <n v="1"/>
    <n v="16"/>
    <n v="2"/>
    <n v="1"/>
    <n v="0"/>
    <n v="0"/>
    <s v="Post-Graduation"/>
    <d v="2020-06-30T00:00:00"/>
    <m/>
    <s v="Work Accident"/>
    <x v="1"/>
    <n v="0"/>
    <n v="0"/>
    <s v="No"/>
    <s v="Walk-in"/>
    <s v="Part Time"/>
    <n v="0"/>
    <s v="Active"/>
    <x v="0"/>
    <x v="0"/>
    <x v="3"/>
  </r>
  <r>
    <n v="38"/>
    <s v="No"/>
    <s v="Travel_Rarely"/>
    <x v="0"/>
    <n v="2"/>
    <x v="0"/>
    <n v="3"/>
    <n v="1"/>
    <x v="1"/>
    <n v="3"/>
    <s v="Married"/>
    <n v="3057"/>
    <n v="6"/>
    <s v="Yes"/>
    <n v="13"/>
    <n v="3"/>
    <n v="1"/>
    <n v="6"/>
    <n v="0"/>
    <n v="1"/>
    <n v="0"/>
    <n v="1"/>
    <s v="Post-Graduation"/>
    <d v="2020-04-04T00:00:00"/>
    <m/>
    <s v="Better Opportunity"/>
    <x v="0"/>
    <n v="1"/>
    <n v="0"/>
    <s v="No"/>
    <s v="Walk-in"/>
    <s v="FullTime"/>
    <n v="0"/>
    <s v="Active"/>
    <x v="0"/>
    <x v="0"/>
    <x v="0"/>
  </r>
  <r>
    <n v="24"/>
    <s v="No"/>
    <s v="Non-Travel"/>
    <x v="0"/>
    <n v="9"/>
    <x v="0"/>
    <n v="2"/>
    <n v="1"/>
    <x v="0"/>
    <n v="2"/>
    <s v="Divorced"/>
    <n v="2694"/>
    <n v="1"/>
    <s v="No"/>
    <n v="11"/>
    <n v="3"/>
    <n v="3"/>
    <n v="1"/>
    <n v="4"/>
    <n v="1"/>
    <n v="0"/>
    <n v="0"/>
    <s v="Graduation"/>
    <d v="2020-06-10T00:00:00"/>
    <m/>
    <s v="Work Environment"/>
    <x v="0"/>
    <n v="3"/>
    <n v="2"/>
    <s v="No"/>
    <s v="Job Event"/>
    <s v="Part Time"/>
    <n v="0"/>
    <s v="Active"/>
    <x v="0"/>
    <x v="0"/>
    <x v="0"/>
  </r>
  <r>
    <n v="29"/>
    <s v="Yes"/>
    <s v="Travel_Rarely"/>
    <x v="0"/>
    <n v="1"/>
    <x v="1"/>
    <n v="2"/>
    <n v="1"/>
    <x v="0"/>
    <n v="1"/>
    <s v="Married"/>
    <n v="2319"/>
    <n v="1"/>
    <s v="Yes"/>
    <n v="11"/>
    <n v="3"/>
    <n v="1"/>
    <n v="1"/>
    <n v="1"/>
    <n v="1"/>
    <n v="0"/>
    <n v="0"/>
    <s v="Post-Graduation"/>
    <d v="2020-04-13T00:00:00"/>
    <m/>
    <s v="Salary"/>
    <x v="0"/>
    <n v="3"/>
    <n v="1"/>
    <s v="No"/>
    <s v="Walk-in"/>
    <s v="Part Time"/>
    <n v="1"/>
    <s v="Active"/>
    <x v="0"/>
    <x v="0"/>
    <x v="0"/>
  </r>
  <r>
    <n v="40"/>
    <s v="No"/>
    <s v="Travel_Frequently"/>
    <x v="0"/>
    <n v="16"/>
    <x v="0"/>
    <n v="2"/>
    <n v="2"/>
    <x v="0"/>
    <n v="3"/>
    <s v="Single"/>
    <n v="5094"/>
    <n v="6"/>
    <s v="No"/>
    <n v="14"/>
    <n v="3"/>
    <n v="0"/>
    <n v="10"/>
    <n v="6"/>
    <n v="1"/>
    <n v="0"/>
    <n v="0"/>
    <s v="12th"/>
    <d v="2020-01-26T00:00:00"/>
    <m/>
    <s v="Dept.Head"/>
    <x v="0"/>
    <n v="2"/>
    <n v="2"/>
    <s v="Yes"/>
    <s v="Recruiter"/>
    <s v="Part Time"/>
    <n v="0"/>
    <s v="Active"/>
    <x v="0"/>
    <x v="0"/>
    <x v="0"/>
  </r>
  <r>
    <n v="45"/>
    <s v="No"/>
    <s v="Travel_Rarely"/>
    <x v="0"/>
    <n v="2"/>
    <x v="1"/>
    <n v="2"/>
    <n v="1"/>
    <x v="1"/>
    <n v="3"/>
    <s v="Single"/>
    <n v="2274"/>
    <n v="1"/>
    <s v="No"/>
    <n v="14"/>
    <n v="3"/>
    <n v="0"/>
    <n v="1"/>
    <n v="3"/>
    <n v="1"/>
    <n v="0"/>
    <n v="0"/>
    <s v="Post-Graduation"/>
    <d v="2020-06-04T00:00:00"/>
    <m/>
    <s v="Dept.Head"/>
    <x v="0"/>
    <n v="4"/>
    <n v="3"/>
    <s v="Yes"/>
    <s v="Walk-in"/>
    <s v="Contract"/>
    <n v="0"/>
    <s v="Active"/>
    <x v="0"/>
    <x v="0"/>
    <x v="0"/>
  </r>
  <r>
    <n v="37"/>
    <s v="No"/>
    <s v="Travel_Rarely"/>
    <x v="1"/>
    <n v="16"/>
    <x v="0"/>
    <n v="2"/>
    <n v="2"/>
    <x v="4"/>
    <n v="3"/>
    <s v="Divorced"/>
    <n v="6334"/>
    <n v="4"/>
    <s v="No"/>
    <n v="19"/>
    <n v="3"/>
    <n v="2"/>
    <n v="9"/>
    <n v="2"/>
    <n v="1"/>
    <n v="0"/>
    <n v="0"/>
    <s v="12th"/>
    <d v="2020-01-08T00:00:00"/>
    <m/>
    <s v="Work Accident"/>
    <x v="0"/>
    <n v="0"/>
    <n v="0"/>
    <s v="No"/>
    <s v="Walk-in"/>
    <s v="Part Time"/>
    <n v="0"/>
    <s v="Active"/>
    <x v="0"/>
    <x v="0"/>
    <x v="2"/>
  </r>
  <r>
    <n v="32"/>
    <s v="Yes"/>
    <s v="Travel_Rarely"/>
    <x v="0"/>
    <n v="25"/>
    <x v="0"/>
    <n v="3"/>
    <n v="1"/>
    <x v="0"/>
    <n v="4"/>
    <s v="Single"/>
    <n v="2795"/>
    <n v="1"/>
    <s v="Yes"/>
    <n v="24"/>
    <n v="4"/>
    <n v="0"/>
    <n v="1"/>
    <n v="2"/>
    <n v="1"/>
    <n v="0"/>
    <n v="1"/>
    <s v="12th"/>
    <d v="2020-04-30T00:00:00"/>
    <m/>
    <s v="Work Accident"/>
    <x v="1"/>
    <n v="2"/>
    <n v="1"/>
    <s v="Yes"/>
    <s v="Job Portal"/>
    <s v="Part Time"/>
    <n v="1"/>
    <s v="Active"/>
    <x v="0"/>
    <x v="0"/>
    <x v="0"/>
  </r>
  <r>
    <n v="58"/>
    <s v="Yes"/>
    <s v="Travel_Frequently"/>
    <x v="0"/>
    <n v="2"/>
    <x v="0"/>
    <n v="2"/>
    <n v="1"/>
    <x v="0"/>
    <n v="4"/>
    <s v="Divorced"/>
    <n v="2380"/>
    <n v="9"/>
    <s v="Yes"/>
    <n v="14"/>
    <n v="3"/>
    <n v="1"/>
    <n v="3"/>
    <n v="3"/>
    <n v="1"/>
    <n v="0"/>
    <n v="0"/>
    <s v="PHD"/>
    <d v="2020-06-08T00:00:00"/>
    <m/>
    <s v="Better Opportunity"/>
    <x v="0"/>
    <n v="0"/>
    <n v="2"/>
    <s v="Yes"/>
    <s v="Recruiter"/>
    <s v="Contract"/>
    <n v="1"/>
    <s v="Active"/>
    <x v="0"/>
    <x v="0"/>
    <x v="0"/>
  </r>
  <r>
    <n v="43"/>
    <s v="No"/>
    <s v="Travel_Rarely"/>
    <x v="0"/>
    <n v="8"/>
    <x v="1"/>
    <n v="3"/>
    <n v="2"/>
    <x v="6"/>
    <n v="2"/>
    <s v="Divorced"/>
    <n v="4765"/>
    <n v="4"/>
    <s v="No"/>
    <n v="21"/>
    <n v="4"/>
    <n v="1"/>
    <n v="4"/>
    <n v="2"/>
    <n v="1"/>
    <n v="0"/>
    <n v="0"/>
    <s v="Post-Graduation"/>
    <d v="2020-02-02T00:00:00"/>
    <m/>
    <s v="Better Opportunity"/>
    <x v="0"/>
    <n v="3"/>
    <n v="3"/>
    <s v="No"/>
    <s v="Job Portal"/>
    <s v="FullTime"/>
    <n v="0"/>
    <s v="Active"/>
    <x v="0"/>
    <x v="0"/>
    <x v="3"/>
  </r>
  <r>
    <n v="21"/>
    <s v="Yes"/>
    <s v="Travel_Rarely"/>
    <x v="0"/>
    <n v="18"/>
    <x v="1"/>
    <n v="3"/>
    <n v="1"/>
    <x v="1"/>
    <n v="4"/>
    <s v="Single"/>
    <n v="2693"/>
    <n v="1"/>
    <s v="No"/>
    <n v="19"/>
    <n v="3"/>
    <n v="0"/>
    <n v="1"/>
    <n v="3"/>
    <n v="1"/>
    <n v="0"/>
    <n v="0"/>
    <s v="Post-Graduation"/>
    <d v="2020-06-08T00:00:00"/>
    <m/>
    <s v="Work Environment"/>
    <x v="1"/>
    <n v="4"/>
    <n v="0"/>
    <s v="No"/>
    <s v="Walk-in"/>
    <s v="Part Time"/>
    <n v="1"/>
    <s v="Active"/>
    <x v="0"/>
    <x v="0"/>
    <x v="0"/>
  </r>
  <r>
    <n v="27"/>
    <s v="No"/>
    <s v="Travel_Rarely"/>
    <x v="0"/>
    <n v="4"/>
    <x v="1"/>
    <n v="3"/>
    <n v="1"/>
    <x v="1"/>
    <n v="3"/>
    <s v="Single"/>
    <n v="2318"/>
    <n v="1"/>
    <s v="No"/>
    <n v="19"/>
    <n v="3"/>
    <n v="0"/>
    <n v="1"/>
    <n v="2"/>
    <n v="1"/>
    <n v="0"/>
    <n v="0"/>
    <s v="12th"/>
    <d v="2020-04-26T00:00:00"/>
    <m/>
    <s v="Better Opportunity"/>
    <x v="0"/>
    <n v="4"/>
    <n v="3"/>
    <s v="Yes"/>
    <s v="Job Portal"/>
    <s v="FullTime"/>
    <n v="0"/>
    <s v="Active"/>
    <x v="0"/>
    <x v="0"/>
    <x v="0"/>
  </r>
  <r>
    <n v="34"/>
    <s v="No"/>
    <s v="Travel_Rarely"/>
    <x v="0"/>
    <n v="10"/>
    <x v="0"/>
    <n v="3"/>
    <n v="1"/>
    <x v="0"/>
    <n v="2"/>
    <s v="Divorced"/>
    <n v="2008"/>
    <n v="1"/>
    <s v="No"/>
    <n v="14"/>
    <n v="3"/>
    <n v="2"/>
    <n v="1"/>
    <n v="3"/>
    <n v="1"/>
    <n v="1"/>
    <n v="0"/>
    <s v="12th"/>
    <d v="2020-06-26T00:00:00"/>
    <m/>
    <s v="Dept.Head"/>
    <x v="1"/>
    <n v="4"/>
    <n v="1"/>
    <s v="No"/>
    <s v="Walk-in"/>
    <s v="FullTime"/>
    <n v="0"/>
    <s v="Active"/>
    <x v="0"/>
    <x v="0"/>
    <x v="0"/>
  </r>
  <r>
    <n v="25"/>
    <s v="Yes"/>
    <s v="Travel_Rarely"/>
    <x v="1"/>
    <n v="19"/>
    <x v="0"/>
    <n v="2"/>
    <n v="1"/>
    <x v="3"/>
    <n v="2"/>
    <s v="Married"/>
    <n v="2413"/>
    <n v="1"/>
    <s v="Yes"/>
    <n v="18"/>
    <n v="3"/>
    <n v="3"/>
    <n v="1"/>
    <n v="2"/>
    <n v="1"/>
    <n v="0"/>
    <n v="0"/>
    <s v="Post-Graduation"/>
    <d v="2020-04-24T00:00:00"/>
    <m/>
    <s v="Work Accident"/>
    <x v="1"/>
    <n v="5"/>
    <n v="3"/>
    <s v="Yes"/>
    <s v="Walk-in"/>
    <s v="FullTime"/>
    <n v="1"/>
    <s v="Active"/>
    <x v="0"/>
    <x v="0"/>
    <x v="2"/>
  </r>
  <r>
    <n v="40"/>
    <s v="No"/>
    <s v="Travel_Rarely"/>
    <x v="1"/>
    <n v="10"/>
    <x v="0"/>
    <n v="2"/>
    <n v="3"/>
    <x v="4"/>
    <n v="2"/>
    <s v="Divorced"/>
    <n v="9705"/>
    <n v="2"/>
    <s v="No"/>
    <n v="12"/>
    <n v="3"/>
    <n v="1"/>
    <n v="11"/>
    <n v="2"/>
    <n v="1"/>
    <n v="0"/>
    <n v="0"/>
    <s v="Post-Graduation"/>
    <d v="2020-03-09T00:00:00"/>
    <m/>
    <s v="Dept.Head"/>
    <x v="0"/>
    <n v="4"/>
    <n v="2"/>
    <s v="No"/>
    <s v="Job Event"/>
    <s v="FullTime"/>
    <n v="0"/>
    <s v="Active"/>
    <x v="0"/>
    <x v="1"/>
    <x v="2"/>
  </r>
  <r>
    <n v="19"/>
    <s v="Yes"/>
    <s v="Travel_Rarely"/>
    <x v="1"/>
    <n v="21"/>
    <x v="0"/>
    <n v="2"/>
    <n v="1"/>
    <x v="3"/>
    <n v="2"/>
    <s v="Single"/>
    <n v="2121"/>
    <n v="1"/>
    <s v="Yes"/>
    <n v="13"/>
    <n v="3"/>
    <n v="0"/>
    <n v="1"/>
    <n v="3"/>
    <n v="1"/>
    <n v="0"/>
    <n v="0"/>
    <s v="PHD"/>
    <d v="2020-03-07T00:00:00"/>
    <m/>
    <s v="Work Environment"/>
    <x v="0"/>
    <n v="2"/>
    <n v="0"/>
    <s v="No"/>
    <s v="Recruiter"/>
    <s v="Contract"/>
    <n v="1"/>
    <s v="Active"/>
    <x v="0"/>
    <x v="0"/>
    <x v="2"/>
  </r>
  <r>
    <n v="40"/>
    <s v="No"/>
    <s v="Travel_Frequently"/>
    <x v="0"/>
    <n v="9"/>
    <x v="0"/>
    <n v="3"/>
    <n v="1"/>
    <x v="1"/>
    <n v="2"/>
    <s v="Divorced"/>
    <n v="3617"/>
    <n v="8"/>
    <s v="Yes"/>
    <n v="14"/>
    <n v="3"/>
    <n v="1"/>
    <n v="3"/>
    <n v="2"/>
    <n v="1"/>
    <n v="0"/>
    <n v="0"/>
    <s v="Graduation"/>
    <d v="2020-03-07T00:00:00"/>
    <m/>
    <s v="Work Environment"/>
    <x v="1"/>
    <n v="2"/>
    <n v="0"/>
    <s v="No"/>
    <s v="Recruiter"/>
    <s v="Contract"/>
    <n v="0"/>
    <s v="Active"/>
    <x v="0"/>
    <x v="0"/>
    <x v="0"/>
  </r>
  <r>
    <n v="58"/>
    <s v="Yes"/>
    <s v="Travel_Rarely"/>
    <x v="0"/>
    <n v="2"/>
    <x v="0"/>
    <n v="3"/>
    <n v="1"/>
    <x v="1"/>
    <n v="3"/>
    <s v="Single"/>
    <n v="2479"/>
    <n v="4"/>
    <s v="No"/>
    <n v="24"/>
    <n v="4"/>
    <n v="0"/>
    <n v="7"/>
    <n v="4"/>
    <n v="1"/>
    <n v="0"/>
    <n v="0"/>
    <s v="Graduation"/>
    <d v="2020-05-03T00:00:00"/>
    <m/>
    <s v="Work Accident"/>
    <x v="1"/>
    <n v="4"/>
    <n v="2"/>
    <s v="Yes"/>
    <s v="Walk-in"/>
    <s v="Contract"/>
    <n v="1"/>
    <s v="Active"/>
    <x v="0"/>
    <x v="0"/>
    <x v="0"/>
  </r>
  <r>
    <n v="40"/>
    <s v="Yes"/>
    <s v="Non-Travel"/>
    <x v="1"/>
    <n v="24"/>
    <x v="1"/>
    <n v="4"/>
    <n v="4"/>
    <x v="4"/>
    <n v="2"/>
    <s v="Single"/>
    <n v="13194"/>
    <n v="4"/>
    <s v="Yes"/>
    <n v="16"/>
    <n v="3"/>
    <n v="0"/>
    <n v="22"/>
    <n v="2"/>
    <n v="1"/>
    <n v="0"/>
    <n v="0"/>
    <s v="Graduation"/>
    <d v="2020-06-27T00:00:00"/>
    <m/>
    <s v="Dept.Head"/>
    <x v="0"/>
    <n v="4"/>
    <n v="3"/>
    <s v="Yes"/>
    <s v="Recruiter"/>
    <s v="FullTime"/>
    <n v="1"/>
    <s v="Active"/>
    <x v="0"/>
    <x v="1"/>
    <x v="2"/>
  </r>
  <r>
    <n v="20"/>
    <s v="Yes"/>
    <s v="Travel_Rarely"/>
    <x v="0"/>
    <n v="11"/>
    <x v="1"/>
    <n v="2"/>
    <n v="1"/>
    <x v="1"/>
    <n v="1"/>
    <s v="Single"/>
    <n v="2600"/>
    <n v="1"/>
    <s v="Yes"/>
    <n v="15"/>
    <n v="3"/>
    <n v="0"/>
    <n v="1"/>
    <n v="2"/>
    <n v="1"/>
    <n v="0"/>
    <n v="0"/>
    <s v="Graduation"/>
    <d v="2020-01-21T00:00:00"/>
    <m/>
    <s v="Better Opportunity"/>
    <x v="0"/>
    <n v="0"/>
    <n v="2"/>
    <s v="Yes"/>
    <s v="Job Portal"/>
    <s v="FullTime"/>
    <n v="1"/>
    <s v="Active"/>
    <x v="0"/>
    <x v="0"/>
    <x v="0"/>
  </r>
  <r>
    <n v="42"/>
    <s v="No"/>
    <s v="Travel_Rarely"/>
    <x v="1"/>
    <n v="5"/>
    <x v="0"/>
    <n v="3"/>
    <n v="5"/>
    <x v="5"/>
    <n v="3"/>
    <s v="Married"/>
    <n v="18303"/>
    <n v="6"/>
    <s v="No"/>
    <n v="13"/>
    <n v="3"/>
    <n v="0"/>
    <n v="21"/>
    <n v="3"/>
    <n v="1"/>
    <n v="0"/>
    <n v="0"/>
    <s v="Graduation"/>
    <d v="2020-05-17T00:00:00"/>
    <m/>
    <s v="Work Environment"/>
    <x v="1"/>
    <n v="4"/>
    <n v="2"/>
    <s v="No"/>
    <s v="Job Event"/>
    <s v="Part Time"/>
    <n v="0"/>
    <s v="Active"/>
    <x v="0"/>
    <x v="1"/>
    <x v="1"/>
  </r>
  <r>
    <n v="50"/>
    <s v="No"/>
    <s v="Travel_Rarely"/>
    <x v="0"/>
    <n v="9"/>
    <x v="0"/>
    <n v="3"/>
    <n v="1"/>
    <x v="0"/>
    <n v="4"/>
    <s v="Married"/>
    <n v="2380"/>
    <n v="4"/>
    <s v="No"/>
    <n v="18"/>
    <n v="3"/>
    <n v="0"/>
    <n v="8"/>
    <n v="5"/>
    <n v="1"/>
    <n v="0"/>
    <n v="0"/>
    <s v="Graduation"/>
    <d v="2020-06-11T00:00:00"/>
    <m/>
    <s v="Salary"/>
    <x v="1"/>
    <n v="3"/>
    <n v="0"/>
    <s v="No"/>
    <s v="Walk-in"/>
    <s v="FullTime"/>
    <n v="0"/>
    <s v="Active"/>
    <x v="0"/>
    <x v="0"/>
    <x v="0"/>
  </r>
  <r>
    <n v="37"/>
    <s v="Yes"/>
    <s v="Travel_Rarely"/>
    <x v="0"/>
    <n v="11"/>
    <x v="1"/>
    <n v="1"/>
    <n v="2"/>
    <x v="7"/>
    <n v="2"/>
    <s v="Married"/>
    <n v="4777"/>
    <n v="5"/>
    <s v="No"/>
    <n v="15"/>
    <n v="3"/>
    <n v="0"/>
    <n v="15"/>
    <n v="2"/>
    <n v="1"/>
    <n v="0"/>
    <n v="0"/>
    <s v="Post-Graduation"/>
    <d v="2020-01-09T00:00:00"/>
    <m/>
    <s v="Better Opportunity"/>
    <x v="0"/>
    <n v="2"/>
    <n v="0"/>
    <s v="No"/>
    <s v="Recruiter"/>
    <s v="FullTime"/>
    <n v="1"/>
    <s v="Active"/>
    <x v="0"/>
    <x v="0"/>
    <x v="3"/>
  </r>
  <r>
    <n v="38"/>
    <s v="No"/>
    <s v="Travel_Rarely"/>
    <x v="1"/>
    <n v="3"/>
    <x v="0"/>
    <n v="3"/>
    <n v="2"/>
    <x v="4"/>
    <n v="4"/>
    <s v="Single"/>
    <n v="6861"/>
    <n v="8"/>
    <s v="Yes"/>
    <n v="12"/>
    <n v="3"/>
    <n v="0"/>
    <n v="19"/>
    <n v="1"/>
    <n v="1"/>
    <n v="0"/>
    <n v="0"/>
    <s v="PHD"/>
    <d v="2020-04-16T00:00:00"/>
    <m/>
    <s v="Dept.Head"/>
    <x v="1"/>
    <n v="1"/>
    <n v="1"/>
    <s v="No"/>
    <s v="Recruiter"/>
    <s v="Contract"/>
    <n v="0"/>
    <s v="Active"/>
    <x v="0"/>
    <x v="0"/>
    <x v="2"/>
  </r>
  <r>
    <n v="36"/>
    <s v="Yes"/>
    <s v="Travel_Rarely"/>
    <x v="0"/>
    <n v="15"/>
    <x v="0"/>
    <n v="3"/>
    <n v="2"/>
    <x v="0"/>
    <n v="3"/>
    <s v="Divorced"/>
    <n v="4834"/>
    <n v="7"/>
    <s v="No"/>
    <n v="14"/>
    <n v="3"/>
    <n v="1"/>
    <n v="9"/>
    <n v="3"/>
    <n v="1"/>
    <n v="0"/>
    <n v="0"/>
    <s v="Graduation"/>
    <d v="2020-05-13T00:00:00"/>
    <m/>
    <s v="Work Environment"/>
    <x v="0"/>
    <n v="4"/>
    <n v="2"/>
    <s v="Yes"/>
    <s v="Walk-in"/>
    <s v="FullTime"/>
    <n v="1"/>
    <s v="Active"/>
    <x v="0"/>
    <x v="0"/>
    <x v="0"/>
  </r>
  <r>
    <n v="34"/>
    <s v="No"/>
    <s v="Travel_Rarely"/>
    <x v="1"/>
    <n v="10"/>
    <x v="1"/>
    <n v="3"/>
    <n v="1"/>
    <x v="3"/>
    <n v="3"/>
    <s v="Married"/>
    <n v="2220"/>
    <n v="1"/>
    <s v="Yes"/>
    <n v="19"/>
    <n v="3"/>
    <n v="1"/>
    <n v="1"/>
    <n v="2"/>
    <n v="1"/>
    <n v="0"/>
    <n v="0"/>
    <s v="Post-Graduation"/>
    <d v="2020-02-18T00:00:00"/>
    <m/>
    <s v="Salary"/>
    <x v="0"/>
    <n v="0"/>
    <n v="3"/>
    <s v="Yes"/>
    <s v="Job Event"/>
    <s v="FullTime"/>
    <n v="0"/>
    <s v="Active"/>
    <x v="0"/>
    <x v="0"/>
    <x v="2"/>
  </r>
  <r>
    <n v="28"/>
    <s v="No"/>
    <s v="Travel_Rarely"/>
    <x v="1"/>
    <n v="10"/>
    <x v="0"/>
    <n v="3"/>
    <n v="1"/>
    <x v="3"/>
    <n v="2"/>
    <s v="Married"/>
    <n v="1052"/>
    <n v="1"/>
    <s v="No"/>
    <n v="22"/>
    <n v="4"/>
    <n v="0"/>
    <n v="1"/>
    <n v="5"/>
    <n v="1"/>
    <n v="0"/>
    <n v="0"/>
    <s v="Post-Graduation"/>
    <d v="2020-04-25T00:00:00"/>
    <m/>
    <s v="Work Environment"/>
    <x v="1"/>
    <n v="0"/>
    <n v="0"/>
    <s v="Yes"/>
    <s v="Job Event"/>
    <s v="Contract"/>
    <n v="0"/>
    <s v="Active"/>
    <x v="0"/>
    <x v="0"/>
    <x v="2"/>
  </r>
  <r>
    <n v="43"/>
    <s v="No"/>
    <s v="Travel_Rarely"/>
    <x v="1"/>
    <n v="25"/>
    <x v="0"/>
    <n v="2"/>
    <n v="3"/>
    <x v="4"/>
    <n v="4"/>
    <s v="Divorced"/>
    <n v="10798"/>
    <n v="5"/>
    <s v="No"/>
    <n v="13"/>
    <n v="3"/>
    <n v="1"/>
    <n v="18"/>
    <n v="5"/>
    <n v="1"/>
    <n v="0"/>
    <n v="0"/>
    <s v="Post-Graduation"/>
    <d v="2020-06-27T00:00:00"/>
    <m/>
    <s v="Work Accident"/>
    <x v="0"/>
    <n v="4"/>
    <n v="2"/>
    <s v="No"/>
    <s v="Walk-in"/>
    <s v="Part Time"/>
    <n v="0"/>
    <s v="Active"/>
    <x v="0"/>
    <x v="1"/>
    <x v="2"/>
  </r>
  <r>
    <n v="21"/>
    <s v="Yes"/>
    <s v="Travel_Rarely"/>
    <x v="0"/>
    <n v="10"/>
    <x v="1"/>
    <n v="2"/>
    <n v="1"/>
    <x v="0"/>
    <n v="1"/>
    <s v="Single"/>
    <n v="1416"/>
    <n v="1"/>
    <s v="No"/>
    <n v="13"/>
    <n v="3"/>
    <n v="0"/>
    <n v="1"/>
    <n v="6"/>
    <n v="1"/>
    <n v="1"/>
    <n v="0"/>
    <s v="12th"/>
    <d v="2020-06-25T00:00:00"/>
    <m/>
    <s v="Work Environment"/>
    <x v="0"/>
    <n v="1"/>
    <n v="1"/>
    <s v="Yes"/>
    <s v="Recruiter"/>
    <s v="Contract"/>
    <n v="1"/>
    <s v="Active"/>
    <x v="0"/>
    <x v="0"/>
    <x v="0"/>
  </r>
  <r>
    <n v="37"/>
    <s v="No"/>
    <s v="Travel_Rarely"/>
    <x v="1"/>
    <n v="10"/>
    <x v="1"/>
    <n v="2"/>
    <n v="2"/>
    <x v="4"/>
    <n v="4"/>
    <s v="Divorced"/>
    <n v="6694"/>
    <n v="2"/>
    <s v="Yes"/>
    <n v="14"/>
    <n v="3"/>
    <n v="3"/>
    <n v="8"/>
    <n v="5"/>
    <n v="1"/>
    <n v="0"/>
    <n v="0"/>
    <s v="Post-Graduation"/>
    <d v="2020-06-25T00:00:00"/>
    <m/>
    <s v="Salary"/>
    <x v="1"/>
    <n v="3"/>
    <n v="2"/>
    <s v="Yes"/>
    <s v="Recruiter"/>
    <s v="Part Time"/>
    <n v="0"/>
    <s v="Active"/>
    <x v="0"/>
    <x v="0"/>
    <x v="2"/>
  </r>
  <r>
    <n v="26"/>
    <s v="Yes"/>
    <s v="Travel_Rarely"/>
    <x v="0"/>
    <n v="21"/>
    <x v="0"/>
    <n v="3"/>
    <n v="1"/>
    <x v="0"/>
    <n v="3"/>
    <s v="Divorced"/>
    <n v="2377"/>
    <n v="1"/>
    <s v="No"/>
    <n v="20"/>
    <n v="4"/>
    <n v="1"/>
    <n v="1"/>
    <n v="0"/>
    <n v="1"/>
    <n v="0"/>
    <n v="0"/>
    <s v="12th"/>
    <d v="2020-03-31T00:00:00"/>
    <m/>
    <s v="Work Environment"/>
    <x v="0"/>
    <n v="0"/>
    <n v="0"/>
    <s v="No"/>
    <s v="Walk-in"/>
    <s v="FullTime"/>
    <n v="1"/>
    <s v="Active"/>
    <x v="0"/>
    <x v="0"/>
    <x v="0"/>
  </r>
  <r>
    <n v="28"/>
    <s v="Yes"/>
    <s v="Travel_Frequently"/>
    <x v="0"/>
    <n v="1"/>
    <x v="0"/>
    <n v="2"/>
    <n v="1"/>
    <x v="0"/>
    <n v="2"/>
    <s v="Divorced"/>
    <n v="2596"/>
    <n v="1"/>
    <s v="No"/>
    <n v="15"/>
    <n v="3"/>
    <n v="2"/>
    <n v="1"/>
    <n v="2"/>
    <n v="1"/>
    <n v="0"/>
    <n v="0"/>
    <s v="PHD"/>
    <d v="2020-06-23T00:00:00"/>
    <m/>
    <s v="Work Environment"/>
    <x v="1"/>
    <n v="0"/>
    <n v="2"/>
    <s v="No"/>
    <s v="Recruiter"/>
    <s v="Contract"/>
    <n v="1"/>
    <s v="Active"/>
    <x v="0"/>
    <x v="0"/>
    <x v="0"/>
  </r>
  <r>
    <n v="38"/>
    <s v="No"/>
    <s v="Travel_Rarely"/>
    <x v="1"/>
    <n v="2"/>
    <x v="0"/>
    <n v="3"/>
    <n v="3"/>
    <x v="4"/>
    <n v="2"/>
    <s v="Single"/>
    <n v="7351"/>
    <n v="7"/>
    <s v="No"/>
    <n v="16"/>
    <n v="3"/>
    <n v="0"/>
    <n v="10"/>
    <n v="2"/>
    <n v="1"/>
    <n v="0"/>
    <n v="0"/>
    <s v="12th"/>
    <d v="2020-03-29T00:00:00"/>
    <m/>
    <s v="Salary"/>
    <x v="1"/>
    <n v="3"/>
    <n v="0"/>
    <s v="No"/>
    <s v="Recruiter"/>
    <s v="Part Time"/>
    <n v="0"/>
    <s v="Active"/>
    <x v="0"/>
    <x v="1"/>
    <x v="2"/>
  </r>
  <r>
    <n v="42"/>
    <s v="No"/>
    <s v="Travel_Rarely"/>
    <x v="0"/>
    <n v="29"/>
    <x v="0"/>
    <n v="1"/>
    <n v="2"/>
    <x v="0"/>
    <n v="4"/>
    <s v="Single"/>
    <n v="4272"/>
    <n v="4"/>
    <s v="No"/>
    <n v="19"/>
    <n v="3"/>
    <n v="0"/>
    <n v="16"/>
    <n v="3"/>
    <n v="1"/>
    <n v="0"/>
    <n v="0"/>
    <s v="Post-Graduation"/>
    <d v="2020-03-17T00:00:00"/>
    <m/>
    <s v="Work Environment"/>
    <x v="1"/>
    <n v="0"/>
    <n v="1"/>
    <s v="No"/>
    <s v="Walk-in"/>
    <s v="FullTime"/>
    <n v="0"/>
    <s v="Active"/>
    <x v="0"/>
    <x v="0"/>
    <x v="0"/>
  </r>
  <r>
    <n v="41"/>
    <s v="No"/>
    <s v="Travel_Rarely"/>
    <x v="0"/>
    <n v="12"/>
    <x v="0"/>
    <n v="3"/>
    <n v="1"/>
    <x v="0"/>
    <n v="4"/>
    <s v="Married"/>
    <n v="4766"/>
    <n v="3"/>
    <s v="Yes"/>
    <n v="11"/>
    <n v="3"/>
    <n v="1"/>
    <n v="6"/>
    <n v="4"/>
    <n v="1"/>
    <n v="0"/>
    <n v="0"/>
    <s v="12th"/>
    <d v="2020-01-30T00:00:00"/>
    <m/>
    <s v="Better Opportunity"/>
    <x v="0"/>
    <n v="1"/>
    <n v="0"/>
    <s v="No"/>
    <s v="Recruiter"/>
    <s v="FullTime"/>
    <n v="0"/>
    <s v="Active"/>
    <x v="0"/>
    <x v="0"/>
    <x v="0"/>
  </r>
  <r>
    <n v="28"/>
    <s v="Yes"/>
    <s v="Travel_Rarely"/>
    <x v="0"/>
    <n v="12"/>
    <x v="1"/>
    <n v="3"/>
    <n v="1"/>
    <x v="0"/>
    <n v="4"/>
    <s v="Married"/>
    <n v="2515"/>
    <n v="1"/>
    <s v="Yes"/>
    <n v="11"/>
    <n v="3"/>
    <n v="0"/>
    <n v="1"/>
    <n v="4"/>
    <n v="1"/>
    <n v="0"/>
    <n v="0"/>
    <s v="Post-Graduation"/>
    <d v="2020-01-14T00:00:00"/>
    <m/>
    <s v="Work Environment"/>
    <x v="0"/>
    <n v="4"/>
    <n v="1"/>
    <s v="Yes"/>
    <s v="Job Portal"/>
    <s v="FullTime"/>
    <n v="1"/>
    <s v="Active"/>
    <x v="0"/>
    <x v="0"/>
    <x v="0"/>
  </r>
  <r>
    <n v="40"/>
    <s v="No"/>
    <s v="Travel_Frequently"/>
    <x v="0"/>
    <n v="26"/>
    <x v="1"/>
    <n v="2"/>
    <n v="2"/>
    <x v="1"/>
    <n v="4"/>
    <s v="Married"/>
    <n v="4422"/>
    <n v="3"/>
    <s v="Yes"/>
    <n v="13"/>
    <n v="3"/>
    <n v="1"/>
    <n v="16"/>
    <n v="3"/>
    <n v="1"/>
    <n v="0"/>
    <n v="0"/>
    <s v="Graduation"/>
    <d v="2020-05-29T00:00:00"/>
    <m/>
    <s v="Salary"/>
    <x v="1"/>
    <n v="5"/>
    <n v="3"/>
    <s v="No"/>
    <s v="Recruiter"/>
    <s v="Part Time"/>
    <n v="0"/>
    <s v="Active"/>
    <x v="0"/>
    <x v="0"/>
    <x v="0"/>
  </r>
  <r>
    <n v="32"/>
    <s v="No"/>
    <s v="Non-Travel"/>
    <x v="1"/>
    <n v="2"/>
    <x v="1"/>
    <n v="3"/>
    <n v="1"/>
    <x v="3"/>
    <n v="1"/>
    <s v="Divorced"/>
    <n v="2827"/>
    <n v="1"/>
    <s v="No"/>
    <n v="12"/>
    <n v="3"/>
    <n v="3"/>
    <n v="1"/>
    <n v="3"/>
    <n v="1"/>
    <n v="0"/>
    <n v="0"/>
    <s v="Post-Graduation"/>
    <d v="2020-02-07T00:00:00"/>
    <m/>
    <s v="Dept.Head"/>
    <x v="0"/>
    <n v="4"/>
    <n v="0"/>
    <s v="No"/>
    <s v="Job Portal"/>
    <s v="FullTime"/>
    <n v="0"/>
    <s v="Active"/>
    <x v="0"/>
    <x v="0"/>
    <x v="2"/>
  </r>
  <r>
    <n v="19"/>
    <s v="No"/>
    <s v="Travel_Rarely"/>
    <x v="0"/>
    <n v="9"/>
    <x v="0"/>
    <n v="3"/>
    <n v="1"/>
    <x v="1"/>
    <n v="1"/>
    <s v="Single"/>
    <n v="2552"/>
    <n v="1"/>
    <s v="No"/>
    <n v="25"/>
    <n v="4"/>
    <n v="0"/>
    <n v="1"/>
    <n v="4"/>
    <n v="1"/>
    <n v="0"/>
    <n v="0"/>
    <s v="Post-Graduation"/>
    <d v="2020-01-26T00:00:00"/>
    <m/>
    <s v="Work Environment"/>
    <x v="1"/>
    <n v="5"/>
    <n v="1"/>
    <s v="Yes"/>
    <s v="Walk-in"/>
    <s v="Contract"/>
    <n v="0"/>
    <s v="Active"/>
    <x v="0"/>
    <x v="0"/>
    <x v="0"/>
  </r>
  <r>
    <n v="41"/>
    <s v="Yes"/>
    <s v="Non-Travel"/>
    <x v="0"/>
    <n v="5"/>
    <x v="0"/>
    <n v="2"/>
    <n v="1"/>
    <x v="1"/>
    <n v="1"/>
    <s v="Divorced"/>
    <n v="2107"/>
    <n v="6"/>
    <s v="No"/>
    <n v="17"/>
    <n v="3"/>
    <n v="1"/>
    <n v="5"/>
    <n v="2"/>
    <n v="1"/>
    <n v="0"/>
    <n v="0"/>
    <s v="12th"/>
    <d v="2020-03-01T00:00:00"/>
    <m/>
    <s v="Work Accident"/>
    <x v="1"/>
    <n v="0"/>
    <n v="3"/>
    <s v="Yes"/>
    <s v="Job Portal"/>
    <s v="Contract"/>
    <n v="1"/>
    <s v="Active"/>
    <x v="0"/>
    <x v="0"/>
    <x v="0"/>
  </r>
  <r>
    <n v="24"/>
    <s v="Yes"/>
    <s v="Travel_Rarely"/>
    <x v="0"/>
    <n v="17"/>
    <x v="1"/>
    <n v="3"/>
    <n v="1"/>
    <x v="0"/>
    <n v="2"/>
    <s v="Married"/>
    <n v="2210"/>
    <n v="1"/>
    <s v="No"/>
    <n v="13"/>
    <n v="3"/>
    <n v="1"/>
    <n v="1"/>
    <n v="3"/>
    <n v="1"/>
    <n v="0"/>
    <n v="0"/>
    <s v="Post-Graduation"/>
    <d v="2020-01-19T00:00:00"/>
    <m/>
    <s v="Work Environment"/>
    <x v="0"/>
    <n v="5"/>
    <n v="3"/>
    <s v="No"/>
    <s v="Walk-in"/>
    <s v="FullTime"/>
    <n v="1"/>
    <s v="Active"/>
    <x v="0"/>
    <x v="0"/>
    <x v="0"/>
  </r>
  <r>
    <n v="42"/>
    <s v="No"/>
    <s v="Travel_Frequently"/>
    <x v="0"/>
    <n v="26"/>
    <x v="1"/>
    <n v="3"/>
    <n v="3"/>
    <x v="2"/>
    <n v="1"/>
    <s v="Married"/>
    <n v="13191"/>
    <n v="3"/>
    <s v="Yes"/>
    <n v="17"/>
    <n v="3"/>
    <n v="0"/>
    <n v="20"/>
    <n v="6"/>
    <n v="1"/>
    <n v="0"/>
    <n v="0"/>
    <s v="Graduation"/>
    <d v="2020-03-21T00:00:00"/>
    <m/>
    <s v="Better Opportunity"/>
    <x v="0"/>
    <n v="1"/>
    <n v="3"/>
    <s v="No"/>
    <s v="Recruiter"/>
    <s v="Part Time"/>
    <n v="0"/>
    <s v="Active"/>
    <x v="0"/>
    <x v="1"/>
    <x v="1"/>
  </r>
  <r>
    <n v="19"/>
    <s v="Yes"/>
    <s v="Non-Travel"/>
    <x v="0"/>
    <n v="10"/>
    <x v="1"/>
    <n v="2"/>
    <n v="1"/>
    <x v="1"/>
    <n v="2"/>
    <s v="Single"/>
    <n v="1859"/>
    <n v="1"/>
    <s v="Yes"/>
    <n v="25"/>
    <n v="4"/>
    <n v="0"/>
    <n v="1"/>
    <n v="2"/>
    <n v="1"/>
    <n v="0"/>
    <n v="0"/>
    <s v="Graduation"/>
    <d v="2020-04-01T00:00:00"/>
    <m/>
    <s v="Work Accident"/>
    <x v="0"/>
    <n v="1"/>
    <n v="1"/>
    <s v="Yes"/>
    <s v="Walk-in"/>
    <s v="Part Time"/>
    <n v="1"/>
    <s v="Active"/>
    <x v="0"/>
    <x v="0"/>
    <x v="0"/>
  </r>
  <r>
    <n v="49"/>
    <s v="No"/>
    <s v="Travel_Rarely"/>
    <x v="0"/>
    <n v="4"/>
    <x v="0"/>
    <n v="2"/>
    <n v="5"/>
    <x v="5"/>
    <n v="3"/>
    <s v="Married"/>
    <n v="18711"/>
    <n v="2"/>
    <s v="No"/>
    <n v="13"/>
    <n v="3"/>
    <n v="1"/>
    <n v="23"/>
    <n v="2"/>
    <n v="1"/>
    <n v="0"/>
    <n v="0"/>
    <s v="Post-Graduation"/>
    <d v="2020-05-22T00:00:00"/>
    <m/>
    <s v="Salary"/>
    <x v="0"/>
    <n v="4"/>
    <n v="1"/>
    <s v="No"/>
    <s v="Recruiter"/>
    <s v="Contract"/>
    <n v="0"/>
    <s v="Active"/>
    <x v="0"/>
    <x v="1"/>
    <x v="1"/>
  </r>
  <r>
    <n v="48"/>
    <s v="No"/>
    <s v="Travel_Rarely"/>
    <x v="0"/>
    <n v="2"/>
    <x v="0"/>
    <n v="4"/>
    <n v="1"/>
    <x v="0"/>
    <n v="2"/>
    <s v="Single"/>
    <n v="2559"/>
    <n v="5"/>
    <s v="No"/>
    <n v="11"/>
    <n v="3"/>
    <n v="0"/>
    <n v="7"/>
    <n v="4"/>
    <n v="1"/>
    <n v="0"/>
    <n v="0"/>
    <s v="Graduation"/>
    <d v="2020-01-06T00:00:00"/>
    <m/>
    <s v="Work Environment"/>
    <x v="0"/>
    <n v="3"/>
    <n v="0"/>
    <s v="No"/>
    <s v="Recruiter"/>
    <s v="Part Time"/>
    <n v="0"/>
    <s v="Active"/>
    <x v="0"/>
    <x v="0"/>
    <x v="0"/>
  </r>
  <r>
    <n v="48"/>
    <s v="No"/>
    <s v="Travel_Rarely"/>
    <x v="0"/>
    <n v="1"/>
    <x v="0"/>
    <n v="2"/>
    <n v="5"/>
    <x v="2"/>
    <n v="4"/>
    <s v="Single"/>
    <n v="18265"/>
    <n v="6"/>
    <s v="No"/>
    <n v="12"/>
    <n v="3"/>
    <n v="0"/>
    <n v="25"/>
    <n v="3"/>
    <n v="1"/>
    <n v="0"/>
    <n v="0"/>
    <s v="Graduation"/>
    <d v="2020-02-03T00:00:00"/>
    <m/>
    <s v="Work Environment"/>
    <x v="1"/>
    <n v="5"/>
    <n v="0"/>
    <s v="Yes"/>
    <s v="Walk-in"/>
    <s v="Part Time"/>
    <n v="0"/>
    <s v="Active"/>
    <x v="0"/>
    <x v="1"/>
    <x v="1"/>
  </r>
  <r>
    <n v="34"/>
    <s v="No"/>
    <s v="Travel_Rarely"/>
    <x v="0"/>
    <n v="20"/>
    <x v="1"/>
    <n v="4"/>
    <n v="1"/>
    <x v="1"/>
    <n v="3"/>
    <s v="Married"/>
    <n v="2585"/>
    <n v="0"/>
    <s v="No"/>
    <n v="17"/>
    <n v="3"/>
    <n v="0"/>
    <n v="2"/>
    <n v="5"/>
    <n v="1"/>
    <n v="0"/>
    <n v="0"/>
    <s v="12th"/>
    <d v="2020-04-10T00:00:00"/>
    <m/>
    <s v="Dept.Head"/>
    <x v="1"/>
    <n v="5"/>
    <n v="2"/>
    <s v="Yes"/>
    <s v="Recruiter"/>
    <s v="FullTime"/>
    <n v="0"/>
    <s v="Active"/>
    <x v="0"/>
    <x v="0"/>
    <x v="0"/>
  </r>
  <r>
    <n v="19"/>
    <s v="No"/>
    <s v="Travel_Rarely"/>
    <x v="0"/>
    <n v="25"/>
    <x v="1"/>
    <n v="4"/>
    <n v="1"/>
    <x v="1"/>
    <n v="4"/>
    <s v="Single"/>
    <n v="2994"/>
    <n v="1"/>
    <s v="Yes"/>
    <n v="12"/>
    <n v="3"/>
    <n v="0"/>
    <n v="1"/>
    <n v="2"/>
    <n v="1"/>
    <n v="0"/>
    <n v="1"/>
    <s v="Post-Graduation"/>
    <d v="2020-03-21T00:00:00"/>
    <m/>
    <s v="Work Environment"/>
    <x v="1"/>
    <n v="3"/>
    <n v="0"/>
    <s v="No"/>
    <s v="Walk-in"/>
    <s v="Contract"/>
    <n v="0"/>
    <s v="Active"/>
    <x v="0"/>
    <x v="0"/>
    <x v="0"/>
  </r>
  <r>
    <n v="23"/>
    <s v="No"/>
    <s v="Travel_Rarely"/>
    <x v="0"/>
    <n v="1"/>
    <x v="0"/>
    <n v="3"/>
    <n v="1"/>
    <x v="1"/>
    <n v="3"/>
    <s v="Married"/>
    <n v="1223"/>
    <n v="1"/>
    <s v="No"/>
    <n v="22"/>
    <n v="4"/>
    <n v="1"/>
    <n v="1"/>
    <n v="2"/>
    <n v="1"/>
    <n v="0"/>
    <n v="1"/>
    <s v="Graduation"/>
    <d v="2020-03-30T00:00:00"/>
    <m/>
    <s v="Better Opportunity"/>
    <x v="0"/>
    <n v="2"/>
    <n v="1"/>
    <s v="Yes"/>
    <s v="Job Event"/>
    <s v="FullTime"/>
    <n v="0"/>
    <s v="Active"/>
    <x v="0"/>
    <x v="0"/>
    <x v="0"/>
  </r>
  <r>
    <n v="25"/>
    <s v="Yes"/>
    <s v="Travel_Frequently"/>
    <x v="1"/>
    <n v="24"/>
    <x v="0"/>
    <n v="1"/>
    <n v="1"/>
    <x v="3"/>
    <n v="4"/>
    <s v="Single"/>
    <n v="1118"/>
    <n v="1"/>
    <s v="Yes"/>
    <n v="14"/>
    <n v="3"/>
    <n v="0"/>
    <n v="1"/>
    <n v="4"/>
    <n v="1"/>
    <n v="1"/>
    <n v="0"/>
    <s v="PHD"/>
    <d v="2020-06-27T00:00:00"/>
    <m/>
    <s v="Better Opportunity"/>
    <x v="0"/>
    <n v="0"/>
    <n v="1"/>
    <s v="No"/>
    <s v="Walk-in"/>
    <s v="FullTime"/>
    <n v="1"/>
    <s v="Active"/>
    <x v="0"/>
    <x v="0"/>
    <x v="2"/>
  </r>
  <r>
    <n v="42"/>
    <s v="No"/>
    <s v="Travel_Rarely"/>
    <x v="0"/>
    <n v="7"/>
    <x v="1"/>
    <n v="4"/>
    <n v="2"/>
    <x v="1"/>
    <n v="2"/>
    <s v="Married"/>
    <n v="2372"/>
    <n v="6"/>
    <s v="Yes"/>
    <n v="16"/>
    <n v="3"/>
    <n v="0"/>
    <n v="18"/>
    <n v="2"/>
    <n v="1"/>
    <n v="0"/>
    <n v="0"/>
    <s v="12th"/>
    <d v="2020-04-18T00:00:00"/>
    <m/>
    <s v="Work Accident"/>
    <x v="1"/>
    <n v="5"/>
    <n v="3"/>
    <s v="Yes"/>
    <s v="Walk-in"/>
    <s v="FullTime"/>
    <n v="0"/>
    <s v="Active"/>
    <x v="0"/>
    <x v="0"/>
    <x v="0"/>
  </r>
  <r>
    <n v="27"/>
    <s v="No"/>
    <s v="Travel_Rarely"/>
    <x v="1"/>
    <n v="11"/>
    <x v="1"/>
    <n v="4"/>
    <n v="1"/>
    <x v="3"/>
    <n v="4"/>
    <s v="Married"/>
    <n v="2534"/>
    <n v="8"/>
    <s v="No"/>
    <n v="14"/>
    <n v="3"/>
    <n v="1"/>
    <n v="5"/>
    <n v="4"/>
    <n v="1"/>
    <n v="0"/>
    <n v="0"/>
    <s v="Post-Graduation"/>
    <d v="2020-01-28T00:00:00"/>
    <m/>
    <s v="Work Accident"/>
    <x v="0"/>
    <n v="2"/>
    <n v="1"/>
    <s v="Yes"/>
    <s v="Job Portal"/>
    <s v="Contract"/>
    <n v="0"/>
    <s v="Active"/>
    <x v="0"/>
    <x v="0"/>
    <x v="2"/>
  </r>
  <r>
    <n v="31"/>
    <s v="Yes"/>
    <s v="Travel_Frequently"/>
    <x v="1"/>
    <n v="2"/>
    <x v="1"/>
    <n v="2"/>
    <n v="1"/>
    <x v="3"/>
    <n v="4"/>
    <s v="Single"/>
    <n v="2785"/>
    <n v="7"/>
    <s v="No"/>
    <n v="14"/>
    <n v="3"/>
    <n v="0"/>
    <n v="3"/>
    <n v="3"/>
    <n v="1"/>
    <n v="0"/>
    <n v="0"/>
    <s v="12th"/>
    <d v="2020-06-27T00:00:00"/>
    <m/>
    <s v="Dept.Head"/>
    <x v="1"/>
    <n v="1"/>
    <n v="1"/>
    <s v="No"/>
    <s v="Recruiter"/>
    <s v="Contract"/>
    <n v="1"/>
    <s v="Active"/>
    <x v="0"/>
    <x v="0"/>
    <x v="2"/>
  </r>
  <r>
    <n v="31"/>
    <s v="Yes"/>
    <s v="Travel_Rarely"/>
    <x v="0"/>
    <n v="8"/>
    <x v="1"/>
    <n v="2"/>
    <n v="1"/>
    <x v="1"/>
    <n v="2"/>
    <s v="Single"/>
    <n v="1261"/>
    <n v="1"/>
    <s v="No"/>
    <n v="12"/>
    <n v="3"/>
    <n v="0"/>
    <n v="1"/>
    <n v="3"/>
    <n v="1"/>
    <n v="0"/>
    <n v="0"/>
    <s v="Graduation"/>
    <d v="2020-01-17T00:00:00"/>
    <m/>
    <s v="Salary"/>
    <x v="1"/>
    <n v="5"/>
    <n v="2"/>
    <s v="Yes"/>
    <s v="Job Portal"/>
    <s v="Contract"/>
    <n v="1"/>
    <s v="Active"/>
    <x v="0"/>
    <x v="0"/>
    <x v="0"/>
  </r>
  <r>
    <n v="39"/>
    <s v="Yes"/>
    <s v="Non-Travel"/>
    <x v="0"/>
    <n v="2"/>
    <x v="1"/>
    <n v="2"/>
    <n v="1"/>
    <x v="0"/>
    <n v="1"/>
    <s v="Single"/>
    <n v="3646"/>
    <n v="2"/>
    <s v="Yes"/>
    <n v="23"/>
    <n v="4"/>
    <n v="0"/>
    <n v="11"/>
    <n v="2"/>
    <n v="1"/>
    <n v="0"/>
    <n v="0"/>
    <s v="PHD"/>
    <d v="2020-04-18T00:00:00"/>
    <m/>
    <s v="Work Accident"/>
    <x v="1"/>
    <n v="4"/>
    <n v="3"/>
    <s v="Yes"/>
    <s v="Walk-in"/>
    <s v="Contract"/>
    <n v="1"/>
    <s v="Active"/>
    <x v="0"/>
    <x v="0"/>
    <x v="0"/>
  </r>
  <r>
    <n v="44"/>
    <s v="No"/>
    <s v="Travel_Frequently"/>
    <x v="1"/>
    <n v="1"/>
    <x v="1"/>
    <n v="3"/>
    <n v="2"/>
    <x v="4"/>
    <n v="3"/>
    <s v="Married"/>
    <n v="4768"/>
    <n v="7"/>
    <s v="No"/>
    <n v="12"/>
    <n v="3"/>
    <n v="1"/>
    <n v="11"/>
    <n v="4"/>
    <n v="1"/>
    <n v="0"/>
    <n v="0"/>
    <s v="Graduation"/>
    <d v="2020-04-24T00:00:00"/>
    <m/>
    <s v="Work Accident"/>
    <x v="0"/>
    <n v="0"/>
    <n v="2"/>
    <s v="No"/>
    <s v="Job Portal"/>
    <s v="Contract"/>
    <n v="0"/>
    <s v="Active"/>
    <x v="0"/>
    <x v="0"/>
    <x v="2"/>
  </r>
  <r>
    <n v="30"/>
    <s v="No"/>
    <s v="Non-Travel"/>
    <x v="0"/>
    <n v="7"/>
    <x v="0"/>
    <n v="3"/>
    <n v="1"/>
    <x v="1"/>
    <n v="3"/>
    <s v="Divorced"/>
    <n v="1274"/>
    <n v="1"/>
    <s v="No"/>
    <n v="13"/>
    <n v="3"/>
    <n v="2"/>
    <n v="1"/>
    <n v="2"/>
    <n v="1"/>
    <n v="0"/>
    <n v="0"/>
    <s v="Post-Graduation"/>
    <d v="2020-01-31T00:00:00"/>
    <m/>
    <s v="Better Opportunity"/>
    <x v="1"/>
    <n v="4"/>
    <n v="1"/>
    <s v="No"/>
    <s v="Recruiter"/>
    <s v="Contract"/>
    <n v="0"/>
    <s v="Active"/>
    <x v="0"/>
    <x v="0"/>
    <x v="0"/>
  </r>
  <r>
    <n v="35"/>
    <s v="No"/>
    <s v="Travel_Rarely"/>
    <x v="1"/>
    <n v="7"/>
    <x v="0"/>
    <n v="3"/>
    <n v="1"/>
    <x v="3"/>
    <n v="3"/>
    <s v="Married"/>
    <n v="2404"/>
    <n v="1"/>
    <s v="No"/>
    <n v="13"/>
    <n v="3"/>
    <n v="1"/>
    <n v="1"/>
    <n v="3"/>
    <n v="1"/>
    <n v="0"/>
    <n v="0"/>
    <s v="PHD"/>
    <d v="2020-04-05T00:00:00"/>
    <m/>
    <s v="Dept.Head"/>
    <x v="0"/>
    <n v="4"/>
    <n v="3"/>
    <s v="Yes"/>
    <s v="Job Event"/>
    <s v="Contract"/>
    <n v="0"/>
    <s v="Active"/>
    <x v="0"/>
    <x v="0"/>
    <x v="2"/>
  </r>
  <r>
    <n v="24"/>
    <s v="No"/>
    <s v="Non-Travel"/>
    <x v="1"/>
    <n v="13"/>
    <x v="1"/>
    <n v="3"/>
    <n v="1"/>
    <x v="3"/>
    <n v="2"/>
    <s v="Married"/>
    <n v="2033"/>
    <n v="1"/>
    <s v="No"/>
    <n v="13"/>
    <n v="3"/>
    <n v="1"/>
    <n v="1"/>
    <n v="2"/>
    <n v="1"/>
    <n v="0"/>
    <n v="0"/>
    <s v="PHD"/>
    <d v="2020-03-27T00:00:00"/>
    <m/>
    <s v="Dept.Head"/>
    <x v="0"/>
    <n v="4"/>
    <n v="1"/>
    <s v="Yes"/>
    <s v="Recruiter"/>
    <s v="FullTime"/>
    <n v="0"/>
    <s v="Active"/>
    <x v="0"/>
    <x v="0"/>
    <x v="2"/>
  </r>
  <r>
    <n v="28"/>
    <s v="No"/>
    <s v="Travel_Rarely"/>
    <x v="0"/>
    <n v="1"/>
    <x v="0"/>
    <n v="2"/>
    <n v="1"/>
    <x v="1"/>
    <n v="3"/>
    <s v="Divorced"/>
    <n v="1563"/>
    <n v="1"/>
    <s v="No"/>
    <n v="14"/>
    <n v="3"/>
    <n v="1"/>
    <n v="1"/>
    <n v="2"/>
    <n v="1"/>
    <n v="0"/>
    <n v="0"/>
    <s v="12th"/>
    <d v="2020-03-26T00:00:00"/>
    <m/>
    <s v="Better Opportunity"/>
    <x v="0"/>
    <n v="4"/>
    <n v="3"/>
    <s v="No"/>
    <s v="Job Portal"/>
    <s v="Contract"/>
    <n v="0"/>
    <s v="Active"/>
    <x v="0"/>
    <x v="0"/>
    <x v="0"/>
  </r>
  <r>
    <n v="42"/>
    <s v="No"/>
    <s v="Travel_Rarely"/>
    <x v="0"/>
    <n v="2"/>
    <x v="0"/>
    <n v="2"/>
    <n v="1"/>
    <x v="0"/>
    <n v="2"/>
    <s v="Married"/>
    <n v="4841"/>
    <n v="4"/>
    <s v="No"/>
    <n v="14"/>
    <n v="3"/>
    <n v="1"/>
    <n v="4"/>
    <n v="3"/>
    <n v="1"/>
    <n v="0"/>
    <n v="0"/>
    <s v="Post-Graduation"/>
    <d v="2020-02-19T00:00:00"/>
    <m/>
    <s v="Work Accident"/>
    <x v="1"/>
    <n v="5"/>
    <n v="1"/>
    <s v="Yes"/>
    <s v="Walk-in"/>
    <s v="Contract"/>
    <n v="0"/>
    <s v="Active"/>
    <x v="0"/>
    <x v="0"/>
    <x v="0"/>
  </r>
  <r>
    <n v="24"/>
    <s v="No"/>
    <s v="Travel_Rarely"/>
    <x v="0"/>
    <n v="21"/>
    <x v="0"/>
    <n v="2"/>
    <n v="1"/>
    <x v="0"/>
    <n v="1"/>
    <s v="Divorced"/>
    <n v="2296"/>
    <n v="0"/>
    <s v="No"/>
    <n v="14"/>
    <n v="3"/>
    <n v="3"/>
    <n v="2"/>
    <n v="3"/>
    <n v="1"/>
    <n v="0"/>
    <n v="0"/>
    <s v="Post-Graduation"/>
    <d v="2020-03-05T00:00:00"/>
    <m/>
    <s v="Better Opportunity"/>
    <x v="1"/>
    <n v="4"/>
    <n v="3"/>
    <s v="No"/>
    <s v="Job Event"/>
    <s v="FullTime"/>
    <n v="0"/>
    <s v="Active"/>
    <x v="0"/>
    <x v="0"/>
    <x v="0"/>
  </r>
  <r>
    <n v="29"/>
    <s v="No"/>
    <s v="Travel_Rarely"/>
    <x v="0"/>
    <n v="9"/>
    <x v="0"/>
    <n v="4"/>
    <n v="1"/>
    <x v="1"/>
    <n v="3"/>
    <s v="Married"/>
    <n v="2451"/>
    <n v="6"/>
    <s v="No"/>
    <n v="18"/>
    <n v="3"/>
    <n v="2"/>
    <n v="5"/>
    <n v="2"/>
    <n v="1"/>
    <n v="0"/>
    <n v="0"/>
    <s v="Graduation"/>
    <d v="2020-03-14T00:00:00"/>
    <m/>
    <s v="Work Environment"/>
    <x v="0"/>
    <n v="3"/>
    <n v="1"/>
    <s v="Yes"/>
    <s v="Job Portal"/>
    <s v="Contract"/>
    <n v="0"/>
    <s v="Active"/>
    <x v="0"/>
    <x v="0"/>
    <x v="0"/>
  </r>
  <r>
    <n v="35"/>
    <s v="Yes"/>
    <s v="Travel_Rarely"/>
    <x v="0"/>
    <n v="2"/>
    <x v="1"/>
    <n v="3"/>
    <n v="1"/>
    <x v="0"/>
    <n v="1"/>
    <s v="Divorced"/>
    <n v="2074"/>
    <n v="1"/>
    <s v="Yes"/>
    <n v="12"/>
    <n v="3"/>
    <n v="1"/>
    <n v="1"/>
    <n v="2"/>
    <n v="1"/>
    <n v="0"/>
    <n v="0"/>
    <s v="PHD"/>
    <d v="2020-03-15T00:00:00"/>
    <m/>
    <s v="Work Environment"/>
    <x v="0"/>
    <n v="3"/>
    <n v="3"/>
    <s v="No"/>
    <s v="Job Portal"/>
    <s v="FullTime"/>
    <n v="1"/>
    <s v="Active"/>
    <x v="0"/>
    <x v="0"/>
    <x v="0"/>
  </r>
  <r>
    <n v="34"/>
    <s v="No"/>
    <s v="Travel_Rarely"/>
    <x v="0"/>
    <n v="7"/>
    <x v="0"/>
    <n v="3"/>
    <n v="1"/>
    <x v="1"/>
    <n v="4"/>
    <s v="Single"/>
    <n v="2972"/>
    <n v="1"/>
    <s v="No"/>
    <n v="13"/>
    <n v="3"/>
    <n v="0"/>
    <n v="1"/>
    <n v="4"/>
    <n v="1"/>
    <n v="0"/>
    <n v="0"/>
    <s v="Post-Graduation"/>
    <d v="2020-05-28T00:00:00"/>
    <m/>
    <s v="Salary"/>
    <x v="0"/>
    <n v="2"/>
    <n v="0"/>
    <s v="No"/>
    <s v="Job Portal"/>
    <s v="FullTime"/>
    <n v="0"/>
    <s v="Active"/>
    <x v="0"/>
    <x v="0"/>
    <x v="0"/>
  </r>
  <r>
    <n v="26"/>
    <s v="No"/>
    <s v="Travel_Rarely"/>
    <x v="0"/>
    <n v="3"/>
    <x v="1"/>
    <n v="3"/>
    <n v="1"/>
    <x v="1"/>
    <n v="4"/>
    <s v="Married"/>
    <n v="2061"/>
    <n v="1"/>
    <s v="No"/>
    <n v="21"/>
    <n v="4"/>
    <n v="0"/>
    <n v="1"/>
    <n v="5"/>
    <n v="1"/>
    <n v="0"/>
    <n v="0"/>
    <s v="Graduation"/>
    <d v="2020-01-21T00:00:00"/>
    <m/>
    <s v="Better Opportunity"/>
    <x v="1"/>
    <n v="2"/>
    <n v="2"/>
    <s v="No"/>
    <s v="Walk-in"/>
    <s v="Contract"/>
    <n v="0"/>
    <s v="Active"/>
    <x v="0"/>
    <x v="0"/>
    <x v="0"/>
  </r>
  <r>
    <n v="36"/>
    <s v="No"/>
    <s v="Travel_Rarely"/>
    <x v="1"/>
    <n v="1"/>
    <x v="1"/>
    <n v="3"/>
    <n v="2"/>
    <x v="4"/>
    <n v="3"/>
    <s v="Single"/>
    <n v="6815"/>
    <n v="6"/>
    <s v="No"/>
    <n v="13"/>
    <n v="3"/>
    <n v="0"/>
    <n v="15"/>
    <n v="5"/>
    <n v="1"/>
    <n v="0"/>
    <n v="0"/>
    <s v="Post-Graduation"/>
    <d v="2020-02-01T00:00:00"/>
    <m/>
    <s v="Better Opportunity"/>
    <x v="1"/>
    <n v="5"/>
    <n v="0"/>
    <s v="No"/>
    <s v="Walk-in"/>
    <s v="Part Time"/>
    <n v="0"/>
    <s v="Active"/>
    <x v="0"/>
    <x v="0"/>
    <x v="2"/>
  </r>
  <r>
    <n v="50"/>
    <s v="No"/>
    <s v="Travel_Rarely"/>
    <x v="1"/>
    <n v="9"/>
    <x v="0"/>
    <n v="3"/>
    <n v="5"/>
    <x v="5"/>
    <n v="3"/>
    <s v="Married"/>
    <n v="19331"/>
    <n v="4"/>
    <s v="Yes"/>
    <n v="16"/>
    <n v="3"/>
    <n v="1"/>
    <n v="27"/>
    <n v="2"/>
    <n v="1"/>
    <n v="0"/>
    <n v="0"/>
    <s v="PHD"/>
    <d v="2020-06-23T00:00:00"/>
    <m/>
    <s v="Salary"/>
    <x v="0"/>
    <n v="4"/>
    <n v="1"/>
    <s v="Yes"/>
    <s v="Recruiter"/>
    <s v="FullTime"/>
    <n v="0"/>
    <s v="Active"/>
    <x v="0"/>
    <x v="1"/>
    <x v="1"/>
  </r>
  <r>
    <n v="35"/>
    <s v="No"/>
    <s v="Travel_Rarely"/>
    <x v="0"/>
    <n v="7"/>
    <x v="0"/>
    <n v="2"/>
    <n v="1"/>
    <x v="0"/>
    <n v="4"/>
    <s v="Married"/>
    <n v="2690"/>
    <n v="1"/>
    <s v="No"/>
    <n v="18"/>
    <n v="3"/>
    <n v="1"/>
    <n v="1"/>
    <n v="5"/>
    <n v="1"/>
    <n v="0"/>
    <n v="1"/>
    <s v="12th"/>
    <d v="2020-02-17T00:00:00"/>
    <m/>
    <s v="Work Accident"/>
    <x v="1"/>
    <n v="1"/>
    <n v="0"/>
    <s v="No"/>
    <s v="Recruiter"/>
    <s v="Contract"/>
    <n v="0"/>
    <s v="Active"/>
    <x v="0"/>
    <x v="0"/>
    <x v="0"/>
  </r>
  <r>
    <n v="28"/>
    <s v="Yes"/>
    <s v="Travel_Rarely"/>
    <x v="0"/>
    <n v="24"/>
    <x v="0"/>
    <n v="3"/>
    <n v="1"/>
    <x v="0"/>
    <n v="2"/>
    <s v="Married"/>
    <n v="2408"/>
    <n v="1"/>
    <s v="Yes"/>
    <n v="17"/>
    <n v="3"/>
    <n v="3"/>
    <n v="1"/>
    <n v="3"/>
    <n v="1"/>
    <n v="0"/>
    <n v="0"/>
    <s v="12th"/>
    <d v="2020-04-08T00:00:00"/>
    <m/>
    <s v="Dept.Head"/>
    <x v="1"/>
    <n v="1"/>
    <n v="1"/>
    <s v="Yes"/>
    <s v="Recruiter"/>
    <s v="FullTime"/>
    <n v="1"/>
    <s v="Active"/>
    <x v="0"/>
    <x v="0"/>
    <x v="0"/>
  </r>
  <r>
    <n v="32"/>
    <s v="Yes"/>
    <s v="Travel_Rarely"/>
    <x v="0"/>
    <n v="2"/>
    <x v="0"/>
    <n v="3"/>
    <n v="1"/>
    <x v="0"/>
    <n v="2"/>
    <s v="Single"/>
    <n v="1393"/>
    <n v="1"/>
    <s v="No"/>
    <n v="12"/>
    <n v="3"/>
    <n v="0"/>
    <n v="1"/>
    <n v="2"/>
    <n v="1"/>
    <n v="0"/>
    <n v="0"/>
    <s v="Graduation"/>
    <d v="2020-02-08T00:00:00"/>
    <m/>
    <s v="Salary"/>
    <x v="0"/>
    <n v="4"/>
    <n v="0"/>
    <s v="Yes"/>
    <s v="Walk-in"/>
    <s v="FullTime"/>
    <n v="1"/>
    <s v="Active"/>
    <x v="0"/>
    <x v="0"/>
    <x v="0"/>
  </r>
  <r>
    <n v="60"/>
    <s v="No"/>
    <s v="Travel_Rarely"/>
    <x v="0"/>
    <n v="1"/>
    <x v="0"/>
    <n v="1"/>
    <n v="3"/>
    <x v="7"/>
    <n v="4"/>
    <s v="Divorced"/>
    <n v="10883"/>
    <n v="3"/>
    <s v="No"/>
    <n v="20"/>
    <n v="4"/>
    <n v="1"/>
    <n v="19"/>
    <n v="2"/>
    <n v="1"/>
    <n v="0"/>
    <n v="0"/>
    <s v="12th"/>
    <d v="2020-05-20T00:00:00"/>
    <m/>
    <s v="Salary"/>
    <x v="0"/>
    <n v="1"/>
    <n v="1"/>
    <s v="No"/>
    <s v="Recruiter"/>
    <s v="Contract"/>
    <n v="0"/>
    <s v="Active"/>
    <x v="0"/>
    <x v="1"/>
    <x v="3"/>
  </r>
  <r>
    <n v="24"/>
    <s v="Yes"/>
    <s v="Travel_Rarely"/>
    <x v="2"/>
    <n v="22"/>
    <x v="0"/>
    <n v="1"/>
    <n v="1"/>
    <x v="8"/>
    <n v="3"/>
    <s v="Married"/>
    <n v="1555"/>
    <n v="1"/>
    <s v="No"/>
    <n v="11"/>
    <n v="3"/>
    <n v="1"/>
    <n v="1"/>
    <n v="2"/>
    <n v="1"/>
    <n v="0"/>
    <n v="0"/>
    <s v="PHD"/>
    <d v="2020-02-07T00:00:00"/>
    <m/>
    <s v="Better Opportunity"/>
    <x v="0"/>
    <n v="1"/>
    <n v="2"/>
    <s v="No"/>
    <s v="Walk-in"/>
    <s v="FullTime"/>
    <n v="1"/>
    <s v="Active"/>
    <x v="0"/>
    <x v="0"/>
    <x v="4"/>
  </r>
  <r>
    <n v="40"/>
    <s v="No"/>
    <s v="Travel_Rarely"/>
    <x v="0"/>
    <n v="8"/>
    <x v="1"/>
    <n v="3"/>
    <n v="2"/>
    <x v="6"/>
    <n v="1"/>
    <s v="Married"/>
    <n v="6516"/>
    <n v="2"/>
    <s v="Yes"/>
    <n v="16"/>
    <n v="3"/>
    <n v="1"/>
    <n v="18"/>
    <n v="3"/>
    <n v="1"/>
    <n v="0"/>
    <n v="0"/>
    <s v="Post-Graduation"/>
    <d v="2020-02-19T00:00:00"/>
    <m/>
    <s v="Dept.Head"/>
    <x v="0"/>
    <n v="0"/>
    <n v="1"/>
    <s v="Yes"/>
    <s v="Recruiter"/>
    <s v="Contract"/>
    <n v="0"/>
    <s v="Active"/>
    <x v="0"/>
    <x v="0"/>
    <x v="3"/>
  </r>
  <r>
    <n v="47"/>
    <s v="No"/>
    <s v="Non-Travel"/>
    <x v="1"/>
    <n v="2"/>
    <x v="0"/>
    <n v="3"/>
    <n v="2"/>
    <x v="4"/>
    <n v="2"/>
    <s v="Married"/>
    <n v="4978"/>
    <n v="7"/>
    <s v="No"/>
    <n v="11"/>
    <n v="3"/>
    <n v="1"/>
    <n v="4"/>
    <n v="3"/>
    <n v="1"/>
    <n v="0"/>
    <n v="0"/>
    <s v="12th"/>
    <d v="2020-03-10T00:00:00"/>
    <m/>
    <s v="Dept.Head"/>
    <x v="0"/>
    <n v="0"/>
    <n v="0"/>
    <s v="No"/>
    <s v="Job Portal"/>
    <s v="Part Time"/>
    <n v="0"/>
    <s v="Active"/>
    <x v="0"/>
    <x v="0"/>
    <x v="2"/>
  </r>
  <r>
    <n v="31"/>
    <s v="Yes"/>
    <s v="Travel_Rarely"/>
    <x v="1"/>
    <n v="16"/>
    <x v="0"/>
    <n v="3"/>
    <n v="3"/>
    <x v="4"/>
    <n v="3"/>
    <s v="Married"/>
    <n v="8161"/>
    <n v="2"/>
    <s v="No"/>
    <n v="13"/>
    <n v="3"/>
    <n v="3"/>
    <n v="10"/>
    <n v="2"/>
    <n v="1"/>
    <n v="0"/>
    <n v="0"/>
    <s v="Post-Graduation"/>
    <d v="2020-01-13T00:00:00"/>
    <m/>
    <s v="Work Accident"/>
    <x v="0"/>
    <n v="4"/>
    <n v="3"/>
    <s v="Yes"/>
    <s v="Job Event"/>
    <s v="Part Time"/>
    <n v="1"/>
    <s v="Active"/>
    <x v="0"/>
    <x v="1"/>
    <x v="2"/>
  </r>
  <r>
    <n v="29"/>
    <s v="No"/>
    <s v="Travel_Rarely"/>
    <x v="0"/>
    <n v="4"/>
    <x v="1"/>
    <n v="2"/>
    <n v="1"/>
    <x v="1"/>
    <n v="1"/>
    <s v="Divorced"/>
    <n v="2109"/>
    <n v="1"/>
    <s v="No"/>
    <n v="13"/>
    <n v="3"/>
    <n v="1"/>
    <n v="1"/>
    <n v="2"/>
    <n v="1"/>
    <n v="0"/>
    <n v="0"/>
    <s v="Graduation"/>
    <d v="2020-05-24T00:00:00"/>
    <m/>
    <s v="Work Environment"/>
    <x v="0"/>
    <n v="3"/>
    <n v="3"/>
    <s v="No"/>
    <s v="Walk-in"/>
    <s v="FullTime"/>
    <n v="0"/>
    <s v="Active"/>
    <x v="0"/>
    <x v="0"/>
    <x v="0"/>
  </r>
  <r>
    <n v="38"/>
    <s v="No"/>
    <s v="Travel_Rarely"/>
    <x v="0"/>
    <n v="18"/>
    <x v="0"/>
    <n v="1"/>
    <n v="2"/>
    <x v="7"/>
    <n v="4"/>
    <s v="Married"/>
    <n v="5811"/>
    <n v="3"/>
    <s v="Yes"/>
    <n v="16"/>
    <n v="3"/>
    <n v="1"/>
    <n v="15"/>
    <n v="2"/>
    <n v="1"/>
    <n v="1"/>
    <n v="0"/>
    <s v="Post-Graduation"/>
    <d v="2020-02-21T00:00:00"/>
    <m/>
    <s v="Work Accident"/>
    <x v="1"/>
    <n v="2"/>
    <n v="1"/>
    <s v="Yes"/>
    <s v="Job Event"/>
    <s v="Part Time"/>
    <n v="0"/>
    <s v="Active"/>
    <x v="0"/>
    <x v="0"/>
    <x v="3"/>
  </r>
  <r>
    <n v="43"/>
    <s v="Yes"/>
    <s v="Travel_Frequently"/>
    <x v="0"/>
    <n v="17"/>
    <x v="0"/>
    <n v="2"/>
    <n v="1"/>
    <x v="1"/>
    <n v="3"/>
    <s v="Married"/>
    <n v="2437"/>
    <n v="9"/>
    <s v="Yes"/>
    <n v="16"/>
    <n v="3"/>
    <n v="1"/>
    <n v="6"/>
    <n v="4"/>
    <n v="1"/>
    <n v="0"/>
    <n v="0"/>
    <s v="PHD"/>
    <d v="2020-05-04T00:00:00"/>
    <m/>
    <s v="Dept.Head"/>
    <x v="0"/>
    <n v="3"/>
    <n v="1"/>
    <s v="No"/>
    <s v="Walk-in"/>
    <s v="Contract"/>
    <n v="1"/>
    <s v="Active"/>
    <x v="0"/>
    <x v="0"/>
    <x v="0"/>
  </r>
  <r>
    <n v="55"/>
    <s v="No"/>
    <s v="Travel_Rarely"/>
    <x v="0"/>
    <n v="2"/>
    <x v="0"/>
    <n v="2"/>
    <n v="5"/>
    <x v="2"/>
    <n v="1"/>
    <s v="Married"/>
    <n v="19038"/>
    <n v="8"/>
    <s v="No"/>
    <n v="12"/>
    <n v="3"/>
    <n v="3"/>
    <n v="34"/>
    <n v="2"/>
    <n v="1"/>
    <n v="0"/>
    <n v="0"/>
    <s v="PHD"/>
    <d v="2020-03-16T00:00:00"/>
    <m/>
    <s v="Better Opportunity"/>
    <x v="1"/>
    <n v="4"/>
    <n v="1"/>
    <s v="Yes"/>
    <s v="Recruiter"/>
    <s v="Contract"/>
    <n v="0"/>
    <s v="Active"/>
    <x v="0"/>
    <x v="1"/>
    <x v="1"/>
  </r>
  <r>
    <n v="21"/>
    <s v="Yes"/>
    <s v="Travel_Rarely"/>
    <x v="1"/>
    <n v="7"/>
    <x v="0"/>
    <n v="3"/>
    <n v="1"/>
    <x v="3"/>
    <n v="2"/>
    <s v="Single"/>
    <n v="2679"/>
    <n v="1"/>
    <s v="No"/>
    <n v="13"/>
    <n v="3"/>
    <n v="0"/>
    <n v="1"/>
    <n v="3"/>
    <n v="1"/>
    <n v="1"/>
    <n v="0"/>
    <s v="PHD"/>
    <d v="2020-05-26T00:00:00"/>
    <m/>
    <s v="Work Accident"/>
    <x v="1"/>
    <n v="5"/>
    <n v="2"/>
    <s v="Yes"/>
    <s v="Job Event"/>
    <s v="Part Time"/>
    <n v="1"/>
    <s v="Active"/>
    <x v="0"/>
    <x v="0"/>
    <x v="2"/>
  </r>
  <r>
    <n v="22"/>
    <s v="Yes"/>
    <s v="Travel_Rarely"/>
    <x v="0"/>
    <n v="8"/>
    <x v="1"/>
    <n v="3"/>
    <n v="1"/>
    <x v="0"/>
    <n v="1"/>
    <s v="Married"/>
    <n v="2398"/>
    <n v="1"/>
    <s v="Yes"/>
    <n v="17"/>
    <n v="3"/>
    <n v="0"/>
    <n v="1"/>
    <n v="6"/>
    <n v="1"/>
    <n v="0"/>
    <n v="0"/>
    <s v="12th"/>
    <d v="2020-03-05T00:00:00"/>
    <m/>
    <s v="Salary"/>
    <x v="1"/>
    <n v="5"/>
    <n v="3"/>
    <s v="Yes"/>
    <s v="Job Event"/>
    <s v="FullTime"/>
    <n v="1"/>
    <s v="Active"/>
    <x v="0"/>
    <x v="0"/>
    <x v="0"/>
  </r>
  <r>
    <n v="31"/>
    <s v="Yes"/>
    <s v="Travel_Rarely"/>
    <x v="2"/>
    <n v="18"/>
    <x v="0"/>
    <n v="4"/>
    <n v="1"/>
    <x v="8"/>
    <n v="1"/>
    <s v="Married"/>
    <n v="2956"/>
    <n v="0"/>
    <s v="No"/>
    <n v="17"/>
    <n v="3"/>
    <n v="0"/>
    <n v="2"/>
    <n v="4"/>
    <n v="1"/>
    <n v="0"/>
    <n v="0"/>
    <s v="Post-Graduation"/>
    <d v="2020-06-15T00:00:00"/>
    <m/>
    <s v="Work Accident"/>
    <x v="1"/>
    <n v="4"/>
    <n v="1"/>
    <s v="Yes"/>
    <s v="Walk-in"/>
    <s v="Contract"/>
    <n v="1"/>
    <s v="Active"/>
    <x v="0"/>
    <x v="0"/>
    <x v="4"/>
  </r>
  <r>
    <n v="36"/>
    <s v="No"/>
    <s v="Travel_Rarely"/>
    <x v="0"/>
    <n v="2"/>
    <x v="1"/>
    <n v="3"/>
    <n v="2"/>
    <x v="1"/>
    <n v="2"/>
    <s v="Married"/>
    <n v="6962"/>
    <n v="4"/>
    <s v="Yes"/>
    <n v="22"/>
    <n v="4"/>
    <n v="1"/>
    <n v="15"/>
    <n v="2"/>
    <n v="1"/>
    <n v="0"/>
    <n v="0"/>
    <s v="Graduation"/>
    <d v="2020-05-01T00:00:00"/>
    <m/>
    <s v="Work Environment"/>
    <x v="1"/>
    <n v="4"/>
    <n v="0"/>
    <s v="Yes"/>
    <s v="Recruiter"/>
    <s v="Part Time"/>
    <n v="0"/>
    <s v="Active"/>
    <x v="0"/>
    <x v="0"/>
    <x v="0"/>
  </r>
  <r>
    <n v="29"/>
    <s v="No"/>
    <s v="Travel_Rarely"/>
    <x v="2"/>
    <n v="6"/>
    <x v="0"/>
    <n v="2"/>
    <n v="1"/>
    <x v="8"/>
    <n v="2"/>
    <s v="Married"/>
    <n v="2804"/>
    <n v="1"/>
    <s v="No"/>
    <n v="11"/>
    <n v="3"/>
    <n v="0"/>
    <n v="1"/>
    <n v="3"/>
    <n v="1"/>
    <n v="0"/>
    <n v="0"/>
    <s v="Post-Graduation"/>
    <d v="2020-02-14T00:00:00"/>
    <m/>
    <s v="Dept.Head"/>
    <x v="1"/>
    <n v="1"/>
    <n v="3"/>
    <s v="Yes"/>
    <s v="Job Portal"/>
    <s v="Part Time"/>
    <n v="0"/>
    <s v="Active"/>
    <x v="0"/>
    <x v="0"/>
    <x v="4"/>
  </r>
  <r>
    <n v="29"/>
    <s v="Yes"/>
    <s v="Travel_Frequently"/>
    <x v="0"/>
    <n v="24"/>
    <x v="0"/>
    <n v="2"/>
    <n v="1"/>
    <x v="1"/>
    <n v="4"/>
    <s v="Single"/>
    <n v="2439"/>
    <n v="1"/>
    <s v="Yes"/>
    <n v="24"/>
    <n v="4"/>
    <n v="0"/>
    <n v="1"/>
    <n v="3"/>
    <n v="1"/>
    <n v="1"/>
    <n v="0"/>
    <s v="Graduation"/>
    <d v="2020-06-30T00:00:00"/>
    <m/>
    <s v="Salary"/>
    <x v="0"/>
    <n v="3"/>
    <n v="1"/>
    <s v="Yes"/>
    <s v="Job Portal"/>
    <s v="Part Time"/>
    <n v="1"/>
    <s v="Active"/>
    <x v="0"/>
    <x v="0"/>
    <x v="0"/>
  </r>
  <r>
    <n v="28"/>
    <s v="No"/>
    <s v="Travel_Rarely"/>
    <x v="1"/>
    <n v="3"/>
    <x v="1"/>
    <n v="3"/>
    <n v="1"/>
    <x v="3"/>
    <n v="2"/>
    <s v="Married"/>
    <n v="2856"/>
    <n v="1"/>
    <s v="No"/>
    <n v="19"/>
    <n v="3"/>
    <n v="1"/>
    <n v="1"/>
    <n v="3"/>
    <n v="1"/>
    <n v="0"/>
    <n v="0"/>
    <s v="12th"/>
    <d v="2020-02-04T00:00:00"/>
    <m/>
    <s v="Better Opportunity"/>
    <x v="0"/>
    <n v="3"/>
    <n v="2"/>
    <s v="Yes"/>
    <s v="Job Event"/>
    <s v="Contract"/>
    <n v="0"/>
    <s v="Active"/>
    <x v="0"/>
    <x v="0"/>
    <x v="2"/>
  </r>
  <r>
    <n v="30"/>
    <s v="Yes"/>
    <s v="Travel_Rarely"/>
    <x v="1"/>
    <n v="9"/>
    <x v="0"/>
    <n v="3"/>
    <n v="1"/>
    <x v="3"/>
    <n v="4"/>
    <s v="Single"/>
    <n v="1081"/>
    <n v="1"/>
    <s v="No"/>
    <n v="13"/>
    <n v="3"/>
    <n v="0"/>
    <n v="1"/>
    <n v="3"/>
    <n v="1"/>
    <n v="0"/>
    <n v="0"/>
    <s v="Post-Graduation"/>
    <d v="2020-06-13T00:00:00"/>
    <m/>
    <s v="Better Opportunity"/>
    <x v="1"/>
    <n v="0"/>
    <n v="0"/>
    <s v="No"/>
    <s v="Job Event"/>
    <s v="FullTime"/>
    <n v="1"/>
    <s v="Active"/>
    <x v="0"/>
    <x v="0"/>
    <x v="2"/>
  </r>
  <r>
    <n v="22"/>
    <s v="Yes"/>
    <s v="Travel_Rarely"/>
    <x v="0"/>
    <n v="7"/>
    <x v="0"/>
    <n v="3"/>
    <n v="1"/>
    <x v="1"/>
    <n v="2"/>
    <s v="Single"/>
    <n v="2472"/>
    <n v="1"/>
    <s v="Yes"/>
    <n v="23"/>
    <n v="4"/>
    <n v="0"/>
    <n v="1"/>
    <n v="2"/>
    <n v="1"/>
    <n v="0"/>
    <n v="0"/>
    <s v="Post-Graduation"/>
    <d v="2020-05-13T00:00:00"/>
    <m/>
    <s v="Work Environment"/>
    <x v="0"/>
    <n v="0"/>
    <n v="1"/>
    <s v="No"/>
    <s v="Job Portal"/>
    <s v="FullTime"/>
    <n v="1"/>
    <s v="Active"/>
    <x v="0"/>
    <x v="0"/>
    <x v="0"/>
  </r>
  <r>
    <n v="26"/>
    <s v="No"/>
    <s v="Travel_Rarely"/>
    <x v="0"/>
    <n v="1"/>
    <x v="1"/>
    <n v="2"/>
    <n v="1"/>
    <x v="1"/>
    <n v="3"/>
    <s v="Married"/>
    <n v="2933"/>
    <n v="1"/>
    <s v="Yes"/>
    <n v="13"/>
    <n v="3"/>
    <n v="1"/>
    <n v="1"/>
    <n v="3"/>
    <n v="1"/>
    <n v="1"/>
    <n v="0"/>
    <s v="PHD"/>
    <d v="2020-05-29T00:00:00"/>
    <m/>
    <s v="Salary"/>
    <x v="0"/>
    <n v="1"/>
    <n v="0"/>
    <s v="Yes"/>
    <s v="Job Portal"/>
    <s v="Part Time"/>
    <n v="0"/>
    <s v="Active"/>
    <x v="0"/>
    <x v="0"/>
    <x v="0"/>
  </r>
  <r>
    <n v="29"/>
    <s v="Yes"/>
    <s v="Travel_Frequently"/>
    <x v="1"/>
    <n v="24"/>
    <x v="0"/>
    <n v="4"/>
    <n v="1"/>
    <x v="3"/>
    <n v="1"/>
    <s v="Single"/>
    <n v="1091"/>
    <n v="1"/>
    <s v="No"/>
    <n v="17"/>
    <n v="3"/>
    <n v="0"/>
    <n v="1"/>
    <n v="3"/>
    <n v="1"/>
    <n v="0"/>
    <n v="0"/>
    <s v="Post-Graduation"/>
    <d v="2020-03-02T00:00:00"/>
    <m/>
    <s v="Dept.Head"/>
    <x v="1"/>
    <n v="5"/>
    <n v="0"/>
    <s v="No"/>
    <s v="Job Portal"/>
    <s v="Part Time"/>
    <n v="1"/>
    <s v="Active"/>
    <x v="0"/>
    <x v="0"/>
    <x v="2"/>
  </r>
  <r>
    <n v="58"/>
    <s v="No"/>
    <s v="Travel_Rarely"/>
    <x v="1"/>
    <n v="21"/>
    <x v="1"/>
    <n v="3"/>
    <n v="4"/>
    <x v="5"/>
    <n v="4"/>
    <s v="Married"/>
    <n v="17875"/>
    <n v="4"/>
    <s v="Yes"/>
    <n v="13"/>
    <n v="3"/>
    <n v="1"/>
    <n v="29"/>
    <n v="2"/>
    <n v="1"/>
    <n v="0"/>
    <n v="0"/>
    <s v="12th"/>
    <d v="2020-03-31T00:00:00"/>
    <m/>
    <s v="Salary"/>
    <x v="1"/>
    <n v="2"/>
    <n v="1"/>
    <s v="No"/>
    <s v="Recruiter"/>
    <s v="Part Time"/>
    <n v="0"/>
    <s v="Active"/>
    <x v="0"/>
    <x v="1"/>
    <x v="1"/>
  </r>
  <r>
    <n v="27"/>
    <s v="Yes"/>
    <s v="Travel_Frequently"/>
    <x v="2"/>
    <n v="22"/>
    <x v="1"/>
    <n v="2"/>
    <n v="1"/>
    <x v="8"/>
    <n v="2"/>
    <s v="Married"/>
    <n v="2863"/>
    <n v="1"/>
    <s v="No"/>
    <n v="12"/>
    <n v="3"/>
    <n v="0"/>
    <n v="1"/>
    <n v="2"/>
    <n v="1"/>
    <n v="0"/>
    <n v="0"/>
    <s v="PHD"/>
    <d v="2020-06-18T00:00:00"/>
    <m/>
    <s v="Salary"/>
    <x v="0"/>
    <n v="3"/>
    <n v="3"/>
    <s v="No"/>
    <s v="Recruiter"/>
    <s v="Part Time"/>
    <n v="1"/>
    <s v="Active"/>
    <x v="0"/>
    <x v="0"/>
    <x v="4"/>
  </r>
  <r>
    <n v="38"/>
    <s v="No"/>
    <s v="Travel_Rarely"/>
    <x v="1"/>
    <n v="1"/>
    <x v="0"/>
    <n v="2"/>
    <n v="1"/>
    <x v="3"/>
    <n v="1"/>
    <s v="Single"/>
    <n v="2858"/>
    <n v="4"/>
    <s v="No"/>
    <n v="14"/>
    <n v="3"/>
    <n v="0"/>
    <n v="20"/>
    <n v="3"/>
    <n v="1"/>
    <n v="0"/>
    <n v="0"/>
    <s v="Post-Graduation"/>
    <d v="2020-01-08T00:00:00"/>
    <m/>
    <s v="Work Environment"/>
    <x v="1"/>
    <n v="3"/>
    <n v="1"/>
    <s v="No"/>
    <s v="Job Portal"/>
    <s v="FullTime"/>
    <n v="0"/>
    <s v="Active"/>
    <x v="0"/>
    <x v="0"/>
    <x v="2"/>
  </r>
  <r>
    <n v="32"/>
    <s v="No"/>
    <s v="Travel_Rarely"/>
    <x v="0"/>
    <n v="5"/>
    <x v="0"/>
    <n v="2"/>
    <n v="2"/>
    <x v="6"/>
    <n v="4"/>
    <s v="Single"/>
    <n v="9679"/>
    <n v="8"/>
    <s v="No"/>
    <n v="24"/>
    <n v="4"/>
    <n v="0"/>
    <n v="8"/>
    <n v="1"/>
    <n v="1"/>
    <n v="0"/>
    <n v="0"/>
    <s v="12th"/>
    <d v="2020-06-08T00:00:00"/>
    <m/>
    <s v="Better Opportunity"/>
    <x v="1"/>
    <n v="3"/>
    <n v="2"/>
    <s v="No"/>
    <s v="Job Portal"/>
    <s v="Contract"/>
    <n v="0"/>
    <s v="Active"/>
    <x v="0"/>
    <x v="1"/>
    <x v="3"/>
  </r>
  <r>
    <n v="31"/>
    <s v="No"/>
    <s v="Travel_Rarely"/>
    <x v="0"/>
    <n v="2"/>
    <x v="1"/>
    <n v="1"/>
    <n v="1"/>
    <x v="0"/>
    <n v="4"/>
    <s v="Divorced"/>
    <n v="1129"/>
    <n v="1"/>
    <s v="Yes"/>
    <n v="11"/>
    <n v="3"/>
    <n v="3"/>
    <n v="1"/>
    <n v="4"/>
    <n v="1"/>
    <n v="0"/>
    <n v="0"/>
    <s v="PHD"/>
    <d v="2020-03-30T00:00:00"/>
    <m/>
    <s v="Dept.Head"/>
    <x v="0"/>
    <n v="4"/>
    <n v="3"/>
    <s v="No"/>
    <s v="Recruiter"/>
    <s v="Contract"/>
    <n v="0"/>
    <s v="Active"/>
    <x v="0"/>
    <x v="0"/>
    <x v="0"/>
  </r>
  <r>
    <n v="33"/>
    <s v="No"/>
    <s v="Non-Travel"/>
    <x v="0"/>
    <n v="1"/>
    <x v="0"/>
    <n v="2"/>
    <n v="1"/>
    <x v="0"/>
    <n v="3"/>
    <s v="Divorced"/>
    <n v="2008"/>
    <n v="1"/>
    <s v="No"/>
    <n v="12"/>
    <n v="3"/>
    <n v="3"/>
    <n v="1"/>
    <n v="2"/>
    <n v="1"/>
    <n v="0"/>
    <n v="0"/>
    <s v="PHD"/>
    <d v="2020-05-26T00:00:00"/>
    <m/>
    <s v="Better Opportunity"/>
    <x v="1"/>
    <n v="0"/>
    <n v="1"/>
    <s v="Yes"/>
    <s v="Walk-in"/>
    <s v="Contract"/>
    <n v="0"/>
    <s v="Active"/>
    <x v="0"/>
    <x v="0"/>
    <x v="0"/>
  </r>
  <r>
    <n v="40"/>
    <s v="No"/>
    <s v="Travel_Rarely"/>
    <x v="0"/>
    <n v="1"/>
    <x v="0"/>
    <n v="3"/>
    <n v="1"/>
    <x v="0"/>
    <n v="4"/>
    <s v="Married"/>
    <n v="2406"/>
    <n v="8"/>
    <s v="No"/>
    <n v="19"/>
    <n v="3"/>
    <n v="2"/>
    <n v="8"/>
    <n v="3"/>
    <n v="1"/>
    <n v="0"/>
    <n v="0"/>
    <s v="Post-Graduation"/>
    <d v="2020-03-15T00:00:00"/>
    <m/>
    <s v="Salary"/>
    <x v="1"/>
    <n v="1"/>
    <n v="2"/>
    <s v="Yes"/>
    <s v="Recruiter"/>
    <s v="FullTime"/>
    <n v="0"/>
    <s v="Active"/>
    <x v="0"/>
    <x v="0"/>
    <x v="0"/>
  </r>
  <r>
    <n v="23"/>
    <s v="Yes"/>
    <s v="Travel_Frequently"/>
    <x v="1"/>
    <n v="9"/>
    <x v="0"/>
    <n v="3"/>
    <n v="1"/>
    <x v="3"/>
    <n v="1"/>
    <s v="Married"/>
    <n v="1790"/>
    <n v="1"/>
    <s v="No"/>
    <n v="19"/>
    <n v="3"/>
    <n v="1"/>
    <n v="1"/>
    <n v="3"/>
    <n v="1"/>
    <n v="1"/>
    <n v="0"/>
    <s v="Post-Graduation"/>
    <d v="2020-04-02T00:00:00"/>
    <m/>
    <s v="Work Accident"/>
    <x v="0"/>
    <n v="2"/>
    <n v="3"/>
    <s v="No"/>
    <s v="Job Event"/>
    <s v="FullTime"/>
    <n v="1"/>
    <s v="Active"/>
    <x v="0"/>
    <x v="0"/>
    <x v="2"/>
  </r>
  <r>
    <n v="27"/>
    <s v="No"/>
    <s v="Travel_Rarely"/>
    <x v="0"/>
    <n v="2"/>
    <x v="0"/>
    <n v="3"/>
    <n v="1"/>
    <x v="0"/>
    <n v="2"/>
    <s v="Married"/>
    <n v="3468"/>
    <n v="9"/>
    <s v="No"/>
    <n v="12"/>
    <n v="3"/>
    <n v="1"/>
    <n v="6"/>
    <n v="3"/>
    <n v="2"/>
    <n v="2"/>
    <n v="2"/>
    <s v="Graduation"/>
    <d v="2019-02-19T00:00:00"/>
    <m/>
    <s v="Dept.Head"/>
    <x v="1"/>
    <n v="0"/>
    <n v="2"/>
    <s v="Yes"/>
    <s v="Job Portal"/>
    <s v="Contract"/>
    <n v="0"/>
    <s v="Active"/>
    <x v="0"/>
    <x v="0"/>
    <x v="0"/>
  </r>
  <r>
    <n v="34"/>
    <s v="No"/>
    <s v="Travel_Rarely"/>
    <x v="0"/>
    <n v="19"/>
    <x v="0"/>
    <n v="3"/>
    <n v="1"/>
    <x v="0"/>
    <n v="4"/>
    <s v="Divorced"/>
    <n v="2661"/>
    <n v="0"/>
    <s v="No"/>
    <n v="11"/>
    <n v="3"/>
    <n v="1"/>
    <n v="3"/>
    <n v="2"/>
    <n v="2"/>
    <n v="1"/>
    <n v="2"/>
    <s v="PHD"/>
    <d v="2019-05-01T00:00:00"/>
    <m/>
    <s v="Work Environment"/>
    <x v="0"/>
    <n v="2"/>
    <n v="2"/>
    <s v="Yes"/>
    <s v="Job Event"/>
    <s v="FullTime"/>
    <n v="0"/>
    <s v="Active"/>
    <x v="0"/>
    <x v="0"/>
    <x v="0"/>
  </r>
  <r>
    <n v="46"/>
    <s v="No"/>
    <s v="Travel_Rarely"/>
    <x v="1"/>
    <n v="2"/>
    <x v="1"/>
    <n v="3"/>
    <n v="5"/>
    <x v="5"/>
    <n v="1"/>
    <s v="Single"/>
    <n v="18947"/>
    <n v="3"/>
    <s v="No"/>
    <n v="12"/>
    <n v="3"/>
    <n v="0"/>
    <n v="22"/>
    <n v="2"/>
    <n v="2"/>
    <n v="2"/>
    <n v="1"/>
    <s v="Post-Graduation"/>
    <d v="2019-03-16T00:00:00"/>
    <m/>
    <s v="Work Accident"/>
    <x v="1"/>
    <n v="2"/>
    <n v="2"/>
    <s v="No"/>
    <s v="Recruiter"/>
    <s v="Part Time"/>
    <n v="0"/>
    <s v="Active"/>
    <x v="0"/>
    <x v="1"/>
    <x v="1"/>
  </r>
  <r>
    <n v="24"/>
    <s v="Yes"/>
    <s v="Travel_Rarely"/>
    <x v="0"/>
    <n v="1"/>
    <x v="0"/>
    <n v="3"/>
    <n v="1"/>
    <x v="1"/>
    <n v="4"/>
    <s v="Married"/>
    <n v="2293"/>
    <n v="2"/>
    <s v="Yes"/>
    <n v="16"/>
    <n v="3"/>
    <n v="1"/>
    <n v="6"/>
    <n v="2"/>
    <n v="2"/>
    <n v="2"/>
    <n v="0"/>
    <s v="Graduation"/>
    <d v="2019-01-26T00:00:00"/>
    <m/>
    <s v="Work Environment"/>
    <x v="1"/>
    <n v="1"/>
    <n v="3"/>
    <s v="Yes"/>
    <s v="Job Event"/>
    <s v="Part Time"/>
    <n v="1"/>
    <s v="Active"/>
    <x v="0"/>
    <x v="0"/>
    <x v="0"/>
  </r>
  <r>
    <n v="35"/>
    <s v="No"/>
    <s v="Travel_Rarely"/>
    <x v="1"/>
    <n v="2"/>
    <x v="1"/>
    <n v="3"/>
    <n v="1"/>
    <x v="3"/>
    <n v="4"/>
    <s v="Married"/>
    <n v="2014"/>
    <n v="1"/>
    <s v="No"/>
    <n v="13"/>
    <n v="3"/>
    <n v="0"/>
    <n v="2"/>
    <n v="3"/>
    <n v="2"/>
    <n v="2"/>
    <n v="2"/>
    <s v="12th"/>
    <d v="2019-04-16T00:00:00"/>
    <m/>
    <s v="Salary"/>
    <x v="0"/>
    <n v="1"/>
    <n v="1"/>
    <s v="No"/>
    <s v="Job Event"/>
    <s v="FullTime"/>
    <n v="0"/>
    <s v="Active"/>
    <x v="0"/>
    <x v="0"/>
    <x v="2"/>
  </r>
  <r>
    <n v="28"/>
    <s v="Yes"/>
    <s v="Travel_Rarely"/>
    <x v="0"/>
    <n v="5"/>
    <x v="0"/>
    <n v="3"/>
    <n v="1"/>
    <x v="0"/>
    <n v="3"/>
    <s v="Single"/>
    <n v="3441"/>
    <n v="1"/>
    <s v="Yes"/>
    <n v="13"/>
    <n v="3"/>
    <n v="0"/>
    <n v="2"/>
    <n v="3"/>
    <n v="2"/>
    <n v="2"/>
    <n v="2"/>
    <s v="PHD"/>
    <d v="2019-05-03T00:00:00"/>
    <m/>
    <s v="Salary"/>
    <x v="0"/>
    <n v="2"/>
    <n v="2"/>
    <s v="Yes"/>
    <s v="Job Event"/>
    <s v="Contract"/>
    <n v="1"/>
    <s v="Active"/>
    <x v="0"/>
    <x v="0"/>
    <x v="0"/>
  </r>
  <r>
    <n v="26"/>
    <s v="No"/>
    <s v="Travel_Rarely"/>
    <x v="1"/>
    <n v="23"/>
    <x v="1"/>
    <n v="2"/>
    <n v="2"/>
    <x v="4"/>
    <n v="4"/>
    <s v="Married"/>
    <n v="4157"/>
    <n v="7"/>
    <s v="Yes"/>
    <n v="19"/>
    <n v="3"/>
    <n v="1"/>
    <n v="5"/>
    <n v="2"/>
    <n v="2"/>
    <n v="0"/>
    <n v="0"/>
    <s v="Post-Graduation"/>
    <d v="2019-05-17T00:00:00"/>
    <m/>
    <s v="Work Accident"/>
    <x v="1"/>
    <n v="4"/>
    <n v="3"/>
    <s v="Yes"/>
    <s v="Recruiter"/>
    <s v="FullTime"/>
    <n v="0"/>
    <s v="Active"/>
    <x v="0"/>
    <x v="0"/>
    <x v="2"/>
  </r>
  <r>
    <n v="35"/>
    <s v="No"/>
    <s v="Travel_Rarely"/>
    <x v="0"/>
    <n v="23"/>
    <x v="1"/>
    <n v="3"/>
    <n v="1"/>
    <x v="0"/>
    <n v="1"/>
    <s v="Married"/>
    <n v="4014"/>
    <n v="3"/>
    <s v="Yes"/>
    <n v="15"/>
    <n v="3"/>
    <n v="1"/>
    <n v="4"/>
    <n v="3"/>
    <n v="2"/>
    <n v="2"/>
    <n v="2"/>
    <s v="PHD"/>
    <d v="2019-02-04T00:00:00"/>
    <m/>
    <s v="Work Environment"/>
    <x v="1"/>
    <n v="3"/>
    <n v="0"/>
    <s v="No"/>
    <s v="Job Portal"/>
    <s v="Part Time"/>
    <n v="0"/>
    <s v="Active"/>
    <x v="0"/>
    <x v="0"/>
    <x v="0"/>
  </r>
  <r>
    <n v="25"/>
    <s v="No"/>
    <s v="Travel_Rarely"/>
    <x v="0"/>
    <n v="7"/>
    <x v="0"/>
    <n v="2"/>
    <n v="1"/>
    <x v="1"/>
    <n v="4"/>
    <s v="Married"/>
    <n v="2889"/>
    <n v="1"/>
    <s v="No"/>
    <n v="11"/>
    <n v="3"/>
    <n v="2"/>
    <n v="2"/>
    <n v="2"/>
    <n v="2"/>
    <n v="2"/>
    <n v="1"/>
    <s v="12th"/>
    <d v="2019-05-27T00:00:00"/>
    <m/>
    <s v="Dept.Head"/>
    <x v="1"/>
    <n v="4"/>
    <n v="0"/>
    <s v="No"/>
    <s v="Job Portal"/>
    <s v="Contract"/>
    <n v="0"/>
    <s v="Active"/>
    <x v="0"/>
    <x v="0"/>
    <x v="0"/>
  </r>
  <r>
    <n v="22"/>
    <s v="No"/>
    <s v="Travel_Rarely"/>
    <x v="0"/>
    <n v="2"/>
    <x v="0"/>
    <n v="3"/>
    <n v="1"/>
    <x v="0"/>
    <n v="4"/>
    <s v="Married"/>
    <n v="2523"/>
    <n v="0"/>
    <s v="No"/>
    <n v="14"/>
    <n v="3"/>
    <n v="1"/>
    <n v="3"/>
    <n v="2"/>
    <n v="2"/>
    <n v="2"/>
    <n v="1"/>
    <s v="Graduation"/>
    <d v="2019-06-30T00:00:00"/>
    <m/>
    <s v="Dept.Head"/>
    <x v="0"/>
    <n v="4"/>
    <n v="0"/>
    <s v="Yes"/>
    <s v="Walk-in"/>
    <s v="FullTime"/>
    <n v="0"/>
    <s v="Active"/>
    <x v="0"/>
    <x v="0"/>
    <x v="0"/>
  </r>
  <r>
    <n v="50"/>
    <s v="No"/>
    <s v="Travel_Frequently"/>
    <x v="1"/>
    <n v="12"/>
    <x v="1"/>
    <n v="3"/>
    <n v="3"/>
    <x v="4"/>
    <n v="4"/>
    <s v="Single"/>
    <n v="9208"/>
    <n v="4"/>
    <s v="No"/>
    <n v="11"/>
    <n v="3"/>
    <n v="0"/>
    <n v="16"/>
    <n v="3"/>
    <n v="2"/>
    <n v="2"/>
    <n v="1"/>
    <s v="12th"/>
    <d v="2019-04-16T00:00:00"/>
    <m/>
    <s v="Salary"/>
    <x v="0"/>
    <n v="5"/>
    <n v="0"/>
    <s v="No"/>
    <s v="Job Portal"/>
    <s v="Contract"/>
    <n v="0"/>
    <s v="Active"/>
    <x v="0"/>
    <x v="1"/>
    <x v="2"/>
  </r>
  <r>
    <n v="31"/>
    <s v="Yes"/>
    <s v="Travel_Rarely"/>
    <x v="1"/>
    <n v="20"/>
    <x v="1"/>
    <n v="1"/>
    <n v="2"/>
    <x v="4"/>
    <n v="3"/>
    <s v="Married"/>
    <n v="4559"/>
    <n v="3"/>
    <s v="Yes"/>
    <n v="11"/>
    <n v="3"/>
    <n v="1"/>
    <n v="4"/>
    <n v="2"/>
    <n v="2"/>
    <n v="2"/>
    <n v="2"/>
    <s v="Graduation"/>
    <d v="2019-06-07T00:00:00"/>
    <m/>
    <s v="Salary"/>
    <x v="0"/>
    <n v="0"/>
    <n v="3"/>
    <s v="No"/>
    <s v="Walk-in"/>
    <s v="Part Time"/>
    <n v="1"/>
    <s v="Active"/>
    <x v="0"/>
    <x v="0"/>
    <x v="2"/>
  </r>
  <r>
    <n v="25"/>
    <s v="No"/>
    <s v="Travel_Rarely"/>
    <x v="1"/>
    <n v="28"/>
    <x v="0"/>
    <n v="2"/>
    <n v="2"/>
    <x v="4"/>
    <n v="3"/>
    <s v="Married"/>
    <n v="8639"/>
    <n v="2"/>
    <s v="No"/>
    <n v="18"/>
    <n v="3"/>
    <n v="0"/>
    <n v="6"/>
    <n v="3"/>
    <n v="2"/>
    <n v="2"/>
    <n v="2"/>
    <s v="Post-Graduation"/>
    <d v="2019-02-11T00:00:00"/>
    <m/>
    <s v="Work Environment"/>
    <x v="0"/>
    <n v="1"/>
    <n v="2"/>
    <s v="Yes"/>
    <s v="Job Portal"/>
    <s v="Contract"/>
    <n v="0"/>
    <s v="Active"/>
    <x v="0"/>
    <x v="1"/>
    <x v="2"/>
  </r>
  <r>
    <n v="22"/>
    <s v="No"/>
    <s v="Travel_Rarely"/>
    <x v="0"/>
    <n v="19"/>
    <x v="0"/>
    <n v="3"/>
    <n v="1"/>
    <x v="1"/>
    <n v="4"/>
    <s v="Married"/>
    <n v="2323"/>
    <n v="1"/>
    <s v="No"/>
    <n v="24"/>
    <n v="4"/>
    <n v="2"/>
    <n v="2"/>
    <n v="6"/>
    <n v="2"/>
    <n v="2"/>
    <n v="2"/>
    <s v="12th"/>
    <d v="2019-04-13T00:00:00"/>
    <m/>
    <s v="Work Environment"/>
    <x v="1"/>
    <n v="5"/>
    <n v="0"/>
    <s v="Yes"/>
    <s v="Walk-in"/>
    <s v="Part Time"/>
    <n v="0"/>
    <s v="Active"/>
    <x v="0"/>
    <x v="0"/>
    <x v="0"/>
  </r>
  <r>
    <n v="27"/>
    <s v="No"/>
    <s v="Non-Travel"/>
    <x v="0"/>
    <n v="9"/>
    <x v="0"/>
    <n v="3"/>
    <n v="1"/>
    <x v="1"/>
    <n v="2"/>
    <s v="Divorced"/>
    <n v="2024"/>
    <n v="6"/>
    <s v="No"/>
    <n v="18"/>
    <n v="3"/>
    <n v="1"/>
    <n v="6"/>
    <n v="1"/>
    <n v="2"/>
    <n v="2"/>
    <n v="2"/>
    <s v="Post-Graduation"/>
    <d v="2019-03-19T00:00:00"/>
    <m/>
    <s v="Dept.Head"/>
    <x v="0"/>
    <n v="4"/>
    <n v="1"/>
    <s v="No"/>
    <s v="Job Portal"/>
    <s v="Contract"/>
    <n v="0"/>
    <s v="Active"/>
    <x v="0"/>
    <x v="0"/>
    <x v="0"/>
  </r>
  <r>
    <n v="56"/>
    <s v="No"/>
    <s v="Travel_Rarely"/>
    <x v="0"/>
    <n v="8"/>
    <x v="1"/>
    <n v="3"/>
    <n v="1"/>
    <x v="1"/>
    <n v="1"/>
    <s v="Divorced"/>
    <n v="4257"/>
    <n v="4"/>
    <s v="Yes"/>
    <n v="18"/>
    <n v="3"/>
    <n v="1"/>
    <n v="19"/>
    <n v="3"/>
    <n v="2"/>
    <n v="2"/>
    <n v="2"/>
    <s v="Graduation"/>
    <d v="2019-04-27T00:00:00"/>
    <m/>
    <s v="Dept.Head"/>
    <x v="0"/>
    <n v="1"/>
    <n v="1"/>
    <s v="No"/>
    <s v="Recruiter"/>
    <s v="Part Time"/>
    <n v="0"/>
    <s v="Active"/>
    <x v="0"/>
    <x v="0"/>
    <x v="0"/>
  </r>
  <r>
    <n v="38"/>
    <s v="No"/>
    <s v="Travel_Rarely"/>
    <x v="0"/>
    <n v="9"/>
    <x v="1"/>
    <n v="3"/>
    <n v="1"/>
    <x v="0"/>
    <n v="4"/>
    <s v="Single"/>
    <n v="2288"/>
    <n v="1"/>
    <s v="No"/>
    <n v="12"/>
    <n v="3"/>
    <n v="0"/>
    <n v="2"/>
    <n v="3"/>
    <n v="2"/>
    <n v="2"/>
    <n v="1"/>
    <s v="Post-Graduation"/>
    <d v="2019-06-28T00:00:00"/>
    <m/>
    <s v="Work Environment"/>
    <x v="1"/>
    <n v="5"/>
    <n v="1"/>
    <s v="Yes"/>
    <s v="Recruiter"/>
    <s v="FullTime"/>
    <n v="0"/>
    <s v="Active"/>
    <x v="0"/>
    <x v="0"/>
    <x v="0"/>
  </r>
  <r>
    <n v="27"/>
    <s v="No"/>
    <s v="Travel_Frequently"/>
    <x v="0"/>
    <n v="1"/>
    <x v="0"/>
    <n v="2"/>
    <n v="2"/>
    <x v="6"/>
    <n v="1"/>
    <s v="Married"/>
    <n v="4298"/>
    <n v="5"/>
    <s v="No"/>
    <n v="19"/>
    <n v="3"/>
    <n v="1"/>
    <n v="6"/>
    <n v="1"/>
    <n v="2"/>
    <n v="2"/>
    <n v="0"/>
    <s v="Post-Graduation"/>
    <d v="2019-05-05T00:00:00"/>
    <m/>
    <s v="Work Accident"/>
    <x v="1"/>
    <n v="4"/>
    <n v="3"/>
    <s v="Yes"/>
    <s v="Walk-in"/>
    <s v="Contract"/>
    <n v="0"/>
    <s v="Active"/>
    <x v="0"/>
    <x v="0"/>
    <x v="3"/>
  </r>
  <r>
    <n v="52"/>
    <s v="No"/>
    <s v="Travel_Rarely"/>
    <x v="0"/>
    <n v="2"/>
    <x v="1"/>
    <n v="2"/>
    <n v="1"/>
    <x v="0"/>
    <n v="4"/>
    <s v="Single"/>
    <n v="3212"/>
    <n v="7"/>
    <s v="No"/>
    <n v="15"/>
    <n v="3"/>
    <n v="0"/>
    <n v="6"/>
    <n v="3"/>
    <n v="2"/>
    <n v="2"/>
    <n v="2"/>
    <s v="Post-Graduation"/>
    <d v="2019-03-02T00:00:00"/>
    <m/>
    <s v="Dept.Head"/>
    <x v="1"/>
    <n v="2"/>
    <n v="3"/>
    <s v="Yes"/>
    <s v="Job Portal"/>
    <s v="Contract"/>
    <n v="0"/>
    <s v="Active"/>
    <x v="0"/>
    <x v="0"/>
    <x v="0"/>
  </r>
  <r>
    <n v="59"/>
    <s v="No"/>
    <s v="Travel_Rarely"/>
    <x v="2"/>
    <n v="6"/>
    <x v="0"/>
    <n v="3"/>
    <n v="1"/>
    <x v="8"/>
    <n v="3"/>
    <s v="Married"/>
    <n v="2267"/>
    <n v="8"/>
    <s v="No"/>
    <n v="17"/>
    <n v="3"/>
    <n v="0"/>
    <n v="7"/>
    <n v="2"/>
    <n v="2"/>
    <n v="2"/>
    <n v="2"/>
    <s v="12th"/>
    <d v="2019-01-11T00:00:00"/>
    <m/>
    <s v="Work Accident"/>
    <x v="0"/>
    <n v="2"/>
    <n v="3"/>
    <s v="Yes"/>
    <s v="Walk-in"/>
    <s v="Contract"/>
    <n v="0"/>
    <s v="Active"/>
    <x v="0"/>
    <x v="0"/>
    <x v="4"/>
  </r>
  <r>
    <n v="31"/>
    <s v="No"/>
    <s v="Travel_Frequently"/>
    <x v="0"/>
    <n v="3"/>
    <x v="0"/>
    <n v="3"/>
    <n v="3"/>
    <x v="2"/>
    <n v="3"/>
    <s v="Divorced"/>
    <n v="13675"/>
    <n v="9"/>
    <s v="No"/>
    <n v="12"/>
    <n v="3"/>
    <n v="1"/>
    <n v="9"/>
    <n v="3"/>
    <n v="2"/>
    <n v="2"/>
    <n v="2"/>
    <s v="12th"/>
    <d v="2019-04-22T00:00:00"/>
    <m/>
    <s v="Dept.Head"/>
    <x v="1"/>
    <n v="1"/>
    <n v="3"/>
    <s v="No"/>
    <s v="Job Portal"/>
    <s v="Contract"/>
    <n v="0"/>
    <s v="Active"/>
    <x v="0"/>
    <x v="1"/>
    <x v="1"/>
  </r>
  <r>
    <n v="33"/>
    <s v="No"/>
    <s v="Travel_Rarely"/>
    <x v="0"/>
    <n v="5"/>
    <x v="1"/>
    <n v="2"/>
    <n v="1"/>
    <x v="1"/>
    <n v="4"/>
    <s v="Married"/>
    <n v="2911"/>
    <n v="1"/>
    <s v="No"/>
    <n v="13"/>
    <n v="3"/>
    <n v="1"/>
    <n v="2"/>
    <n v="2"/>
    <n v="2"/>
    <n v="0"/>
    <n v="2"/>
    <s v="Post-Graduation"/>
    <d v="2019-06-07T00:00:00"/>
    <m/>
    <s v="Better Opportunity"/>
    <x v="1"/>
    <n v="4"/>
    <n v="2"/>
    <s v="Yes"/>
    <s v="Recruiter"/>
    <s v="Part Time"/>
    <n v="0"/>
    <s v="Active"/>
    <x v="0"/>
    <x v="0"/>
    <x v="0"/>
  </r>
  <r>
    <n v="38"/>
    <s v="No"/>
    <s v="Travel_Rarely"/>
    <x v="0"/>
    <n v="23"/>
    <x v="0"/>
    <n v="3"/>
    <n v="2"/>
    <x v="7"/>
    <n v="4"/>
    <s v="Divorced"/>
    <n v="5745"/>
    <n v="9"/>
    <s v="No"/>
    <n v="14"/>
    <n v="3"/>
    <n v="1"/>
    <n v="10"/>
    <n v="2"/>
    <n v="2"/>
    <n v="1"/>
    <n v="2"/>
    <s v="12th"/>
    <d v="2019-01-24T00:00:00"/>
    <m/>
    <s v="Better Opportunity"/>
    <x v="0"/>
    <n v="5"/>
    <n v="2"/>
    <s v="Yes"/>
    <s v="Walk-in"/>
    <s v="FullTime"/>
    <n v="0"/>
    <s v="Active"/>
    <x v="0"/>
    <x v="0"/>
    <x v="3"/>
  </r>
  <r>
    <n v="31"/>
    <s v="No"/>
    <s v="Travel_Frequently"/>
    <x v="1"/>
    <n v="5"/>
    <x v="1"/>
    <n v="3"/>
    <n v="1"/>
    <x v="3"/>
    <n v="2"/>
    <s v="Divorced"/>
    <n v="2789"/>
    <n v="1"/>
    <s v="No"/>
    <n v="11"/>
    <n v="3"/>
    <n v="1"/>
    <n v="2"/>
    <n v="5"/>
    <n v="2"/>
    <n v="2"/>
    <n v="2"/>
    <s v="12th"/>
    <d v="2019-01-01T00:00:00"/>
    <m/>
    <s v="Work Accident"/>
    <x v="1"/>
    <n v="0"/>
    <n v="2"/>
    <s v="No"/>
    <s v="Recruiter"/>
    <s v="FullTime"/>
    <n v="0"/>
    <s v="Active"/>
    <x v="0"/>
    <x v="0"/>
    <x v="2"/>
  </r>
  <r>
    <n v="31"/>
    <s v="No"/>
    <s v="Travel_Rarely"/>
    <x v="2"/>
    <n v="2"/>
    <x v="0"/>
    <n v="2"/>
    <n v="2"/>
    <x v="8"/>
    <n v="1"/>
    <s v="Married"/>
    <n v="6410"/>
    <n v="3"/>
    <s v="No"/>
    <n v="12"/>
    <n v="3"/>
    <n v="0"/>
    <n v="9"/>
    <n v="1"/>
    <n v="2"/>
    <n v="1"/>
    <n v="0"/>
    <s v="Graduation"/>
    <d v="2019-02-19T00:00:00"/>
    <m/>
    <s v="Salary"/>
    <x v="0"/>
    <n v="1"/>
    <n v="1"/>
    <s v="Yes"/>
    <s v="Job Portal"/>
    <s v="Contract"/>
    <n v="0"/>
    <s v="Active"/>
    <x v="0"/>
    <x v="0"/>
    <x v="4"/>
  </r>
  <r>
    <n v="31"/>
    <s v="No"/>
    <s v="Travel_Rarely"/>
    <x v="0"/>
    <n v="2"/>
    <x v="0"/>
    <n v="3"/>
    <n v="1"/>
    <x v="1"/>
    <n v="4"/>
    <s v="Divorced"/>
    <n v="2695"/>
    <n v="0"/>
    <s v="Yes"/>
    <n v="18"/>
    <n v="3"/>
    <n v="1"/>
    <n v="3"/>
    <n v="2"/>
    <n v="2"/>
    <n v="2"/>
    <n v="2"/>
    <s v="Graduation"/>
    <d v="2019-03-08T00:00:00"/>
    <m/>
    <s v="Better Opportunity"/>
    <x v="1"/>
    <n v="2"/>
    <n v="3"/>
    <s v="Yes"/>
    <s v="Job Event"/>
    <s v="Part Time"/>
    <n v="0"/>
    <s v="Active"/>
    <x v="0"/>
    <x v="0"/>
    <x v="0"/>
  </r>
  <r>
    <n v="30"/>
    <s v="No"/>
    <s v="Non-Travel"/>
    <x v="1"/>
    <n v="25"/>
    <x v="1"/>
    <n v="3"/>
    <n v="2"/>
    <x v="4"/>
    <n v="3"/>
    <s v="Married"/>
    <n v="4736"/>
    <n v="7"/>
    <s v="Yes"/>
    <n v="12"/>
    <n v="3"/>
    <n v="1"/>
    <n v="4"/>
    <n v="2"/>
    <n v="2"/>
    <n v="2"/>
    <n v="2"/>
    <s v="Post-Graduation"/>
    <d v="2019-06-29T00:00:00"/>
    <m/>
    <s v="Dept.Head"/>
    <x v="0"/>
    <n v="0"/>
    <n v="3"/>
    <s v="No"/>
    <s v="Walk-in"/>
    <s v="Part Time"/>
    <n v="0"/>
    <s v="Active"/>
    <x v="0"/>
    <x v="0"/>
    <x v="2"/>
  </r>
  <r>
    <n v="31"/>
    <s v="No"/>
    <s v="Travel_Rarely"/>
    <x v="0"/>
    <n v="9"/>
    <x v="0"/>
    <n v="2"/>
    <n v="1"/>
    <x v="1"/>
    <n v="2"/>
    <s v="Single"/>
    <n v="2657"/>
    <n v="0"/>
    <s v="Yes"/>
    <n v="16"/>
    <n v="3"/>
    <n v="0"/>
    <n v="3"/>
    <n v="5"/>
    <n v="2"/>
    <n v="2"/>
    <n v="2"/>
    <s v="Post-Graduation"/>
    <d v="2019-03-16T00:00:00"/>
    <m/>
    <s v="Salary"/>
    <x v="1"/>
    <n v="5"/>
    <n v="2"/>
    <s v="Yes"/>
    <s v="Recruiter"/>
    <s v="Part Time"/>
    <n v="0"/>
    <s v="Active"/>
    <x v="0"/>
    <x v="0"/>
    <x v="0"/>
  </r>
  <r>
    <n v="36"/>
    <s v="No"/>
    <s v="Travel_Rarely"/>
    <x v="0"/>
    <n v="2"/>
    <x v="1"/>
    <n v="3"/>
    <n v="1"/>
    <x v="1"/>
    <n v="3"/>
    <s v="Married"/>
    <n v="2543"/>
    <n v="4"/>
    <s v="No"/>
    <n v="13"/>
    <n v="3"/>
    <n v="1"/>
    <n v="6"/>
    <n v="3"/>
    <n v="2"/>
    <n v="2"/>
    <n v="2"/>
    <s v="Post-Graduation"/>
    <d v="2019-05-21T00:00:00"/>
    <m/>
    <s v="Better Opportunity"/>
    <x v="0"/>
    <n v="4"/>
    <n v="3"/>
    <s v="Yes"/>
    <s v="Recruiter"/>
    <s v="Contract"/>
    <n v="0"/>
    <s v="Active"/>
    <x v="0"/>
    <x v="0"/>
    <x v="0"/>
  </r>
  <r>
    <n v="22"/>
    <s v="No"/>
    <s v="Travel_Rarely"/>
    <x v="0"/>
    <n v="11"/>
    <x v="1"/>
    <n v="3"/>
    <n v="1"/>
    <x v="1"/>
    <n v="2"/>
    <s v="Married"/>
    <n v="2244"/>
    <n v="1"/>
    <s v="No"/>
    <n v="13"/>
    <n v="3"/>
    <n v="1"/>
    <n v="2"/>
    <n v="1"/>
    <n v="2"/>
    <n v="1"/>
    <n v="2"/>
    <s v="PHD"/>
    <d v="2019-06-03T00:00:00"/>
    <m/>
    <s v="Salary"/>
    <x v="0"/>
    <n v="4"/>
    <n v="2"/>
    <s v="Yes"/>
    <s v="Job Event"/>
    <s v="Contract"/>
    <n v="0"/>
    <s v="Active"/>
    <x v="0"/>
    <x v="0"/>
    <x v="0"/>
  </r>
  <r>
    <n v="25"/>
    <s v="Yes"/>
    <s v="Travel_Rarely"/>
    <x v="0"/>
    <n v="3"/>
    <x v="0"/>
    <n v="3"/>
    <n v="1"/>
    <x v="0"/>
    <n v="1"/>
    <s v="Married"/>
    <n v="4031"/>
    <n v="5"/>
    <s v="No"/>
    <n v="13"/>
    <n v="3"/>
    <n v="1"/>
    <n v="6"/>
    <n v="5"/>
    <n v="2"/>
    <n v="0"/>
    <n v="2"/>
    <s v="PHD"/>
    <d v="2019-01-29T00:00:00"/>
    <m/>
    <s v="Work Accident"/>
    <x v="0"/>
    <n v="2"/>
    <n v="1"/>
    <s v="No"/>
    <s v="Recruiter"/>
    <s v="Contract"/>
    <n v="1"/>
    <s v="Active"/>
    <x v="0"/>
    <x v="0"/>
    <x v="0"/>
  </r>
  <r>
    <n v="45"/>
    <s v="No"/>
    <s v="Travel_Rarely"/>
    <x v="0"/>
    <n v="10"/>
    <x v="0"/>
    <n v="3"/>
    <n v="1"/>
    <x v="1"/>
    <n v="4"/>
    <s v="Married"/>
    <n v="2654"/>
    <n v="3"/>
    <s v="No"/>
    <n v="21"/>
    <n v="4"/>
    <n v="2"/>
    <n v="8"/>
    <n v="3"/>
    <n v="2"/>
    <n v="0"/>
    <n v="2"/>
    <s v="Post-Graduation"/>
    <d v="2019-03-10T00:00:00"/>
    <m/>
    <s v="Work Environment"/>
    <x v="1"/>
    <n v="2"/>
    <n v="2"/>
    <s v="Yes"/>
    <s v="Walk-in"/>
    <s v="FullTime"/>
    <n v="0"/>
    <s v="Active"/>
    <x v="0"/>
    <x v="0"/>
    <x v="0"/>
  </r>
  <r>
    <n v="34"/>
    <s v="Yes"/>
    <s v="Travel_Frequently"/>
    <x v="1"/>
    <n v="6"/>
    <x v="1"/>
    <n v="1"/>
    <n v="1"/>
    <x v="3"/>
    <n v="3"/>
    <s v="Divorced"/>
    <n v="2351"/>
    <n v="0"/>
    <s v="No"/>
    <n v="16"/>
    <n v="3"/>
    <n v="1"/>
    <n v="3"/>
    <n v="3"/>
    <n v="2"/>
    <n v="1"/>
    <n v="0"/>
    <s v="PHD"/>
    <d v="2019-05-25T00:00:00"/>
    <m/>
    <s v="Work Accident"/>
    <x v="1"/>
    <n v="1"/>
    <n v="2"/>
    <s v="No"/>
    <s v="Recruiter"/>
    <s v="FullTime"/>
    <n v="1"/>
    <s v="Active"/>
    <x v="0"/>
    <x v="0"/>
    <x v="2"/>
  </r>
  <r>
    <n v="29"/>
    <s v="Yes"/>
    <s v="Travel_Rarely"/>
    <x v="0"/>
    <n v="25"/>
    <x v="1"/>
    <n v="2"/>
    <n v="1"/>
    <x v="1"/>
    <n v="2"/>
    <s v="Married"/>
    <n v="2546"/>
    <n v="5"/>
    <s v="No"/>
    <n v="16"/>
    <n v="3"/>
    <n v="0"/>
    <n v="6"/>
    <n v="2"/>
    <n v="2"/>
    <n v="1"/>
    <n v="1"/>
    <s v="Graduation"/>
    <d v="2019-01-26T00:00:00"/>
    <m/>
    <s v="Dept.Head"/>
    <x v="1"/>
    <n v="4"/>
    <n v="3"/>
    <s v="Yes"/>
    <s v="Job Portal"/>
    <s v="FullTime"/>
    <n v="1"/>
    <s v="Active"/>
    <x v="0"/>
    <x v="0"/>
    <x v="0"/>
  </r>
  <r>
    <n v="42"/>
    <s v="No"/>
    <s v="Travel_Frequently"/>
    <x v="0"/>
    <n v="5"/>
    <x v="0"/>
    <n v="3"/>
    <n v="1"/>
    <x v="0"/>
    <n v="3"/>
    <s v="Married"/>
    <n v="2093"/>
    <n v="4"/>
    <s v="No"/>
    <n v="17"/>
    <n v="3"/>
    <n v="1"/>
    <n v="8"/>
    <n v="4"/>
    <n v="2"/>
    <n v="2"/>
    <n v="0"/>
    <s v="Post-Graduation"/>
    <d v="2019-01-19T00:00:00"/>
    <m/>
    <s v="Work Environment"/>
    <x v="1"/>
    <n v="2"/>
    <n v="1"/>
    <s v="Yes"/>
    <s v="Job Event"/>
    <s v="Contract"/>
    <n v="0"/>
    <s v="Active"/>
    <x v="0"/>
    <x v="0"/>
    <x v="0"/>
  </r>
  <r>
    <n v="22"/>
    <s v="Yes"/>
    <s v="Travel_Frequently"/>
    <x v="0"/>
    <n v="4"/>
    <x v="0"/>
    <n v="2"/>
    <n v="1"/>
    <x v="0"/>
    <n v="3"/>
    <s v="Single"/>
    <n v="3894"/>
    <n v="5"/>
    <s v="No"/>
    <n v="16"/>
    <n v="3"/>
    <n v="0"/>
    <n v="4"/>
    <n v="3"/>
    <n v="2"/>
    <n v="1"/>
    <n v="2"/>
    <s v="Post-Graduation"/>
    <d v="2019-03-04T00:00:00"/>
    <m/>
    <s v="Dept.Head"/>
    <x v="0"/>
    <n v="2"/>
    <n v="1"/>
    <s v="No"/>
    <s v="Job Event"/>
    <s v="Contract"/>
    <n v="1"/>
    <s v="Active"/>
    <x v="0"/>
    <x v="0"/>
    <x v="0"/>
  </r>
  <r>
    <n v="46"/>
    <s v="No"/>
    <s v="Travel_Frequently"/>
    <x v="0"/>
    <n v="18"/>
    <x v="1"/>
    <n v="3"/>
    <n v="3"/>
    <x v="7"/>
    <n v="3"/>
    <s v="Married"/>
    <n v="10527"/>
    <n v="5"/>
    <s v="No"/>
    <n v="11"/>
    <n v="3"/>
    <n v="0"/>
    <n v="28"/>
    <n v="3"/>
    <n v="2"/>
    <n v="1"/>
    <n v="2"/>
    <s v="Post-Graduation"/>
    <d v="2019-04-27T00:00:00"/>
    <m/>
    <s v="Better Opportunity"/>
    <x v="1"/>
    <n v="1"/>
    <n v="0"/>
    <s v="Yes"/>
    <s v="Job Portal"/>
    <s v="Contract"/>
    <n v="0"/>
    <s v="Active"/>
    <x v="0"/>
    <x v="1"/>
    <x v="3"/>
  </r>
  <r>
    <n v="24"/>
    <s v="No"/>
    <s v="Travel_Frequently"/>
    <x v="1"/>
    <n v="24"/>
    <x v="0"/>
    <n v="3"/>
    <n v="1"/>
    <x v="3"/>
    <n v="4"/>
    <s v="Married"/>
    <n v="2400"/>
    <n v="0"/>
    <s v="No"/>
    <n v="13"/>
    <n v="3"/>
    <n v="2"/>
    <n v="3"/>
    <n v="3"/>
    <n v="2"/>
    <n v="2"/>
    <n v="1"/>
    <s v="PHD"/>
    <d v="2019-02-04T00:00:00"/>
    <m/>
    <s v="Better Opportunity"/>
    <x v="0"/>
    <n v="2"/>
    <n v="3"/>
    <s v="No"/>
    <s v="Walk-in"/>
    <s v="FullTime"/>
    <n v="0"/>
    <s v="Active"/>
    <x v="0"/>
    <x v="0"/>
    <x v="2"/>
  </r>
  <r>
    <n v="44"/>
    <s v="No"/>
    <s v="Travel_Rarely"/>
    <x v="2"/>
    <n v="1"/>
    <x v="1"/>
    <n v="2"/>
    <n v="2"/>
    <x v="8"/>
    <n v="3"/>
    <s v="Single"/>
    <n v="5985"/>
    <n v="4"/>
    <s v="No"/>
    <n v="11"/>
    <n v="3"/>
    <n v="0"/>
    <n v="10"/>
    <n v="1"/>
    <n v="2"/>
    <n v="0"/>
    <n v="2"/>
    <s v="12th"/>
    <d v="2019-04-12T00:00:00"/>
    <m/>
    <s v="Work Environment"/>
    <x v="0"/>
    <n v="0"/>
    <n v="0"/>
    <s v="No"/>
    <s v="Job Event"/>
    <s v="Part Time"/>
    <n v="0"/>
    <s v="Active"/>
    <x v="0"/>
    <x v="0"/>
    <x v="4"/>
  </r>
  <r>
    <n v="44"/>
    <s v="No"/>
    <s v="Travel_Rarely"/>
    <x v="0"/>
    <n v="3"/>
    <x v="0"/>
    <n v="3"/>
    <n v="5"/>
    <x v="5"/>
    <n v="4"/>
    <s v="Married"/>
    <n v="19513"/>
    <n v="4"/>
    <s v="Yes"/>
    <n v="12"/>
    <n v="3"/>
    <n v="1"/>
    <n v="26"/>
    <n v="2"/>
    <n v="2"/>
    <n v="0"/>
    <n v="1"/>
    <s v="Post-Graduation"/>
    <d v="2019-01-01T00:00:00"/>
    <m/>
    <s v="Work Environment"/>
    <x v="0"/>
    <n v="2"/>
    <n v="2"/>
    <s v="No"/>
    <s v="Recruiter"/>
    <s v="FullTime"/>
    <n v="0"/>
    <s v="Active"/>
    <x v="0"/>
    <x v="1"/>
    <x v="1"/>
  </r>
  <r>
    <n v="22"/>
    <s v="No"/>
    <s v="Travel_Rarely"/>
    <x v="0"/>
    <n v="6"/>
    <x v="0"/>
    <n v="3"/>
    <n v="1"/>
    <x v="1"/>
    <n v="3"/>
    <s v="Married"/>
    <n v="2773"/>
    <n v="0"/>
    <s v="No"/>
    <n v="20"/>
    <n v="4"/>
    <n v="0"/>
    <n v="3"/>
    <n v="3"/>
    <n v="2"/>
    <n v="2"/>
    <n v="2"/>
    <s v="12th"/>
    <d v="2019-06-30T00:00:00"/>
    <m/>
    <s v="Dept.Head"/>
    <x v="0"/>
    <n v="1"/>
    <n v="1"/>
    <s v="Yes"/>
    <s v="Walk-in"/>
    <s v="FullTime"/>
    <n v="0"/>
    <s v="Active"/>
    <x v="0"/>
    <x v="0"/>
    <x v="0"/>
  </r>
  <r>
    <n v="48"/>
    <s v="No"/>
    <s v="Travel_Rarely"/>
    <x v="1"/>
    <n v="2"/>
    <x v="0"/>
    <n v="4"/>
    <n v="2"/>
    <x v="4"/>
    <n v="2"/>
    <s v="Married"/>
    <n v="8120"/>
    <n v="3"/>
    <s v="No"/>
    <n v="12"/>
    <n v="3"/>
    <n v="0"/>
    <n v="12"/>
    <n v="3"/>
    <n v="2"/>
    <n v="2"/>
    <n v="2"/>
    <s v="Post-Graduation"/>
    <d v="2019-05-15T00:00:00"/>
    <m/>
    <s v="Salary"/>
    <x v="0"/>
    <n v="4"/>
    <n v="1"/>
    <s v="No"/>
    <s v="Walk-in"/>
    <s v="Part Time"/>
    <n v="0"/>
    <s v="Active"/>
    <x v="0"/>
    <x v="1"/>
    <x v="2"/>
  </r>
  <r>
    <n v="24"/>
    <s v="Yes"/>
    <s v="Travel_Rarely"/>
    <x v="1"/>
    <n v="3"/>
    <x v="1"/>
    <n v="3"/>
    <n v="2"/>
    <x v="4"/>
    <n v="3"/>
    <s v="Single"/>
    <n v="4577"/>
    <n v="9"/>
    <s v="No"/>
    <n v="14"/>
    <n v="3"/>
    <n v="0"/>
    <n v="4"/>
    <n v="3"/>
    <n v="2"/>
    <n v="2"/>
    <n v="0"/>
    <s v="12th"/>
    <d v="2019-03-01T00:00:00"/>
    <m/>
    <s v="Salary"/>
    <x v="0"/>
    <n v="3"/>
    <n v="0"/>
    <s v="No"/>
    <s v="Job Event"/>
    <s v="Contract"/>
    <n v="1"/>
    <s v="Active"/>
    <x v="0"/>
    <x v="0"/>
    <x v="2"/>
  </r>
  <r>
    <n v="60"/>
    <s v="No"/>
    <s v="Travel_Rarely"/>
    <x v="1"/>
    <n v="16"/>
    <x v="0"/>
    <n v="3"/>
    <n v="2"/>
    <x v="4"/>
    <n v="1"/>
    <s v="Single"/>
    <n v="5405"/>
    <n v="8"/>
    <s v="No"/>
    <n v="14"/>
    <n v="3"/>
    <n v="0"/>
    <n v="10"/>
    <n v="1"/>
    <n v="2"/>
    <n v="2"/>
    <n v="2"/>
    <s v="PHD"/>
    <d v="2019-01-09T00:00:00"/>
    <m/>
    <s v="Work Accident"/>
    <x v="1"/>
    <n v="1"/>
    <n v="1"/>
    <s v="Yes"/>
    <s v="Job Portal"/>
    <s v="FullTime"/>
    <n v="0"/>
    <s v="Active"/>
    <x v="0"/>
    <x v="0"/>
    <x v="2"/>
  </r>
  <r>
    <n v="50"/>
    <s v="No"/>
    <s v="Travel_Rarely"/>
    <x v="1"/>
    <n v="8"/>
    <x v="0"/>
    <n v="3"/>
    <n v="1"/>
    <x v="3"/>
    <n v="2"/>
    <s v="Married"/>
    <n v="3875"/>
    <n v="7"/>
    <s v="No"/>
    <n v="15"/>
    <n v="3"/>
    <n v="1"/>
    <n v="4"/>
    <n v="2"/>
    <n v="2"/>
    <n v="2"/>
    <n v="2"/>
    <s v="Graduation"/>
    <d v="2019-04-27T00:00:00"/>
    <m/>
    <s v="Work Environment"/>
    <x v="1"/>
    <n v="3"/>
    <n v="1"/>
    <s v="No"/>
    <s v="Job Portal"/>
    <s v="Part Time"/>
    <n v="0"/>
    <s v="Active"/>
    <x v="0"/>
    <x v="0"/>
    <x v="2"/>
  </r>
  <r>
    <n v="42"/>
    <s v="Yes"/>
    <s v="Travel_Frequently"/>
    <x v="0"/>
    <n v="19"/>
    <x v="0"/>
    <n v="4"/>
    <n v="1"/>
    <x v="1"/>
    <n v="3"/>
    <s v="Divorced"/>
    <n v="2759"/>
    <n v="6"/>
    <s v="Yes"/>
    <n v="12"/>
    <n v="3"/>
    <n v="0"/>
    <n v="7"/>
    <n v="2"/>
    <n v="2"/>
    <n v="2"/>
    <n v="2"/>
    <s v="Post-Graduation"/>
    <d v="2019-02-08T00:00:00"/>
    <m/>
    <s v="Work Environment"/>
    <x v="0"/>
    <n v="4"/>
    <n v="0"/>
    <s v="Yes"/>
    <s v="Job Portal"/>
    <s v="FullTime"/>
    <n v="1"/>
    <s v="Active"/>
    <x v="0"/>
    <x v="0"/>
    <x v="0"/>
  </r>
  <r>
    <n v="43"/>
    <s v="No"/>
    <s v="Travel_Frequently"/>
    <x v="1"/>
    <n v="15"/>
    <x v="0"/>
    <n v="2"/>
    <n v="2"/>
    <x v="4"/>
    <n v="4"/>
    <s v="Married"/>
    <n v="6804"/>
    <n v="3"/>
    <s v="No"/>
    <n v="18"/>
    <n v="3"/>
    <n v="1"/>
    <n v="7"/>
    <n v="5"/>
    <n v="2"/>
    <n v="2"/>
    <n v="2"/>
    <s v="12th"/>
    <d v="2019-03-04T00:00:00"/>
    <m/>
    <s v="Salary"/>
    <x v="1"/>
    <n v="5"/>
    <n v="2"/>
    <s v="Yes"/>
    <s v="Walk-in"/>
    <s v="FullTime"/>
    <n v="0"/>
    <s v="Active"/>
    <x v="0"/>
    <x v="0"/>
    <x v="2"/>
  </r>
  <r>
    <n v="29"/>
    <s v="No"/>
    <s v="Travel_Rarely"/>
    <x v="1"/>
    <n v="10"/>
    <x v="0"/>
    <n v="3"/>
    <n v="1"/>
    <x v="3"/>
    <n v="2"/>
    <s v="Divorced"/>
    <n v="2297"/>
    <n v="1"/>
    <s v="No"/>
    <n v="14"/>
    <n v="3"/>
    <n v="2"/>
    <n v="2"/>
    <n v="2"/>
    <n v="2"/>
    <n v="2"/>
    <n v="2"/>
    <s v="Graduation"/>
    <d v="2019-01-13T00:00:00"/>
    <m/>
    <s v="Work Environment"/>
    <x v="1"/>
    <n v="5"/>
    <n v="2"/>
    <s v="No"/>
    <s v="Walk-in"/>
    <s v="FullTime"/>
    <n v="0"/>
    <s v="Active"/>
    <x v="0"/>
    <x v="0"/>
    <x v="2"/>
  </r>
  <r>
    <n v="53"/>
    <s v="No"/>
    <s v="Travel_Rarely"/>
    <x v="0"/>
    <n v="6"/>
    <x v="0"/>
    <n v="3"/>
    <n v="2"/>
    <x v="0"/>
    <n v="4"/>
    <s v="Single"/>
    <n v="2450"/>
    <n v="2"/>
    <s v="No"/>
    <n v="17"/>
    <n v="3"/>
    <n v="0"/>
    <n v="19"/>
    <n v="4"/>
    <n v="2"/>
    <n v="2"/>
    <n v="2"/>
    <s v="PHD"/>
    <d v="2019-05-26T00:00:00"/>
    <m/>
    <s v="Dept.Head"/>
    <x v="0"/>
    <n v="5"/>
    <n v="3"/>
    <s v="Yes"/>
    <s v="Walk-in"/>
    <s v="FullTime"/>
    <n v="0"/>
    <s v="Active"/>
    <x v="0"/>
    <x v="0"/>
    <x v="0"/>
  </r>
  <r>
    <n v="23"/>
    <s v="No"/>
    <s v="Travel_Rarely"/>
    <x v="0"/>
    <n v="10"/>
    <x v="0"/>
    <n v="4"/>
    <n v="1"/>
    <x v="1"/>
    <n v="3"/>
    <s v="Single"/>
    <n v="3505"/>
    <n v="1"/>
    <s v="No"/>
    <n v="18"/>
    <n v="3"/>
    <n v="0"/>
    <n v="2"/>
    <n v="3"/>
    <n v="2"/>
    <n v="0"/>
    <n v="2"/>
    <s v="Post-Graduation"/>
    <d v="2019-04-19T00:00:00"/>
    <m/>
    <s v="Better Opportunity"/>
    <x v="0"/>
    <n v="2"/>
    <n v="0"/>
    <s v="No"/>
    <s v="Recruiter"/>
    <s v="Contract"/>
    <n v="0"/>
    <s v="Active"/>
    <x v="0"/>
    <x v="0"/>
    <x v="0"/>
  </r>
  <r>
    <n v="26"/>
    <s v="No"/>
    <s v="Travel_Frequently"/>
    <x v="0"/>
    <n v="1"/>
    <x v="1"/>
    <n v="1"/>
    <n v="1"/>
    <x v="0"/>
    <n v="4"/>
    <s v="Divorced"/>
    <n v="4364"/>
    <n v="3"/>
    <s v="No"/>
    <n v="14"/>
    <n v="3"/>
    <n v="1"/>
    <n v="5"/>
    <n v="2"/>
    <n v="2"/>
    <n v="2"/>
    <n v="0"/>
    <s v="PHD"/>
    <d v="2019-04-23T00:00:00"/>
    <m/>
    <s v="Dept.Head"/>
    <x v="1"/>
    <n v="5"/>
    <n v="2"/>
    <s v="Yes"/>
    <s v="Job Portal"/>
    <s v="Contract"/>
    <n v="0"/>
    <s v="Active"/>
    <x v="0"/>
    <x v="0"/>
    <x v="0"/>
  </r>
  <r>
    <n v="30"/>
    <s v="No"/>
    <s v="Travel_Rarely"/>
    <x v="0"/>
    <n v="1"/>
    <x v="0"/>
    <n v="1"/>
    <n v="1"/>
    <x v="0"/>
    <n v="3"/>
    <s v="Married"/>
    <n v="3833"/>
    <n v="3"/>
    <s v="No"/>
    <n v="21"/>
    <n v="4"/>
    <n v="2"/>
    <n v="7"/>
    <n v="2"/>
    <n v="2"/>
    <n v="0"/>
    <n v="2"/>
    <s v="12th"/>
    <d v="2019-02-27T00:00:00"/>
    <m/>
    <s v="Work Environment"/>
    <x v="0"/>
    <n v="0"/>
    <n v="2"/>
    <s v="Yes"/>
    <s v="Recruiter"/>
    <s v="FullTime"/>
    <n v="0"/>
    <s v="Active"/>
    <x v="0"/>
    <x v="0"/>
    <x v="0"/>
  </r>
  <r>
    <n v="35"/>
    <s v="No"/>
    <s v="Travel_Rarely"/>
    <x v="0"/>
    <n v="1"/>
    <x v="1"/>
    <n v="4"/>
    <n v="1"/>
    <x v="1"/>
    <n v="3"/>
    <s v="Single"/>
    <n v="2506"/>
    <n v="3"/>
    <s v="No"/>
    <n v="13"/>
    <n v="3"/>
    <n v="0"/>
    <n v="7"/>
    <n v="0"/>
    <n v="2"/>
    <n v="2"/>
    <n v="2"/>
    <s v="PHD"/>
    <d v="2019-01-12T00:00:00"/>
    <m/>
    <s v="Work Accident"/>
    <x v="0"/>
    <n v="3"/>
    <n v="3"/>
    <s v="Yes"/>
    <s v="Recruiter"/>
    <s v="Part Time"/>
    <n v="0"/>
    <s v="Active"/>
    <x v="0"/>
    <x v="0"/>
    <x v="0"/>
  </r>
  <r>
    <n v="28"/>
    <s v="Yes"/>
    <s v="Travel_Rarely"/>
    <x v="0"/>
    <n v="2"/>
    <x v="0"/>
    <n v="3"/>
    <n v="1"/>
    <x v="1"/>
    <n v="3"/>
    <s v="Single"/>
    <n v="4382"/>
    <n v="6"/>
    <s v="No"/>
    <n v="17"/>
    <n v="3"/>
    <n v="0"/>
    <n v="5"/>
    <n v="3"/>
    <n v="2"/>
    <n v="2"/>
    <n v="1"/>
    <s v="PHD"/>
    <d v="2019-06-22T00:00:00"/>
    <m/>
    <s v="Better Opportunity"/>
    <x v="1"/>
    <n v="0"/>
    <n v="2"/>
    <s v="No"/>
    <s v="Walk-in"/>
    <s v="Contract"/>
    <n v="1"/>
    <s v="Active"/>
    <x v="0"/>
    <x v="0"/>
    <x v="0"/>
  </r>
  <r>
    <n v="22"/>
    <s v="No"/>
    <s v="Travel_Rarely"/>
    <x v="0"/>
    <n v="1"/>
    <x v="0"/>
    <n v="2"/>
    <n v="2"/>
    <x v="6"/>
    <n v="4"/>
    <s v="Married"/>
    <n v="4775"/>
    <n v="6"/>
    <s v="No"/>
    <n v="22"/>
    <n v="4"/>
    <n v="2"/>
    <n v="4"/>
    <n v="2"/>
    <n v="2"/>
    <n v="2"/>
    <n v="2"/>
    <s v="Graduation"/>
    <d v="2019-03-22T00:00:00"/>
    <m/>
    <s v="Better Opportunity"/>
    <x v="0"/>
    <n v="3"/>
    <n v="2"/>
    <s v="Yes"/>
    <s v="Job Portal"/>
    <s v="Contract"/>
    <n v="0"/>
    <s v="Active"/>
    <x v="0"/>
    <x v="0"/>
    <x v="3"/>
  </r>
  <r>
    <n v="42"/>
    <s v="No"/>
    <s v="Travel_Frequently"/>
    <x v="0"/>
    <n v="2"/>
    <x v="0"/>
    <n v="3"/>
    <n v="1"/>
    <x v="1"/>
    <n v="4"/>
    <s v="Single"/>
    <n v="2515"/>
    <n v="5"/>
    <s v="Yes"/>
    <n v="14"/>
    <n v="3"/>
    <n v="0"/>
    <n v="8"/>
    <n v="2"/>
    <n v="2"/>
    <n v="2"/>
    <n v="2"/>
    <s v="12th"/>
    <d v="2019-01-12T00:00:00"/>
    <m/>
    <s v="Salary"/>
    <x v="1"/>
    <n v="1"/>
    <n v="3"/>
    <s v="No"/>
    <s v="Recruiter"/>
    <s v="Contract"/>
    <n v="0"/>
    <s v="Active"/>
    <x v="0"/>
    <x v="0"/>
    <x v="0"/>
  </r>
  <r>
    <n v="38"/>
    <s v="No"/>
    <s v="Travel_Rarely"/>
    <x v="1"/>
    <n v="9"/>
    <x v="0"/>
    <n v="2"/>
    <n v="1"/>
    <x v="3"/>
    <n v="2"/>
    <s v="Married"/>
    <n v="2899"/>
    <n v="0"/>
    <s v="No"/>
    <n v="19"/>
    <n v="3"/>
    <n v="1"/>
    <n v="3"/>
    <n v="3"/>
    <n v="2"/>
    <n v="1"/>
    <n v="2"/>
    <s v="Graduation"/>
    <d v="2019-02-24T00:00:00"/>
    <m/>
    <s v="Work Accident"/>
    <x v="1"/>
    <n v="4"/>
    <n v="0"/>
    <s v="Yes"/>
    <s v="Walk-in"/>
    <s v="Part Time"/>
    <n v="0"/>
    <s v="Active"/>
    <x v="0"/>
    <x v="0"/>
    <x v="2"/>
  </r>
  <r>
    <n v="53"/>
    <s v="No"/>
    <s v="Travel_Rarely"/>
    <x v="1"/>
    <n v="8"/>
    <x v="0"/>
    <n v="3"/>
    <n v="4"/>
    <x v="4"/>
    <n v="4"/>
    <s v="Married"/>
    <n v="11836"/>
    <n v="5"/>
    <s v="No"/>
    <n v="14"/>
    <n v="3"/>
    <n v="1"/>
    <n v="28"/>
    <n v="3"/>
    <n v="2"/>
    <n v="2"/>
    <n v="2"/>
    <s v="Graduation"/>
    <d v="2019-03-03T00:00:00"/>
    <m/>
    <s v="Work Environment"/>
    <x v="1"/>
    <n v="3"/>
    <n v="0"/>
    <s v="Yes"/>
    <s v="Recruiter"/>
    <s v="FullTime"/>
    <n v="0"/>
    <s v="Active"/>
    <x v="0"/>
    <x v="1"/>
    <x v="2"/>
  </r>
  <r>
    <n v="20"/>
    <s v="Yes"/>
    <s v="Travel_Rarely"/>
    <x v="1"/>
    <n v="2"/>
    <x v="1"/>
    <n v="2"/>
    <n v="1"/>
    <x v="3"/>
    <n v="3"/>
    <s v="Single"/>
    <n v="2044"/>
    <n v="1"/>
    <s v="No"/>
    <n v="13"/>
    <n v="3"/>
    <n v="0"/>
    <n v="2"/>
    <n v="3"/>
    <n v="2"/>
    <n v="0"/>
    <n v="2"/>
    <s v="12th"/>
    <d v="2019-06-18T00:00:00"/>
    <m/>
    <s v="Salary"/>
    <x v="1"/>
    <n v="5"/>
    <n v="3"/>
    <s v="Yes"/>
    <s v="Walk-in"/>
    <s v="FullTime"/>
    <n v="1"/>
    <s v="Active"/>
    <x v="0"/>
    <x v="0"/>
    <x v="2"/>
  </r>
  <r>
    <n v="28"/>
    <s v="No"/>
    <s v="Travel_Rarely"/>
    <x v="0"/>
    <n v="9"/>
    <x v="1"/>
    <n v="3"/>
    <n v="1"/>
    <x v="1"/>
    <n v="3"/>
    <s v="Divorced"/>
    <n v="2377"/>
    <n v="5"/>
    <s v="No"/>
    <n v="18"/>
    <n v="3"/>
    <n v="1"/>
    <n v="6"/>
    <n v="2"/>
    <n v="2"/>
    <n v="2"/>
    <n v="2"/>
    <s v="Graduation"/>
    <d v="2019-04-20T00:00:00"/>
    <m/>
    <s v="Dept.Head"/>
    <x v="1"/>
    <n v="1"/>
    <n v="0"/>
    <s v="No"/>
    <s v="Walk-in"/>
    <s v="FullTime"/>
    <n v="0"/>
    <s v="Active"/>
    <x v="0"/>
    <x v="0"/>
    <x v="0"/>
  </r>
  <r>
    <n v="39"/>
    <s v="Yes"/>
    <s v="Travel_Rarely"/>
    <x v="0"/>
    <n v="6"/>
    <x v="0"/>
    <n v="3"/>
    <n v="1"/>
    <x v="0"/>
    <n v="1"/>
    <s v="Married"/>
    <n v="2404"/>
    <n v="7"/>
    <s v="Yes"/>
    <n v="21"/>
    <n v="4"/>
    <n v="0"/>
    <n v="8"/>
    <n v="2"/>
    <n v="2"/>
    <n v="2"/>
    <n v="2"/>
    <s v="Post-Graduation"/>
    <d v="2019-03-24T00:00:00"/>
    <m/>
    <s v="Salary"/>
    <x v="1"/>
    <n v="0"/>
    <n v="3"/>
    <s v="Yes"/>
    <s v="Walk-in"/>
    <s v="FullTime"/>
    <n v="1"/>
    <s v="Active"/>
    <x v="0"/>
    <x v="0"/>
    <x v="0"/>
  </r>
  <r>
    <n v="27"/>
    <s v="No"/>
    <s v="Travel_Rarely"/>
    <x v="0"/>
    <n v="16"/>
    <x v="1"/>
    <n v="3"/>
    <n v="1"/>
    <x v="0"/>
    <n v="2"/>
    <s v="Married"/>
    <n v="2811"/>
    <n v="9"/>
    <s v="No"/>
    <n v="14"/>
    <n v="3"/>
    <n v="1"/>
    <n v="4"/>
    <n v="2"/>
    <n v="2"/>
    <n v="2"/>
    <n v="2"/>
    <s v="Graduation"/>
    <d v="2019-06-24T00:00:00"/>
    <m/>
    <s v="Work Environment"/>
    <x v="1"/>
    <n v="5"/>
    <n v="2"/>
    <s v="Yes"/>
    <s v="Job Portal"/>
    <s v="Part Time"/>
    <n v="0"/>
    <s v="Active"/>
    <x v="0"/>
    <x v="0"/>
    <x v="0"/>
  </r>
  <r>
    <n v="38"/>
    <s v="No"/>
    <s v="Travel_Frequently"/>
    <x v="0"/>
    <n v="10"/>
    <x v="0"/>
    <n v="3"/>
    <n v="1"/>
    <x v="1"/>
    <n v="3"/>
    <s v="Married"/>
    <n v="2684"/>
    <n v="0"/>
    <s v="No"/>
    <n v="17"/>
    <n v="3"/>
    <n v="1"/>
    <n v="3"/>
    <n v="0"/>
    <n v="2"/>
    <n v="0"/>
    <n v="2"/>
    <s v="PHD"/>
    <d v="2019-03-02T00:00:00"/>
    <m/>
    <s v="Salary"/>
    <x v="1"/>
    <n v="3"/>
    <n v="1"/>
    <s v="No"/>
    <s v="Job Portal"/>
    <s v="Part Time"/>
    <n v="0"/>
    <s v="Active"/>
    <x v="0"/>
    <x v="0"/>
    <x v="0"/>
  </r>
  <r>
    <n v="48"/>
    <s v="No"/>
    <s v="Travel_Rarely"/>
    <x v="0"/>
    <n v="6"/>
    <x v="0"/>
    <n v="2"/>
    <n v="2"/>
    <x v="7"/>
    <n v="3"/>
    <s v="Single"/>
    <n v="4240"/>
    <n v="2"/>
    <s v="No"/>
    <n v="13"/>
    <n v="3"/>
    <n v="0"/>
    <n v="19"/>
    <n v="0"/>
    <n v="2"/>
    <n v="2"/>
    <n v="2"/>
    <s v="12th"/>
    <d v="2019-06-20T00:00:00"/>
    <m/>
    <s v="Salary"/>
    <x v="1"/>
    <n v="2"/>
    <n v="3"/>
    <s v="No"/>
    <s v="Walk-in"/>
    <s v="FullTime"/>
    <n v="0"/>
    <s v="Active"/>
    <x v="0"/>
    <x v="0"/>
    <x v="3"/>
  </r>
  <r>
    <n v="41"/>
    <s v="No"/>
    <s v="Travel_Rarely"/>
    <x v="0"/>
    <n v="7"/>
    <x v="1"/>
    <n v="3"/>
    <n v="2"/>
    <x v="6"/>
    <n v="3"/>
    <s v="Single"/>
    <n v="5003"/>
    <n v="6"/>
    <s v="No"/>
    <n v="14"/>
    <n v="3"/>
    <n v="0"/>
    <n v="8"/>
    <n v="6"/>
    <n v="2"/>
    <n v="2"/>
    <n v="1"/>
    <s v="Graduation"/>
    <d v="2019-04-09T00:00:00"/>
    <m/>
    <s v="Dept.Head"/>
    <x v="1"/>
    <n v="4"/>
    <n v="2"/>
    <s v="No"/>
    <s v="Job Event"/>
    <s v="Part Time"/>
    <n v="0"/>
    <s v="Active"/>
    <x v="0"/>
    <x v="0"/>
    <x v="3"/>
  </r>
  <r>
    <n v="26"/>
    <s v="Yes"/>
    <s v="Non-Travel"/>
    <x v="1"/>
    <n v="29"/>
    <x v="0"/>
    <n v="1"/>
    <n v="2"/>
    <x v="4"/>
    <n v="1"/>
    <s v="Single"/>
    <n v="4969"/>
    <n v="8"/>
    <s v="No"/>
    <n v="18"/>
    <n v="3"/>
    <n v="0"/>
    <n v="7"/>
    <n v="6"/>
    <n v="2"/>
    <n v="2"/>
    <n v="2"/>
    <s v="Graduation"/>
    <d v="2019-01-11T00:00:00"/>
    <m/>
    <s v="Dept.Head"/>
    <x v="0"/>
    <n v="5"/>
    <n v="0"/>
    <s v="Yes"/>
    <s v="Job Portal"/>
    <s v="Contract"/>
    <n v="1"/>
    <s v="Active"/>
    <x v="0"/>
    <x v="0"/>
    <x v="2"/>
  </r>
  <r>
    <n v="33"/>
    <s v="No"/>
    <s v="Non-Travel"/>
    <x v="1"/>
    <n v="8"/>
    <x v="1"/>
    <n v="2"/>
    <n v="1"/>
    <x v="3"/>
    <n v="4"/>
    <s v="Single"/>
    <n v="2342"/>
    <n v="0"/>
    <s v="No"/>
    <n v="19"/>
    <n v="3"/>
    <n v="0"/>
    <n v="3"/>
    <n v="2"/>
    <n v="2"/>
    <n v="2"/>
    <n v="2"/>
    <s v="Post-Graduation"/>
    <d v="2019-06-19T00:00:00"/>
    <m/>
    <s v="Work Environment"/>
    <x v="0"/>
    <n v="5"/>
    <n v="3"/>
    <s v="Yes"/>
    <s v="Recruiter"/>
    <s v="Part Time"/>
    <n v="0"/>
    <s v="Active"/>
    <x v="0"/>
    <x v="0"/>
    <x v="2"/>
  </r>
  <r>
    <n v="38"/>
    <s v="No"/>
    <s v="Travel_Frequently"/>
    <x v="0"/>
    <n v="3"/>
    <x v="0"/>
    <n v="3"/>
    <n v="1"/>
    <x v="1"/>
    <n v="3"/>
    <s v="Married"/>
    <n v="2821"/>
    <n v="3"/>
    <s v="No"/>
    <n v="16"/>
    <n v="3"/>
    <n v="1"/>
    <n v="8"/>
    <n v="2"/>
    <n v="2"/>
    <n v="2"/>
    <n v="2"/>
    <s v="12th"/>
    <d v="2019-03-19T00:00:00"/>
    <m/>
    <s v="Work Environment"/>
    <x v="1"/>
    <n v="4"/>
    <n v="1"/>
    <s v="No"/>
    <s v="Recruiter"/>
    <s v="FullTime"/>
    <n v="0"/>
    <s v="Active"/>
    <x v="0"/>
    <x v="0"/>
    <x v="0"/>
  </r>
  <r>
    <n v="46"/>
    <s v="No"/>
    <s v="Travel_Rarely"/>
    <x v="0"/>
    <n v="1"/>
    <x v="0"/>
    <n v="3"/>
    <n v="5"/>
    <x v="2"/>
    <n v="4"/>
    <s v="Divorced"/>
    <n v="19627"/>
    <n v="9"/>
    <s v="No"/>
    <n v="17"/>
    <n v="3"/>
    <n v="2"/>
    <n v="23"/>
    <n v="0"/>
    <n v="2"/>
    <n v="2"/>
    <n v="2"/>
    <s v="12th"/>
    <d v="2019-05-29T00:00:00"/>
    <m/>
    <s v="Work Accident"/>
    <x v="1"/>
    <n v="0"/>
    <n v="1"/>
    <s v="No"/>
    <s v="Job Event"/>
    <s v="FullTime"/>
    <n v="0"/>
    <s v="Active"/>
    <x v="0"/>
    <x v="1"/>
    <x v="1"/>
  </r>
  <r>
    <n v="20"/>
    <s v="Yes"/>
    <s v="Travel_Frequently"/>
    <x v="1"/>
    <n v="9"/>
    <x v="1"/>
    <n v="3"/>
    <n v="1"/>
    <x v="3"/>
    <n v="4"/>
    <s v="Single"/>
    <n v="2323"/>
    <n v="1"/>
    <s v="Yes"/>
    <n v="14"/>
    <n v="3"/>
    <n v="0"/>
    <n v="2"/>
    <n v="3"/>
    <n v="2"/>
    <n v="0"/>
    <n v="2"/>
    <s v="PHD"/>
    <d v="2019-01-22T00:00:00"/>
    <m/>
    <s v="Work Environment"/>
    <x v="1"/>
    <n v="1"/>
    <n v="2"/>
    <s v="No"/>
    <s v="Recruiter"/>
    <s v="Part Time"/>
    <n v="1"/>
    <s v="Active"/>
    <x v="0"/>
    <x v="0"/>
    <x v="2"/>
  </r>
  <r>
    <n v="33"/>
    <s v="Yes"/>
    <s v="Travel_Rarely"/>
    <x v="0"/>
    <n v="25"/>
    <x v="0"/>
    <n v="2"/>
    <n v="1"/>
    <x v="1"/>
    <n v="2"/>
    <s v="Single"/>
    <n v="2313"/>
    <n v="4"/>
    <s v="Yes"/>
    <n v="20"/>
    <n v="4"/>
    <n v="0"/>
    <n v="5"/>
    <n v="0"/>
    <n v="2"/>
    <n v="2"/>
    <n v="2"/>
    <s v="Graduation"/>
    <d v="2019-01-05T00:00:00"/>
    <m/>
    <s v="Dept.Head"/>
    <x v="1"/>
    <n v="2"/>
    <n v="1"/>
    <s v="No"/>
    <s v="Job Event"/>
    <s v="Contract"/>
    <n v="1"/>
    <s v="Active"/>
    <x v="0"/>
    <x v="0"/>
    <x v="0"/>
  </r>
  <r>
    <n v="21"/>
    <s v="No"/>
    <s v="Travel_Rarely"/>
    <x v="0"/>
    <n v="1"/>
    <x v="1"/>
    <n v="2"/>
    <n v="1"/>
    <x v="1"/>
    <n v="2"/>
    <s v="Single"/>
    <n v="2070"/>
    <n v="1"/>
    <s v="Yes"/>
    <n v="11"/>
    <n v="3"/>
    <n v="0"/>
    <n v="2"/>
    <n v="6"/>
    <n v="2"/>
    <n v="2"/>
    <n v="2"/>
    <s v="12th"/>
    <d v="2019-05-06T00:00:00"/>
    <m/>
    <s v="Salary"/>
    <x v="1"/>
    <n v="4"/>
    <n v="2"/>
    <s v="Yes"/>
    <s v="Recruiter"/>
    <s v="Contract"/>
    <n v="0"/>
    <s v="Active"/>
    <x v="0"/>
    <x v="0"/>
    <x v="0"/>
  </r>
  <r>
    <n v="31"/>
    <s v="No"/>
    <s v="Travel_Frequently"/>
    <x v="1"/>
    <n v="20"/>
    <x v="0"/>
    <n v="4"/>
    <n v="1"/>
    <x v="3"/>
    <n v="4"/>
    <s v="Married"/>
    <n v="2791"/>
    <n v="0"/>
    <s v="No"/>
    <n v="12"/>
    <n v="3"/>
    <n v="1"/>
    <n v="3"/>
    <n v="4"/>
    <n v="2"/>
    <n v="2"/>
    <n v="2"/>
    <s v="12th"/>
    <d v="2019-02-21T00:00:00"/>
    <m/>
    <s v="Work Accident"/>
    <x v="1"/>
    <n v="5"/>
    <n v="2"/>
    <s v="No"/>
    <s v="Job Event"/>
    <s v="FullTime"/>
    <n v="0"/>
    <s v="Active"/>
    <x v="0"/>
    <x v="0"/>
    <x v="2"/>
  </r>
  <r>
    <n v="31"/>
    <s v="Yes"/>
    <s v="Travel_Frequently"/>
    <x v="0"/>
    <n v="15"/>
    <x v="0"/>
    <n v="3"/>
    <n v="1"/>
    <x v="0"/>
    <n v="3"/>
    <s v="Married"/>
    <n v="2610"/>
    <n v="1"/>
    <s v="No"/>
    <n v="12"/>
    <n v="3"/>
    <n v="1"/>
    <n v="2"/>
    <n v="5"/>
    <n v="2"/>
    <n v="2"/>
    <n v="2"/>
    <s v="Graduation"/>
    <d v="2019-05-13T00:00:00"/>
    <m/>
    <s v="Dept.Head"/>
    <x v="1"/>
    <n v="3"/>
    <n v="3"/>
    <s v="No"/>
    <s v="Job Portal"/>
    <s v="FullTime"/>
    <n v="1"/>
    <s v="Active"/>
    <x v="0"/>
    <x v="0"/>
    <x v="0"/>
  </r>
  <r>
    <n v="35"/>
    <s v="No"/>
    <s v="Travel_Frequently"/>
    <x v="0"/>
    <n v="4"/>
    <x v="0"/>
    <n v="2"/>
    <n v="1"/>
    <x v="0"/>
    <n v="4"/>
    <s v="Married"/>
    <n v="2376"/>
    <n v="1"/>
    <s v="No"/>
    <n v="13"/>
    <n v="3"/>
    <n v="1"/>
    <n v="2"/>
    <n v="2"/>
    <n v="2"/>
    <n v="2"/>
    <n v="2"/>
    <s v="12th"/>
    <d v="2019-03-11T00:00:00"/>
    <m/>
    <s v="Dept.Head"/>
    <x v="1"/>
    <n v="5"/>
    <n v="2"/>
    <s v="No"/>
    <s v="Recruiter"/>
    <s v="FullTime"/>
    <n v="0"/>
    <s v="Active"/>
    <x v="0"/>
    <x v="0"/>
    <x v="0"/>
  </r>
  <r>
    <n v="20"/>
    <s v="No"/>
    <s v="Travel_Rarely"/>
    <x v="0"/>
    <n v="3"/>
    <x v="0"/>
    <n v="2"/>
    <n v="1"/>
    <x v="0"/>
    <n v="3"/>
    <s v="Single"/>
    <n v="3033"/>
    <n v="1"/>
    <s v="No"/>
    <n v="12"/>
    <n v="3"/>
    <n v="0"/>
    <n v="2"/>
    <n v="2"/>
    <n v="2"/>
    <n v="1"/>
    <n v="2"/>
    <s v="Graduation"/>
    <d v="2019-03-31T00:00:00"/>
    <m/>
    <s v="Salary"/>
    <x v="1"/>
    <n v="1"/>
    <n v="0"/>
    <s v="No"/>
    <s v="Walk-in"/>
    <s v="Contract"/>
    <n v="0"/>
    <s v="Active"/>
    <x v="0"/>
    <x v="0"/>
    <x v="0"/>
  </r>
  <r>
    <n v="50"/>
    <s v="No"/>
    <s v="Travel_Frequently"/>
    <x v="0"/>
    <n v="2"/>
    <x v="1"/>
    <n v="3"/>
    <n v="4"/>
    <x v="5"/>
    <n v="1"/>
    <s v="Married"/>
    <n v="17856"/>
    <n v="2"/>
    <s v="No"/>
    <n v="22"/>
    <n v="4"/>
    <n v="1"/>
    <n v="32"/>
    <n v="3"/>
    <n v="2"/>
    <n v="2"/>
    <n v="2"/>
    <s v="PHD"/>
    <d v="2019-06-18T00:00:00"/>
    <m/>
    <s v="Salary"/>
    <x v="1"/>
    <n v="4"/>
    <n v="0"/>
    <s v="No"/>
    <s v="Job Portal"/>
    <s v="Part Time"/>
    <n v="0"/>
    <s v="Active"/>
    <x v="0"/>
    <x v="1"/>
    <x v="1"/>
  </r>
  <r>
    <n v="20"/>
    <s v="No"/>
    <s v="Travel_Rarely"/>
    <x v="1"/>
    <n v="21"/>
    <x v="0"/>
    <n v="4"/>
    <n v="1"/>
    <x v="3"/>
    <n v="4"/>
    <s v="Single"/>
    <n v="2678"/>
    <n v="1"/>
    <s v="No"/>
    <n v="17"/>
    <n v="3"/>
    <n v="0"/>
    <n v="2"/>
    <n v="2"/>
    <n v="2"/>
    <n v="2"/>
    <n v="2"/>
    <s v="Graduation"/>
    <d v="2019-02-12T00:00:00"/>
    <m/>
    <s v="Salary"/>
    <x v="1"/>
    <n v="1"/>
    <n v="1"/>
    <s v="Yes"/>
    <s v="Recruiter"/>
    <s v="Contract"/>
    <n v="0"/>
    <s v="Active"/>
    <x v="0"/>
    <x v="0"/>
    <x v="2"/>
  </r>
  <r>
    <n v="32"/>
    <s v="No"/>
    <s v="Travel_Frequently"/>
    <x v="0"/>
    <n v="13"/>
    <x v="1"/>
    <n v="2"/>
    <n v="1"/>
    <x v="0"/>
    <n v="2"/>
    <s v="Married"/>
    <n v="2743"/>
    <n v="1"/>
    <s v="No"/>
    <n v="20"/>
    <n v="4"/>
    <n v="1"/>
    <n v="2"/>
    <n v="2"/>
    <n v="2"/>
    <n v="2"/>
    <n v="2"/>
    <s v="PHD"/>
    <d v="2019-01-12T00:00:00"/>
    <m/>
    <s v="Work Accident"/>
    <x v="1"/>
    <n v="4"/>
    <n v="3"/>
    <s v="No"/>
    <s v="Recruiter"/>
    <s v="FullTime"/>
    <n v="0"/>
    <s v="Active"/>
    <x v="0"/>
    <x v="0"/>
    <x v="0"/>
  </r>
  <r>
    <n v="21"/>
    <s v="Yes"/>
    <s v="Travel_Frequently"/>
    <x v="0"/>
    <n v="10"/>
    <x v="1"/>
    <n v="2"/>
    <n v="1"/>
    <x v="0"/>
    <n v="3"/>
    <s v="Single"/>
    <n v="2625"/>
    <n v="1"/>
    <s v="No"/>
    <n v="20"/>
    <n v="4"/>
    <n v="0"/>
    <n v="2"/>
    <n v="2"/>
    <n v="2"/>
    <n v="2"/>
    <n v="2"/>
    <s v="PHD"/>
    <d v="2019-04-12T00:00:00"/>
    <m/>
    <s v="Better Opportunity"/>
    <x v="0"/>
    <n v="1"/>
    <n v="0"/>
    <s v="No"/>
    <s v="Walk-in"/>
    <s v="FullTime"/>
    <n v="1"/>
    <s v="Active"/>
    <x v="0"/>
    <x v="0"/>
    <x v="0"/>
  </r>
  <r>
    <n v="28"/>
    <s v="No"/>
    <s v="Travel_Frequently"/>
    <x v="0"/>
    <n v="2"/>
    <x v="0"/>
    <n v="2"/>
    <n v="1"/>
    <x v="0"/>
    <n v="4"/>
    <s v="Married"/>
    <n v="3867"/>
    <n v="1"/>
    <s v="Yes"/>
    <n v="12"/>
    <n v="3"/>
    <n v="1"/>
    <n v="2"/>
    <n v="2"/>
    <n v="2"/>
    <n v="2"/>
    <n v="2"/>
    <s v="Graduation"/>
    <d v="2019-04-20T00:00:00"/>
    <m/>
    <s v="Work Accident"/>
    <x v="0"/>
    <n v="3"/>
    <n v="0"/>
    <s v="No"/>
    <s v="Job Event"/>
    <s v="Contract"/>
    <n v="0"/>
    <s v="Active"/>
    <x v="0"/>
    <x v="0"/>
    <x v="0"/>
  </r>
  <r>
    <n v="25"/>
    <s v="No"/>
    <s v="Travel_Rarely"/>
    <x v="0"/>
    <n v="1"/>
    <x v="1"/>
    <n v="3"/>
    <n v="1"/>
    <x v="1"/>
    <n v="2"/>
    <s v="Single"/>
    <n v="2096"/>
    <n v="1"/>
    <s v="No"/>
    <n v="18"/>
    <n v="3"/>
    <n v="0"/>
    <n v="2"/>
    <n v="3"/>
    <n v="2"/>
    <n v="2"/>
    <n v="1"/>
    <s v="PHD"/>
    <d v="2019-05-14T00:00:00"/>
    <m/>
    <s v="Work Accident"/>
    <x v="1"/>
    <n v="2"/>
    <n v="2"/>
    <s v="Yes"/>
    <s v="Recruiter"/>
    <s v="FullTime"/>
    <n v="0"/>
    <s v="Active"/>
    <x v="0"/>
    <x v="0"/>
    <x v="0"/>
  </r>
  <r>
    <n v="58"/>
    <s v="No"/>
    <s v="Travel_Rarely"/>
    <x v="0"/>
    <n v="23"/>
    <x v="0"/>
    <n v="3"/>
    <n v="1"/>
    <x v="1"/>
    <n v="3"/>
    <s v="Divorced"/>
    <n v="2372"/>
    <n v="1"/>
    <s v="No"/>
    <n v="12"/>
    <n v="3"/>
    <n v="2"/>
    <n v="2"/>
    <n v="3"/>
    <n v="2"/>
    <n v="2"/>
    <n v="2"/>
    <s v="Graduation"/>
    <d v="2019-06-25T00:00:00"/>
    <m/>
    <s v="Better Opportunity"/>
    <x v="0"/>
    <n v="3"/>
    <n v="1"/>
    <s v="Yes"/>
    <s v="Recruiter"/>
    <s v="FullTime"/>
    <n v="0"/>
    <s v="Active"/>
    <x v="0"/>
    <x v="0"/>
    <x v="0"/>
  </r>
  <r>
    <n v="35"/>
    <s v="No"/>
    <s v="Travel_Frequently"/>
    <x v="0"/>
    <n v="18"/>
    <x v="0"/>
    <n v="3"/>
    <n v="3"/>
    <x v="6"/>
    <n v="4"/>
    <s v="Single"/>
    <n v="9362"/>
    <n v="2"/>
    <s v="No"/>
    <n v="11"/>
    <n v="3"/>
    <n v="0"/>
    <n v="10"/>
    <n v="2"/>
    <n v="2"/>
    <n v="2"/>
    <n v="2"/>
    <s v="Post-Graduation"/>
    <d v="2019-06-25T00:00:00"/>
    <m/>
    <s v="Work Accident"/>
    <x v="1"/>
    <n v="3"/>
    <n v="3"/>
    <s v="Yes"/>
    <s v="Recruiter"/>
    <s v="Part Time"/>
    <n v="0"/>
    <s v="Active"/>
    <x v="0"/>
    <x v="1"/>
    <x v="3"/>
  </r>
  <r>
    <n v="31"/>
    <s v="Yes"/>
    <s v="Travel_Frequently"/>
    <x v="0"/>
    <n v="2"/>
    <x v="0"/>
    <n v="3"/>
    <n v="1"/>
    <x v="0"/>
    <n v="4"/>
    <s v="Married"/>
    <n v="3722"/>
    <n v="6"/>
    <s v="Yes"/>
    <n v="13"/>
    <n v="3"/>
    <n v="1"/>
    <n v="7"/>
    <n v="2"/>
    <n v="2"/>
    <n v="2"/>
    <n v="2"/>
    <s v="12th"/>
    <d v="2019-03-31T00:00:00"/>
    <m/>
    <s v="Salary"/>
    <x v="1"/>
    <n v="0"/>
    <n v="0"/>
    <s v="Yes"/>
    <s v="Job Portal"/>
    <s v="FullTime"/>
    <n v="1"/>
    <s v="Active"/>
    <x v="0"/>
    <x v="0"/>
    <x v="0"/>
  </r>
  <r>
    <n v="48"/>
    <s v="No"/>
    <s v="Travel_Rarely"/>
    <x v="1"/>
    <n v="7"/>
    <x v="0"/>
    <n v="3"/>
    <n v="2"/>
    <x v="4"/>
    <n v="1"/>
    <s v="Divorced"/>
    <n v="5486"/>
    <n v="4"/>
    <s v="No"/>
    <n v="11"/>
    <n v="3"/>
    <n v="3"/>
    <n v="15"/>
    <n v="3"/>
    <n v="2"/>
    <n v="2"/>
    <n v="2"/>
    <s v="Graduation"/>
    <d v="2019-04-30T00:00:00"/>
    <m/>
    <s v="Work Environment"/>
    <x v="0"/>
    <n v="4"/>
    <n v="3"/>
    <s v="Yes"/>
    <s v="Walk-in"/>
    <s v="FullTime"/>
    <n v="0"/>
    <s v="Active"/>
    <x v="0"/>
    <x v="0"/>
    <x v="2"/>
  </r>
  <r>
    <n v="34"/>
    <s v="Yes"/>
    <s v="Travel_Rarely"/>
    <x v="2"/>
    <n v="9"/>
    <x v="1"/>
    <n v="3"/>
    <n v="1"/>
    <x v="8"/>
    <n v="3"/>
    <s v="Married"/>
    <n v="2742"/>
    <n v="1"/>
    <s v="No"/>
    <n v="15"/>
    <n v="3"/>
    <n v="0"/>
    <n v="2"/>
    <n v="0"/>
    <n v="2"/>
    <n v="2"/>
    <n v="2"/>
    <s v="PHD"/>
    <d v="2019-02-06T00:00:00"/>
    <m/>
    <s v="Work Environment"/>
    <x v="0"/>
    <n v="0"/>
    <n v="0"/>
    <s v="No"/>
    <s v="Job Event"/>
    <s v="Contract"/>
    <n v="1"/>
    <s v="Active"/>
    <x v="0"/>
    <x v="0"/>
    <x v="4"/>
  </r>
  <r>
    <n v="30"/>
    <s v="No"/>
    <s v="Travel_Rarely"/>
    <x v="1"/>
    <n v="16"/>
    <x v="0"/>
    <n v="3"/>
    <n v="2"/>
    <x v="4"/>
    <n v="3"/>
    <s v="Married"/>
    <n v="5301"/>
    <n v="8"/>
    <s v="No"/>
    <n v="15"/>
    <n v="3"/>
    <n v="2"/>
    <n v="4"/>
    <n v="2"/>
    <n v="2"/>
    <n v="2"/>
    <n v="2"/>
    <s v="Graduation"/>
    <d v="2019-06-12T00:00:00"/>
    <m/>
    <s v="Dept.Head"/>
    <x v="0"/>
    <n v="2"/>
    <n v="3"/>
    <s v="Yes"/>
    <s v="Job Portal"/>
    <s v="FullTime"/>
    <n v="0"/>
    <s v="Active"/>
    <x v="0"/>
    <x v="0"/>
    <x v="2"/>
  </r>
  <r>
    <n v="44"/>
    <s v="No"/>
    <s v="Travel_Frequently"/>
    <x v="0"/>
    <n v="2"/>
    <x v="0"/>
    <n v="3"/>
    <n v="3"/>
    <x v="6"/>
    <n v="3"/>
    <s v="Single"/>
    <n v="10209"/>
    <n v="5"/>
    <s v="Yes"/>
    <n v="18"/>
    <n v="3"/>
    <n v="0"/>
    <n v="16"/>
    <n v="2"/>
    <n v="2"/>
    <n v="2"/>
    <n v="2"/>
    <s v="Graduation"/>
    <d v="2019-04-30T00:00:00"/>
    <m/>
    <s v="Salary"/>
    <x v="0"/>
    <n v="5"/>
    <n v="2"/>
    <s v="Yes"/>
    <s v="Recruiter"/>
    <s v="Contract"/>
    <n v="0"/>
    <s v="Active"/>
    <x v="0"/>
    <x v="1"/>
    <x v="3"/>
  </r>
  <r>
    <n v="39"/>
    <s v="No"/>
    <s v="Travel_Rarely"/>
    <x v="0"/>
    <n v="6"/>
    <x v="1"/>
    <n v="3"/>
    <n v="3"/>
    <x v="6"/>
    <n v="2"/>
    <s v="Single"/>
    <n v="8376"/>
    <n v="4"/>
    <s v="No"/>
    <n v="18"/>
    <n v="3"/>
    <n v="0"/>
    <n v="9"/>
    <n v="3"/>
    <n v="2"/>
    <n v="2"/>
    <n v="2"/>
    <s v="12th"/>
    <d v="2019-02-21T00:00:00"/>
    <m/>
    <s v="Better Opportunity"/>
    <x v="0"/>
    <n v="0"/>
    <n v="3"/>
    <s v="Yes"/>
    <s v="Job Event"/>
    <s v="FullTime"/>
    <n v="0"/>
    <s v="Active"/>
    <x v="0"/>
    <x v="1"/>
    <x v="3"/>
  </r>
  <r>
    <n v="40"/>
    <s v="No"/>
    <s v="Non-Travel"/>
    <x v="0"/>
    <n v="8"/>
    <x v="0"/>
    <n v="3"/>
    <n v="2"/>
    <x v="7"/>
    <n v="4"/>
    <s v="Divorced"/>
    <n v="4069"/>
    <n v="3"/>
    <s v="Yes"/>
    <n v="18"/>
    <n v="3"/>
    <n v="0"/>
    <n v="8"/>
    <n v="2"/>
    <n v="2"/>
    <n v="2"/>
    <n v="2"/>
    <s v="Post-Graduation"/>
    <d v="2019-03-06T00:00:00"/>
    <m/>
    <s v="Work Accident"/>
    <x v="0"/>
    <n v="4"/>
    <n v="1"/>
    <s v="No"/>
    <s v="Job Event"/>
    <s v="FullTime"/>
    <n v="0"/>
    <s v="Active"/>
    <x v="0"/>
    <x v="0"/>
    <x v="3"/>
  </r>
  <r>
    <n v="33"/>
    <s v="No"/>
    <s v="Travel_Rarely"/>
    <x v="1"/>
    <n v="8"/>
    <x v="0"/>
    <n v="3"/>
    <n v="2"/>
    <x v="4"/>
    <n v="1"/>
    <s v="Married"/>
    <n v="6392"/>
    <n v="2"/>
    <s v="No"/>
    <n v="13"/>
    <n v="3"/>
    <n v="1"/>
    <n v="8"/>
    <n v="6"/>
    <n v="2"/>
    <n v="2"/>
    <n v="2"/>
    <s v="12th"/>
    <d v="2019-04-28T00:00:00"/>
    <m/>
    <s v="Dept.Head"/>
    <x v="0"/>
    <n v="4"/>
    <n v="1"/>
    <s v="No"/>
    <s v="Walk-in"/>
    <s v="FullTime"/>
    <n v="0"/>
    <s v="Active"/>
    <x v="0"/>
    <x v="0"/>
    <x v="2"/>
  </r>
  <r>
    <n v="34"/>
    <s v="No"/>
    <s v="Travel_Rarely"/>
    <x v="0"/>
    <n v="1"/>
    <x v="0"/>
    <n v="3"/>
    <n v="2"/>
    <x v="1"/>
    <n v="4"/>
    <s v="Married"/>
    <n v="5484"/>
    <n v="9"/>
    <s v="No"/>
    <n v="17"/>
    <n v="3"/>
    <n v="1"/>
    <n v="9"/>
    <n v="3"/>
    <n v="2"/>
    <n v="2"/>
    <n v="1"/>
    <s v="Graduation"/>
    <d v="2019-03-15T00:00:00"/>
    <m/>
    <s v="Salary"/>
    <x v="0"/>
    <n v="0"/>
    <n v="2"/>
    <s v="Yes"/>
    <s v="Job Event"/>
    <s v="FullTime"/>
    <n v="0"/>
    <s v="Active"/>
    <x v="0"/>
    <x v="0"/>
    <x v="0"/>
  </r>
  <r>
    <n v="23"/>
    <s v="No"/>
    <s v="Travel_Rarely"/>
    <x v="0"/>
    <n v="10"/>
    <x v="0"/>
    <n v="4"/>
    <n v="1"/>
    <x v="1"/>
    <n v="3"/>
    <s v="Married"/>
    <n v="2073"/>
    <n v="2"/>
    <s v="No"/>
    <n v="16"/>
    <n v="3"/>
    <n v="1"/>
    <n v="4"/>
    <n v="2"/>
    <n v="2"/>
    <n v="2"/>
    <n v="2"/>
    <s v="Graduation"/>
    <d v="2019-05-16T00:00:00"/>
    <m/>
    <s v="Better Opportunity"/>
    <x v="0"/>
    <n v="0"/>
    <n v="2"/>
    <s v="No"/>
    <s v="Recruiter"/>
    <s v="FullTime"/>
    <n v="0"/>
    <s v="Active"/>
    <x v="0"/>
    <x v="0"/>
    <x v="0"/>
  </r>
  <r>
    <n v="21"/>
    <s v="No"/>
    <s v="Travel_Rarely"/>
    <x v="0"/>
    <n v="5"/>
    <x v="0"/>
    <n v="3"/>
    <n v="1"/>
    <x v="1"/>
    <n v="4"/>
    <s v="Single"/>
    <n v="3117"/>
    <n v="1"/>
    <s v="No"/>
    <n v="18"/>
    <n v="3"/>
    <n v="0"/>
    <n v="3"/>
    <n v="2"/>
    <n v="2"/>
    <n v="2"/>
    <n v="2"/>
    <s v="Graduation"/>
    <d v="2019-01-08T00:00:00"/>
    <m/>
    <s v="Better Opportunity"/>
    <x v="0"/>
    <n v="4"/>
    <n v="0"/>
    <s v="No"/>
    <s v="Recruiter"/>
    <s v="FullTime"/>
    <n v="0"/>
    <s v="Active"/>
    <x v="0"/>
    <x v="0"/>
    <x v="0"/>
  </r>
  <r>
    <n v="48"/>
    <s v="No"/>
    <s v="Travel_Frequently"/>
    <x v="0"/>
    <n v="4"/>
    <x v="0"/>
    <n v="2"/>
    <n v="4"/>
    <x v="5"/>
    <n v="4"/>
    <s v="Married"/>
    <n v="15202"/>
    <n v="2"/>
    <s v="No"/>
    <n v="25"/>
    <n v="4"/>
    <n v="1"/>
    <n v="23"/>
    <n v="3"/>
    <n v="2"/>
    <n v="2"/>
    <n v="2"/>
    <s v="Post-Graduation"/>
    <d v="2019-04-08T00:00:00"/>
    <m/>
    <s v="Better Opportunity"/>
    <x v="1"/>
    <n v="0"/>
    <n v="1"/>
    <s v="No"/>
    <s v="Walk-in"/>
    <s v="FullTime"/>
    <n v="0"/>
    <s v="Active"/>
    <x v="0"/>
    <x v="1"/>
    <x v="1"/>
  </r>
  <r>
    <n v="35"/>
    <s v="Yes"/>
    <s v="Travel_Rarely"/>
    <x v="1"/>
    <n v="15"/>
    <x v="0"/>
    <n v="1"/>
    <n v="2"/>
    <x v="4"/>
    <n v="4"/>
    <s v="Divorced"/>
    <n v="5440"/>
    <n v="6"/>
    <s v="Yes"/>
    <n v="14"/>
    <n v="3"/>
    <n v="2"/>
    <n v="7"/>
    <n v="2"/>
    <n v="2"/>
    <n v="2"/>
    <n v="2"/>
    <s v="Graduation"/>
    <d v="2019-05-22T00:00:00"/>
    <m/>
    <s v="Better Opportunity"/>
    <x v="0"/>
    <n v="1"/>
    <n v="2"/>
    <s v="No"/>
    <s v="Job Event"/>
    <s v="Part Time"/>
    <n v="1"/>
    <s v="Active"/>
    <x v="0"/>
    <x v="0"/>
    <x v="2"/>
  </r>
  <r>
    <n v="20"/>
    <s v="No"/>
    <s v="Travel_Rarely"/>
    <x v="1"/>
    <n v="2"/>
    <x v="1"/>
    <n v="3"/>
    <n v="1"/>
    <x v="3"/>
    <n v="3"/>
    <s v="Single"/>
    <n v="2783"/>
    <n v="1"/>
    <s v="No"/>
    <n v="19"/>
    <n v="3"/>
    <n v="0"/>
    <n v="2"/>
    <n v="3"/>
    <n v="2"/>
    <n v="2"/>
    <n v="2"/>
    <s v="12th"/>
    <d v="2019-02-08T00:00:00"/>
    <m/>
    <s v="Dept.Head"/>
    <x v="0"/>
    <n v="1"/>
    <n v="1"/>
    <s v="No"/>
    <s v="Job Portal"/>
    <s v="Part Time"/>
    <n v="0"/>
    <s v="Active"/>
    <x v="0"/>
    <x v="0"/>
    <x v="2"/>
  </r>
  <r>
    <n v="49"/>
    <s v="No"/>
    <s v="Travel_Rarely"/>
    <x v="0"/>
    <n v="16"/>
    <x v="1"/>
    <n v="3"/>
    <n v="1"/>
    <x v="0"/>
    <n v="1"/>
    <s v="Divorced"/>
    <n v="2587"/>
    <n v="4"/>
    <s v="Yes"/>
    <n v="16"/>
    <n v="3"/>
    <n v="1"/>
    <n v="17"/>
    <n v="2"/>
    <n v="2"/>
    <n v="2"/>
    <n v="2"/>
    <s v="Post-Graduation"/>
    <d v="2019-05-07T00:00:00"/>
    <m/>
    <s v="Work Accident"/>
    <x v="1"/>
    <n v="5"/>
    <n v="1"/>
    <s v="No"/>
    <s v="Recruiter"/>
    <s v="Part Time"/>
    <n v="0"/>
    <s v="Active"/>
    <x v="0"/>
    <x v="0"/>
    <x v="0"/>
  </r>
  <r>
    <n v="41"/>
    <s v="No"/>
    <s v="Travel_Rarely"/>
    <x v="1"/>
    <n v="23"/>
    <x v="0"/>
    <n v="3"/>
    <n v="3"/>
    <x v="4"/>
    <n v="3"/>
    <s v="Single"/>
    <n v="7082"/>
    <n v="3"/>
    <s v="Yes"/>
    <n v="16"/>
    <n v="3"/>
    <n v="0"/>
    <n v="21"/>
    <n v="2"/>
    <n v="2"/>
    <n v="0"/>
    <n v="2"/>
    <s v="12th"/>
    <d v="2019-06-24T00:00:00"/>
    <m/>
    <s v="Work Accident"/>
    <x v="1"/>
    <n v="0"/>
    <n v="2"/>
    <s v="Yes"/>
    <s v="Job Portal"/>
    <s v="Contract"/>
    <n v="0"/>
    <s v="Active"/>
    <x v="0"/>
    <x v="1"/>
    <x v="2"/>
  </r>
  <r>
    <n v="20"/>
    <s v="No"/>
    <s v="Travel_Rarely"/>
    <x v="1"/>
    <n v="9"/>
    <x v="0"/>
    <n v="3"/>
    <n v="1"/>
    <x v="3"/>
    <n v="1"/>
    <s v="Single"/>
    <n v="2728"/>
    <n v="1"/>
    <s v="No"/>
    <n v="11"/>
    <n v="3"/>
    <n v="0"/>
    <n v="2"/>
    <n v="3"/>
    <n v="2"/>
    <n v="0"/>
    <n v="2"/>
    <s v="Graduation"/>
    <d v="2019-06-25T00:00:00"/>
    <m/>
    <s v="Salary"/>
    <x v="0"/>
    <n v="0"/>
    <n v="0"/>
    <s v="No"/>
    <s v="Walk-in"/>
    <s v="Contract"/>
    <n v="0"/>
    <s v="Active"/>
    <x v="0"/>
    <x v="0"/>
    <x v="2"/>
  </r>
  <r>
    <n v="36"/>
    <s v="Yes"/>
    <s v="Travel_Rarely"/>
    <x v="1"/>
    <n v="13"/>
    <x v="0"/>
    <n v="2"/>
    <n v="2"/>
    <x v="4"/>
    <n v="1"/>
    <s v="Divorced"/>
    <n v="6134"/>
    <n v="5"/>
    <s v="Yes"/>
    <n v="13"/>
    <n v="3"/>
    <n v="3"/>
    <n v="16"/>
    <n v="3"/>
    <n v="2"/>
    <n v="2"/>
    <n v="2"/>
    <s v="PHD"/>
    <d v="2019-03-12T00:00:00"/>
    <m/>
    <s v="Work Accident"/>
    <x v="1"/>
    <n v="4"/>
    <n v="0"/>
    <s v="No"/>
    <s v="Recruiter"/>
    <s v="Part Time"/>
    <n v="1"/>
    <s v="Active"/>
    <x v="0"/>
    <x v="0"/>
    <x v="2"/>
  </r>
  <r>
    <n v="24"/>
    <s v="No"/>
    <s v="Travel_Frequently"/>
    <x v="2"/>
    <n v="10"/>
    <x v="0"/>
    <n v="3"/>
    <n v="1"/>
    <x v="8"/>
    <n v="4"/>
    <s v="Married"/>
    <n v="2145"/>
    <n v="0"/>
    <s v="No"/>
    <n v="14"/>
    <n v="3"/>
    <n v="1"/>
    <n v="3"/>
    <n v="2"/>
    <n v="2"/>
    <n v="2"/>
    <n v="1"/>
    <s v="Graduation"/>
    <d v="2019-03-17T00:00:00"/>
    <m/>
    <s v="Better Opportunity"/>
    <x v="0"/>
    <n v="2"/>
    <n v="3"/>
    <s v="No"/>
    <s v="Walk-in"/>
    <s v="FullTime"/>
    <n v="0"/>
    <s v="Active"/>
    <x v="0"/>
    <x v="0"/>
    <x v="4"/>
  </r>
  <r>
    <n v="29"/>
    <s v="Yes"/>
    <s v="Travel_Rarely"/>
    <x v="1"/>
    <n v="9"/>
    <x v="1"/>
    <n v="1"/>
    <n v="1"/>
    <x v="3"/>
    <n v="2"/>
    <s v="Single"/>
    <n v="2760"/>
    <n v="1"/>
    <s v="No"/>
    <n v="13"/>
    <n v="3"/>
    <n v="0"/>
    <n v="2"/>
    <n v="3"/>
    <n v="2"/>
    <n v="2"/>
    <n v="2"/>
    <s v="12th"/>
    <d v="2019-04-14T00:00:00"/>
    <m/>
    <s v="Dept.Head"/>
    <x v="1"/>
    <n v="5"/>
    <n v="1"/>
    <s v="Yes"/>
    <s v="Walk-in"/>
    <s v="Part Time"/>
    <n v="1"/>
    <s v="Active"/>
    <x v="0"/>
    <x v="0"/>
    <x v="2"/>
  </r>
  <r>
    <n v="34"/>
    <s v="No"/>
    <s v="Travel_Rarely"/>
    <x v="1"/>
    <n v="3"/>
    <x v="1"/>
    <n v="1"/>
    <n v="2"/>
    <x v="4"/>
    <n v="4"/>
    <s v="Single"/>
    <n v="6029"/>
    <n v="5"/>
    <s v="No"/>
    <n v="12"/>
    <n v="3"/>
    <n v="0"/>
    <n v="6"/>
    <n v="3"/>
    <n v="2"/>
    <n v="2"/>
    <n v="2"/>
    <s v="Post-Graduation"/>
    <d v="2019-06-02T00:00:00"/>
    <m/>
    <s v="Dept.Head"/>
    <x v="1"/>
    <n v="1"/>
    <n v="1"/>
    <s v="No"/>
    <s v="Recruiter"/>
    <s v="FullTime"/>
    <n v="0"/>
    <s v="Active"/>
    <x v="0"/>
    <x v="0"/>
    <x v="2"/>
  </r>
  <r>
    <n v="51"/>
    <s v="No"/>
    <s v="Travel_Rarely"/>
    <x v="0"/>
    <n v="3"/>
    <x v="1"/>
    <n v="3"/>
    <n v="3"/>
    <x v="5"/>
    <n v="3"/>
    <s v="Married"/>
    <n v="13116"/>
    <n v="2"/>
    <s v="No"/>
    <n v="11"/>
    <n v="3"/>
    <n v="0"/>
    <n v="15"/>
    <n v="2"/>
    <n v="2"/>
    <n v="2"/>
    <n v="2"/>
    <s v="Post-Graduation"/>
    <d v="2019-01-02T00:00:00"/>
    <m/>
    <s v="Better Opportunity"/>
    <x v="0"/>
    <n v="1"/>
    <n v="2"/>
    <s v="Yes"/>
    <s v="Job Event"/>
    <s v="FullTime"/>
    <n v="0"/>
    <s v="Active"/>
    <x v="0"/>
    <x v="1"/>
    <x v="1"/>
  </r>
  <r>
    <n v="46"/>
    <s v="No"/>
    <s v="Travel_Rarely"/>
    <x v="0"/>
    <n v="2"/>
    <x v="0"/>
    <n v="3"/>
    <n v="5"/>
    <x v="2"/>
    <n v="4"/>
    <s v="Divorced"/>
    <n v="19328"/>
    <n v="7"/>
    <s v="Yes"/>
    <n v="17"/>
    <n v="3"/>
    <n v="1"/>
    <n v="24"/>
    <n v="3"/>
    <n v="2"/>
    <n v="2"/>
    <n v="2"/>
    <s v="PHD"/>
    <d v="2019-02-19T00:00:00"/>
    <m/>
    <s v="Work Environment"/>
    <x v="1"/>
    <n v="3"/>
    <n v="0"/>
    <s v="No"/>
    <s v="Recruiter"/>
    <s v="Contract"/>
    <n v="0"/>
    <s v="Active"/>
    <x v="0"/>
    <x v="1"/>
    <x v="1"/>
  </r>
  <r>
    <n v="46"/>
    <s v="No"/>
    <s v="Non-Travel"/>
    <x v="1"/>
    <n v="26"/>
    <x v="0"/>
    <n v="2"/>
    <n v="2"/>
    <x v="4"/>
    <n v="2"/>
    <s v="Single"/>
    <n v="7991"/>
    <n v="8"/>
    <s v="No"/>
    <n v="15"/>
    <n v="3"/>
    <n v="0"/>
    <n v="6"/>
    <n v="3"/>
    <n v="2"/>
    <n v="2"/>
    <n v="2"/>
    <s v="Graduation"/>
    <d v="2019-04-19T00:00:00"/>
    <m/>
    <s v="Dept.Head"/>
    <x v="0"/>
    <n v="5"/>
    <n v="0"/>
    <s v="No"/>
    <s v="Job Portal"/>
    <s v="Contract"/>
    <n v="0"/>
    <s v="Active"/>
    <x v="0"/>
    <x v="1"/>
    <x v="2"/>
  </r>
  <r>
    <n v="39"/>
    <s v="No"/>
    <s v="Travel_Frequently"/>
    <x v="1"/>
    <n v="20"/>
    <x v="0"/>
    <n v="3"/>
    <n v="2"/>
    <x v="4"/>
    <n v="4"/>
    <s v="Divorced"/>
    <n v="4127"/>
    <n v="2"/>
    <s v="No"/>
    <n v="18"/>
    <n v="3"/>
    <n v="1"/>
    <n v="7"/>
    <n v="6"/>
    <n v="2"/>
    <n v="2"/>
    <n v="2"/>
    <s v="PHD"/>
    <d v="2019-03-10T00:00:00"/>
    <m/>
    <s v="Dept.Head"/>
    <x v="1"/>
    <n v="2"/>
    <n v="1"/>
    <s v="No"/>
    <s v="Job Portal"/>
    <s v="Contract"/>
    <n v="0"/>
    <s v="Active"/>
    <x v="0"/>
    <x v="0"/>
    <x v="2"/>
  </r>
  <r>
    <n v="58"/>
    <s v="No"/>
    <s v="Travel_Frequently"/>
    <x v="0"/>
    <n v="15"/>
    <x v="0"/>
    <n v="3"/>
    <n v="4"/>
    <x v="2"/>
    <n v="3"/>
    <s v="Married"/>
    <n v="15787"/>
    <n v="2"/>
    <s v="Yes"/>
    <n v="14"/>
    <n v="3"/>
    <n v="0"/>
    <n v="23"/>
    <n v="3"/>
    <n v="2"/>
    <n v="2"/>
    <n v="2"/>
    <s v="12th"/>
    <d v="2019-05-29T00:00:00"/>
    <m/>
    <s v="Dept.Head"/>
    <x v="1"/>
    <n v="0"/>
    <n v="2"/>
    <s v="No"/>
    <s v="Walk-in"/>
    <s v="FullTime"/>
    <n v="0"/>
    <s v="Active"/>
    <x v="0"/>
    <x v="1"/>
    <x v="1"/>
  </r>
  <r>
    <n v="29"/>
    <s v="Yes"/>
    <s v="Travel_Rarely"/>
    <x v="2"/>
    <n v="13"/>
    <x v="0"/>
    <n v="2"/>
    <n v="1"/>
    <x v="8"/>
    <n v="1"/>
    <s v="Divorced"/>
    <n v="2335"/>
    <n v="4"/>
    <s v="Yes"/>
    <n v="15"/>
    <n v="3"/>
    <n v="3"/>
    <n v="4"/>
    <n v="3"/>
    <n v="2"/>
    <n v="2"/>
    <n v="0"/>
    <s v="12th"/>
    <d v="2019-04-06T00:00:00"/>
    <m/>
    <s v="Work Accident"/>
    <x v="1"/>
    <n v="3"/>
    <n v="0"/>
    <s v="Yes"/>
    <s v="Job Portal"/>
    <s v="FullTime"/>
    <n v="1"/>
    <s v="Active"/>
    <x v="0"/>
    <x v="0"/>
    <x v="4"/>
  </r>
  <r>
    <n v="47"/>
    <s v="No"/>
    <s v="Travel_Rarely"/>
    <x v="0"/>
    <n v="9"/>
    <x v="1"/>
    <n v="3"/>
    <n v="1"/>
    <x v="0"/>
    <n v="3"/>
    <s v="Single"/>
    <n v="2105"/>
    <n v="4"/>
    <s v="No"/>
    <n v="12"/>
    <n v="3"/>
    <n v="0"/>
    <n v="7"/>
    <n v="2"/>
    <n v="2"/>
    <n v="2"/>
    <n v="0"/>
    <s v="12th"/>
    <d v="2019-01-05T00:00:00"/>
    <m/>
    <s v="Better Opportunity"/>
    <x v="1"/>
    <n v="1"/>
    <n v="1"/>
    <s v="Yes"/>
    <s v="Recruiter"/>
    <s v="Contract"/>
    <n v="0"/>
    <s v="Active"/>
    <x v="0"/>
    <x v="0"/>
    <x v="0"/>
  </r>
  <r>
    <n v="32"/>
    <s v="Yes"/>
    <s v="Travel_Rarely"/>
    <x v="1"/>
    <n v="2"/>
    <x v="0"/>
    <n v="2"/>
    <n v="2"/>
    <x v="4"/>
    <n v="2"/>
    <s v="Single"/>
    <n v="9907"/>
    <n v="7"/>
    <s v="Yes"/>
    <n v="12"/>
    <n v="3"/>
    <n v="0"/>
    <n v="7"/>
    <n v="3"/>
    <n v="2"/>
    <n v="2"/>
    <n v="2"/>
    <s v="Post-Graduation"/>
    <d v="2019-03-21T00:00:00"/>
    <m/>
    <s v="Better Opportunity"/>
    <x v="0"/>
    <n v="5"/>
    <n v="3"/>
    <s v="No"/>
    <s v="Recruiter"/>
    <s v="Part Time"/>
    <n v="1"/>
    <s v="Active"/>
    <x v="0"/>
    <x v="1"/>
    <x v="2"/>
  </r>
  <r>
    <n v="39"/>
    <s v="No"/>
    <s v="Travel_Rarely"/>
    <x v="0"/>
    <n v="19"/>
    <x v="0"/>
    <n v="3"/>
    <n v="2"/>
    <x v="1"/>
    <n v="4"/>
    <s v="Divorced"/>
    <n v="3902"/>
    <n v="8"/>
    <s v="No"/>
    <n v="14"/>
    <n v="3"/>
    <n v="3"/>
    <n v="7"/>
    <n v="2"/>
    <n v="2"/>
    <n v="2"/>
    <n v="2"/>
    <s v="Graduation"/>
    <d v="2019-03-11T00:00:00"/>
    <m/>
    <s v="Salary"/>
    <x v="0"/>
    <n v="1"/>
    <n v="2"/>
    <s v="Yes"/>
    <s v="Job Portal"/>
    <s v="Part Time"/>
    <n v="0"/>
    <s v="Active"/>
    <x v="0"/>
    <x v="0"/>
    <x v="0"/>
  </r>
  <r>
    <n v="44"/>
    <s v="No"/>
    <s v="Travel_Rarely"/>
    <x v="0"/>
    <n v="1"/>
    <x v="0"/>
    <n v="4"/>
    <n v="2"/>
    <x v="7"/>
    <n v="1"/>
    <s v="Married"/>
    <n v="5033"/>
    <n v="2"/>
    <s v="No"/>
    <n v="15"/>
    <n v="3"/>
    <n v="1"/>
    <n v="10"/>
    <n v="5"/>
    <n v="2"/>
    <n v="2"/>
    <n v="2"/>
    <s v="PHD"/>
    <d v="2019-06-30T00:00:00"/>
    <m/>
    <s v="Work Accident"/>
    <x v="1"/>
    <n v="0"/>
    <n v="2"/>
    <s v="No"/>
    <s v="Walk-in"/>
    <s v="FullTime"/>
    <n v="0"/>
    <s v="Active"/>
    <x v="0"/>
    <x v="0"/>
    <x v="3"/>
  </r>
  <r>
    <n v="31"/>
    <s v="No"/>
    <s v="Travel_Rarely"/>
    <x v="0"/>
    <n v="4"/>
    <x v="1"/>
    <n v="4"/>
    <n v="1"/>
    <x v="0"/>
    <n v="3"/>
    <s v="Divorced"/>
    <n v="3978"/>
    <n v="8"/>
    <s v="No"/>
    <n v="12"/>
    <n v="3"/>
    <n v="1"/>
    <n v="4"/>
    <n v="0"/>
    <n v="2"/>
    <n v="2"/>
    <n v="2"/>
    <s v="Post-Graduation"/>
    <d v="2019-03-06T00:00:00"/>
    <m/>
    <s v="Dept.Head"/>
    <x v="0"/>
    <n v="4"/>
    <n v="2"/>
    <s v="Yes"/>
    <s v="Recruiter"/>
    <s v="FullTime"/>
    <n v="0"/>
    <s v="Active"/>
    <x v="0"/>
    <x v="0"/>
    <x v="0"/>
  </r>
  <r>
    <n v="28"/>
    <s v="Yes"/>
    <s v="Travel_Rarely"/>
    <x v="1"/>
    <n v="13"/>
    <x v="1"/>
    <n v="3"/>
    <n v="2"/>
    <x v="4"/>
    <n v="3"/>
    <s v="Single"/>
    <n v="9854"/>
    <n v="3"/>
    <s v="Yes"/>
    <n v="11"/>
    <n v="3"/>
    <n v="0"/>
    <n v="6"/>
    <n v="0"/>
    <n v="2"/>
    <n v="2"/>
    <n v="2"/>
    <s v="12th"/>
    <d v="2019-06-27T00:00:00"/>
    <m/>
    <s v="Work Accident"/>
    <x v="0"/>
    <n v="4"/>
    <n v="2"/>
    <s v="Yes"/>
    <s v="Walk-in"/>
    <s v="Part Time"/>
    <n v="1"/>
    <s v="Active"/>
    <x v="0"/>
    <x v="1"/>
    <x v="2"/>
  </r>
  <r>
    <n v="53"/>
    <s v="Yes"/>
    <s v="Travel_Rarely"/>
    <x v="1"/>
    <n v="24"/>
    <x v="0"/>
    <n v="3"/>
    <n v="3"/>
    <x v="4"/>
    <n v="1"/>
    <s v="Single"/>
    <n v="10448"/>
    <n v="6"/>
    <s v="Yes"/>
    <n v="13"/>
    <n v="3"/>
    <n v="0"/>
    <n v="15"/>
    <n v="2"/>
    <n v="2"/>
    <n v="2"/>
    <n v="2"/>
    <s v="12th"/>
    <d v="2019-05-09T00:00:00"/>
    <m/>
    <s v="Work Environment"/>
    <x v="0"/>
    <n v="5"/>
    <n v="0"/>
    <s v="Yes"/>
    <s v="Job Portal"/>
    <s v="Contract"/>
    <n v="1"/>
    <s v="Active"/>
    <x v="0"/>
    <x v="1"/>
    <x v="2"/>
  </r>
  <r>
    <n v="25"/>
    <s v="No"/>
    <s v="Travel_Rarely"/>
    <x v="2"/>
    <n v="2"/>
    <x v="1"/>
    <n v="3"/>
    <n v="1"/>
    <x v="8"/>
    <n v="2"/>
    <s v="Married"/>
    <n v="2187"/>
    <n v="4"/>
    <s v="No"/>
    <n v="14"/>
    <n v="3"/>
    <n v="0"/>
    <n v="6"/>
    <n v="3"/>
    <n v="2"/>
    <n v="1"/>
    <n v="2"/>
    <s v="Graduation"/>
    <d v="2019-05-24T00:00:00"/>
    <m/>
    <s v="Salary"/>
    <x v="0"/>
    <n v="3"/>
    <n v="0"/>
    <s v="No"/>
    <s v="Walk-in"/>
    <s v="Part Time"/>
    <n v="0"/>
    <s v="Active"/>
    <x v="0"/>
    <x v="0"/>
    <x v="4"/>
  </r>
  <r>
    <n v="25"/>
    <s v="No"/>
    <s v="Travel_Rarely"/>
    <x v="0"/>
    <n v="2"/>
    <x v="0"/>
    <n v="3"/>
    <n v="1"/>
    <x v="0"/>
    <n v="3"/>
    <s v="Divorced"/>
    <n v="3977"/>
    <n v="6"/>
    <s v="Yes"/>
    <n v="19"/>
    <n v="3"/>
    <n v="1"/>
    <n v="7"/>
    <n v="2"/>
    <n v="2"/>
    <n v="0"/>
    <n v="2"/>
    <s v="12th"/>
    <d v="2019-06-24T00:00:00"/>
    <m/>
    <s v="Dept.Head"/>
    <x v="1"/>
    <n v="2"/>
    <n v="2"/>
    <s v="Yes"/>
    <s v="Job Event"/>
    <s v="Contract"/>
    <n v="0"/>
    <s v="Active"/>
    <x v="0"/>
    <x v="0"/>
    <x v="0"/>
  </r>
  <r>
    <n v="31"/>
    <s v="No"/>
    <s v="Travel_Rarely"/>
    <x v="1"/>
    <n v="2"/>
    <x v="0"/>
    <n v="3"/>
    <n v="1"/>
    <x v="3"/>
    <n v="3"/>
    <s v="Married"/>
    <n v="3067"/>
    <n v="0"/>
    <s v="No"/>
    <n v="19"/>
    <n v="3"/>
    <n v="1"/>
    <n v="3"/>
    <n v="1"/>
    <n v="2"/>
    <n v="1"/>
    <n v="2"/>
    <s v="12th"/>
    <d v="2019-01-15T00:00:00"/>
    <m/>
    <s v="Work Accident"/>
    <x v="1"/>
    <n v="0"/>
    <n v="2"/>
    <s v="No"/>
    <s v="Recruiter"/>
    <s v="FullTime"/>
    <n v="0"/>
    <s v="Active"/>
    <x v="0"/>
    <x v="0"/>
    <x v="2"/>
  </r>
  <r>
    <n v="35"/>
    <s v="No"/>
    <s v="Travel_Rarely"/>
    <x v="0"/>
    <n v="11"/>
    <x v="0"/>
    <n v="3"/>
    <n v="1"/>
    <x v="0"/>
    <n v="3"/>
    <s v="Married"/>
    <n v="2660"/>
    <n v="7"/>
    <s v="Yes"/>
    <n v="11"/>
    <n v="3"/>
    <n v="1"/>
    <n v="5"/>
    <n v="3"/>
    <n v="2"/>
    <n v="2"/>
    <n v="2"/>
    <s v="PHD"/>
    <d v="2019-04-05T00:00:00"/>
    <m/>
    <s v="Work Environment"/>
    <x v="0"/>
    <n v="2"/>
    <n v="1"/>
    <s v="No"/>
    <s v="Job Portal"/>
    <s v="Part Time"/>
    <n v="0"/>
    <s v="Active"/>
    <x v="0"/>
    <x v="0"/>
    <x v="0"/>
  </r>
  <r>
    <n v="32"/>
    <s v="No"/>
    <s v="Travel_Rarely"/>
    <x v="1"/>
    <n v="1"/>
    <x v="0"/>
    <n v="2"/>
    <n v="1"/>
    <x v="3"/>
    <n v="2"/>
    <s v="Married"/>
    <n v="2269"/>
    <n v="0"/>
    <s v="No"/>
    <n v="14"/>
    <n v="3"/>
    <n v="1"/>
    <n v="3"/>
    <n v="2"/>
    <n v="2"/>
    <n v="2"/>
    <n v="2"/>
    <s v="Graduation"/>
    <d v="2019-04-19T00:00:00"/>
    <m/>
    <s v="Work Environment"/>
    <x v="1"/>
    <n v="3"/>
    <n v="2"/>
    <s v="No"/>
    <s v="Walk-in"/>
    <s v="Part Time"/>
    <n v="0"/>
    <s v="Active"/>
    <x v="0"/>
    <x v="0"/>
    <x v="2"/>
  </r>
  <r>
    <n v="21"/>
    <s v="No"/>
    <s v="Travel_Rarely"/>
    <x v="1"/>
    <n v="5"/>
    <x v="0"/>
    <n v="3"/>
    <n v="1"/>
    <x v="3"/>
    <n v="1"/>
    <s v="Single"/>
    <n v="2380"/>
    <n v="1"/>
    <s v="Yes"/>
    <n v="11"/>
    <n v="3"/>
    <n v="0"/>
    <n v="2"/>
    <n v="6"/>
    <n v="2"/>
    <n v="1"/>
    <n v="2"/>
    <s v="12th"/>
    <d v="2019-02-02T00:00:00"/>
    <m/>
    <s v="Work Environment"/>
    <x v="0"/>
    <n v="4"/>
    <n v="2"/>
    <s v="Yes"/>
    <s v="Recruiter"/>
    <s v="Part Time"/>
    <n v="0"/>
    <s v="Active"/>
    <x v="0"/>
    <x v="0"/>
    <x v="2"/>
  </r>
  <r>
    <n v="29"/>
    <s v="Yes"/>
    <s v="Travel_Rarely"/>
    <x v="0"/>
    <n v="1"/>
    <x v="0"/>
    <n v="3"/>
    <n v="1"/>
    <x v="1"/>
    <n v="4"/>
    <s v="Married"/>
    <n v="4787"/>
    <n v="9"/>
    <s v="Yes"/>
    <n v="14"/>
    <n v="3"/>
    <n v="3"/>
    <n v="4"/>
    <n v="3"/>
    <n v="2"/>
    <n v="2"/>
    <n v="2"/>
    <s v="PHD"/>
    <d v="2019-05-21T00:00:00"/>
    <m/>
    <s v="Salary"/>
    <x v="0"/>
    <n v="0"/>
    <n v="0"/>
    <s v="Yes"/>
    <s v="Recruiter"/>
    <s v="Part Time"/>
    <n v="1"/>
    <s v="Active"/>
    <x v="0"/>
    <x v="0"/>
    <x v="0"/>
  </r>
  <r>
    <n v="40"/>
    <s v="No"/>
    <s v="Travel_Rarely"/>
    <x v="0"/>
    <n v="2"/>
    <x v="0"/>
    <n v="2"/>
    <n v="1"/>
    <x v="1"/>
    <n v="3"/>
    <s v="Single"/>
    <n v="2809"/>
    <n v="2"/>
    <s v="No"/>
    <n v="14"/>
    <n v="3"/>
    <n v="0"/>
    <n v="8"/>
    <n v="2"/>
    <n v="2"/>
    <n v="2"/>
    <n v="2"/>
    <s v="PHD"/>
    <d v="2019-06-23T00:00:00"/>
    <m/>
    <s v="Work Environment"/>
    <x v="0"/>
    <n v="4"/>
    <n v="2"/>
    <s v="Yes"/>
    <s v="Walk-in"/>
    <s v="Part Time"/>
    <n v="0"/>
    <s v="Active"/>
    <x v="0"/>
    <x v="0"/>
    <x v="0"/>
  </r>
  <r>
    <n v="38"/>
    <s v="No"/>
    <s v="Travel_Rarely"/>
    <x v="0"/>
    <n v="2"/>
    <x v="0"/>
    <n v="3"/>
    <n v="1"/>
    <x v="1"/>
    <n v="4"/>
    <s v="Single"/>
    <n v="3944"/>
    <n v="5"/>
    <s v="Yes"/>
    <n v="11"/>
    <n v="3"/>
    <n v="0"/>
    <n v="6"/>
    <n v="3"/>
    <n v="3"/>
    <n v="1"/>
    <n v="2"/>
    <s v="Post-Graduation"/>
    <d v="2018-05-17T00:00:00"/>
    <m/>
    <s v="Work Accident"/>
    <x v="0"/>
    <n v="3"/>
    <n v="1"/>
    <s v="Yes"/>
    <s v="Job Event"/>
    <s v="Part Time"/>
    <n v="0"/>
    <s v="Active"/>
    <x v="1"/>
    <x v="0"/>
    <x v="0"/>
  </r>
  <r>
    <n v="50"/>
    <s v="Yes"/>
    <s v="Travel_Rarely"/>
    <x v="1"/>
    <n v="3"/>
    <x v="0"/>
    <n v="2"/>
    <n v="1"/>
    <x v="3"/>
    <n v="3"/>
    <s v="Married"/>
    <n v="2683"/>
    <n v="1"/>
    <s v="Yes"/>
    <n v="14"/>
    <n v="3"/>
    <n v="0"/>
    <n v="3"/>
    <n v="2"/>
    <n v="3"/>
    <n v="0"/>
    <n v="2"/>
    <s v="PHD"/>
    <d v="2018-01-17T00:00:00"/>
    <m/>
    <s v="Better Opportunity"/>
    <x v="1"/>
    <n v="3"/>
    <n v="0"/>
    <s v="Yes"/>
    <s v="Walk-in"/>
    <s v="Contract"/>
    <n v="1"/>
    <s v="Active"/>
    <x v="1"/>
    <x v="0"/>
    <x v="2"/>
  </r>
  <r>
    <n v="35"/>
    <s v="No"/>
    <s v="Travel_Frequently"/>
    <x v="0"/>
    <n v="1"/>
    <x v="0"/>
    <n v="3"/>
    <n v="1"/>
    <x v="1"/>
    <n v="1"/>
    <s v="Married"/>
    <n v="2194"/>
    <n v="4"/>
    <s v="No"/>
    <n v="13"/>
    <n v="3"/>
    <n v="1"/>
    <n v="5"/>
    <n v="2"/>
    <n v="3"/>
    <n v="1"/>
    <n v="2"/>
    <s v="Graduation"/>
    <d v="2018-01-02T00:00:00"/>
    <m/>
    <s v="Work Accident"/>
    <x v="1"/>
    <n v="2"/>
    <n v="3"/>
    <s v="Yes"/>
    <s v="Recruiter"/>
    <s v="FullTime"/>
    <n v="0"/>
    <s v="Active"/>
    <x v="1"/>
    <x v="0"/>
    <x v="0"/>
  </r>
  <r>
    <n v="24"/>
    <s v="No"/>
    <s v="Travel_Rarely"/>
    <x v="1"/>
    <n v="3"/>
    <x v="1"/>
    <n v="3"/>
    <n v="2"/>
    <x v="4"/>
    <n v="3"/>
    <s v="Married"/>
    <n v="4999"/>
    <n v="0"/>
    <s v="No"/>
    <n v="21"/>
    <n v="4"/>
    <n v="1"/>
    <n v="4"/>
    <n v="2"/>
    <n v="3"/>
    <n v="0"/>
    <n v="2"/>
    <s v="Graduation"/>
    <d v="2018-04-27T00:00:00"/>
    <m/>
    <s v="Dept.Head"/>
    <x v="0"/>
    <n v="1"/>
    <n v="1"/>
    <s v="No"/>
    <s v="Recruiter"/>
    <s v="FullTime"/>
    <n v="0"/>
    <s v="Active"/>
    <x v="1"/>
    <x v="0"/>
    <x v="2"/>
  </r>
  <r>
    <n v="44"/>
    <s v="No"/>
    <s v="Non-Travel"/>
    <x v="0"/>
    <n v="23"/>
    <x v="0"/>
    <n v="3"/>
    <n v="2"/>
    <x v="0"/>
    <n v="2"/>
    <s v="Married"/>
    <n v="2042"/>
    <n v="4"/>
    <s v="No"/>
    <n v="12"/>
    <n v="3"/>
    <n v="1"/>
    <n v="17"/>
    <n v="3"/>
    <n v="3"/>
    <n v="1"/>
    <n v="2"/>
    <s v="Graduation"/>
    <d v="2018-03-23T00:00:00"/>
    <m/>
    <s v="Dept.Head"/>
    <x v="1"/>
    <n v="5"/>
    <n v="0"/>
    <s v="Yes"/>
    <s v="Job Event"/>
    <s v="FullTime"/>
    <n v="0"/>
    <s v="Active"/>
    <x v="1"/>
    <x v="0"/>
    <x v="0"/>
  </r>
  <r>
    <n v="37"/>
    <s v="Yes"/>
    <s v="Travel_Rarely"/>
    <x v="2"/>
    <n v="6"/>
    <x v="0"/>
    <n v="3"/>
    <n v="1"/>
    <x v="8"/>
    <n v="1"/>
    <s v="Divorced"/>
    <n v="2073"/>
    <n v="4"/>
    <s v="Yes"/>
    <n v="22"/>
    <n v="4"/>
    <n v="0"/>
    <n v="7"/>
    <n v="3"/>
    <n v="3"/>
    <n v="0"/>
    <n v="2"/>
    <s v="PHD"/>
    <d v="2018-02-18T00:00:00"/>
    <m/>
    <s v="Work Environment"/>
    <x v="1"/>
    <n v="1"/>
    <n v="0"/>
    <s v="Yes"/>
    <s v="Job Portal"/>
    <s v="FullTime"/>
    <n v="1"/>
    <s v="Active"/>
    <x v="1"/>
    <x v="0"/>
    <x v="4"/>
  </r>
  <r>
    <n v="59"/>
    <s v="No"/>
    <s v="Non-Travel"/>
    <x v="2"/>
    <n v="2"/>
    <x v="1"/>
    <n v="2"/>
    <n v="5"/>
    <x v="5"/>
    <n v="4"/>
    <s v="Married"/>
    <n v="18844"/>
    <n v="9"/>
    <s v="No"/>
    <n v="21"/>
    <n v="4"/>
    <n v="1"/>
    <n v="30"/>
    <n v="3"/>
    <n v="3"/>
    <n v="2"/>
    <n v="2"/>
    <s v="12th"/>
    <d v="2018-06-02T00:00:00"/>
    <m/>
    <s v="Dept.Head"/>
    <x v="0"/>
    <n v="4"/>
    <n v="2"/>
    <s v="No"/>
    <s v="Job Portal"/>
    <s v="Part Time"/>
    <n v="0"/>
    <s v="Active"/>
    <x v="1"/>
    <x v="1"/>
    <x v="1"/>
  </r>
  <r>
    <n v="43"/>
    <s v="No"/>
    <s v="Travel_Frequently"/>
    <x v="0"/>
    <n v="28"/>
    <x v="1"/>
    <n v="4"/>
    <n v="1"/>
    <x v="1"/>
    <n v="3"/>
    <s v="Single"/>
    <n v="4739"/>
    <n v="4"/>
    <s v="No"/>
    <n v="12"/>
    <n v="3"/>
    <n v="0"/>
    <n v="18"/>
    <n v="2"/>
    <n v="3"/>
    <n v="1"/>
    <n v="2"/>
    <s v="Post-Graduation"/>
    <d v="2018-02-13T00:00:00"/>
    <m/>
    <s v="Better Opportunity"/>
    <x v="0"/>
    <n v="2"/>
    <n v="2"/>
    <s v="No"/>
    <s v="Job Portal"/>
    <s v="FullTime"/>
    <n v="0"/>
    <s v="Active"/>
    <x v="1"/>
    <x v="0"/>
    <x v="0"/>
  </r>
  <r>
    <n v="36"/>
    <s v="No"/>
    <s v="Travel_Rarely"/>
    <x v="0"/>
    <n v="6"/>
    <x v="0"/>
    <n v="3"/>
    <n v="2"/>
    <x v="6"/>
    <n v="2"/>
    <s v="Divorced"/>
    <n v="4941"/>
    <n v="6"/>
    <s v="No"/>
    <n v="20"/>
    <n v="4"/>
    <n v="2"/>
    <n v="7"/>
    <n v="0"/>
    <n v="3"/>
    <n v="0"/>
    <n v="1"/>
    <s v="Graduation"/>
    <d v="2018-06-18T00:00:00"/>
    <m/>
    <s v="Better Opportunity"/>
    <x v="0"/>
    <n v="0"/>
    <n v="2"/>
    <s v="No"/>
    <s v="Job Event"/>
    <s v="FullTime"/>
    <n v="0"/>
    <s v="Active"/>
    <x v="1"/>
    <x v="0"/>
    <x v="3"/>
  </r>
  <r>
    <n v="38"/>
    <s v="No"/>
    <s v="Travel_Rarely"/>
    <x v="0"/>
    <n v="3"/>
    <x v="1"/>
    <n v="3"/>
    <n v="2"/>
    <x v="1"/>
    <n v="3"/>
    <s v="Single"/>
    <n v="4317"/>
    <n v="3"/>
    <s v="Yes"/>
    <n v="20"/>
    <n v="4"/>
    <n v="0"/>
    <n v="19"/>
    <n v="2"/>
    <n v="3"/>
    <n v="2"/>
    <n v="2"/>
    <s v="12th"/>
    <d v="2018-04-24T00:00:00"/>
    <m/>
    <s v="Salary"/>
    <x v="1"/>
    <n v="5"/>
    <n v="0"/>
    <s v="Yes"/>
    <s v="Job Event"/>
    <s v="FullTime"/>
    <n v="0"/>
    <s v="Active"/>
    <x v="1"/>
    <x v="0"/>
    <x v="0"/>
  </r>
  <r>
    <n v="30"/>
    <s v="No"/>
    <s v="Travel_Rarely"/>
    <x v="0"/>
    <n v="5"/>
    <x v="1"/>
    <n v="3"/>
    <n v="1"/>
    <x v="1"/>
    <n v="1"/>
    <s v="Divorced"/>
    <n v="3204"/>
    <n v="5"/>
    <s v="No"/>
    <n v="14"/>
    <n v="3"/>
    <n v="1"/>
    <n v="8"/>
    <n v="3"/>
    <n v="3"/>
    <n v="2"/>
    <n v="2"/>
    <s v="12th"/>
    <d v="2018-05-25T00:00:00"/>
    <m/>
    <s v="Dept.Head"/>
    <x v="0"/>
    <n v="0"/>
    <n v="2"/>
    <s v="No"/>
    <s v="Walk-in"/>
    <s v="FullTime"/>
    <n v="0"/>
    <s v="Active"/>
    <x v="1"/>
    <x v="0"/>
    <x v="0"/>
  </r>
  <r>
    <n v="33"/>
    <s v="No"/>
    <s v="Travel_Rarely"/>
    <x v="0"/>
    <n v="2"/>
    <x v="0"/>
    <n v="3"/>
    <n v="1"/>
    <x v="1"/>
    <n v="4"/>
    <s v="Single"/>
    <n v="2500"/>
    <n v="0"/>
    <s v="No"/>
    <n v="14"/>
    <n v="3"/>
    <n v="0"/>
    <n v="4"/>
    <n v="2"/>
    <n v="3"/>
    <n v="0"/>
    <n v="2"/>
    <s v="Graduation"/>
    <d v="2018-01-04T00:00:00"/>
    <m/>
    <s v="Work Accident"/>
    <x v="0"/>
    <n v="0"/>
    <n v="0"/>
    <s v="No"/>
    <s v="Recruiter"/>
    <s v="Contract"/>
    <n v="0"/>
    <s v="Active"/>
    <x v="1"/>
    <x v="0"/>
    <x v="0"/>
  </r>
  <r>
    <n v="34"/>
    <s v="No"/>
    <s v="Travel_Rarely"/>
    <x v="0"/>
    <n v="27"/>
    <x v="1"/>
    <n v="3"/>
    <n v="1"/>
    <x v="1"/>
    <n v="2"/>
    <s v="Single"/>
    <n v="2311"/>
    <n v="2"/>
    <s v="No"/>
    <n v="15"/>
    <n v="3"/>
    <n v="0"/>
    <n v="9"/>
    <n v="3"/>
    <n v="3"/>
    <n v="1"/>
    <n v="2"/>
    <s v="PHD"/>
    <d v="2018-01-24T00:00:00"/>
    <m/>
    <s v="Salary"/>
    <x v="0"/>
    <n v="5"/>
    <n v="3"/>
    <s v="No"/>
    <s v="Job Portal"/>
    <s v="FullTime"/>
    <n v="0"/>
    <s v="Active"/>
    <x v="1"/>
    <x v="0"/>
    <x v="0"/>
  </r>
  <r>
    <n v="50"/>
    <s v="No"/>
    <s v="Travel_Rarely"/>
    <x v="0"/>
    <n v="1"/>
    <x v="0"/>
    <n v="2"/>
    <n v="1"/>
    <x v="0"/>
    <n v="3"/>
    <s v="Married"/>
    <n v="3690"/>
    <n v="2"/>
    <s v="No"/>
    <n v="15"/>
    <n v="3"/>
    <n v="1"/>
    <n v="5"/>
    <n v="2"/>
    <n v="3"/>
    <n v="0"/>
    <n v="2"/>
    <s v="12th"/>
    <d v="2018-02-08T00:00:00"/>
    <m/>
    <s v="Dept.Head"/>
    <x v="1"/>
    <n v="5"/>
    <n v="2"/>
    <s v="Yes"/>
    <s v="Recruiter"/>
    <s v="Part Time"/>
    <n v="0"/>
    <s v="Active"/>
    <x v="1"/>
    <x v="0"/>
    <x v="0"/>
  </r>
  <r>
    <n v="40"/>
    <s v="No"/>
    <s v="Non-Travel"/>
    <x v="0"/>
    <n v="9"/>
    <x v="0"/>
    <n v="2"/>
    <n v="2"/>
    <x v="7"/>
    <n v="4"/>
    <s v="Married"/>
    <n v="4876"/>
    <n v="9"/>
    <s v="No"/>
    <n v="14"/>
    <n v="3"/>
    <n v="1"/>
    <n v="5"/>
    <n v="5"/>
    <n v="3"/>
    <n v="0"/>
    <n v="2"/>
    <s v="12th"/>
    <d v="2018-03-07T00:00:00"/>
    <m/>
    <s v="Salary"/>
    <x v="0"/>
    <n v="3"/>
    <n v="1"/>
    <s v="Yes"/>
    <s v="Job Event"/>
    <s v="FullTime"/>
    <n v="0"/>
    <s v="Active"/>
    <x v="1"/>
    <x v="0"/>
    <x v="3"/>
  </r>
  <r>
    <n v="33"/>
    <s v="No"/>
    <s v="Travel_Rarely"/>
    <x v="0"/>
    <n v="4"/>
    <x v="1"/>
    <n v="2"/>
    <n v="1"/>
    <x v="1"/>
    <n v="2"/>
    <s v="Married"/>
    <n v="2622"/>
    <n v="6"/>
    <s v="No"/>
    <n v="21"/>
    <n v="4"/>
    <n v="0"/>
    <n v="7"/>
    <n v="3"/>
    <n v="3"/>
    <n v="1"/>
    <n v="1"/>
    <s v="Post-Graduation"/>
    <d v="2018-04-05T00:00:00"/>
    <m/>
    <s v="Dept.Head"/>
    <x v="1"/>
    <n v="1"/>
    <n v="1"/>
    <s v="Yes"/>
    <s v="Recruiter"/>
    <s v="Contract"/>
    <n v="0"/>
    <s v="Active"/>
    <x v="1"/>
    <x v="0"/>
    <x v="0"/>
  </r>
  <r>
    <n v="32"/>
    <s v="Yes"/>
    <s v="Travel_Rarely"/>
    <x v="0"/>
    <n v="1"/>
    <x v="0"/>
    <n v="2"/>
    <n v="1"/>
    <x v="0"/>
    <n v="3"/>
    <s v="Single"/>
    <n v="3730"/>
    <n v="0"/>
    <s v="Yes"/>
    <n v="14"/>
    <n v="3"/>
    <n v="0"/>
    <n v="4"/>
    <n v="2"/>
    <n v="3"/>
    <n v="1"/>
    <n v="2"/>
    <s v="PHD"/>
    <d v="2018-02-21T00:00:00"/>
    <m/>
    <s v="Work Environment"/>
    <x v="0"/>
    <n v="0"/>
    <n v="1"/>
    <s v="Yes"/>
    <s v="Job Event"/>
    <s v="FullTime"/>
    <n v="1"/>
    <s v="Active"/>
    <x v="1"/>
    <x v="0"/>
    <x v="0"/>
  </r>
  <r>
    <n v="39"/>
    <s v="No"/>
    <s v="Travel_Rarely"/>
    <x v="0"/>
    <n v="1"/>
    <x v="1"/>
    <n v="3"/>
    <n v="1"/>
    <x v="0"/>
    <n v="3"/>
    <s v="Divorced"/>
    <n v="2232"/>
    <n v="7"/>
    <s v="No"/>
    <n v="14"/>
    <n v="3"/>
    <n v="3"/>
    <n v="7"/>
    <n v="1"/>
    <n v="3"/>
    <n v="1"/>
    <n v="2"/>
    <s v="PHD"/>
    <d v="2018-03-25T00:00:00"/>
    <m/>
    <s v="Work Environment"/>
    <x v="0"/>
    <n v="5"/>
    <n v="2"/>
    <s v="Yes"/>
    <s v="Recruiter"/>
    <s v="Contract"/>
    <n v="0"/>
    <s v="Active"/>
    <x v="1"/>
    <x v="0"/>
    <x v="0"/>
  </r>
  <r>
    <n v="32"/>
    <s v="No"/>
    <s v="Non-Travel"/>
    <x v="1"/>
    <n v="26"/>
    <x v="0"/>
    <n v="3"/>
    <n v="2"/>
    <x v="4"/>
    <n v="4"/>
    <s v="Married"/>
    <n v="4465"/>
    <n v="0"/>
    <s v="No"/>
    <n v="18"/>
    <n v="3"/>
    <n v="0"/>
    <n v="4"/>
    <n v="2"/>
    <n v="3"/>
    <n v="2"/>
    <n v="2"/>
    <s v="Post-Graduation"/>
    <d v="2018-04-12T00:00:00"/>
    <m/>
    <s v="Salary"/>
    <x v="0"/>
    <n v="3"/>
    <n v="1"/>
    <s v="No"/>
    <s v="Job Portal"/>
    <s v="Part Time"/>
    <n v="0"/>
    <s v="Active"/>
    <x v="1"/>
    <x v="0"/>
    <x v="2"/>
  </r>
  <r>
    <n v="37"/>
    <s v="No"/>
    <s v="Travel_Rarely"/>
    <x v="0"/>
    <n v="1"/>
    <x v="1"/>
    <n v="2"/>
    <n v="1"/>
    <x v="1"/>
    <n v="1"/>
    <s v="Married"/>
    <n v="3920"/>
    <n v="2"/>
    <s v="No"/>
    <n v="14"/>
    <n v="3"/>
    <n v="1"/>
    <n v="17"/>
    <n v="2"/>
    <n v="3"/>
    <n v="0"/>
    <n v="2"/>
    <s v="PHD"/>
    <d v="2018-06-26T00:00:00"/>
    <m/>
    <s v="Work Environment"/>
    <x v="1"/>
    <n v="5"/>
    <n v="1"/>
    <s v="Yes"/>
    <s v="Recruiter"/>
    <s v="Part Time"/>
    <n v="0"/>
    <s v="Active"/>
    <x v="1"/>
    <x v="0"/>
    <x v="0"/>
  </r>
  <r>
    <n v="45"/>
    <s v="No"/>
    <s v="Travel_Frequently"/>
    <x v="0"/>
    <n v="7"/>
    <x v="0"/>
    <n v="4"/>
    <n v="2"/>
    <x v="6"/>
    <n v="3"/>
    <s v="Married"/>
    <n v="6434"/>
    <n v="4"/>
    <s v="No"/>
    <n v="17"/>
    <n v="3"/>
    <n v="1"/>
    <n v="9"/>
    <n v="1"/>
    <n v="3"/>
    <n v="0"/>
    <n v="2"/>
    <s v="Post-Graduation"/>
    <d v="2018-04-17T00:00:00"/>
    <m/>
    <s v="Dept.Head"/>
    <x v="0"/>
    <n v="1"/>
    <n v="3"/>
    <s v="No"/>
    <s v="Job Event"/>
    <s v="FullTime"/>
    <n v="0"/>
    <s v="Active"/>
    <x v="1"/>
    <x v="0"/>
    <x v="3"/>
  </r>
  <r>
    <n v="42"/>
    <s v="No"/>
    <s v="Travel_Rarely"/>
    <x v="0"/>
    <n v="17"/>
    <x v="1"/>
    <n v="4"/>
    <n v="2"/>
    <x v="1"/>
    <n v="1"/>
    <s v="Single"/>
    <n v="6545"/>
    <n v="3"/>
    <s v="Yes"/>
    <n v="13"/>
    <n v="3"/>
    <n v="0"/>
    <n v="10"/>
    <n v="1"/>
    <n v="3"/>
    <n v="0"/>
    <n v="2"/>
    <s v="Post-Graduation"/>
    <d v="2018-04-15T00:00:00"/>
    <m/>
    <s v="Work Environment"/>
    <x v="0"/>
    <n v="3"/>
    <n v="1"/>
    <s v="No"/>
    <s v="Recruiter"/>
    <s v="Contract"/>
    <n v="0"/>
    <s v="Active"/>
    <x v="1"/>
    <x v="0"/>
    <x v="0"/>
  </r>
  <r>
    <n v="29"/>
    <s v="No"/>
    <s v="Travel_Rarely"/>
    <x v="1"/>
    <n v="20"/>
    <x v="0"/>
    <n v="3"/>
    <n v="2"/>
    <x v="4"/>
    <n v="4"/>
    <s v="Divorced"/>
    <n v="6931"/>
    <n v="2"/>
    <s v="No"/>
    <n v="14"/>
    <n v="3"/>
    <n v="1"/>
    <n v="10"/>
    <n v="2"/>
    <n v="3"/>
    <n v="0"/>
    <n v="2"/>
    <s v="Graduation"/>
    <d v="2018-04-27T00:00:00"/>
    <m/>
    <s v="Work Environment"/>
    <x v="0"/>
    <n v="4"/>
    <n v="2"/>
    <s v="Yes"/>
    <s v="Recruiter"/>
    <s v="Contract"/>
    <n v="0"/>
    <s v="Active"/>
    <x v="1"/>
    <x v="0"/>
    <x v="2"/>
  </r>
  <r>
    <n v="21"/>
    <s v="No"/>
    <s v="Travel_Rarely"/>
    <x v="0"/>
    <n v="3"/>
    <x v="0"/>
    <n v="2"/>
    <n v="1"/>
    <x v="1"/>
    <n v="3"/>
    <s v="Single"/>
    <n v="3230"/>
    <n v="1"/>
    <s v="No"/>
    <n v="17"/>
    <n v="3"/>
    <n v="0"/>
    <n v="3"/>
    <n v="4"/>
    <n v="3"/>
    <n v="1"/>
    <n v="0"/>
    <s v="Graduation"/>
    <d v="2018-03-20T00:00:00"/>
    <m/>
    <s v="Dept.Head"/>
    <x v="1"/>
    <n v="2"/>
    <n v="0"/>
    <s v="No"/>
    <s v="Job Portal"/>
    <s v="Part Time"/>
    <n v="0"/>
    <s v="Active"/>
    <x v="1"/>
    <x v="0"/>
    <x v="0"/>
  </r>
  <r>
    <n v="26"/>
    <s v="Yes"/>
    <s v="Travel_Rarely"/>
    <x v="0"/>
    <n v="16"/>
    <x v="0"/>
    <n v="3"/>
    <n v="1"/>
    <x v="0"/>
    <n v="2"/>
    <s v="Divorced"/>
    <n v="2373"/>
    <n v="2"/>
    <s v="Yes"/>
    <n v="13"/>
    <n v="3"/>
    <n v="1"/>
    <n v="5"/>
    <n v="2"/>
    <n v="3"/>
    <n v="0"/>
    <n v="2"/>
    <s v="12th"/>
    <d v="2018-05-10T00:00:00"/>
    <m/>
    <s v="Salary"/>
    <x v="0"/>
    <n v="2"/>
    <n v="2"/>
    <s v="Yes"/>
    <s v="Walk-in"/>
    <s v="Contract"/>
    <n v="1"/>
    <s v="Active"/>
    <x v="1"/>
    <x v="0"/>
    <x v="0"/>
  </r>
  <r>
    <n v="49"/>
    <s v="No"/>
    <s v="Travel_Frequently"/>
    <x v="0"/>
    <n v="10"/>
    <x v="1"/>
    <n v="3"/>
    <n v="5"/>
    <x v="2"/>
    <n v="1"/>
    <s v="Single"/>
    <n v="18665"/>
    <n v="9"/>
    <s v="Yes"/>
    <n v="11"/>
    <n v="3"/>
    <n v="0"/>
    <n v="22"/>
    <n v="4"/>
    <n v="3"/>
    <n v="1"/>
    <n v="2"/>
    <s v="Graduation"/>
    <d v="2018-02-24T00:00:00"/>
    <m/>
    <s v="Dept.Head"/>
    <x v="1"/>
    <n v="3"/>
    <n v="2"/>
    <s v="No"/>
    <s v="Walk-in"/>
    <s v="FullTime"/>
    <n v="0"/>
    <s v="Active"/>
    <x v="1"/>
    <x v="1"/>
    <x v="1"/>
  </r>
  <r>
    <n v="28"/>
    <s v="Yes"/>
    <s v="Travel_Rarely"/>
    <x v="0"/>
    <n v="2"/>
    <x v="0"/>
    <n v="1"/>
    <n v="1"/>
    <x v="1"/>
    <n v="4"/>
    <s v="Married"/>
    <n v="3464"/>
    <n v="5"/>
    <s v="Yes"/>
    <n v="13"/>
    <n v="3"/>
    <n v="0"/>
    <n v="5"/>
    <n v="4"/>
    <n v="3"/>
    <n v="2"/>
    <n v="2"/>
    <s v="12th"/>
    <d v="2018-05-20T00:00:00"/>
    <m/>
    <s v="Salary"/>
    <x v="0"/>
    <n v="2"/>
    <n v="3"/>
    <s v="Yes"/>
    <s v="Recruiter"/>
    <s v="FullTime"/>
    <n v="1"/>
    <s v="Active"/>
    <x v="1"/>
    <x v="0"/>
    <x v="0"/>
  </r>
  <r>
    <n v="47"/>
    <s v="No"/>
    <s v="Travel_Rarely"/>
    <x v="0"/>
    <n v="5"/>
    <x v="0"/>
    <n v="3"/>
    <n v="5"/>
    <x v="2"/>
    <n v="3"/>
    <s v="Married"/>
    <n v="18300"/>
    <n v="4"/>
    <s v="No"/>
    <n v="11"/>
    <n v="3"/>
    <n v="1"/>
    <n v="21"/>
    <n v="2"/>
    <n v="3"/>
    <n v="1"/>
    <n v="1"/>
    <s v="12th"/>
    <d v="2018-06-23T00:00:00"/>
    <m/>
    <s v="Work Accident"/>
    <x v="1"/>
    <n v="1"/>
    <n v="2"/>
    <s v="No"/>
    <s v="Walk-in"/>
    <s v="FullTime"/>
    <n v="0"/>
    <s v="Active"/>
    <x v="1"/>
    <x v="1"/>
    <x v="1"/>
  </r>
  <r>
    <n v="29"/>
    <s v="No"/>
    <s v="Travel_Rarely"/>
    <x v="0"/>
    <n v="9"/>
    <x v="0"/>
    <n v="2"/>
    <n v="1"/>
    <x v="0"/>
    <n v="4"/>
    <s v="Single"/>
    <n v="3983"/>
    <n v="0"/>
    <s v="No"/>
    <n v="17"/>
    <n v="3"/>
    <n v="0"/>
    <n v="4"/>
    <n v="2"/>
    <n v="3"/>
    <n v="2"/>
    <n v="2"/>
    <s v="PHD"/>
    <d v="2018-06-23T00:00:00"/>
    <m/>
    <s v="Dept.Head"/>
    <x v="1"/>
    <n v="1"/>
    <n v="0"/>
    <s v="Yes"/>
    <s v="Job Event"/>
    <s v="Part Time"/>
    <n v="0"/>
    <s v="Active"/>
    <x v="1"/>
    <x v="0"/>
    <x v="0"/>
  </r>
  <r>
    <n v="42"/>
    <s v="No"/>
    <s v="Travel_Rarely"/>
    <x v="2"/>
    <n v="2"/>
    <x v="0"/>
    <n v="3"/>
    <n v="1"/>
    <x v="8"/>
    <n v="3"/>
    <s v="Divorced"/>
    <n v="2696"/>
    <n v="0"/>
    <s v="Yes"/>
    <n v="11"/>
    <n v="3"/>
    <n v="1"/>
    <n v="4"/>
    <n v="5"/>
    <n v="3"/>
    <n v="1"/>
    <n v="0"/>
    <s v="Graduation"/>
    <d v="2018-01-09T00:00:00"/>
    <m/>
    <s v="Work Accident"/>
    <x v="0"/>
    <n v="4"/>
    <n v="2"/>
    <s v="No"/>
    <s v="Job Event"/>
    <s v="Contract"/>
    <n v="0"/>
    <s v="Active"/>
    <x v="1"/>
    <x v="0"/>
    <x v="4"/>
  </r>
  <r>
    <n v="21"/>
    <s v="Yes"/>
    <s v="Travel_Frequently"/>
    <x v="1"/>
    <n v="1"/>
    <x v="1"/>
    <n v="2"/>
    <n v="1"/>
    <x v="3"/>
    <n v="2"/>
    <s v="Single"/>
    <n v="2174"/>
    <n v="1"/>
    <s v="Yes"/>
    <n v="11"/>
    <n v="3"/>
    <n v="0"/>
    <n v="3"/>
    <n v="3"/>
    <n v="3"/>
    <n v="1"/>
    <n v="2"/>
    <s v="PHD"/>
    <d v="2018-03-26T00:00:00"/>
    <m/>
    <s v="Work Environment"/>
    <x v="1"/>
    <n v="3"/>
    <n v="1"/>
    <s v="No"/>
    <s v="Job Event"/>
    <s v="Part Time"/>
    <n v="1"/>
    <s v="Active"/>
    <x v="1"/>
    <x v="0"/>
    <x v="2"/>
  </r>
  <r>
    <n v="57"/>
    <s v="No"/>
    <s v="Travel_Rarely"/>
    <x v="0"/>
    <n v="1"/>
    <x v="0"/>
    <n v="3"/>
    <n v="2"/>
    <x v="7"/>
    <n v="3"/>
    <s v="Married"/>
    <n v="6755"/>
    <n v="2"/>
    <s v="No"/>
    <n v="11"/>
    <n v="3"/>
    <n v="0"/>
    <n v="15"/>
    <n v="2"/>
    <n v="3"/>
    <n v="1"/>
    <n v="2"/>
    <s v="Graduation"/>
    <d v="2018-02-04T00:00:00"/>
    <m/>
    <s v="Work Accident"/>
    <x v="1"/>
    <n v="4"/>
    <n v="1"/>
    <s v="Yes"/>
    <s v="Job Event"/>
    <s v="Contract"/>
    <n v="0"/>
    <s v="Active"/>
    <x v="1"/>
    <x v="0"/>
    <x v="3"/>
  </r>
  <r>
    <n v="21"/>
    <s v="No"/>
    <s v="Non-Travel"/>
    <x v="1"/>
    <n v="9"/>
    <x v="0"/>
    <n v="3"/>
    <n v="1"/>
    <x v="3"/>
    <n v="4"/>
    <s v="Single"/>
    <n v="2610"/>
    <n v="1"/>
    <s v="No"/>
    <n v="24"/>
    <n v="4"/>
    <n v="0"/>
    <n v="3"/>
    <n v="3"/>
    <n v="3"/>
    <n v="2"/>
    <n v="2"/>
    <s v="Graduation"/>
    <d v="2018-05-01T00:00:00"/>
    <m/>
    <s v="Dept.Head"/>
    <x v="0"/>
    <n v="3"/>
    <n v="2"/>
    <s v="No"/>
    <s v="Job Portal"/>
    <s v="Contract"/>
    <n v="0"/>
    <s v="Active"/>
    <x v="1"/>
    <x v="0"/>
    <x v="2"/>
  </r>
  <r>
    <n v="29"/>
    <s v="No"/>
    <s v="Travel_Rarely"/>
    <x v="0"/>
    <n v="23"/>
    <x v="0"/>
    <n v="3"/>
    <n v="1"/>
    <x v="1"/>
    <n v="4"/>
    <s v="Single"/>
    <n v="2201"/>
    <n v="9"/>
    <s v="No"/>
    <n v="16"/>
    <n v="3"/>
    <n v="0"/>
    <n v="6"/>
    <n v="4"/>
    <n v="3"/>
    <n v="1"/>
    <n v="2"/>
    <s v="Post-Graduation"/>
    <d v="2018-02-13T00:00:00"/>
    <m/>
    <s v="Dept.Head"/>
    <x v="1"/>
    <n v="3"/>
    <n v="0"/>
    <s v="Yes"/>
    <s v="Recruiter"/>
    <s v="FullTime"/>
    <n v="0"/>
    <s v="Active"/>
    <x v="1"/>
    <x v="0"/>
    <x v="0"/>
  </r>
  <r>
    <n v="34"/>
    <s v="No"/>
    <s v="Non-Travel"/>
    <x v="1"/>
    <n v="4"/>
    <x v="1"/>
    <n v="3"/>
    <n v="2"/>
    <x v="4"/>
    <n v="3"/>
    <s v="Married"/>
    <n v="6538"/>
    <n v="9"/>
    <s v="No"/>
    <n v="15"/>
    <n v="3"/>
    <n v="1"/>
    <n v="6"/>
    <n v="3"/>
    <n v="3"/>
    <n v="1"/>
    <n v="2"/>
    <s v="PHD"/>
    <d v="2018-05-03T00:00:00"/>
    <m/>
    <s v="Work Accident"/>
    <x v="0"/>
    <n v="4"/>
    <n v="2"/>
    <s v="Yes"/>
    <s v="Job Event"/>
    <s v="Contract"/>
    <n v="0"/>
    <s v="Active"/>
    <x v="1"/>
    <x v="0"/>
    <x v="2"/>
  </r>
  <r>
    <n v="43"/>
    <s v="No"/>
    <s v="Travel_Frequently"/>
    <x v="0"/>
    <n v="21"/>
    <x v="0"/>
    <n v="3"/>
    <n v="1"/>
    <x v="0"/>
    <n v="4"/>
    <s v="Married"/>
    <n v="2258"/>
    <n v="7"/>
    <s v="No"/>
    <n v="20"/>
    <n v="4"/>
    <n v="1"/>
    <n v="8"/>
    <n v="1"/>
    <n v="3"/>
    <n v="1"/>
    <n v="2"/>
    <s v="Post-Graduation"/>
    <d v="2018-04-20T00:00:00"/>
    <m/>
    <s v="Dept.Head"/>
    <x v="1"/>
    <n v="3"/>
    <n v="1"/>
    <s v="No"/>
    <s v="Job Portal"/>
    <s v="Contract"/>
    <n v="0"/>
    <s v="Active"/>
    <x v="1"/>
    <x v="0"/>
    <x v="0"/>
  </r>
  <r>
    <n v="26"/>
    <s v="No"/>
    <s v="Travel_Rarely"/>
    <x v="0"/>
    <n v="23"/>
    <x v="1"/>
    <n v="3"/>
    <n v="1"/>
    <x v="1"/>
    <n v="4"/>
    <s v="Divorced"/>
    <n v="2886"/>
    <n v="1"/>
    <s v="No"/>
    <n v="22"/>
    <n v="4"/>
    <n v="2"/>
    <n v="3"/>
    <n v="3"/>
    <n v="3"/>
    <n v="0"/>
    <n v="2"/>
    <s v="PHD"/>
    <d v="2018-06-07T00:00:00"/>
    <m/>
    <s v="Salary"/>
    <x v="0"/>
    <n v="2"/>
    <n v="2"/>
    <s v="No"/>
    <s v="Recruiter"/>
    <s v="Contract"/>
    <n v="0"/>
    <s v="Active"/>
    <x v="1"/>
    <x v="0"/>
    <x v="0"/>
  </r>
  <r>
    <n v="46"/>
    <s v="No"/>
    <s v="Travel_Rarely"/>
    <x v="0"/>
    <n v="2"/>
    <x v="0"/>
    <n v="3"/>
    <n v="4"/>
    <x v="2"/>
    <n v="3"/>
    <s v="Married"/>
    <n v="17861"/>
    <n v="6"/>
    <s v="No"/>
    <n v="13"/>
    <n v="3"/>
    <n v="0"/>
    <n v="26"/>
    <n v="2"/>
    <n v="3"/>
    <n v="0"/>
    <n v="1"/>
    <s v="Post-Graduation"/>
    <d v="2018-03-23T00:00:00"/>
    <m/>
    <s v="Better Opportunity"/>
    <x v="1"/>
    <n v="2"/>
    <n v="0"/>
    <s v="No"/>
    <s v="Recruiter"/>
    <s v="Contract"/>
    <n v="0"/>
    <s v="Active"/>
    <x v="1"/>
    <x v="1"/>
    <x v="1"/>
  </r>
  <r>
    <n v="46"/>
    <s v="No"/>
    <s v="Travel_Rarely"/>
    <x v="1"/>
    <n v="10"/>
    <x v="1"/>
    <n v="2"/>
    <n v="3"/>
    <x v="4"/>
    <n v="4"/>
    <s v="Married"/>
    <n v="9071"/>
    <n v="2"/>
    <s v="Yes"/>
    <n v="19"/>
    <n v="3"/>
    <n v="1"/>
    <n v="15"/>
    <n v="3"/>
    <n v="3"/>
    <n v="1"/>
    <n v="2"/>
    <s v="12th"/>
    <d v="2018-03-10T00:00:00"/>
    <m/>
    <s v="Work Accident"/>
    <x v="1"/>
    <n v="0"/>
    <n v="1"/>
    <s v="Yes"/>
    <s v="Walk-in"/>
    <s v="Contract"/>
    <n v="0"/>
    <s v="Active"/>
    <x v="1"/>
    <x v="1"/>
    <x v="2"/>
  </r>
  <r>
    <n v="30"/>
    <s v="No"/>
    <s v="Travel_Rarely"/>
    <x v="1"/>
    <n v="7"/>
    <x v="0"/>
    <n v="3"/>
    <n v="1"/>
    <x v="3"/>
    <n v="2"/>
    <s v="Single"/>
    <n v="2983"/>
    <n v="0"/>
    <s v="No"/>
    <n v="14"/>
    <n v="3"/>
    <n v="0"/>
    <n v="4"/>
    <n v="3"/>
    <n v="3"/>
    <n v="1"/>
    <n v="2"/>
    <s v="Post-Graduation"/>
    <d v="2018-06-01T00:00:00"/>
    <m/>
    <s v="Dept.Head"/>
    <x v="0"/>
    <n v="2"/>
    <n v="0"/>
    <s v="No"/>
    <s v="Walk-in"/>
    <s v="Contract"/>
    <n v="0"/>
    <s v="Active"/>
    <x v="1"/>
    <x v="0"/>
    <x v="2"/>
  </r>
  <r>
    <n v="34"/>
    <s v="Yes"/>
    <s v="Travel_Frequently"/>
    <x v="2"/>
    <n v="23"/>
    <x v="1"/>
    <n v="3"/>
    <n v="3"/>
    <x v="8"/>
    <n v="1"/>
    <s v="Divorced"/>
    <n v="9950"/>
    <n v="9"/>
    <s v="Yes"/>
    <n v="15"/>
    <n v="3"/>
    <n v="3"/>
    <n v="11"/>
    <n v="2"/>
    <n v="3"/>
    <n v="0"/>
    <n v="2"/>
    <s v="PHD"/>
    <d v="2018-02-08T00:00:00"/>
    <m/>
    <s v="Work Accident"/>
    <x v="1"/>
    <n v="0"/>
    <n v="2"/>
    <s v="No"/>
    <s v="Job Portal"/>
    <s v="FullTime"/>
    <n v="1"/>
    <s v="Active"/>
    <x v="1"/>
    <x v="1"/>
    <x v="4"/>
  </r>
  <r>
    <n v="29"/>
    <s v="No"/>
    <s v="Travel_Rarely"/>
    <x v="0"/>
    <n v="19"/>
    <x v="0"/>
    <n v="3"/>
    <n v="2"/>
    <x v="6"/>
    <n v="4"/>
    <s v="Divorced"/>
    <n v="4262"/>
    <n v="4"/>
    <s v="No"/>
    <n v="12"/>
    <n v="3"/>
    <n v="2"/>
    <n v="8"/>
    <n v="2"/>
    <n v="3"/>
    <n v="1"/>
    <n v="2"/>
    <s v="Graduation"/>
    <d v="2018-05-04T00:00:00"/>
    <m/>
    <s v="Dept.Head"/>
    <x v="0"/>
    <n v="2"/>
    <n v="3"/>
    <s v="No"/>
    <s v="Job Event"/>
    <s v="Contract"/>
    <n v="0"/>
    <s v="Active"/>
    <x v="1"/>
    <x v="0"/>
    <x v="3"/>
  </r>
  <r>
    <n v="31"/>
    <s v="Yes"/>
    <s v="Travel_Rarely"/>
    <x v="1"/>
    <n v="13"/>
    <x v="0"/>
    <n v="3"/>
    <n v="2"/>
    <x v="4"/>
    <n v="1"/>
    <s v="Divorced"/>
    <n v="4233"/>
    <n v="2"/>
    <s v="No"/>
    <n v="17"/>
    <n v="3"/>
    <n v="0"/>
    <n v="9"/>
    <n v="2"/>
    <n v="3"/>
    <n v="1"/>
    <n v="2"/>
    <s v="12th"/>
    <d v="2018-05-16T00:00:00"/>
    <m/>
    <s v="Dept.Head"/>
    <x v="1"/>
    <n v="4"/>
    <n v="2"/>
    <s v="No"/>
    <s v="Recruiter"/>
    <s v="Contract"/>
    <n v="1"/>
    <s v="Active"/>
    <x v="1"/>
    <x v="0"/>
    <x v="2"/>
  </r>
  <r>
    <n v="35"/>
    <s v="No"/>
    <s v="Travel_Rarely"/>
    <x v="0"/>
    <n v="25"/>
    <x v="0"/>
    <n v="2"/>
    <n v="2"/>
    <x v="0"/>
    <n v="4"/>
    <s v="Single"/>
    <n v="3681"/>
    <n v="4"/>
    <s v="No"/>
    <n v="14"/>
    <n v="3"/>
    <n v="0"/>
    <n v="9"/>
    <n v="3"/>
    <n v="3"/>
    <n v="0"/>
    <n v="2"/>
    <s v="Post-Graduation"/>
    <d v="2018-01-06T00:00:00"/>
    <m/>
    <s v="Dept.Head"/>
    <x v="0"/>
    <n v="2"/>
    <n v="1"/>
    <s v="No"/>
    <s v="Job Event"/>
    <s v="Part Time"/>
    <n v="0"/>
    <s v="Active"/>
    <x v="1"/>
    <x v="0"/>
    <x v="0"/>
  </r>
  <r>
    <n v="37"/>
    <s v="No"/>
    <s v="Travel_Rarely"/>
    <x v="1"/>
    <n v="2"/>
    <x v="0"/>
    <n v="3"/>
    <n v="2"/>
    <x v="4"/>
    <n v="3"/>
    <s v="Married"/>
    <n v="9602"/>
    <n v="4"/>
    <s v="Yes"/>
    <n v="11"/>
    <n v="3"/>
    <n v="1"/>
    <n v="17"/>
    <n v="3"/>
    <n v="3"/>
    <n v="1"/>
    <n v="0"/>
    <s v="12th"/>
    <d v="2018-04-02T00:00:00"/>
    <m/>
    <s v="Work Environment"/>
    <x v="0"/>
    <n v="4"/>
    <n v="0"/>
    <s v="Yes"/>
    <s v="Job Portal"/>
    <s v="FullTime"/>
    <n v="0"/>
    <s v="Active"/>
    <x v="1"/>
    <x v="1"/>
    <x v="2"/>
  </r>
  <r>
    <n v="48"/>
    <s v="No"/>
    <s v="Travel_Rarely"/>
    <x v="0"/>
    <n v="1"/>
    <x v="1"/>
    <n v="2"/>
    <n v="4"/>
    <x v="5"/>
    <n v="1"/>
    <s v="Married"/>
    <n v="15402"/>
    <n v="7"/>
    <s v="No"/>
    <n v="11"/>
    <n v="3"/>
    <n v="1"/>
    <n v="21"/>
    <n v="3"/>
    <n v="3"/>
    <n v="0"/>
    <n v="2"/>
    <s v="12th"/>
    <d v="2018-02-22T00:00:00"/>
    <m/>
    <s v="Work Accident"/>
    <x v="1"/>
    <n v="4"/>
    <n v="1"/>
    <s v="Yes"/>
    <s v="Recruiter"/>
    <s v="Part Time"/>
    <n v="0"/>
    <s v="Active"/>
    <x v="1"/>
    <x v="1"/>
    <x v="1"/>
  </r>
  <r>
    <n v="21"/>
    <s v="No"/>
    <s v="Travel_Rarely"/>
    <x v="1"/>
    <n v="22"/>
    <x v="0"/>
    <n v="3"/>
    <n v="1"/>
    <x v="3"/>
    <n v="3"/>
    <s v="Single"/>
    <n v="3447"/>
    <n v="1"/>
    <s v="No"/>
    <n v="11"/>
    <n v="3"/>
    <n v="0"/>
    <n v="3"/>
    <n v="2"/>
    <n v="3"/>
    <n v="1"/>
    <n v="2"/>
    <s v="12th"/>
    <d v="2018-03-27T00:00:00"/>
    <m/>
    <s v="Work Environment"/>
    <x v="1"/>
    <n v="4"/>
    <n v="0"/>
    <s v="Yes"/>
    <s v="Recruiter"/>
    <s v="Contract"/>
    <n v="0"/>
    <s v="Active"/>
    <x v="1"/>
    <x v="0"/>
    <x v="2"/>
  </r>
  <r>
    <n v="26"/>
    <s v="No"/>
    <s v="Travel_Rarely"/>
    <x v="0"/>
    <n v="6"/>
    <x v="1"/>
    <n v="3"/>
    <n v="1"/>
    <x v="0"/>
    <n v="4"/>
    <s v="Married"/>
    <n v="2659"/>
    <n v="1"/>
    <s v="Yes"/>
    <n v="13"/>
    <n v="3"/>
    <n v="1"/>
    <n v="3"/>
    <n v="2"/>
    <n v="3"/>
    <n v="0"/>
    <n v="2"/>
    <s v="PHD"/>
    <d v="2018-03-06T00:00:00"/>
    <m/>
    <s v="Better Opportunity"/>
    <x v="0"/>
    <n v="5"/>
    <n v="2"/>
    <s v="No"/>
    <s v="Job Portal"/>
    <s v="FullTime"/>
    <n v="0"/>
    <s v="Active"/>
    <x v="1"/>
    <x v="0"/>
    <x v="0"/>
  </r>
  <r>
    <n v="36"/>
    <s v="No"/>
    <s v="Travel_Rarely"/>
    <x v="0"/>
    <n v="9"/>
    <x v="0"/>
    <n v="2"/>
    <n v="2"/>
    <x v="6"/>
    <n v="2"/>
    <s v="Divorced"/>
    <n v="8847"/>
    <n v="2"/>
    <s v="Yes"/>
    <n v="11"/>
    <n v="3"/>
    <n v="1"/>
    <n v="13"/>
    <n v="2"/>
    <n v="3"/>
    <n v="0"/>
    <n v="2"/>
    <s v="Graduation"/>
    <d v="2018-01-07T00:00:00"/>
    <m/>
    <s v="Better Opportunity"/>
    <x v="0"/>
    <n v="5"/>
    <n v="2"/>
    <s v="No"/>
    <s v="Walk-in"/>
    <s v="FullTime"/>
    <n v="0"/>
    <s v="Active"/>
    <x v="1"/>
    <x v="1"/>
    <x v="3"/>
  </r>
  <r>
    <n v="23"/>
    <s v="No"/>
    <s v="Travel_Rarely"/>
    <x v="0"/>
    <n v="4"/>
    <x v="0"/>
    <n v="4"/>
    <n v="1"/>
    <x v="1"/>
    <n v="1"/>
    <s v="Married"/>
    <n v="2819"/>
    <n v="2"/>
    <s v="No"/>
    <n v="16"/>
    <n v="3"/>
    <n v="1"/>
    <n v="5"/>
    <n v="3"/>
    <n v="3"/>
    <n v="0"/>
    <n v="2"/>
    <s v="PHD"/>
    <d v="2018-05-05T00:00:00"/>
    <m/>
    <s v="Work Environment"/>
    <x v="0"/>
    <n v="5"/>
    <n v="1"/>
    <s v="No"/>
    <s v="Walk-in"/>
    <s v="Part Time"/>
    <n v="0"/>
    <s v="Active"/>
    <x v="1"/>
    <x v="0"/>
    <x v="0"/>
  </r>
  <r>
    <n v="25"/>
    <s v="No"/>
    <s v="Travel_Rarely"/>
    <x v="1"/>
    <n v="8"/>
    <x v="0"/>
    <n v="4"/>
    <n v="2"/>
    <x v="4"/>
    <n v="2"/>
    <s v="Married"/>
    <n v="4851"/>
    <n v="0"/>
    <s v="No"/>
    <n v="22"/>
    <n v="4"/>
    <n v="1"/>
    <n v="4"/>
    <n v="4"/>
    <n v="3"/>
    <n v="1"/>
    <n v="2"/>
    <s v="12th"/>
    <d v="2018-02-08T00:00:00"/>
    <m/>
    <s v="Better Opportunity"/>
    <x v="1"/>
    <n v="1"/>
    <n v="0"/>
    <s v="No"/>
    <s v="Job Portal"/>
    <s v="FullTime"/>
    <n v="0"/>
    <s v="Active"/>
    <x v="1"/>
    <x v="0"/>
    <x v="2"/>
  </r>
  <r>
    <n v="35"/>
    <s v="No"/>
    <s v="Travel_Rarely"/>
    <x v="1"/>
    <n v="8"/>
    <x v="1"/>
    <n v="3"/>
    <n v="1"/>
    <x v="3"/>
    <n v="4"/>
    <s v="Married"/>
    <n v="2572"/>
    <n v="1"/>
    <s v="No"/>
    <n v="16"/>
    <n v="3"/>
    <n v="1"/>
    <n v="3"/>
    <n v="1"/>
    <n v="3"/>
    <n v="0"/>
    <n v="2"/>
    <s v="Post-Graduation"/>
    <d v="2018-05-29T00:00:00"/>
    <m/>
    <s v="Better Opportunity"/>
    <x v="1"/>
    <n v="1"/>
    <n v="1"/>
    <s v="Yes"/>
    <s v="Job Portal"/>
    <s v="Part Time"/>
    <n v="0"/>
    <s v="Active"/>
    <x v="1"/>
    <x v="0"/>
    <x v="2"/>
  </r>
  <r>
    <n v="34"/>
    <s v="No"/>
    <s v="Travel_Rarely"/>
    <x v="1"/>
    <n v="8"/>
    <x v="1"/>
    <n v="3"/>
    <n v="2"/>
    <x v="4"/>
    <n v="1"/>
    <s v="Married"/>
    <n v="6500"/>
    <n v="5"/>
    <s v="No"/>
    <n v="17"/>
    <n v="3"/>
    <n v="1"/>
    <n v="6"/>
    <n v="1"/>
    <n v="3"/>
    <n v="1"/>
    <n v="2"/>
    <s v="Post-Graduation"/>
    <d v="2018-05-01T00:00:00"/>
    <m/>
    <s v="Work Environment"/>
    <x v="0"/>
    <n v="3"/>
    <n v="2"/>
    <s v="Yes"/>
    <s v="Recruiter"/>
    <s v="Part Time"/>
    <n v="0"/>
    <s v="Active"/>
    <x v="1"/>
    <x v="0"/>
    <x v="2"/>
  </r>
  <r>
    <n v="33"/>
    <s v="Yes"/>
    <s v="Travel_Rarely"/>
    <x v="1"/>
    <n v="16"/>
    <x v="1"/>
    <n v="3"/>
    <n v="2"/>
    <x v="4"/>
    <n v="1"/>
    <s v="Single"/>
    <n v="5324"/>
    <n v="5"/>
    <s v="No"/>
    <n v="15"/>
    <n v="3"/>
    <n v="0"/>
    <n v="6"/>
    <n v="3"/>
    <n v="3"/>
    <n v="0"/>
    <n v="2"/>
    <s v="Post-Graduation"/>
    <d v="2018-02-23T00:00:00"/>
    <m/>
    <s v="Work Accident"/>
    <x v="0"/>
    <n v="1"/>
    <n v="3"/>
    <s v="No"/>
    <s v="Job Portal"/>
    <s v="Contract"/>
    <n v="1"/>
    <s v="Active"/>
    <x v="1"/>
    <x v="0"/>
    <x v="2"/>
  </r>
  <r>
    <n v="34"/>
    <s v="No"/>
    <s v="Travel_Rarely"/>
    <x v="2"/>
    <n v="3"/>
    <x v="0"/>
    <n v="3"/>
    <n v="1"/>
    <x v="8"/>
    <n v="4"/>
    <s v="Married"/>
    <n v="3737"/>
    <n v="0"/>
    <s v="No"/>
    <n v="19"/>
    <n v="3"/>
    <n v="1"/>
    <n v="4"/>
    <n v="1"/>
    <n v="3"/>
    <n v="0"/>
    <n v="2"/>
    <s v="Post-Graduation"/>
    <d v="2018-04-14T00:00:00"/>
    <m/>
    <s v="Salary"/>
    <x v="1"/>
    <n v="0"/>
    <n v="1"/>
    <s v="No"/>
    <s v="Job Event"/>
    <s v="FullTime"/>
    <n v="0"/>
    <s v="Active"/>
    <x v="1"/>
    <x v="0"/>
    <x v="4"/>
  </r>
  <r>
    <n v="44"/>
    <s v="No"/>
    <s v="Travel_Rarely"/>
    <x v="0"/>
    <n v="8"/>
    <x v="0"/>
    <n v="4"/>
    <n v="1"/>
    <x v="0"/>
    <n v="4"/>
    <s v="Married"/>
    <n v="2818"/>
    <n v="2"/>
    <s v="Yes"/>
    <n v="24"/>
    <n v="4"/>
    <n v="1"/>
    <n v="10"/>
    <n v="2"/>
    <n v="3"/>
    <n v="0"/>
    <n v="2"/>
    <s v="12th"/>
    <d v="2018-01-24T00:00:00"/>
    <m/>
    <s v="Work Accident"/>
    <x v="1"/>
    <n v="4"/>
    <n v="2"/>
    <s v="No"/>
    <s v="Recruiter"/>
    <s v="FullTime"/>
    <n v="0"/>
    <s v="Active"/>
    <x v="1"/>
    <x v="0"/>
    <x v="0"/>
  </r>
  <r>
    <n v="32"/>
    <s v="No"/>
    <s v="Non-Travel"/>
    <x v="0"/>
    <n v="1"/>
    <x v="0"/>
    <n v="3"/>
    <n v="1"/>
    <x v="0"/>
    <n v="4"/>
    <s v="Divorced"/>
    <n v="2314"/>
    <n v="0"/>
    <s v="No"/>
    <n v="12"/>
    <n v="3"/>
    <n v="1"/>
    <n v="4"/>
    <n v="2"/>
    <n v="3"/>
    <n v="0"/>
    <n v="2"/>
    <s v="PHD"/>
    <d v="2018-01-08T00:00:00"/>
    <m/>
    <s v="Work Accident"/>
    <x v="0"/>
    <n v="1"/>
    <n v="2"/>
    <s v="Yes"/>
    <s v="Job Portal"/>
    <s v="FullTime"/>
    <n v="0"/>
    <s v="Active"/>
    <x v="1"/>
    <x v="0"/>
    <x v="0"/>
  </r>
  <r>
    <n v="29"/>
    <s v="Yes"/>
    <s v="Travel_Rarely"/>
    <x v="1"/>
    <n v="1"/>
    <x v="1"/>
    <n v="2"/>
    <n v="1"/>
    <x v="3"/>
    <n v="3"/>
    <s v="Divorced"/>
    <n v="2800"/>
    <n v="6"/>
    <s v="Yes"/>
    <n v="19"/>
    <n v="3"/>
    <n v="3"/>
    <n v="5"/>
    <n v="3"/>
    <n v="3"/>
    <n v="0"/>
    <n v="2"/>
    <s v="PHD"/>
    <d v="2018-01-03T00:00:00"/>
    <m/>
    <s v="Work Accident"/>
    <x v="0"/>
    <n v="1"/>
    <n v="2"/>
    <s v="No"/>
    <s v="Job Portal"/>
    <s v="FullTime"/>
    <n v="1"/>
    <s v="Active"/>
    <x v="1"/>
    <x v="0"/>
    <x v="2"/>
  </r>
  <r>
    <n v="47"/>
    <s v="No"/>
    <s v="Travel_Rarely"/>
    <x v="1"/>
    <n v="2"/>
    <x v="1"/>
    <n v="2"/>
    <n v="1"/>
    <x v="3"/>
    <n v="4"/>
    <s v="Single"/>
    <n v="3294"/>
    <n v="1"/>
    <s v="Yes"/>
    <n v="18"/>
    <n v="3"/>
    <n v="0"/>
    <n v="3"/>
    <n v="3"/>
    <n v="3"/>
    <n v="1"/>
    <n v="2"/>
    <s v="Post-Graduation"/>
    <d v="2018-04-28T00:00:00"/>
    <m/>
    <s v="Better Opportunity"/>
    <x v="1"/>
    <n v="0"/>
    <n v="2"/>
    <s v="Yes"/>
    <s v="Job Portal"/>
    <s v="Part Time"/>
    <n v="0"/>
    <s v="Active"/>
    <x v="1"/>
    <x v="0"/>
    <x v="2"/>
  </r>
  <r>
    <n v="22"/>
    <s v="Yes"/>
    <s v="Travel_Rarely"/>
    <x v="0"/>
    <n v="3"/>
    <x v="1"/>
    <n v="3"/>
    <n v="2"/>
    <x v="6"/>
    <n v="3"/>
    <s v="Married"/>
    <n v="4171"/>
    <n v="0"/>
    <s v="Yes"/>
    <n v="19"/>
    <n v="3"/>
    <n v="1"/>
    <n v="4"/>
    <n v="3"/>
    <n v="3"/>
    <n v="0"/>
    <n v="2"/>
    <s v="Post-Graduation"/>
    <d v="2018-04-11T00:00:00"/>
    <m/>
    <s v="Dept.Head"/>
    <x v="0"/>
    <n v="5"/>
    <n v="2"/>
    <s v="No"/>
    <s v="Recruiter"/>
    <s v="Contract"/>
    <n v="1"/>
    <s v="Active"/>
    <x v="1"/>
    <x v="0"/>
    <x v="3"/>
  </r>
  <r>
    <n v="33"/>
    <s v="No"/>
    <s v="Travel_Rarely"/>
    <x v="0"/>
    <n v="1"/>
    <x v="0"/>
    <n v="2"/>
    <n v="1"/>
    <x v="1"/>
    <n v="1"/>
    <s v="Single"/>
    <n v="2799"/>
    <n v="3"/>
    <s v="Yes"/>
    <n v="11"/>
    <n v="3"/>
    <n v="0"/>
    <n v="6"/>
    <n v="1"/>
    <n v="3"/>
    <n v="0"/>
    <n v="2"/>
    <s v="PHD"/>
    <d v="2018-01-22T00:00:00"/>
    <m/>
    <s v="Work Environment"/>
    <x v="0"/>
    <n v="4"/>
    <n v="3"/>
    <s v="Yes"/>
    <s v="Recruiter"/>
    <s v="Part Time"/>
    <n v="0"/>
    <s v="Active"/>
    <x v="1"/>
    <x v="0"/>
    <x v="0"/>
  </r>
  <r>
    <n v="32"/>
    <s v="No"/>
    <s v="Non-Travel"/>
    <x v="0"/>
    <n v="1"/>
    <x v="1"/>
    <n v="2"/>
    <n v="1"/>
    <x v="0"/>
    <n v="2"/>
    <s v="Married"/>
    <n v="2332"/>
    <n v="6"/>
    <s v="No"/>
    <n v="20"/>
    <n v="4"/>
    <n v="0"/>
    <n v="5"/>
    <n v="3"/>
    <n v="3"/>
    <n v="0"/>
    <n v="2"/>
    <s v="Post-Graduation"/>
    <d v="2018-04-09T00:00:00"/>
    <m/>
    <s v="Salary"/>
    <x v="1"/>
    <n v="3"/>
    <n v="3"/>
    <s v="Yes"/>
    <s v="Recruiter"/>
    <s v="Part Time"/>
    <n v="0"/>
    <s v="Active"/>
    <x v="1"/>
    <x v="0"/>
    <x v="0"/>
  </r>
  <r>
    <n v="29"/>
    <s v="No"/>
    <s v="Travel_Frequently"/>
    <x v="1"/>
    <n v="20"/>
    <x v="1"/>
    <n v="3"/>
    <n v="1"/>
    <x v="3"/>
    <n v="4"/>
    <s v="Married"/>
    <n v="2157"/>
    <n v="1"/>
    <s v="No"/>
    <n v="15"/>
    <n v="3"/>
    <n v="1"/>
    <n v="3"/>
    <n v="5"/>
    <n v="3"/>
    <n v="0"/>
    <n v="2"/>
    <s v="PHD"/>
    <d v="2018-05-16T00:00:00"/>
    <m/>
    <s v="Salary"/>
    <x v="1"/>
    <n v="3"/>
    <n v="1"/>
    <s v="Yes"/>
    <s v="Recruiter"/>
    <s v="Part Time"/>
    <n v="0"/>
    <s v="Active"/>
    <x v="1"/>
    <x v="0"/>
    <x v="2"/>
  </r>
  <r>
    <n v="31"/>
    <s v="Yes"/>
    <s v="Non-Travel"/>
    <x v="0"/>
    <n v="9"/>
    <x v="0"/>
    <n v="2"/>
    <n v="1"/>
    <x v="1"/>
    <n v="1"/>
    <s v="Single"/>
    <n v="2321"/>
    <n v="0"/>
    <s v="Yes"/>
    <n v="22"/>
    <n v="4"/>
    <n v="0"/>
    <n v="4"/>
    <n v="0"/>
    <n v="3"/>
    <n v="1"/>
    <n v="2"/>
    <s v="PHD"/>
    <d v="2018-04-27T00:00:00"/>
    <m/>
    <s v="Dept.Head"/>
    <x v="0"/>
    <n v="1"/>
    <n v="1"/>
    <s v="Yes"/>
    <s v="Recruiter"/>
    <s v="FullTime"/>
    <n v="1"/>
    <s v="Active"/>
    <x v="1"/>
    <x v="0"/>
    <x v="0"/>
  </r>
  <r>
    <n v="33"/>
    <s v="No"/>
    <s v="Travel_Rarely"/>
    <x v="0"/>
    <n v="13"/>
    <x v="1"/>
    <n v="3"/>
    <n v="1"/>
    <x v="1"/>
    <n v="4"/>
    <s v="Single"/>
    <n v="3452"/>
    <n v="3"/>
    <s v="No"/>
    <n v="18"/>
    <n v="3"/>
    <n v="0"/>
    <n v="5"/>
    <n v="4"/>
    <n v="3"/>
    <n v="0"/>
    <n v="2"/>
    <s v="Post-Graduation"/>
    <d v="2018-03-01T00:00:00"/>
    <m/>
    <s v="Work Environment"/>
    <x v="0"/>
    <n v="5"/>
    <n v="2"/>
    <s v="No"/>
    <s v="Job Portal"/>
    <s v="FullTime"/>
    <n v="0"/>
    <s v="Active"/>
    <x v="1"/>
    <x v="0"/>
    <x v="0"/>
  </r>
  <r>
    <n v="30"/>
    <s v="Yes"/>
    <s v="Travel_Frequently"/>
    <x v="0"/>
    <n v="5"/>
    <x v="1"/>
    <n v="3"/>
    <n v="1"/>
    <x v="0"/>
    <n v="2"/>
    <s v="Single"/>
    <n v="2422"/>
    <n v="0"/>
    <s v="No"/>
    <n v="17"/>
    <n v="3"/>
    <n v="0"/>
    <n v="4"/>
    <n v="3"/>
    <n v="3"/>
    <n v="1"/>
    <n v="2"/>
    <s v="Post-Graduation"/>
    <d v="2018-03-07T00:00:00"/>
    <m/>
    <s v="Dept.Head"/>
    <x v="0"/>
    <n v="1"/>
    <n v="1"/>
    <s v="Yes"/>
    <s v="Walk-in"/>
    <s v="Part Time"/>
    <n v="1"/>
    <s v="Active"/>
    <x v="1"/>
    <x v="0"/>
    <x v="0"/>
  </r>
  <r>
    <n v="27"/>
    <s v="No"/>
    <s v="Travel_Rarely"/>
    <x v="0"/>
    <n v="2"/>
    <x v="1"/>
    <n v="3"/>
    <n v="2"/>
    <x v="6"/>
    <n v="4"/>
    <s v="Married"/>
    <n v="4227"/>
    <n v="0"/>
    <s v="No"/>
    <n v="18"/>
    <n v="3"/>
    <n v="1"/>
    <n v="4"/>
    <n v="2"/>
    <n v="3"/>
    <n v="2"/>
    <n v="2"/>
    <s v="Graduation"/>
    <d v="2018-03-09T00:00:00"/>
    <m/>
    <s v="Work Environment"/>
    <x v="0"/>
    <n v="5"/>
    <n v="2"/>
    <s v="No"/>
    <s v="Job Portal"/>
    <s v="FullTime"/>
    <n v="0"/>
    <s v="Active"/>
    <x v="1"/>
    <x v="0"/>
    <x v="3"/>
  </r>
  <r>
    <n v="35"/>
    <s v="No"/>
    <s v="Travel_Rarely"/>
    <x v="0"/>
    <n v="10"/>
    <x v="0"/>
    <n v="3"/>
    <n v="1"/>
    <x v="0"/>
    <n v="4"/>
    <s v="Divorced"/>
    <n v="3917"/>
    <n v="1"/>
    <s v="No"/>
    <n v="20"/>
    <n v="4"/>
    <n v="1"/>
    <n v="3"/>
    <n v="4"/>
    <n v="3"/>
    <n v="1"/>
    <n v="2"/>
    <s v="PHD"/>
    <d v="2018-02-08T00:00:00"/>
    <m/>
    <s v="Better Opportunity"/>
    <x v="1"/>
    <n v="2"/>
    <n v="0"/>
    <s v="Yes"/>
    <s v="Job Portal"/>
    <s v="Part Time"/>
    <n v="0"/>
    <s v="Active"/>
    <x v="1"/>
    <x v="0"/>
    <x v="0"/>
  </r>
  <r>
    <n v="26"/>
    <s v="Yes"/>
    <s v="Travel_Frequently"/>
    <x v="0"/>
    <n v="2"/>
    <x v="0"/>
    <n v="3"/>
    <n v="1"/>
    <x v="1"/>
    <n v="1"/>
    <s v="Married"/>
    <n v="2042"/>
    <n v="6"/>
    <s v="Yes"/>
    <n v="14"/>
    <n v="3"/>
    <n v="1"/>
    <n v="6"/>
    <n v="2"/>
    <n v="3"/>
    <n v="1"/>
    <n v="2"/>
    <s v="12th"/>
    <d v="2018-03-02T00:00:00"/>
    <m/>
    <s v="Salary"/>
    <x v="0"/>
    <n v="5"/>
    <n v="3"/>
    <s v="Yes"/>
    <s v="Walk-in"/>
    <s v="Contract"/>
    <n v="1"/>
    <s v="Active"/>
    <x v="1"/>
    <x v="0"/>
    <x v="0"/>
  </r>
  <r>
    <n v="27"/>
    <s v="No"/>
    <s v="Non-Travel"/>
    <x v="0"/>
    <n v="8"/>
    <x v="0"/>
    <n v="1"/>
    <n v="1"/>
    <x v="0"/>
    <n v="3"/>
    <s v="Married"/>
    <n v="4621"/>
    <n v="1"/>
    <s v="No"/>
    <n v="19"/>
    <n v="3"/>
    <n v="3"/>
    <n v="3"/>
    <n v="4"/>
    <n v="3"/>
    <n v="1"/>
    <n v="2"/>
    <s v="12th"/>
    <d v="2018-06-17T00:00:00"/>
    <m/>
    <s v="Better Opportunity"/>
    <x v="1"/>
    <n v="0"/>
    <n v="0"/>
    <s v="No"/>
    <s v="Job Portal"/>
    <s v="FullTime"/>
    <n v="0"/>
    <s v="Active"/>
    <x v="1"/>
    <x v="0"/>
    <x v="0"/>
  </r>
  <r>
    <n v="55"/>
    <s v="No"/>
    <s v="Travel_Frequently"/>
    <x v="0"/>
    <n v="2"/>
    <x v="0"/>
    <n v="3"/>
    <n v="3"/>
    <x v="6"/>
    <n v="2"/>
    <s v="Married"/>
    <n v="10976"/>
    <n v="3"/>
    <s v="No"/>
    <n v="18"/>
    <n v="3"/>
    <n v="1"/>
    <n v="23"/>
    <n v="4"/>
    <n v="3"/>
    <n v="1"/>
    <n v="2"/>
    <s v="Post-Graduation"/>
    <d v="2018-06-30T00:00:00"/>
    <m/>
    <s v="Work Accident"/>
    <x v="0"/>
    <n v="1"/>
    <n v="3"/>
    <s v="Yes"/>
    <s v="Recruiter"/>
    <s v="Contract"/>
    <n v="0"/>
    <s v="Active"/>
    <x v="1"/>
    <x v="1"/>
    <x v="3"/>
  </r>
  <r>
    <n v="33"/>
    <s v="No"/>
    <s v="Travel_Rarely"/>
    <x v="0"/>
    <n v="5"/>
    <x v="0"/>
    <n v="2"/>
    <n v="3"/>
    <x v="7"/>
    <n v="4"/>
    <s v="Divorced"/>
    <n v="7119"/>
    <n v="4"/>
    <s v="No"/>
    <n v="15"/>
    <n v="3"/>
    <n v="1"/>
    <n v="9"/>
    <n v="2"/>
    <n v="3"/>
    <n v="1"/>
    <n v="2"/>
    <s v="Post-Graduation"/>
    <d v="2018-05-02T00:00:00"/>
    <m/>
    <s v="Work Environment"/>
    <x v="1"/>
    <n v="4"/>
    <n v="0"/>
    <s v="Yes"/>
    <s v="Job Event"/>
    <s v="FullTime"/>
    <n v="0"/>
    <s v="Active"/>
    <x v="1"/>
    <x v="1"/>
    <x v="3"/>
  </r>
  <r>
    <n v="33"/>
    <s v="No"/>
    <s v="Travel_Frequently"/>
    <x v="1"/>
    <n v="7"/>
    <x v="1"/>
    <n v="3"/>
    <n v="2"/>
    <x v="4"/>
    <n v="2"/>
    <s v="Married"/>
    <n v="4302"/>
    <n v="0"/>
    <s v="No"/>
    <n v="17"/>
    <n v="3"/>
    <n v="1"/>
    <n v="4"/>
    <n v="3"/>
    <n v="3"/>
    <n v="0"/>
    <n v="2"/>
    <s v="Post-Graduation"/>
    <d v="2018-02-03T00:00:00"/>
    <m/>
    <s v="Better Opportunity"/>
    <x v="0"/>
    <n v="5"/>
    <n v="2"/>
    <s v="No"/>
    <s v="Job Portal"/>
    <s v="Part Time"/>
    <n v="0"/>
    <s v="Active"/>
    <x v="1"/>
    <x v="0"/>
    <x v="2"/>
  </r>
  <r>
    <n v="34"/>
    <s v="No"/>
    <s v="Travel_Frequently"/>
    <x v="0"/>
    <n v="2"/>
    <x v="0"/>
    <n v="3"/>
    <n v="2"/>
    <x v="6"/>
    <n v="3"/>
    <s v="Single"/>
    <n v="4033"/>
    <n v="2"/>
    <s v="No"/>
    <n v="11"/>
    <n v="3"/>
    <n v="0"/>
    <n v="5"/>
    <n v="3"/>
    <n v="3"/>
    <n v="0"/>
    <n v="2"/>
    <s v="12th"/>
    <d v="2018-03-05T00:00:00"/>
    <m/>
    <s v="Better Opportunity"/>
    <x v="0"/>
    <n v="4"/>
    <n v="1"/>
    <s v="No"/>
    <s v="Job Portal"/>
    <s v="Contract"/>
    <n v="0"/>
    <s v="Active"/>
    <x v="1"/>
    <x v="0"/>
    <x v="3"/>
  </r>
  <r>
    <n v="28"/>
    <s v="No"/>
    <s v="Travel_Frequently"/>
    <x v="0"/>
    <n v="6"/>
    <x v="0"/>
    <n v="2"/>
    <n v="1"/>
    <x v="1"/>
    <n v="3"/>
    <s v="Divorced"/>
    <n v="2703"/>
    <n v="1"/>
    <s v="Yes"/>
    <n v="14"/>
    <n v="3"/>
    <n v="1"/>
    <n v="3"/>
    <n v="2"/>
    <n v="3"/>
    <n v="0"/>
    <n v="2"/>
    <s v="Post-Graduation"/>
    <d v="2018-01-30T00:00:00"/>
    <m/>
    <s v="Work Environment"/>
    <x v="1"/>
    <n v="4"/>
    <n v="3"/>
    <s v="No"/>
    <s v="Recruiter"/>
    <s v="Part Time"/>
    <n v="0"/>
    <s v="Active"/>
    <x v="1"/>
    <x v="0"/>
    <x v="0"/>
  </r>
  <r>
    <n v="45"/>
    <s v="No"/>
    <s v="Travel_Rarely"/>
    <x v="0"/>
    <n v="7"/>
    <x v="1"/>
    <n v="3"/>
    <n v="1"/>
    <x v="1"/>
    <n v="3"/>
    <s v="Married"/>
    <n v="4477"/>
    <n v="4"/>
    <s v="Yes"/>
    <n v="19"/>
    <n v="3"/>
    <n v="1"/>
    <n v="7"/>
    <n v="2"/>
    <n v="3"/>
    <n v="0"/>
    <n v="2"/>
    <s v="Post-Graduation"/>
    <d v="2018-03-30T00:00:00"/>
    <m/>
    <s v="Salary"/>
    <x v="0"/>
    <n v="0"/>
    <n v="1"/>
    <s v="Yes"/>
    <s v="Job Portal"/>
    <s v="FullTime"/>
    <n v="0"/>
    <s v="Active"/>
    <x v="1"/>
    <x v="0"/>
    <x v="0"/>
  </r>
  <r>
    <n v="29"/>
    <s v="No"/>
    <s v="Travel_Rarely"/>
    <x v="0"/>
    <n v="1"/>
    <x v="1"/>
    <n v="3"/>
    <n v="1"/>
    <x v="1"/>
    <n v="4"/>
    <s v="Divorced"/>
    <n v="3760"/>
    <n v="1"/>
    <s v="No"/>
    <n v="15"/>
    <n v="3"/>
    <n v="3"/>
    <n v="3"/>
    <n v="5"/>
    <n v="3"/>
    <n v="1"/>
    <n v="2"/>
    <s v="PHD"/>
    <d v="2018-06-14T00:00:00"/>
    <m/>
    <s v="Better Opportunity"/>
    <x v="1"/>
    <n v="0"/>
    <n v="2"/>
    <s v="Yes"/>
    <s v="Job Event"/>
    <s v="Contract"/>
    <n v="0"/>
    <s v="Active"/>
    <x v="1"/>
    <x v="0"/>
    <x v="0"/>
  </r>
  <r>
    <n v="34"/>
    <s v="No"/>
    <s v="Travel_Rarely"/>
    <x v="1"/>
    <n v="2"/>
    <x v="1"/>
    <n v="3"/>
    <n v="2"/>
    <x v="4"/>
    <n v="1"/>
    <s v="Single"/>
    <n v="4538"/>
    <n v="0"/>
    <s v="Yes"/>
    <n v="12"/>
    <n v="3"/>
    <n v="0"/>
    <n v="4"/>
    <n v="3"/>
    <n v="3"/>
    <n v="0"/>
    <n v="2"/>
    <s v="Post-Graduation"/>
    <d v="2018-02-25T00:00:00"/>
    <m/>
    <s v="Dept.Head"/>
    <x v="0"/>
    <n v="1"/>
    <n v="3"/>
    <s v="No"/>
    <s v="Walk-in"/>
    <s v="FullTime"/>
    <n v="0"/>
    <s v="Active"/>
    <x v="1"/>
    <x v="0"/>
    <x v="2"/>
  </r>
  <r>
    <n v="35"/>
    <s v="No"/>
    <s v="Travel_Rarely"/>
    <x v="0"/>
    <n v="6"/>
    <x v="0"/>
    <n v="3"/>
    <n v="1"/>
    <x v="1"/>
    <n v="3"/>
    <s v="Married"/>
    <n v="3506"/>
    <n v="0"/>
    <s v="Yes"/>
    <n v="14"/>
    <n v="3"/>
    <n v="0"/>
    <n v="4"/>
    <n v="3"/>
    <n v="3"/>
    <n v="2"/>
    <n v="2"/>
    <s v="Post-Graduation"/>
    <d v="2018-03-03T00:00:00"/>
    <m/>
    <s v="Work Environment"/>
    <x v="1"/>
    <n v="0"/>
    <n v="2"/>
    <s v="No"/>
    <s v="Recruiter"/>
    <s v="FullTime"/>
    <n v="0"/>
    <s v="Active"/>
    <x v="1"/>
    <x v="0"/>
    <x v="0"/>
  </r>
  <r>
    <n v="28"/>
    <s v="No"/>
    <s v="Travel_Rarely"/>
    <x v="0"/>
    <n v="1"/>
    <x v="0"/>
    <n v="3"/>
    <n v="1"/>
    <x v="1"/>
    <n v="1"/>
    <s v="Single"/>
    <n v="2080"/>
    <n v="2"/>
    <s v="No"/>
    <n v="11"/>
    <n v="3"/>
    <n v="0"/>
    <n v="5"/>
    <n v="2"/>
    <n v="3"/>
    <n v="1"/>
    <n v="2"/>
    <s v="Post-Graduation"/>
    <d v="2018-04-18T00:00:00"/>
    <m/>
    <s v="Work Accident"/>
    <x v="0"/>
    <n v="3"/>
    <n v="1"/>
    <s v="Yes"/>
    <s v="Walk-in"/>
    <s v="Part Time"/>
    <n v="0"/>
    <s v="Active"/>
    <x v="1"/>
    <x v="0"/>
    <x v="0"/>
  </r>
  <r>
    <n v="50"/>
    <s v="No"/>
    <s v="Travel_Rarely"/>
    <x v="0"/>
    <n v="28"/>
    <x v="1"/>
    <n v="3"/>
    <n v="4"/>
    <x v="2"/>
    <n v="1"/>
    <s v="Married"/>
    <n v="16880"/>
    <n v="4"/>
    <s v="Yes"/>
    <n v="11"/>
    <n v="3"/>
    <n v="0"/>
    <n v="25"/>
    <n v="2"/>
    <n v="3"/>
    <n v="1"/>
    <n v="2"/>
    <s v="12th"/>
    <d v="2018-05-04T00:00:00"/>
    <m/>
    <s v="Work Accident"/>
    <x v="0"/>
    <n v="0"/>
    <n v="1"/>
    <s v="Yes"/>
    <s v="Job Portal"/>
    <s v="Part Time"/>
    <n v="0"/>
    <s v="Active"/>
    <x v="1"/>
    <x v="1"/>
    <x v="1"/>
  </r>
  <r>
    <n v="31"/>
    <s v="Yes"/>
    <s v="Travel_Frequently"/>
    <x v="1"/>
    <n v="1"/>
    <x v="1"/>
    <n v="3"/>
    <n v="1"/>
    <x v="3"/>
    <n v="2"/>
    <s v="Single"/>
    <n v="2302"/>
    <n v="1"/>
    <s v="Yes"/>
    <n v="11"/>
    <n v="3"/>
    <n v="0"/>
    <n v="3"/>
    <n v="2"/>
    <n v="3"/>
    <n v="2"/>
    <n v="2"/>
    <s v="12th"/>
    <d v="2018-04-11T00:00:00"/>
    <m/>
    <s v="Dept.Head"/>
    <x v="0"/>
    <n v="4"/>
    <n v="3"/>
    <s v="No"/>
    <s v="Recruiter"/>
    <s v="Part Time"/>
    <n v="1"/>
    <s v="Active"/>
    <x v="1"/>
    <x v="0"/>
    <x v="2"/>
  </r>
  <r>
    <n v="44"/>
    <s v="Yes"/>
    <s v="Travel_Rarely"/>
    <x v="0"/>
    <n v="3"/>
    <x v="0"/>
    <n v="3"/>
    <n v="1"/>
    <x v="0"/>
    <n v="1"/>
    <s v="Married"/>
    <n v="2362"/>
    <n v="4"/>
    <s v="No"/>
    <n v="12"/>
    <n v="3"/>
    <n v="0"/>
    <n v="10"/>
    <n v="4"/>
    <n v="3"/>
    <n v="1"/>
    <n v="2"/>
    <s v="Post-Graduation"/>
    <d v="2018-04-17T00:00:00"/>
    <m/>
    <s v="Dept.Head"/>
    <x v="0"/>
    <n v="1"/>
    <n v="1"/>
    <s v="Yes"/>
    <s v="Walk-in"/>
    <s v="FullTime"/>
    <n v="1"/>
    <s v="Active"/>
    <x v="1"/>
    <x v="0"/>
    <x v="0"/>
  </r>
  <r>
    <n v="25"/>
    <s v="No"/>
    <s v="Travel_Rarely"/>
    <x v="0"/>
    <n v="19"/>
    <x v="0"/>
    <n v="3"/>
    <n v="1"/>
    <x v="0"/>
    <n v="4"/>
    <s v="Married"/>
    <n v="3669"/>
    <n v="3"/>
    <s v="No"/>
    <n v="11"/>
    <n v="3"/>
    <n v="3"/>
    <n v="7"/>
    <n v="6"/>
    <n v="3"/>
    <n v="1"/>
    <n v="2"/>
    <s v="Post-Graduation"/>
    <d v="2018-05-03T00:00:00"/>
    <m/>
    <s v="Salary"/>
    <x v="0"/>
    <n v="3"/>
    <n v="0"/>
    <s v="No"/>
    <s v="Walk-in"/>
    <s v="FullTime"/>
    <n v="0"/>
    <s v="Active"/>
    <x v="1"/>
    <x v="0"/>
    <x v="0"/>
  </r>
  <r>
    <n v="32"/>
    <s v="No"/>
    <s v="Travel_Rarely"/>
    <x v="1"/>
    <n v="2"/>
    <x v="0"/>
    <n v="3"/>
    <n v="2"/>
    <x v="4"/>
    <n v="2"/>
    <s v="Married"/>
    <n v="4078"/>
    <n v="0"/>
    <s v="Yes"/>
    <n v="13"/>
    <n v="3"/>
    <n v="3"/>
    <n v="4"/>
    <n v="3"/>
    <n v="3"/>
    <n v="1"/>
    <n v="2"/>
    <s v="PHD"/>
    <d v="2018-06-08T00:00:00"/>
    <m/>
    <s v="Work Environment"/>
    <x v="1"/>
    <n v="2"/>
    <n v="3"/>
    <s v="No"/>
    <s v="Job Event"/>
    <s v="Contract"/>
    <n v="0"/>
    <s v="Active"/>
    <x v="1"/>
    <x v="0"/>
    <x v="2"/>
  </r>
  <r>
    <n v="25"/>
    <s v="No"/>
    <s v="Travel_Rarely"/>
    <x v="1"/>
    <n v="18"/>
    <x v="0"/>
    <n v="4"/>
    <n v="2"/>
    <x v="4"/>
    <n v="3"/>
    <s v="Married"/>
    <n v="6232"/>
    <n v="2"/>
    <s v="No"/>
    <n v="11"/>
    <n v="3"/>
    <n v="0"/>
    <n v="6"/>
    <n v="3"/>
    <n v="3"/>
    <n v="1"/>
    <n v="2"/>
    <s v="PHD"/>
    <d v="2018-01-02T00:00:00"/>
    <m/>
    <s v="Salary"/>
    <x v="1"/>
    <n v="0"/>
    <n v="0"/>
    <s v="Yes"/>
    <s v="Job Portal"/>
    <s v="FullTime"/>
    <n v="0"/>
    <s v="Active"/>
    <x v="1"/>
    <x v="0"/>
    <x v="2"/>
  </r>
  <r>
    <n v="37"/>
    <s v="No"/>
    <s v="Travel_Rarely"/>
    <x v="0"/>
    <n v="11"/>
    <x v="1"/>
    <n v="3"/>
    <n v="1"/>
    <x v="0"/>
    <n v="3"/>
    <s v="Single"/>
    <n v="3629"/>
    <n v="4"/>
    <s v="No"/>
    <n v="18"/>
    <n v="3"/>
    <n v="0"/>
    <n v="8"/>
    <n v="6"/>
    <n v="3"/>
    <n v="0"/>
    <n v="2"/>
    <s v="12th"/>
    <d v="2018-02-20T00:00:00"/>
    <m/>
    <s v="Salary"/>
    <x v="0"/>
    <n v="5"/>
    <n v="2"/>
    <s v="Yes"/>
    <s v="Walk-in"/>
    <s v="FullTime"/>
    <n v="0"/>
    <s v="Active"/>
    <x v="1"/>
    <x v="0"/>
    <x v="0"/>
  </r>
  <r>
    <n v="25"/>
    <s v="No"/>
    <s v="Travel_Rarely"/>
    <x v="0"/>
    <n v="1"/>
    <x v="0"/>
    <n v="3"/>
    <n v="1"/>
    <x v="0"/>
    <n v="4"/>
    <s v="Married"/>
    <n v="3229"/>
    <n v="4"/>
    <s v="No"/>
    <n v="11"/>
    <n v="3"/>
    <n v="1"/>
    <n v="7"/>
    <n v="2"/>
    <n v="3"/>
    <n v="0"/>
    <n v="2"/>
    <s v="Post-Graduation"/>
    <d v="2018-03-24T00:00:00"/>
    <m/>
    <s v="Work Environment"/>
    <x v="1"/>
    <n v="1"/>
    <n v="3"/>
    <s v="No"/>
    <s v="Job Portal"/>
    <s v="FullTime"/>
    <n v="0"/>
    <s v="Active"/>
    <x v="1"/>
    <x v="0"/>
    <x v="0"/>
  </r>
  <r>
    <n v="30"/>
    <s v="No"/>
    <s v="Travel_Rarely"/>
    <x v="1"/>
    <n v="7"/>
    <x v="1"/>
    <n v="3"/>
    <n v="2"/>
    <x v="4"/>
    <n v="1"/>
    <s v="Divorced"/>
    <n v="4779"/>
    <n v="7"/>
    <s v="No"/>
    <n v="14"/>
    <n v="3"/>
    <n v="2"/>
    <n v="8"/>
    <n v="3"/>
    <n v="3"/>
    <n v="0"/>
    <n v="2"/>
    <s v="12th"/>
    <d v="2018-01-16T00:00:00"/>
    <m/>
    <s v="Salary"/>
    <x v="0"/>
    <n v="4"/>
    <n v="2"/>
    <s v="No"/>
    <s v="Recruiter"/>
    <s v="Part Time"/>
    <n v="0"/>
    <s v="Active"/>
    <x v="1"/>
    <x v="0"/>
    <x v="2"/>
  </r>
  <r>
    <n v="31"/>
    <s v="No"/>
    <s v="Travel_Rarely"/>
    <x v="0"/>
    <n v="8"/>
    <x v="1"/>
    <n v="3"/>
    <n v="4"/>
    <x v="2"/>
    <n v="2"/>
    <s v="Single"/>
    <n v="16422"/>
    <n v="3"/>
    <s v="No"/>
    <n v="11"/>
    <n v="3"/>
    <n v="0"/>
    <n v="9"/>
    <n v="3"/>
    <n v="3"/>
    <n v="1"/>
    <n v="0"/>
    <s v="12th"/>
    <d v="2018-05-18T00:00:00"/>
    <m/>
    <s v="Work Accident"/>
    <x v="0"/>
    <n v="5"/>
    <n v="3"/>
    <s v="Yes"/>
    <s v="Recruiter"/>
    <s v="Part Time"/>
    <n v="0"/>
    <s v="Active"/>
    <x v="1"/>
    <x v="1"/>
    <x v="1"/>
  </r>
  <r>
    <n v="36"/>
    <s v="No"/>
    <s v="Travel_Rarely"/>
    <x v="1"/>
    <n v="16"/>
    <x v="1"/>
    <n v="2"/>
    <n v="2"/>
    <x v="4"/>
    <n v="1"/>
    <s v="Married"/>
    <n v="5647"/>
    <n v="4"/>
    <s v="No"/>
    <n v="13"/>
    <n v="3"/>
    <n v="2"/>
    <n v="11"/>
    <n v="3"/>
    <n v="3"/>
    <n v="0"/>
    <n v="2"/>
    <s v="PHD"/>
    <d v="2018-03-20T00:00:00"/>
    <m/>
    <s v="Work Accident"/>
    <x v="1"/>
    <n v="2"/>
    <n v="2"/>
    <s v="Yes"/>
    <s v="Recruiter"/>
    <s v="FullTime"/>
    <n v="0"/>
    <s v="Active"/>
    <x v="1"/>
    <x v="0"/>
    <x v="2"/>
  </r>
  <r>
    <n v="25"/>
    <s v="Yes"/>
    <s v="Travel_Rarely"/>
    <x v="1"/>
    <n v="9"/>
    <x v="0"/>
    <n v="2"/>
    <n v="1"/>
    <x v="3"/>
    <n v="1"/>
    <s v="Married"/>
    <n v="4400"/>
    <n v="3"/>
    <s v="No"/>
    <n v="12"/>
    <n v="3"/>
    <n v="0"/>
    <n v="6"/>
    <n v="2"/>
    <n v="3"/>
    <n v="2"/>
    <n v="2"/>
    <s v="12th"/>
    <d v="2018-06-07T00:00:00"/>
    <m/>
    <s v="Better Opportunity"/>
    <x v="1"/>
    <n v="0"/>
    <n v="2"/>
    <s v="Yes"/>
    <s v="Job Portal"/>
    <s v="Part Time"/>
    <n v="1"/>
    <s v="Active"/>
    <x v="1"/>
    <x v="0"/>
    <x v="2"/>
  </r>
  <r>
    <n v="56"/>
    <s v="No"/>
    <s v="Travel_Rarely"/>
    <x v="0"/>
    <n v="1"/>
    <x v="1"/>
    <n v="3"/>
    <n v="1"/>
    <x v="1"/>
    <n v="1"/>
    <s v="Married"/>
    <n v="2066"/>
    <n v="2"/>
    <s v="No"/>
    <n v="22"/>
    <n v="4"/>
    <n v="1"/>
    <n v="5"/>
    <n v="3"/>
    <n v="3"/>
    <n v="1"/>
    <n v="0"/>
    <s v="Post-Graduation"/>
    <d v="2018-02-22T00:00:00"/>
    <m/>
    <s v="Work Environment"/>
    <x v="1"/>
    <n v="2"/>
    <n v="3"/>
    <s v="No"/>
    <s v="Walk-in"/>
    <s v="Part Time"/>
    <n v="0"/>
    <s v="Active"/>
    <x v="1"/>
    <x v="0"/>
    <x v="0"/>
  </r>
  <r>
    <n v="31"/>
    <s v="No"/>
    <s v="Travel_Rarely"/>
    <x v="2"/>
    <n v="8"/>
    <x v="1"/>
    <n v="4"/>
    <n v="1"/>
    <x v="8"/>
    <n v="2"/>
    <s v="Single"/>
    <n v="2109"/>
    <n v="9"/>
    <s v="No"/>
    <n v="18"/>
    <n v="3"/>
    <n v="0"/>
    <n v="8"/>
    <n v="3"/>
    <n v="3"/>
    <n v="0"/>
    <n v="2"/>
    <s v="Graduation"/>
    <d v="2018-06-12T00:00:00"/>
    <m/>
    <s v="Work Accident"/>
    <x v="1"/>
    <n v="5"/>
    <n v="3"/>
    <s v="Yes"/>
    <s v="Job Portal"/>
    <s v="Part Time"/>
    <n v="0"/>
    <s v="Active"/>
    <x v="1"/>
    <x v="0"/>
    <x v="4"/>
  </r>
  <r>
    <n v="45"/>
    <s v="No"/>
    <s v="Travel_Rarely"/>
    <x v="0"/>
    <n v="29"/>
    <x v="0"/>
    <n v="3"/>
    <n v="3"/>
    <x v="6"/>
    <n v="4"/>
    <s v="Married"/>
    <n v="9380"/>
    <n v="4"/>
    <s v="Yes"/>
    <n v="18"/>
    <n v="3"/>
    <n v="2"/>
    <n v="10"/>
    <n v="4"/>
    <n v="3"/>
    <n v="1"/>
    <n v="2"/>
    <s v="12th"/>
    <d v="2018-03-29T00:00:00"/>
    <m/>
    <s v="Work Environment"/>
    <x v="1"/>
    <n v="5"/>
    <n v="1"/>
    <s v="No"/>
    <s v="Job Event"/>
    <s v="FullTime"/>
    <n v="0"/>
    <s v="Active"/>
    <x v="1"/>
    <x v="1"/>
    <x v="3"/>
  </r>
  <r>
    <n v="49"/>
    <s v="No"/>
    <s v="Travel_Rarely"/>
    <x v="0"/>
    <n v="5"/>
    <x v="0"/>
    <n v="3"/>
    <n v="2"/>
    <x v="7"/>
    <n v="3"/>
    <s v="Married"/>
    <n v="6651"/>
    <n v="2"/>
    <s v="No"/>
    <n v="14"/>
    <n v="3"/>
    <n v="1"/>
    <n v="20"/>
    <n v="0"/>
    <n v="3"/>
    <n v="1"/>
    <n v="2"/>
    <s v="12th"/>
    <d v="2018-02-23T00:00:00"/>
    <m/>
    <s v="Salary"/>
    <x v="1"/>
    <n v="4"/>
    <n v="0"/>
    <s v="Yes"/>
    <s v="Job Event"/>
    <s v="FullTime"/>
    <n v="0"/>
    <s v="Active"/>
    <x v="1"/>
    <x v="0"/>
    <x v="3"/>
  </r>
  <r>
    <n v="40"/>
    <s v="No"/>
    <s v="Travel_Rarely"/>
    <x v="0"/>
    <n v="2"/>
    <x v="0"/>
    <n v="3"/>
    <n v="1"/>
    <x v="1"/>
    <n v="3"/>
    <s v="Divorced"/>
    <n v="2345"/>
    <n v="2"/>
    <s v="No"/>
    <n v="14"/>
    <n v="3"/>
    <n v="1"/>
    <n v="8"/>
    <n v="3"/>
    <n v="3"/>
    <n v="1"/>
    <n v="2"/>
    <s v="PHD"/>
    <d v="2018-04-07T00:00:00"/>
    <m/>
    <s v="Work Environment"/>
    <x v="1"/>
    <n v="4"/>
    <n v="1"/>
    <s v="No"/>
    <s v="Recruiter"/>
    <s v="FullTime"/>
    <n v="0"/>
    <s v="Active"/>
    <x v="1"/>
    <x v="0"/>
    <x v="0"/>
  </r>
  <r>
    <n v="28"/>
    <s v="Yes"/>
    <s v="Travel_Frequently"/>
    <x v="1"/>
    <n v="1"/>
    <x v="0"/>
    <n v="3"/>
    <n v="1"/>
    <x v="3"/>
    <n v="3"/>
    <s v="Married"/>
    <n v="2909"/>
    <n v="3"/>
    <s v="No"/>
    <n v="15"/>
    <n v="3"/>
    <n v="1"/>
    <n v="5"/>
    <n v="3"/>
    <n v="3"/>
    <n v="1"/>
    <n v="2"/>
    <s v="PHD"/>
    <d v="2018-03-04T00:00:00"/>
    <m/>
    <s v="Better Opportunity"/>
    <x v="0"/>
    <n v="1"/>
    <n v="0"/>
    <s v="No"/>
    <s v="Recruiter"/>
    <s v="Part Time"/>
    <n v="1"/>
    <s v="Active"/>
    <x v="1"/>
    <x v="0"/>
    <x v="2"/>
  </r>
  <r>
    <n v="55"/>
    <s v="No"/>
    <s v="Travel_Rarely"/>
    <x v="0"/>
    <n v="4"/>
    <x v="0"/>
    <n v="3"/>
    <n v="2"/>
    <x v="7"/>
    <n v="3"/>
    <s v="Married"/>
    <n v="4035"/>
    <n v="0"/>
    <s v="Yes"/>
    <n v="16"/>
    <n v="3"/>
    <n v="0"/>
    <n v="4"/>
    <n v="2"/>
    <n v="3"/>
    <n v="1"/>
    <n v="2"/>
    <s v="12th"/>
    <d v="2018-02-03T00:00:00"/>
    <m/>
    <s v="Work Environment"/>
    <x v="1"/>
    <n v="0"/>
    <n v="2"/>
    <s v="No"/>
    <s v="Walk-in"/>
    <s v="Contract"/>
    <n v="0"/>
    <s v="Active"/>
    <x v="1"/>
    <x v="0"/>
    <x v="3"/>
  </r>
  <r>
    <n v="49"/>
    <s v="No"/>
    <s v="Travel_Rarely"/>
    <x v="0"/>
    <n v="3"/>
    <x v="1"/>
    <n v="2"/>
    <n v="2"/>
    <x v="0"/>
    <n v="1"/>
    <s v="Married"/>
    <n v="4789"/>
    <n v="4"/>
    <s v="No"/>
    <n v="25"/>
    <n v="4"/>
    <n v="1"/>
    <n v="10"/>
    <n v="3"/>
    <n v="3"/>
    <n v="1"/>
    <n v="2"/>
    <s v="12th"/>
    <d v="2018-03-14T00:00:00"/>
    <m/>
    <s v="Better Opportunity"/>
    <x v="0"/>
    <n v="3"/>
    <n v="2"/>
    <s v="Yes"/>
    <s v="Recruiter"/>
    <s v="Part Time"/>
    <n v="0"/>
    <s v="Active"/>
    <x v="1"/>
    <x v="0"/>
    <x v="0"/>
  </r>
  <r>
    <n v="29"/>
    <s v="No"/>
    <s v="Travel_Frequently"/>
    <x v="0"/>
    <n v="2"/>
    <x v="1"/>
    <n v="3"/>
    <n v="1"/>
    <x v="0"/>
    <n v="2"/>
    <s v="Married"/>
    <n v="3180"/>
    <n v="0"/>
    <s v="No"/>
    <n v="13"/>
    <n v="3"/>
    <n v="3"/>
    <n v="4"/>
    <n v="3"/>
    <n v="3"/>
    <n v="0"/>
    <n v="2"/>
    <s v="12th"/>
    <d v="2018-04-27T00:00:00"/>
    <m/>
    <s v="Salary"/>
    <x v="0"/>
    <n v="2"/>
    <n v="2"/>
    <s v="No"/>
    <s v="Recruiter"/>
    <s v="Contract"/>
    <n v="0"/>
    <s v="Active"/>
    <x v="1"/>
    <x v="0"/>
    <x v="0"/>
  </r>
  <r>
    <n v="36"/>
    <s v="No"/>
    <s v="Travel_Rarely"/>
    <x v="1"/>
    <n v="2"/>
    <x v="0"/>
    <n v="3"/>
    <n v="1"/>
    <x v="3"/>
    <n v="4"/>
    <s v="Single"/>
    <n v="2644"/>
    <n v="3"/>
    <s v="Yes"/>
    <n v="21"/>
    <n v="4"/>
    <n v="0"/>
    <n v="7"/>
    <n v="3"/>
    <n v="3"/>
    <n v="1"/>
    <n v="2"/>
    <s v="12th"/>
    <d v="2018-02-27T00:00:00"/>
    <m/>
    <s v="Better Opportunity"/>
    <x v="0"/>
    <n v="5"/>
    <n v="0"/>
    <s v="Yes"/>
    <s v="Walk-in"/>
    <s v="FullTime"/>
    <n v="0"/>
    <s v="Active"/>
    <x v="1"/>
    <x v="0"/>
    <x v="2"/>
  </r>
  <r>
    <n v="35"/>
    <s v="No"/>
    <s v="Travel_Rarely"/>
    <x v="0"/>
    <n v="1"/>
    <x v="0"/>
    <n v="2"/>
    <n v="1"/>
    <x v="0"/>
    <n v="1"/>
    <s v="Single"/>
    <n v="2450"/>
    <n v="1"/>
    <s v="No"/>
    <n v="19"/>
    <n v="3"/>
    <n v="0"/>
    <n v="3"/>
    <n v="3"/>
    <n v="3"/>
    <n v="1"/>
    <n v="2"/>
    <s v="Graduation"/>
    <d v="2018-06-01T00:00:00"/>
    <m/>
    <s v="Better Opportunity"/>
    <x v="1"/>
    <n v="3"/>
    <n v="3"/>
    <s v="Yes"/>
    <s v="Recruiter"/>
    <s v="Part Time"/>
    <n v="0"/>
    <s v="Active"/>
    <x v="1"/>
    <x v="0"/>
    <x v="0"/>
  </r>
  <r>
    <n v="38"/>
    <s v="No"/>
    <s v="Travel_Rarely"/>
    <x v="1"/>
    <n v="16"/>
    <x v="1"/>
    <n v="3"/>
    <n v="2"/>
    <x v="4"/>
    <n v="2"/>
    <s v="Single"/>
    <n v="4198"/>
    <n v="2"/>
    <s v="No"/>
    <n v="12"/>
    <n v="3"/>
    <n v="0"/>
    <n v="8"/>
    <n v="5"/>
    <n v="3"/>
    <n v="1"/>
    <n v="2"/>
    <s v="12th"/>
    <d v="2018-04-11T00:00:00"/>
    <m/>
    <s v="Work Accident"/>
    <x v="1"/>
    <n v="5"/>
    <n v="1"/>
    <s v="No"/>
    <s v="Job Event"/>
    <s v="FullTime"/>
    <n v="0"/>
    <s v="Active"/>
    <x v="1"/>
    <x v="0"/>
    <x v="2"/>
  </r>
  <r>
    <n v="36"/>
    <s v="No"/>
    <s v="Travel_Frequently"/>
    <x v="0"/>
    <n v="6"/>
    <x v="0"/>
    <n v="4"/>
    <n v="2"/>
    <x v="0"/>
    <n v="1"/>
    <s v="Married"/>
    <n v="5562"/>
    <n v="3"/>
    <s v="Yes"/>
    <n v="13"/>
    <n v="3"/>
    <n v="1"/>
    <n v="9"/>
    <n v="3"/>
    <n v="3"/>
    <n v="0"/>
    <n v="2"/>
    <s v="Graduation"/>
    <d v="2018-02-05T00:00:00"/>
    <m/>
    <s v="Better Opportunity"/>
    <x v="1"/>
    <n v="0"/>
    <n v="3"/>
    <s v="Yes"/>
    <s v="Job Event"/>
    <s v="Part Time"/>
    <n v="0"/>
    <s v="Active"/>
    <x v="1"/>
    <x v="0"/>
    <x v="0"/>
  </r>
  <r>
    <n v="32"/>
    <s v="No"/>
    <s v="Travel_Rarely"/>
    <x v="0"/>
    <n v="5"/>
    <x v="1"/>
    <n v="4"/>
    <n v="1"/>
    <x v="1"/>
    <n v="4"/>
    <s v="Married"/>
    <n v="3312"/>
    <n v="3"/>
    <s v="No"/>
    <n v="17"/>
    <n v="3"/>
    <n v="2"/>
    <n v="6"/>
    <n v="3"/>
    <n v="3"/>
    <n v="0"/>
    <n v="2"/>
    <s v="Graduation"/>
    <d v="2018-01-01T00:00:00"/>
    <m/>
    <s v="Work Accident"/>
    <x v="0"/>
    <n v="1"/>
    <n v="3"/>
    <s v="Yes"/>
    <s v="Recruiter"/>
    <s v="Part Time"/>
    <n v="0"/>
    <s v="Active"/>
    <x v="1"/>
    <x v="0"/>
    <x v="0"/>
  </r>
  <r>
    <n v="36"/>
    <s v="No"/>
    <s v="Travel_Rarely"/>
    <x v="0"/>
    <n v="12"/>
    <x v="1"/>
    <n v="3"/>
    <n v="2"/>
    <x v="6"/>
    <n v="3"/>
    <s v="Married"/>
    <n v="4663"/>
    <n v="9"/>
    <s v="Yes"/>
    <n v="12"/>
    <n v="3"/>
    <n v="2"/>
    <n v="7"/>
    <n v="2"/>
    <n v="3"/>
    <n v="1"/>
    <n v="1"/>
    <s v="Post-Graduation"/>
    <d v="2018-01-16T00:00:00"/>
    <m/>
    <s v="Work Accident"/>
    <x v="1"/>
    <n v="3"/>
    <n v="1"/>
    <s v="Yes"/>
    <s v="Walk-in"/>
    <s v="Part Time"/>
    <n v="0"/>
    <s v="Active"/>
    <x v="1"/>
    <x v="0"/>
    <x v="3"/>
  </r>
  <r>
    <n v="27"/>
    <s v="No"/>
    <s v="Travel_Rarely"/>
    <x v="0"/>
    <n v="8"/>
    <x v="1"/>
    <n v="4"/>
    <n v="1"/>
    <x v="1"/>
    <n v="3"/>
    <s v="Married"/>
    <n v="3517"/>
    <n v="7"/>
    <s v="No"/>
    <n v="17"/>
    <n v="3"/>
    <n v="0"/>
    <n v="5"/>
    <n v="0"/>
    <n v="3"/>
    <n v="0"/>
    <n v="2"/>
    <s v="PHD"/>
    <d v="2018-03-05T00:00:00"/>
    <m/>
    <s v="Work Environment"/>
    <x v="1"/>
    <n v="3"/>
    <n v="1"/>
    <s v="Yes"/>
    <s v="Job Event"/>
    <s v="FullTime"/>
    <n v="0"/>
    <s v="Active"/>
    <x v="1"/>
    <x v="0"/>
    <x v="0"/>
  </r>
  <r>
    <n v="36"/>
    <s v="No"/>
    <s v="Travel_Rarely"/>
    <x v="0"/>
    <n v="5"/>
    <x v="1"/>
    <n v="3"/>
    <n v="3"/>
    <x v="7"/>
    <n v="1"/>
    <s v="Married"/>
    <n v="8008"/>
    <n v="4"/>
    <s v="No"/>
    <n v="12"/>
    <n v="3"/>
    <n v="2"/>
    <n v="9"/>
    <n v="6"/>
    <n v="3"/>
    <n v="0"/>
    <n v="2"/>
    <s v="Graduation"/>
    <d v="2018-03-06T00:00:00"/>
    <m/>
    <s v="Better Opportunity"/>
    <x v="0"/>
    <n v="2"/>
    <n v="3"/>
    <s v="Yes"/>
    <s v="Walk-in"/>
    <s v="Contract"/>
    <n v="0"/>
    <s v="Active"/>
    <x v="1"/>
    <x v="1"/>
    <x v="3"/>
  </r>
  <r>
    <n v="36"/>
    <s v="No"/>
    <s v="Non-Travel"/>
    <x v="0"/>
    <n v="1"/>
    <x v="1"/>
    <n v="2"/>
    <n v="2"/>
    <x v="6"/>
    <n v="3"/>
    <s v="Married"/>
    <n v="4374"/>
    <n v="0"/>
    <s v="No"/>
    <n v="15"/>
    <n v="3"/>
    <n v="0"/>
    <n v="4"/>
    <n v="6"/>
    <n v="3"/>
    <n v="1"/>
    <n v="2"/>
    <s v="12th"/>
    <d v="2018-03-17T00:00:00"/>
    <m/>
    <s v="Dept.Head"/>
    <x v="1"/>
    <n v="0"/>
    <n v="0"/>
    <s v="No"/>
    <s v="Walk-in"/>
    <s v="Part Time"/>
    <n v="0"/>
    <s v="Active"/>
    <x v="1"/>
    <x v="0"/>
    <x v="3"/>
  </r>
  <r>
    <n v="47"/>
    <s v="No"/>
    <s v="Travel_Rarely"/>
    <x v="1"/>
    <n v="2"/>
    <x v="1"/>
    <n v="4"/>
    <n v="4"/>
    <x v="5"/>
    <n v="2"/>
    <s v="Divorced"/>
    <n v="15972"/>
    <n v="6"/>
    <s v="No"/>
    <n v="14"/>
    <n v="3"/>
    <n v="3"/>
    <n v="29"/>
    <n v="2"/>
    <n v="3"/>
    <n v="1"/>
    <n v="2"/>
    <s v="Graduation"/>
    <d v="2018-03-14T00:00:00"/>
    <m/>
    <s v="Salary"/>
    <x v="1"/>
    <n v="3"/>
    <n v="1"/>
    <s v="Yes"/>
    <s v="Walk-in"/>
    <s v="FullTime"/>
    <n v="0"/>
    <s v="Active"/>
    <x v="1"/>
    <x v="1"/>
    <x v="1"/>
  </r>
  <r>
    <n v="36"/>
    <s v="No"/>
    <s v="Travel_Rarely"/>
    <x v="0"/>
    <n v="26"/>
    <x v="0"/>
    <n v="3"/>
    <n v="2"/>
    <x v="7"/>
    <n v="3"/>
    <s v="Married"/>
    <n v="5347"/>
    <n v="6"/>
    <s v="No"/>
    <n v="14"/>
    <n v="3"/>
    <n v="2"/>
    <n v="10"/>
    <n v="2"/>
    <n v="3"/>
    <n v="0"/>
    <n v="2"/>
    <s v="12th"/>
    <d v="2018-06-19T00:00:00"/>
    <m/>
    <s v="Better Opportunity"/>
    <x v="1"/>
    <n v="0"/>
    <n v="0"/>
    <s v="Yes"/>
    <s v="Job Event"/>
    <s v="Contract"/>
    <n v="0"/>
    <s v="Active"/>
    <x v="1"/>
    <x v="0"/>
    <x v="3"/>
  </r>
  <r>
    <n v="23"/>
    <s v="Yes"/>
    <s v="Travel_Rarely"/>
    <x v="1"/>
    <n v="7"/>
    <x v="0"/>
    <n v="3"/>
    <n v="1"/>
    <x v="3"/>
    <n v="4"/>
    <s v="Divorced"/>
    <n v="2275"/>
    <n v="1"/>
    <s v="Yes"/>
    <n v="21"/>
    <n v="4"/>
    <n v="1"/>
    <n v="3"/>
    <n v="2"/>
    <n v="3"/>
    <n v="0"/>
    <n v="2"/>
    <s v="Graduation"/>
    <d v="2018-04-10T00:00:00"/>
    <m/>
    <s v="Better Opportunity"/>
    <x v="1"/>
    <n v="5"/>
    <n v="3"/>
    <s v="No"/>
    <s v="Job Portal"/>
    <s v="FullTime"/>
    <n v="1"/>
    <s v="Active"/>
    <x v="1"/>
    <x v="0"/>
    <x v="2"/>
  </r>
  <r>
    <n v="26"/>
    <s v="No"/>
    <s v="Travel_Rarely"/>
    <x v="0"/>
    <n v="17"/>
    <x v="0"/>
    <n v="1"/>
    <n v="1"/>
    <x v="0"/>
    <n v="3"/>
    <s v="Married"/>
    <n v="2305"/>
    <n v="1"/>
    <s v="No"/>
    <n v="15"/>
    <n v="3"/>
    <n v="3"/>
    <n v="3"/>
    <n v="3"/>
    <n v="3"/>
    <n v="0"/>
    <n v="2"/>
    <s v="Post-Graduation"/>
    <d v="2018-05-21T00:00:00"/>
    <m/>
    <s v="Work Environment"/>
    <x v="1"/>
    <n v="1"/>
    <n v="2"/>
    <s v="No"/>
    <s v="Job Event"/>
    <s v="Contract"/>
    <n v="0"/>
    <s v="Active"/>
    <x v="1"/>
    <x v="0"/>
    <x v="0"/>
  </r>
  <r>
    <n v="41"/>
    <s v="No"/>
    <s v="Non-Travel"/>
    <x v="2"/>
    <n v="4"/>
    <x v="0"/>
    <n v="1"/>
    <n v="2"/>
    <x v="8"/>
    <n v="2"/>
    <s v="Married"/>
    <n v="6430"/>
    <n v="6"/>
    <s v="No"/>
    <n v="19"/>
    <n v="3"/>
    <n v="1"/>
    <n v="10"/>
    <n v="4"/>
    <n v="3"/>
    <n v="1"/>
    <n v="2"/>
    <s v="12th"/>
    <d v="2018-06-17T00:00:00"/>
    <m/>
    <s v="Better Opportunity"/>
    <x v="1"/>
    <n v="1"/>
    <n v="1"/>
    <s v="Yes"/>
    <s v="Walk-in"/>
    <s v="Part Time"/>
    <n v="0"/>
    <s v="Active"/>
    <x v="1"/>
    <x v="0"/>
    <x v="4"/>
  </r>
  <r>
    <n v="23"/>
    <s v="No"/>
    <s v="Travel_Rarely"/>
    <x v="0"/>
    <n v="4"/>
    <x v="1"/>
    <n v="3"/>
    <n v="1"/>
    <x v="0"/>
    <n v="2"/>
    <s v="Single"/>
    <n v="3295"/>
    <n v="1"/>
    <s v="No"/>
    <n v="13"/>
    <n v="3"/>
    <n v="0"/>
    <n v="3"/>
    <n v="3"/>
    <n v="3"/>
    <n v="1"/>
    <n v="2"/>
    <s v="PHD"/>
    <d v="2018-03-24T00:00:00"/>
    <m/>
    <s v="Better Opportunity"/>
    <x v="1"/>
    <n v="1"/>
    <n v="2"/>
    <s v="No"/>
    <s v="Job Event"/>
    <s v="Part Time"/>
    <n v="0"/>
    <s v="Active"/>
    <x v="1"/>
    <x v="0"/>
    <x v="0"/>
  </r>
  <r>
    <n v="29"/>
    <s v="No"/>
    <s v="Travel_Frequently"/>
    <x v="0"/>
    <n v="1"/>
    <x v="0"/>
    <n v="4"/>
    <n v="2"/>
    <x v="7"/>
    <n v="3"/>
    <s v="Single"/>
    <n v="6294"/>
    <n v="8"/>
    <s v="Yes"/>
    <n v="12"/>
    <n v="3"/>
    <n v="0"/>
    <n v="10"/>
    <n v="5"/>
    <n v="3"/>
    <n v="0"/>
    <n v="2"/>
    <s v="PHD"/>
    <d v="2018-04-21T00:00:00"/>
    <m/>
    <s v="Salary"/>
    <x v="0"/>
    <n v="4"/>
    <n v="2"/>
    <s v="No"/>
    <s v="Recruiter"/>
    <s v="Contract"/>
    <n v="0"/>
    <s v="Active"/>
    <x v="1"/>
    <x v="0"/>
    <x v="3"/>
  </r>
  <r>
    <n v="53"/>
    <s v="No"/>
    <s v="Non-Travel"/>
    <x v="0"/>
    <n v="1"/>
    <x v="1"/>
    <n v="2"/>
    <n v="4"/>
    <x v="6"/>
    <n v="3"/>
    <s v="Married"/>
    <n v="12965"/>
    <n v="4"/>
    <s v="Yes"/>
    <n v="20"/>
    <n v="4"/>
    <n v="3"/>
    <n v="27"/>
    <n v="2"/>
    <n v="3"/>
    <n v="0"/>
    <n v="2"/>
    <s v="Post-Graduation"/>
    <d v="2018-02-22T00:00:00"/>
    <m/>
    <s v="Better Opportunity"/>
    <x v="0"/>
    <n v="5"/>
    <n v="1"/>
    <s v="No"/>
    <s v="Job Portal"/>
    <s v="Contract"/>
    <n v="0"/>
    <s v="Active"/>
    <x v="1"/>
    <x v="1"/>
    <x v="3"/>
  </r>
  <r>
    <n v="43"/>
    <s v="No"/>
    <s v="Non-Travel"/>
    <x v="0"/>
    <n v="9"/>
    <x v="0"/>
    <n v="3"/>
    <n v="1"/>
    <x v="1"/>
    <n v="3"/>
    <s v="Single"/>
    <n v="2438"/>
    <n v="4"/>
    <s v="No"/>
    <n v="13"/>
    <n v="3"/>
    <n v="0"/>
    <n v="7"/>
    <n v="2"/>
    <n v="3"/>
    <n v="1"/>
    <n v="2"/>
    <s v="PHD"/>
    <d v="2018-04-05T00:00:00"/>
    <m/>
    <s v="Work Accident"/>
    <x v="0"/>
    <n v="5"/>
    <n v="2"/>
    <s v="Yes"/>
    <s v="Recruiter"/>
    <s v="Part Time"/>
    <n v="0"/>
    <s v="Active"/>
    <x v="1"/>
    <x v="0"/>
    <x v="0"/>
  </r>
  <r>
    <n v="41"/>
    <s v="No"/>
    <s v="Travel_Rarely"/>
    <x v="0"/>
    <n v="5"/>
    <x v="0"/>
    <n v="4"/>
    <n v="2"/>
    <x v="7"/>
    <n v="2"/>
    <s v="Single"/>
    <n v="6870"/>
    <n v="3"/>
    <s v="No"/>
    <n v="12"/>
    <n v="3"/>
    <n v="0"/>
    <n v="11"/>
    <n v="3"/>
    <n v="3"/>
    <n v="1"/>
    <n v="2"/>
    <s v="PHD"/>
    <d v="2018-05-02T00:00:00"/>
    <m/>
    <s v="Dept.Head"/>
    <x v="1"/>
    <n v="3"/>
    <n v="2"/>
    <s v="Yes"/>
    <s v="Job Event"/>
    <s v="Part Time"/>
    <n v="0"/>
    <s v="Active"/>
    <x v="1"/>
    <x v="0"/>
    <x v="3"/>
  </r>
  <r>
    <n v="31"/>
    <s v="No"/>
    <s v="Travel_Frequently"/>
    <x v="1"/>
    <n v="7"/>
    <x v="1"/>
    <n v="3"/>
    <n v="3"/>
    <x v="4"/>
    <n v="1"/>
    <s v="Married"/>
    <n v="9637"/>
    <n v="2"/>
    <s v="No"/>
    <n v="14"/>
    <n v="3"/>
    <n v="2"/>
    <n v="9"/>
    <n v="3"/>
    <n v="3"/>
    <n v="2"/>
    <n v="2"/>
    <s v="Post-Graduation"/>
    <d v="2018-05-26T00:00:00"/>
    <m/>
    <s v="Dept.Head"/>
    <x v="0"/>
    <n v="1"/>
    <n v="2"/>
    <s v="Yes"/>
    <s v="Job Portal"/>
    <s v="FullTime"/>
    <n v="0"/>
    <s v="Active"/>
    <x v="1"/>
    <x v="1"/>
    <x v="2"/>
  </r>
  <r>
    <n v="28"/>
    <s v="No"/>
    <s v="Travel_Rarely"/>
    <x v="0"/>
    <n v="1"/>
    <x v="1"/>
    <n v="3"/>
    <n v="1"/>
    <x v="1"/>
    <n v="1"/>
    <s v="Married"/>
    <n v="3591"/>
    <n v="1"/>
    <s v="No"/>
    <n v="25"/>
    <n v="4"/>
    <n v="1"/>
    <n v="3"/>
    <n v="3"/>
    <n v="3"/>
    <n v="1"/>
    <n v="2"/>
    <s v="Graduation"/>
    <d v="2018-01-28T00:00:00"/>
    <m/>
    <s v="Salary"/>
    <x v="0"/>
    <n v="2"/>
    <n v="2"/>
    <s v="Yes"/>
    <s v="Job Event"/>
    <s v="Part Time"/>
    <n v="0"/>
    <s v="Active"/>
    <x v="1"/>
    <x v="0"/>
    <x v="0"/>
  </r>
  <r>
    <n v="28"/>
    <s v="No"/>
    <s v="Non-Travel"/>
    <x v="2"/>
    <n v="1"/>
    <x v="0"/>
    <n v="3"/>
    <n v="1"/>
    <x v="8"/>
    <n v="4"/>
    <s v="Divorced"/>
    <n v="2706"/>
    <n v="1"/>
    <s v="No"/>
    <n v="15"/>
    <n v="3"/>
    <n v="1"/>
    <n v="3"/>
    <n v="2"/>
    <n v="3"/>
    <n v="2"/>
    <n v="2"/>
    <s v="Post-Graduation"/>
    <d v="2018-02-07T00:00:00"/>
    <m/>
    <s v="Work Accident"/>
    <x v="0"/>
    <n v="2"/>
    <n v="0"/>
    <s v="Yes"/>
    <s v="Recruiter"/>
    <s v="Part Time"/>
    <n v="0"/>
    <s v="Active"/>
    <x v="1"/>
    <x v="0"/>
    <x v="4"/>
  </r>
  <r>
    <n v="29"/>
    <s v="No"/>
    <s v="Travel_Rarely"/>
    <x v="0"/>
    <n v="7"/>
    <x v="0"/>
    <n v="3"/>
    <n v="1"/>
    <x v="0"/>
    <n v="1"/>
    <s v="Single"/>
    <n v="2062"/>
    <n v="3"/>
    <s v="No"/>
    <n v="14"/>
    <n v="3"/>
    <n v="0"/>
    <n v="11"/>
    <n v="2"/>
    <n v="3"/>
    <n v="1"/>
    <n v="2"/>
    <s v="PHD"/>
    <d v="2018-03-16T00:00:00"/>
    <m/>
    <s v="Work Accident"/>
    <x v="1"/>
    <n v="5"/>
    <n v="0"/>
    <s v="Yes"/>
    <s v="Job Event"/>
    <s v="FullTime"/>
    <n v="0"/>
    <s v="Active"/>
    <x v="1"/>
    <x v="0"/>
    <x v="0"/>
  </r>
  <r>
    <n v="35"/>
    <s v="No"/>
    <s v="Travel_Rarely"/>
    <x v="0"/>
    <n v="16"/>
    <x v="1"/>
    <n v="2"/>
    <n v="2"/>
    <x v="6"/>
    <n v="2"/>
    <s v="Married"/>
    <n v="4788"/>
    <n v="0"/>
    <s v="Yes"/>
    <n v="11"/>
    <n v="3"/>
    <n v="0"/>
    <n v="4"/>
    <n v="2"/>
    <n v="3"/>
    <n v="0"/>
    <n v="2"/>
    <s v="Graduation"/>
    <d v="2018-05-06T00:00:00"/>
    <m/>
    <s v="Dept.Head"/>
    <x v="0"/>
    <n v="0"/>
    <n v="1"/>
    <s v="Yes"/>
    <s v="Job Portal"/>
    <s v="Contract"/>
    <n v="0"/>
    <s v="Active"/>
    <x v="1"/>
    <x v="0"/>
    <x v="3"/>
  </r>
  <r>
    <n v="39"/>
    <s v="No"/>
    <s v="Non-Travel"/>
    <x v="1"/>
    <n v="21"/>
    <x v="1"/>
    <n v="1"/>
    <n v="2"/>
    <x v="4"/>
    <n v="3"/>
    <s v="Married"/>
    <n v="5736"/>
    <n v="6"/>
    <s v="No"/>
    <n v="19"/>
    <n v="3"/>
    <n v="1"/>
    <n v="10"/>
    <n v="1"/>
    <n v="3"/>
    <n v="1"/>
    <n v="2"/>
    <s v="PHD"/>
    <d v="2018-06-08T00:00:00"/>
    <m/>
    <s v="Work Environment"/>
    <x v="0"/>
    <n v="5"/>
    <n v="0"/>
    <s v="No"/>
    <s v="Walk-in"/>
    <s v="Contract"/>
    <n v="0"/>
    <s v="Active"/>
    <x v="1"/>
    <x v="0"/>
    <x v="2"/>
  </r>
  <r>
    <n v="22"/>
    <s v="No"/>
    <s v="Travel_Rarely"/>
    <x v="0"/>
    <n v="1"/>
    <x v="0"/>
    <n v="3"/>
    <n v="1"/>
    <x v="1"/>
    <n v="3"/>
    <s v="Single"/>
    <n v="3375"/>
    <n v="0"/>
    <s v="No"/>
    <n v="12"/>
    <n v="3"/>
    <n v="0"/>
    <n v="4"/>
    <n v="2"/>
    <n v="3"/>
    <n v="1"/>
    <n v="2"/>
    <s v="12th"/>
    <d v="2018-01-01T00:00:00"/>
    <m/>
    <s v="Salary"/>
    <x v="1"/>
    <n v="0"/>
    <n v="1"/>
    <s v="No"/>
    <s v="Recruiter"/>
    <s v="Contract"/>
    <n v="0"/>
    <s v="Active"/>
    <x v="1"/>
    <x v="0"/>
    <x v="0"/>
  </r>
  <r>
    <n v="50"/>
    <s v="Yes"/>
    <s v="Travel_Rarely"/>
    <x v="1"/>
    <n v="28"/>
    <x v="0"/>
    <n v="2"/>
    <n v="3"/>
    <x v="4"/>
    <n v="1"/>
    <s v="Divorced"/>
    <n v="10854"/>
    <n v="4"/>
    <s v="Yes"/>
    <n v="13"/>
    <n v="3"/>
    <n v="1"/>
    <n v="20"/>
    <n v="3"/>
    <n v="3"/>
    <n v="2"/>
    <n v="0"/>
    <s v="Graduation"/>
    <d v="2018-04-11T00:00:00"/>
    <m/>
    <s v="Better Opportunity"/>
    <x v="0"/>
    <n v="3"/>
    <n v="2"/>
    <s v="Yes"/>
    <s v="Job Event"/>
    <s v="Contract"/>
    <n v="1"/>
    <s v="Active"/>
    <x v="1"/>
    <x v="1"/>
    <x v="2"/>
  </r>
  <r>
    <n v="28"/>
    <s v="Yes"/>
    <s v="Travel_Rarely"/>
    <x v="0"/>
    <n v="24"/>
    <x v="0"/>
    <n v="2"/>
    <n v="1"/>
    <x v="0"/>
    <n v="3"/>
    <s v="Single"/>
    <n v="2028"/>
    <n v="5"/>
    <s v="Yes"/>
    <n v="14"/>
    <n v="3"/>
    <n v="0"/>
    <n v="6"/>
    <n v="4"/>
    <n v="4"/>
    <n v="0"/>
    <n v="3"/>
    <s v="Graduation"/>
    <d v="2017-05-15T00:00:00"/>
    <m/>
    <s v="Dept.Head"/>
    <x v="1"/>
    <n v="2"/>
    <n v="0"/>
    <s v="No"/>
    <s v="Job Portal"/>
    <s v="FullTime"/>
    <n v="1"/>
    <s v="Active"/>
    <x v="1"/>
    <x v="0"/>
    <x v="0"/>
  </r>
  <r>
    <n v="24"/>
    <s v="No"/>
    <s v="Non-Travel"/>
    <x v="0"/>
    <n v="11"/>
    <x v="1"/>
    <n v="4"/>
    <n v="2"/>
    <x v="6"/>
    <n v="3"/>
    <s v="Divorced"/>
    <n v="4011"/>
    <n v="0"/>
    <s v="No"/>
    <n v="18"/>
    <n v="3"/>
    <n v="1"/>
    <n v="5"/>
    <n v="5"/>
    <n v="4"/>
    <n v="1"/>
    <n v="3"/>
    <s v="Graduation"/>
    <d v="2017-04-05T00:00:00"/>
    <m/>
    <s v="Work Accident"/>
    <x v="1"/>
    <n v="3"/>
    <n v="1"/>
    <s v="Yes"/>
    <s v="Walk-in"/>
    <s v="FullTime"/>
    <n v="0"/>
    <s v="Active"/>
    <x v="1"/>
    <x v="0"/>
    <x v="3"/>
  </r>
  <r>
    <n v="34"/>
    <s v="Yes"/>
    <s v="Travel_Rarely"/>
    <x v="0"/>
    <n v="6"/>
    <x v="0"/>
    <n v="3"/>
    <n v="1"/>
    <x v="1"/>
    <n v="1"/>
    <s v="Single"/>
    <n v="2960"/>
    <n v="2"/>
    <s v="No"/>
    <n v="11"/>
    <n v="3"/>
    <n v="0"/>
    <n v="8"/>
    <n v="2"/>
    <n v="4"/>
    <n v="1"/>
    <n v="3"/>
    <s v="Post-Graduation"/>
    <d v="2017-04-05T00:00:00"/>
    <m/>
    <s v="Dept.Head"/>
    <x v="1"/>
    <n v="1"/>
    <n v="1"/>
    <s v="Yes"/>
    <s v="Recruiter"/>
    <s v="FullTime"/>
    <n v="1"/>
    <s v="Active"/>
    <x v="1"/>
    <x v="0"/>
    <x v="0"/>
  </r>
  <r>
    <n v="44"/>
    <s v="No"/>
    <s v="Travel_Rarely"/>
    <x v="0"/>
    <n v="10"/>
    <x v="0"/>
    <n v="3"/>
    <n v="2"/>
    <x v="7"/>
    <n v="4"/>
    <s v="Married"/>
    <n v="6465"/>
    <n v="2"/>
    <s v="Yes"/>
    <n v="13"/>
    <n v="3"/>
    <n v="0"/>
    <n v="9"/>
    <n v="5"/>
    <n v="4"/>
    <n v="1"/>
    <n v="3"/>
    <s v="12th"/>
    <d v="2017-01-29T00:00:00"/>
    <m/>
    <s v="Work Accident"/>
    <x v="0"/>
    <n v="5"/>
    <n v="3"/>
    <s v="Yes"/>
    <s v="Job Event"/>
    <s v="Part Time"/>
    <n v="0"/>
    <s v="Active"/>
    <x v="1"/>
    <x v="0"/>
    <x v="3"/>
  </r>
  <r>
    <n v="44"/>
    <s v="No"/>
    <s v="Travel_Rarely"/>
    <x v="1"/>
    <n v="1"/>
    <x v="1"/>
    <n v="3"/>
    <n v="2"/>
    <x v="4"/>
    <n v="1"/>
    <s v="Divorced"/>
    <n v="5454"/>
    <n v="5"/>
    <s v="Yes"/>
    <n v="21"/>
    <n v="4"/>
    <n v="1"/>
    <n v="9"/>
    <n v="2"/>
    <n v="4"/>
    <n v="1"/>
    <n v="3"/>
    <s v="12th"/>
    <d v="2017-06-27T00:00:00"/>
    <m/>
    <s v="Salary"/>
    <x v="0"/>
    <n v="5"/>
    <n v="3"/>
    <s v="Yes"/>
    <s v="Walk-in"/>
    <s v="FullTime"/>
    <n v="0"/>
    <s v="Active"/>
    <x v="1"/>
    <x v="0"/>
    <x v="2"/>
  </r>
  <r>
    <n v="35"/>
    <s v="No"/>
    <s v="Non-Travel"/>
    <x v="0"/>
    <n v="11"/>
    <x v="0"/>
    <n v="2"/>
    <n v="3"/>
    <x v="7"/>
    <n v="1"/>
    <s v="Married"/>
    <n v="9884"/>
    <n v="2"/>
    <s v="Yes"/>
    <n v="13"/>
    <n v="3"/>
    <n v="1"/>
    <n v="10"/>
    <n v="3"/>
    <n v="4"/>
    <n v="2"/>
    <n v="3"/>
    <s v="Post-Graduation"/>
    <d v="2017-05-22T00:00:00"/>
    <m/>
    <s v="Salary"/>
    <x v="0"/>
    <n v="1"/>
    <n v="1"/>
    <s v="Yes"/>
    <s v="Recruiter"/>
    <s v="Part Time"/>
    <n v="0"/>
    <s v="Active"/>
    <x v="1"/>
    <x v="1"/>
    <x v="3"/>
  </r>
  <r>
    <n v="59"/>
    <s v="No"/>
    <s v="Travel_Frequently"/>
    <x v="1"/>
    <n v="1"/>
    <x v="1"/>
    <n v="2"/>
    <n v="2"/>
    <x v="4"/>
    <n v="3"/>
    <s v="Single"/>
    <n v="5473"/>
    <n v="7"/>
    <s v="No"/>
    <n v="11"/>
    <n v="3"/>
    <n v="0"/>
    <n v="20"/>
    <n v="2"/>
    <n v="4"/>
    <n v="1"/>
    <n v="3"/>
    <s v="Post-Graduation"/>
    <d v="2017-03-07T00:00:00"/>
    <m/>
    <s v="Better Opportunity"/>
    <x v="1"/>
    <n v="1"/>
    <n v="0"/>
    <s v="Yes"/>
    <s v="Walk-in"/>
    <s v="Part Time"/>
    <n v="0"/>
    <s v="Active"/>
    <x v="1"/>
    <x v="0"/>
    <x v="2"/>
  </r>
  <r>
    <n v="46"/>
    <s v="No"/>
    <s v="Travel_Rarely"/>
    <x v="2"/>
    <n v="5"/>
    <x v="0"/>
    <n v="3"/>
    <n v="2"/>
    <x v="8"/>
    <n v="2"/>
    <s v="Divorced"/>
    <n v="5021"/>
    <n v="8"/>
    <s v="Yes"/>
    <n v="22"/>
    <n v="4"/>
    <n v="1"/>
    <n v="16"/>
    <n v="2"/>
    <n v="4"/>
    <n v="0"/>
    <n v="2"/>
    <s v="Graduation"/>
    <d v="2017-02-27T00:00:00"/>
    <m/>
    <s v="Work Accident"/>
    <x v="1"/>
    <n v="2"/>
    <n v="3"/>
    <s v="No"/>
    <s v="Walk-in"/>
    <s v="FullTime"/>
    <n v="0"/>
    <s v="Active"/>
    <x v="1"/>
    <x v="0"/>
    <x v="4"/>
  </r>
  <r>
    <n v="51"/>
    <s v="No"/>
    <s v="Travel_Rarely"/>
    <x v="0"/>
    <n v="9"/>
    <x v="0"/>
    <n v="3"/>
    <n v="1"/>
    <x v="0"/>
    <n v="4"/>
    <s v="Married"/>
    <n v="2075"/>
    <n v="3"/>
    <s v="No"/>
    <n v="23"/>
    <n v="4"/>
    <n v="2"/>
    <n v="10"/>
    <n v="4"/>
    <n v="4"/>
    <n v="0"/>
    <n v="3"/>
    <s v="Post-Graduation"/>
    <d v="2017-02-11T00:00:00"/>
    <m/>
    <s v="Work Environment"/>
    <x v="0"/>
    <n v="4"/>
    <n v="0"/>
    <s v="Yes"/>
    <s v="Job Portal"/>
    <s v="Contract"/>
    <n v="0"/>
    <s v="Active"/>
    <x v="1"/>
    <x v="0"/>
    <x v="0"/>
  </r>
  <r>
    <n v="54"/>
    <s v="No"/>
    <s v="Travel_Rarely"/>
    <x v="0"/>
    <n v="2"/>
    <x v="1"/>
    <n v="3"/>
    <n v="3"/>
    <x v="2"/>
    <n v="3"/>
    <s v="Married"/>
    <n v="13549"/>
    <n v="9"/>
    <s v="No"/>
    <n v="12"/>
    <n v="3"/>
    <n v="1"/>
    <n v="16"/>
    <n v="5"/>
    <n v="4"/>
    <n v="0"/>
    <n v="3"/>
    <s v="Graduation"/>
    <d v="2017-02-16T00:00:00"/>
    <m/>
    <s v="Work Accident"/>
    <x v="1"/>
    <n v="4"/>
    <n v="0"/>
    <s v="No"/>
    <s v="Job Event"/>
    <s v="FullTime"/>
    <n v="0"/>
    <s v="Active"/>
    <x v="1"/>
    <x v="1"/>
    <x v="1"/>
  </r>
  <r>
    <n v="51"/>
    <s v="Yes"/>
    <s v="Travel_Frequently"/>
    <x v="0"/>
    <n v="8"/>
    <x v="0"/>
    <n v="1"/>
    <n v="3"/>
    <x v="6"/>
    <n v="4"/>
    <s v="Single"/>
    <n v="10650"/>
    <n v="2"/>
    <s v="No"/>
    <n v="15"/>
    <n v="3"/>
    <n v="0"/>
    <n v="18"/>
    <n v="2"/>
    <n v="4"/>
    <n v="0"/>
    <n v="3"/>
    <s v="Graduation"/>
    <d v="2017-04-23T00:00:00"/>
    <m/>
    <s v="Salary"/>
    <x v="1"/>
    <n v="1"/>
    <n v="2"/>
    <s v="Yes"/>
    <s v="Job Event"/>
    <s v="Contract"/>
    <n v="1"/>
    <s v="Active"/>
    <x v="1"/>
    <x v="1"/>
    <x v="3"/>
  </r>
  <r>
    <n v="34"/>
    <s v="No"/>
    <s v="Travel_Frequently"/>
    <x v="1"/>
    <n v="2"/>
    <x v="1"/>
    <n v="3"/>
    <n v="1"/>
    <x v="3"/>
    <n v="3"/>
    <s v="Married"/>
    <n v="2231"/>
    <n v="6"/>
    <s v="No"/>
    <n v="18"/>
    <n v="3"/>
    <n v="1"/>
    <n v="6"/>
    <n v="3"/>
    <n v="4"/>
    <n v="1"/>
    <n v="2"/>
    <s v="PHD"/>
    <d v="2017-05-21T00:00:00"/>
    <m/>
    <s v="Salary"/>
    <x v="0"/>
    <n v="3"/>
    <n v="0"/>
    <s v="No"/>
    <s v="Walk-in"/>
    <s v="FullTime"/>
    <n v="0"/>
    <s v="Active"/>
    <x v="1"/>
    <x v="0"/>
    <x v="2"/>
  </r>
  <r>
    <n v="31"/>
    <s v="No"/>
    <s v="Travel_Rarely"/>
    <x v="0"/>
    <n v="12"/>
    <x v="1"/>
    <n v="3"/>
    <n v="1"/>
    <x v="1"/>
    <n v="4"/>
    <s v="Married"/>
    <n v="3929"/>
    <n v="8"/>
    <s v="Yes"/>
    <n v="23"/>
    <n v="4"/>
    <n v="1"/>
    <n v="7"/>
    <n v="0"/>
    <n v="4"/>
    <n v="0"/>
    <n v="2"/>
    <s v="Post-Graduation"/>
    <d v="2017-02-12T00:00:00"/>
    <m/>
    <s v="Work Accident"/>
    <x v="0"/>
    <n v="0"/>
    <n v="3"/>
    <s v="Yes"/>
    <s v="Recruiter"/>
    <s v="FullTime"/>
    <n v="0"/>
    <s v="Active"/>
    <x v="1"/>
    <x v="0"/>
    <x v="0"/>
  </r>
  <r>
    <n v="41"/>
    <s v="Yes"/>
    <s v="Travel_Rarely"/>
    <x v="1"/>
    <n v="20"/>
    <x v="1"/>
    <n v="3"/>
    <n v="1"/>
    <x v="3"/>
    <n v="2"/>
    <s v="Single"/>
    <n v="3140"/>
    <n v="1"/>
    <s v="Yes"/>
    <n v="22"/>
    <n v="4"/>
    <n v="0"/>
    <n v="4"/>
    <n v="5"/>
    <n v="4"/>
    <n v="0"/>
    <n v="2"/>
    <s v="Post-Graduation"/>
    <d v="2017-04-03T00:00:00"/>
    <m/>
    <s v="Better Opportunity"/>
    <x v="1"/>
    <n v="3"/>
    <n v="0"/>
    <s v="Yes"/>
    <s v="Recruiter"/>
    <s v="FullTime"/>
    <n v="1"/>
    <s v="Active"/>
    <x v="1"/>
    <x v="0"/>
    <x v="2"/>
  </r>
  <r>
    <n v="53"/>
    <s v="No"/>
    <s v="Travel_Rarely"/>
    <x v="0"/>
    <n v="13"/>
    <x v="1"/>
    <n v="4"/>
    <n v="2"/>
    <x v="6"/>
    <n v="1"/>
    <s v="Divorced"/>
    <n v="4450"/>
    <n v="1"/>
    <s v="No"/>
    <n v="11"/>
    <n v="3"/>
    <n v="2"/>
    <n v="5"/>
    <n v="3"/>
    <n v="4"/>
    <n v="1"/>
    <n v="3"/>
    <s v="12th"/>
    <d v="2017-02-22T00:00:00"/>
    <m/>
    <s v="Dept.Head"/>
    <x v="0"/>
    <n v="1"/>
    <n v="2"/>
    <s v="No"/>
    <s v="Walk-in"/>
    <s v="Contract"/>
    <n v="0"/>
    <s v="Active"/>
    <x v="1"/>
    <x v="0"/>
    <x v="3"/>
  </r>
  <r>
    <n v="22"/>
    <s v="No"/>
    <s v="Travel_Rarely"/>
    <x v="0"/>
    <n v="5"/>
    <x v="0"/>
    <n v="4"/>
    <n v="1"/>
    <x v="1"/>
    <n v="2"/>
    <s v="Divorced"/>
    <n v="2328"/>
    <n v="1"/>
    <s v="Yes"/>
    <n v="16"/>
    <n v="3"/>
    <n v="1"/>
    <n v="4"/>
    <n v="2"/>
    <n v="4"/>
    <n v="2"/>
    <n v="2"/>
    <s v="Graduation"/>
    <d v="2017-02-17T00:00:00"/>
    <m/>
    <s v="Work Environment"/>
    <x v="1"/>
    <n v="4"/>
    <n v="2"/>
    <s v="No"/>
    <s v="Job Portal"/>
    <s v="FullTime"/>
    <n v="0"/>
    <s v="Active"/>
    <x v="1"/>
    <x v="0"/>
    <x v="0"/>
  </r>
  <r>
    <n v="46"/>
    <s v="No"/>
    <s v="Travel_Rarely"/>
    <x v="0"/>
    <n v="1"/>
    <x v="0"/>
    <n v="3"/>
    <n v="3"/>
    <x v="7"/>
    <n v="1"/>
    <s v="Divorced"/>
    <n v="9396"/>
    <n v="7"/>
    <s v="No"/>
    <n v="16"/>
    <n v="3"/>
    <n v="1"/>
    <n v="17"/>
    <n v="3"/>
    <n v="4"/>
    <n v="0"/>
    <n v="3"/>
    <s v="12th"/>
    <d v="2017-02-28T00:00:00"/>
    <m/>
    <s v="Salary"/>
    <x v="0"/>
    <n v="4"/>
    <n v="3"/>
    <s v="No"/>
    <s v="Job Event"/>
    <s v="Contract"/>
    <n v="0"/>
    <s v="Active"/>
    <x v="1"/>
    <x v="1"/>
    <x v="3"/>
  </r>
  <r>
    <n v="29"/>
    <s v="Yes"/>
    <s v="Travel_Rarely"/>
    <x v="0"/>
    <n v="18"/>
    <x v="0"/>
    <n v="2"/>
    <n v="1"/>
    <x v="1"/>
    <n v="4"/>
    <s v="Single"/>
    <n v="2389"/>
    <n v="1"/>
    <s v="Yes"/>
    <n v="13"/>
    <n v="3"/>
    <n v="0"/>
    <n v="4"/>
    <n v="3"/>
    <n v="4"/>
    <n v="0"/>
    <n v="1"/>
    <s v="PHD"/>
    <d v="2017-01-05T00:00:00"/>
    <m/>
    <s v="Salary"/>
    <x v="0"/>
    <n v="4"/>
    <n v="2"/>
    <s v="Yes"/>
    <s v="Job Event"/>
    <s v="Contract"/>
    <n v="1"/>
    <s v="Active"/>
    <x v="1"/>
    <x v="0"/>
    <x v="0"/>
  </r>
  <r>
    <n v="32"/>
    <s v="No"/>
    <s v="Travel_Rarely"/>
    <x v="1"/>
    <n v="4"/>
    <x v="1"/>
    <n v="3"/>
    <n v="1"/>
    <x v="3"/>
    <n v="2"/>
    <s v="Married"/>
    <n v="3931"/>
    <n v="2"/>
    <s v="No"/>
    <n v="11"/>
    <n v="3"/>
    <n v="1"/>
    <n v="6"/>
    <n v="5"/>
    <n v="4"/>
    <n v="1"/>
    <n v="2"/>
    <s v="Post-Graduation"/>
    <d v="2017-05-11T00:00:00"/>
    <m/>
    <s v="Work Environment"/>
    <x v="1"/>
    <n v="2"/>
    <n v="1"/>
    <s v="No"/>
    <s v="Recruiter"/>
    <s v="FullTime"/>
    <n v="0"/>
    <s v="Active"/>
    <x v="1"/>
    <x v="0"/>
    <x v="2"/>
  </r>
  <r>
    <n v="25"/>
    <s v="No"/>
    <s v="Travel_Rarely"/>
    <x v="0"/>
    <n v="1"/>
    <x v="1"/>
    <n v="3"/>
    <n v="2"/>
    <x v="6"/>
    <n v="3"/>
    <s v="Married"/>
    <n v="4898"/>
    <n v="0"/>
    <s v="No"/>
    <n v="12"/>
    <n v="3"/>
    <n v="2"/>
    <n v="5"/>
    <n v="3"/>
    <n v="4"/>
    <n v="1"/>
    <n v="2"/>
    <s v="Graduation"/>
    <d v="2017-03-04T00:00:00"/>
    <m/>
    <s v="Work Accident"/>
    <x v="0"/>
    <n v="4"/>
    <n v="2"/>
    <s v="Yes"/>
    <s v="Job Portal"/>
    <s v="Part Time"/>
    <n v="0"/>
    <s v="Active"/>
    <x v="1"/>
    <x v="0"/>
    <x v="3"/>
  </r>
  <r>
    <n v="37"/>
    <s v="No"/>
    <s v="Travel_Frequently"/>
    <x v="0"/>
    <n v="9"/>
    <x v="0"/>
    <n v="3"/>
    <n v="1"/>
    <x v="1"/>
    <n v="4"/>
    <s v="Married"/>
    <n v="2326"/>
    <n v="1"/>
    <s v="Yes"/>
    <n v="12"/>
    <n v="3"/>
    <n v="3"/>
    <n v="4"/>
    <n v="3"/>
    <n v="4"/>
    <n v="1"/>
    <n v="2"/>
    <s v="12th"/>
    <d v="2017-05-07T00:00:00"/>
    <m/>
    <s v="Work Accident"/>
    <x v="1"/>
    <n v="0"/>
    <n v="1"/>
    <s v="Yes"/>
    <s v="Recruiter"/>
    <s v="FullTime"/>
    <n v="0"/>
    <s v="Active"/>
    <x v="1"/>
    <x v="0"/>
    <x v="0"/>
  </r>
  <r>
    <n v="51"/>
    <s v="No"/>
    <s v="Travel_Rarely"/>
    <x v="0"/>
    <n v="2"/>
    <x v="0"/>
    <n v="1"/>
    <n v="2"/>
    <x v="6"/>
    <n v="2"/>
    <s v="Divorced"/>
    <n v="5482"/>
    <n v="5"/>
    <s v="No"/>
    <n v="18"/>
    <n v="3"/>
    <n v="1"/>
    <n v="13"/>
    <n v="3"/>
    <n v="4"/>
    <n v="1"/>
    <n v="2"/>
    <s v="12th"/>
    <d v="2017-03-21T00:00:00"/>
    <m/>
    <s v="Dept.Head"/>
    <x v="0"/>
    <n v="2"/>
    <n v="3"/>
    <s v="No"/>
    <s v="Recruiter"/>
    <s v="Contract"/>
    <n v="0"/>
    <s v="Active"/>
    <x v="1"/>
    <x v="0"/>
    <x v="3"/>
  </r>
  <r>
    <n v="27"/>
    <s v="No"/>
    <s v="Travel_Rarely"/>
    <x v="0"/>
    <n v="5"/>
    <x v="1"/>
    <n v="3"/>
    <n v="1"/>
    <x v="1"/>
    <n v="2"/>
    <s v="Single"/>
    <n v="2478"/>
    <n v="1"/>
    <s v="Yes"/>
    <n v="12"/>
    <n v="3"/>
    <n v="0"/>
    <n v="4"/>
    <n v="2"/>
    <n v="4"/>
    <n v="1"/>
    <n v="2"/>
    <s v="Post-Graduation"/>
    <d v="2017-06-12T00:00:00"/>
    <m/>
    <s v="Better Opportunity"/>
    <x v="1"/>
    <n v="0"/>
    <n v="1"/>
    <s v="No"/>
    <s v="Job Event"/>
    <s v="Contract"/>
    <n v="0"/>
    <s v="Active"/>
    <x v="1"/>
    <x v="0"/>
    <x v="0"/>
  </r>
  <r>
    <n v="54"/>
    <s v="No"/>
    <s v="Travel_Frequently"/>
    <x v="0"/>
    <n v="20"/>
    <x v="1"/>
    <n v="3"/>
    <n v="2"/>
    <x v="1"/>
    <n v="3"/>
    <s v="Single"/>
    <n v="4869"/>
    <n v="3"/>
    <s v="No"/>
    <n v="12"/>
    <n v="3"/>
    <n v="0"/>
    <n v="20"/>
    <n v="4"/>
    <n v="4"/>
    <n v="0"/>
    <n v="3"/>
    <s v="PHD"/>
    <d v="2017-04-03T00:00:00"/>
    <m/>
    <s v="Better Opportunity"/>
    <x v="1"/>
    <n v="2"/>
    <n v="1"/>
    <s v="No"/>
    <s v="Job Event"/>
    <s v="Contract"/>
    <n v="0"/>
    <s v="Active"/>
    <x v="1"/>
    <x v="0"/>
    <x v="0"/>
  </r>
  <r>
    <n v="40"/>
    <s v="No"/>
    <s v="Travel_Rarely"/>
    <x v="1"/>
    <n v="1"/>
    <x v="0"/>
    <n v="1"/>
    <n v="2"/>
    <x v="4"/>
    <n v="4"/>
    <s v="Married"/>
    <n v="7457"/>
    <n v="2"/>
    <s v="Yes"/>
    <n v="22"/>
    <n v="4"/>
    <n v="3"/>
    <n v="6"/>
    <n v="2"/>
    <n v="4"/>
    <n v="0"/>
    <n v="2"/>
    <s v="Post-Graduation"/>
    <d v="2017-04-24T00:00:00"/>
    <m/>
    <s v="Work Environment"/>
    <x v="1"/>
    <n v="0"/>
    <n v="3"/>
    <s v="Yes"/>
    <s v="Job Event"/>
    <s v="Contract"/>
    <n v="0"/>
    <s v="Active"/>
    <x v="1"/>
    <x v="1"/>
    <x v="2"/>
  </r>
  <r>
    <n v="23"/>
    <s v="No"/>
    <s v="Travel_Rarely"/>
    <x v="0"/>
    <n v="26"/>
    <x v="0"/>
    <n v="3"/>
    <n v="1"/>
    <x v="1"/>
    <n v="4"/>
    <s v="Divorced"/>
    <n v="2904"/>
    <n v="1"/>
    <s v="No"/>
    <n v="12"/>
    <n v="3"/>
    <n v="2"/>
    <n v="4"/>
    <n v="2"/>
    <n v="4"/>
    <n v="0"/>
    <n v="2"/>
    <s v="Graduation"/>
    <d v="2017-04-29T00:00:00"/>
    <m/>
    <s v="Dept.Head"/>
    <x v="0"/>
    <n v="0"/>
    <n v="2"/>
    <s v="Yes"/>
    <s v="Job Event"/>
    <s v="FullTime"/>
    <n v="0"/>
    <s v="Active"/>
    <x v="1"/>
    <x v="0"/>
    <x v="0"/>
  </r>
  <r>
    <n v="29"/>
    <s v="No"/>
    <s v="Non-Travel"/>
    <x v="1"/>
    <n v="2"/>
    <x v="0"/>
    <n v="3"/>
    <n v="2"/>
    <x v="4"/>
    <n v="3"/>
    <s v="Married"/>
    <n v="4649"/>
    <n v="1"/>
    <s v="No"/>
    <n v="14"/>
    <n v="3"/>
    <n v="1"/>
    <n v="4"/>
    <n v="3"/>
    <n v="4"/>
    <n v="0"/>
    <n v="2"/>
    <s v="Post-Graduation"/>
    <d v="2017-04-22T00:00:00"/>
    <m/>
    <s v="Dept.Head"/>
    <x v="1"/>
    <n v="2"/>
    <n v="3"/>
    <s v="No"/>
    <s v="Job Portal"/>
    <s v="FullTime"/>
    <n v="0"/>
    <s v="Active"/>
    <x v="1"/>
    <x v="0"/>
    <x v="2"/>
  </r>
  <r>
    <n v="50"/>
    <s v="No"/>
    <s v="Travel_Rarely"/>
    <x v="0"/>
    <n v="10"/>
    <x v="0"/>
    <n v="2"/>
    <n v="3"/>
    <x v="7"/>
    <n v="4"/>
    <s v="Single"/>
    <n v="10496"/>
    <n v="6"/>
    <s v="No"/>
    <n v="15"/>
    <n v="3"/>
    <n v="0"/>
    <n v="20"/>
    <n v="2"/>
    <n v="4"/>
    <n v="1"/>
    <n v="3"/>
    <s v="Graduation"/>
    <d v="2017-06-14T00:00:00"/>
    <m/>
    <s v="Dept.Head"/>
    <x v="1"/>
    <n v="2"/>
    <n v="1"/>
    <s v="Yes"/>
    <s v="Walk-in"/>
    <s v="Contract"/>
    <n v="0"/>
    <s v="Active"/>
    <x v="1"/>
    <x v="1"/>
    <x v="3"/>
  </r>
  <r>
    <n v="54"/>
    <s v="No"/>
    <s v="Travel_Rarely"/>
    <x v="0"/>
    <n v="5"/>
    <x v="0"/>
    <n v="3"/>
    <n v="5"/>
    <x v="2"/>
    <n v="1"/>
    <s v="Married"/>
    <n v="19406"/>
    <n v="4"/>
    <s v="No"/>
    <n v="11"/>
    <n v="3"/>
    <n v="1"/>
    <n v="24"/>
    <n v="4"/>
    <n v="4"/>
    <n v="1"/>
    <n v="2"/>
    <s v="Post-Graduation"/>
    <d v="2017-05-25T00:00:00"/>
    <m/>
    <s v="Dept.Head"/>
    <x v="1"/>
    <n v="0"/>
    <n v="3"/>
    <s v="Yes"/>
    <s v="Recruiter"/>
    <s v="Part Time"/>
    <n v="0"/>
    <s v="Active"/>
    <x v="1"/>
    <x v="1"/>
    <x v="1"/>
  </r>
  <r>
    <n v="31"/>
    <s v="No"/>
    <s v="Travel_Rarely"/>
    <x v="0"/>
    <n v="1"/>
    <x v="0"/>
    <n v="2"/>
    <n v="1"/>
    <x v="0"/>
    <n v="1"/>
    <s v="Married"/>
    <n v="2218"/>
    <n v="1"/>
    <s v="No"/>
    <n v="12"/>
    <n v="3"/>
    <n v="1"/>
    <n v="4"/>
    <n v="3"/>
    <n v="4"/>
    <n v="3"/>
    <n v="2"/>
    <s v="Graduation"/>
    <d v="2017-06-12T00:00:00"/>
    <m/>
    <s v="Work Environment"/>
    <x v="0"/>
    <n v="0"/>
    <n v="1"/>
    <s v="No"/>
    <s v="Job Portal"/>
    <s v="FullTime"/>
    <n v="0"/>
    <s v="Active"/>
    <x v="1"/>
    <x v="0"/>
    <x v="0"/>
  </r>
  <r>
    <n v="33"/>
    <s v="Yes"/>
    <s v="Travel_Rarely"/>
    <x v="0"/>
    <n v="10"/>
    <x v="0"/>
    <n v="1"/>
    <n v="1"/>
    <x v="0"/>
    <n v="4"/>
    <s v="Divorced"/>
    <n v="3408"/>
    <n v="7"/>
    <s v="No"/>
    <n v="13"/>
    <n v="3"/>
    <n v="3"/>
    <n v="8"/>
    <n v="2"/>
    <n v="4"/>
    <n v="1"/>
    <n v="3"/>
    <s v="12th"/>
    <d v="2017-02-24T00:00:00"/>
    <m/>
    <s v="Better Opportunity"/>
    <x v="1"/>
    <n v="2"/>
    <n v="2"/>
    <s v="No"/>
    <s v="Walk-in"/>
    <s v="Part Time"/>
    <n v="1"/>
    <s v="Active"/>
    <x v="1"/>
    <x v="0"/>
    <x v="0"/>
  </r>
  <r>
    <n v="32"/>
    <s v="Yes"/>
    <s v="Non-Travel"/>
    <x v="1"/>
    <n v="11"/>
    <x v="0"/>
    <n v="4"/>
    <n v="2"/>
    <x v="4"/>
    <n v="3"/>
    <s v="Married"/>
    <n v="4707"/>
    <n v="8"/>
    <s v="No"/>
    <n v="12"/>
    <n v="3"/>
    <n v="0"/>
    <n v="6"/>
    <n v="2"/>
    <n v="4"/>
    <n v="1"/>
    <n v="2"/>
    <s v="Post-Graduation"/>
    <d v="2017-05-15T00:00:00"/>
    <m/>
    <s v="Better Opportunity"/>
    <x v="1"/>
    <n v="0"/>
    <n v="1"/>
    <s v="No"/>
    <s v="Walk-in"/>
    <s v="FullTime"/>
    <n v="1"/>
    <s v="Active"/>
    <x v="1"/>
    <x v="0"/>
    <x v="2"/>
  </r>
  <r>
    <n v="27"/>
    <s v="Yes"/>
    <s v="Travel_Rarely"/>
    <x v="1"/>
    <n v="2"/>
    <x v="0"/>
    <n v="3"/>
    <n v="1"/>
    <x v="3"/>
    <n v="1"/>
    <s v="Divorced"/>
    <n v="3041"/>
    <n v="0"/>
    <s v="No"/>
    <n v="11"/>
    <n v="3"/>
    <n v="1"/>
    <n v="5"/>
    <n v="3"/>
    <n v="4"/>
    <n v="0"/>
    <n v="2"/>
    <s v="12th"/>
    <d v="2017-04-09T00:00:00"/>
    <m/>
    <s v="Dept.Head"/>
    <x v="0"/>
    <n v="0"/>
    <n v="2"/>
    <s v="No"/>
    <s v="Job Portal"/>
    <s v="Part Time"/>
    <n v="1"/>
    <s v="Active"/>
    <x v="1"/>
    <x v="0"/>
    <x v="2"/>
  </r>
  <r>
    <n v="27"/>
    <s v="No"/>
    <s v="Travel_Rarely"/>
    <x v="0"/>
    <n v="3"/>
    <x v="0"/>
    <n v="2"/>
    <n v="1"/>
    <x v="1"/>
    <n v="4"/>
    <s v="Single"/>
    <n v="2045"/>
    <n v="0"/>
    <s v="No"/>
    <n v="13"/>
    <n v="3"/>
    <n v="0"/>
    <n v="5"/>
    <n v="0"/>
    <n v="4"/>
    <n v="1"/>
    <n v="1"/>
    <s v="12th"/>
    <d v="2017-04-11T00:00:00"/>
    <m/>
    <s v="Work Environment"/>
    <x v="1"/>
    <n v="0"/>
    <n v="2"/>
    <s v="No"/>
    <s v="Recruiter"/>
    <s v="FullTime"/>
    <n v="0"/>
    <s v="Active"/>
    <x v="1"/>
    <x v="0"/>
    <x v="0"/>
  </r>
  <r>
    <n v="50"/>
    <s v="Yes"/>
    <s v="Travel_Frequently"/>
    <x v="1"/>
    <n v="8"/>
    <x v="0"/>
    <n v="3"/>
    <n v="2"/>
    <x v="4"/>
    <n v="3"/>
    <s v="Married"/>
    <n v="6796"/>
    <n v="3"/>
    <s v="Yes"/>
    <n v="14"/>
    <n v="3"/>
    <n v="1"/>
    <n v="18"/>
    <n v="4"/>
    <n v="4"/>
    <n v="1"/>
    <n v="3"/>
    <s v="12th"/>
    <d v="2017-06-15T00:00:00"/>
    <m/>
    <s v="Better Opportunity"/>
    <x v="0"/>
    <n v="3"/>
    <n v="1"/>
    <s v="No"/>
    <s v="Recruiter"/>
    <s v="FullTime"/>
    <n v="1"/>
    <s v="Active"/>
    <x v="1"/>
    <x v="0"/>
    <x v="2"/>
  </r>
  <r>
    <n v="23"/>
    <s v="No"/>
    <s v="Travel_Rarely"/>
    <x v="0"/>
    <n v="9"/>
    <x v="0"/>
    <n v="3"/>
    <n v="1"/>
    <x v="0"/>
    <n v="1"/>
    <s v="Married"/>
    <n v="2500"/>
    <n v="1"/>
    <s v="No"/>
    <n v="14"/>
    <n v="3"/>
    <n v="1"/>
    <n v="5"/>
    <n v="2"/>
    <n v="4"/>
    <n v="0"/>
    <n v="2"/>
    <s v="12th"/>
    <d v="2017-04-03T00:00:00"/>
    <m/>
    <s v="Work Accident"/>
    <x v="0"/>
    <n v="3"/>
    <n v="0"/>
    <s v="Yes"/>
    <s v="Job Portal"/>
    <s v="Part Time"/>
    <n v="0"/>
    <s v="Active"/>
    <x v="1"/>
    <x v="0"/>
    <x v="0"/>
  </r>
  <r>
    <n v="40"/>
    <s v="No"/>
    <s v="Travel_Rarely"/>
    <x v="0"/>
    <n v="2"/>
    <x v="1"/>
    <n v="2"/>
    <n v="1"/>
    <x v="1"/>
    <n v="4"/>
    <s v="Single"/>
    <n v="2342"/>
    <n v="0"/>
    <s v="Yes"/>
    <n v="20"/>
    <n v="4"/>
    <n v="0"/>
    <n v="5"/>
    <n v="2"/>
    <n v="4"/>
    <n v="2"/>
    <n v="3"/>
    <s v="Post-Graduation"/>
    <d v="2017-06-07T00:00:00"/>
    <m/>
    <s v="Dept.Head"/>
    <x v="1"/>
    <n v="3"/>
    <n v="3"/>
    <s v="No"/>
    <s v="Job Event"/>
    <s v="Part Time"/>
    <n v="0"/>
    <s v="Active"/>
    <x v="1"/>
    <x v="0"/>
    <x v="0"/>
  </r>
  <r>
    <n v="52"/>
    <s v="No"/>
    <s v="Non-Travel"/>
    <x v="0"/>
    <n v="19"/>
    <x v="0"/>
    <n v="3"/>
    <n v="1"/>
    <x v="1"/>
    <n v="4"/>
    <s v="Married"/>
    <n v="4258"/>
    <n v="0"/>
    <s v="No"/>
    <n v="18"/>
    <n v="3"/>
    <n v="1"/>
    <n v="5"/>
    <n v="3"/>
    <n v="4"/>
    <n v="1"/>
    <n v="2"/>
    <s v="Graduation"/>
    <d v="2017-05-05T00:00:00"/>
    <m/>
    <s v="Work Accident"/>
    <x v="1"/>
    <n v="0"/>
    <n v="1"/>
    <s v="No"/>
    <s v="Recruiter"/>
    <s v="FullTime"/>
    <n v="0"/>
    <s v="Active"/>
    <x v="1"/>
    <x v="0"/>
    <x v="0"/>
  </r>
  <r>
    <n v="26"/>
    <s v="Yes"/>
    <s v="Travel_Rarely"/>
    <x v="1"/>
    <n v="8"/>
    <x v="0"/>
    <n v="2"/>
    <n v="2"/>
    <x v="4"/>
    <n v="1"/>
    <s v="Single"/>
    <n v="5326"/>
    <n v="6"/>
    <s v="No"/>
    <n v="17"/>
    <n v="3"/>
    <n v="0"/>
    <n v="6"/>
    <n v="2"/>
    <n v="4"/>
    <n v="1"/>
    <n v="2"/>
    <s v="12th"/>
    <d v="2017-04-04T00:00:00"/>
    <m/>
    <s v="Dept.Head"/>
    <x v="1"/>
    <n v="0"/>
    <n v="1"/>
    <s v="Yes"/>
    <s v="Recruiter"/>
    <s v="Part Time"/>
    <n v="1"/>
    <s v="Active"/>
    <x v="1"/>
    <x v="0"/>
    <x v="2"/>
  </r>
  <r>
    <n v="34"/>
    <s v="No"/>
    <s v="Travel_Rarely"/>
    <x v="0"/>
    <n v="1"/>
    <x v="1"/>
    <n v="4"/>
    <n v="1"/>
    <x v="1"/>
    <n v="4"/>
    <s v="Single"/>
    <n v="3280"/>
    <n v="2"/>
    <s v="No"/>
    <n v="16"/>
    <n v="3"/>
    <n v="0"/>
    <n v="10"/>
    <n v="2"/>
    <n v="4"/>
    <n v="1"/>
    <n v="3"/>
    <s v="Post-Graduation"/>
    <d v="2017-02-07T00:00:00"/>
    <m/>
    <s v="Dept.Head"/>
    <x v="1"/>
    <n v="1"/>
    <n v="2"/>
    <s v="Yes"/>
    <s v="Walk-in"/>
    <s v="Contract"/>
    <n v="0"/>
    <s v="Active"/>
    <x v="1"/>
    <x v="0"/>
    <x v="0"/>
  </r>
  <r>
    <n v="27"/>
    <s v="No"/>
    <s v="Travel_Frequently"/>
    <x v="1"/>
    <n v="8"/>
    <x v="0"/>
    <n v="3"/>
    <n v="2"/>
    <x v="4"/>
    <n v="4"/>
    <s v="Married"/>
    <n v="4342"/>
    <n v="0"/>
    <s v="No"/>
    <n v="19"/>
    <n v="3"/>
    <n v="1"/>
    <n v="5"/>
    <n v="3"/>
    <n v="4"/>
    <n v="1"/>
    <n v="1"/>
    <s v="12th"/>
    <d v="2017-04-24T00:00:00"/>
    <m/>
    <s v="Work Accident"/>
    <x v="0"/>
    <n v="4"/>
    <n v="2"/>
    <s v="Yes"/>
    <s v="Recruiter"/>
    <s v="Part Time"/>
    <n v="0"/>
    <s v="Active"/>
    <x v="1"/>
    <x v="0"/>
    <x v="2"/>
  </r>
  <r>
    <n v="50"/>
    <s v="No"/>
    <s v="Travel_Rarely"/>
    <x v="0"/>
    <n v="2"/>
    <x v="0"/>
    <n v="3"/>
    <n v="4"/>
    <x v="2"/>
    <n v="3"/>
    <s v="Married"/>
    <n v="17639"/>
    <n v="5"/>
    <s v="No"/>
    <n v="16"/>
    <n v="3"/>
    <n v="0"/>
    <n v="30"/>
    <n v="3"/>
    <n v="4"/>
    <n v="0"/>
    <n v="3"/>
    <s v="Post-Graduation"/>
    <d v="2017-03-16T00:00:00"/>
    <m/>
    <s v="Salary"/>
    <x v="0"/>
    <n v="1"/>
    <n v="3"/>
    <s v="Yes"/>
    <s v="Job Portal"/>
    <s v="Part Time"/>
    <n v="0"/>
    <s v="Active"/>
    <x v="1"/>
    <x v="1"/>
    <x v="1"/>
  </r>
  <r>
    <n v="42"/>
    <s v="No"/>
    <s v="Travel_Rarely"/>
    <x v="0"/>
    <n v="1"/>
    <x v="1"/>
    <n v="2"/>
    <n v="2"/>
    <x v="6"/>
    <n v="4"/>
    <s v="Married"/>
    <n v="6062"/>
    <n v="9"/>
    <s v="Yes"/>
    <n v="13"/>
    <n v="3"/>
    <n v="1"/>
    <n v="8"/>
    <n v="4"/>
    <n v="4"/>
    <n v="0"/>
    <n v="2"/>
    <s v="Graduation"/>
    <d v="2017-01-07T00:00:00"/>
    <m/>
    <s v="Work Accident"/>
    <x v="1"/>
    <n v="0"/>
    <n v="0"/>
    <s v="No"/>
    <s v="Job Event"/>
    <s v="FullTime"/>
    <n v="0"/>
    <s v="Active"/>
    <x v="1"/>
    <x v="0"/>
    <x v="3"/>
  </r>
  <r>
    <n v="38"/>
    <s v="No"/>
    <s v="Travel_Frequently"/>
    <x v="0"/>
    <n v="12"/>
    <x v="0"/>
    <n v="2"/>
    <n v="2"/>
    <x v="7"/>
    <n v="1"/>
    <s v="Divorced"/>
    <n v="6288"/>
    <n v="2"/>
    <s v="No"/>
    <n v="15"/>
    <n v="3"/>
    <n v="1"/>
    <n v="13"/>
    <n v="3"/>
    <n v="4"/>
    <n v="1"/>
    <n v="2"/>
    <s v="Post-Graduation"/>
    <d v="2017-02-07T00:00:00"/>
    <m/>
    <s v="Dept.Head"/>
    <x v="0"/>
    <n v="1"/>
    <n v="3"/>
    <s v="Yes"/>
    <s v="Recruiter"/>
    <s v="Contract"/>
    <n v="0"/>
    <s v="Active"/>
    <x v="1"/>
    <x v="0"/>
    <x v="3"/>
  </r>
  <r>
    <n v="43"/>
    <s v="No"/>
    <s v="Travel_Rarely"/>
    <x v="0"/>
    <n v="14"/>
    <x v="0"/>
    <n v="3"/>
    <n v="4"/>
    <x v="2"/>
    <n v="1"/>
    <s v="Married"/>
    <n v="17159"/>
    <n v="6"/>
    <s v="No"/>
    <n v="24"/>
    <n v="4"/>
    <n v="1"/>
    <n v="22"/>
    <n v="3"/>
    <n v="4"/>
    <n v="1"/>
    <n v="0"/>
    <s v="Post-Graduation"/>
    <d v="2017-05-13T00:00:00"/>
    <m/>
    <s v="Dept.Head"/>
    <x v="1"/>
    <n v="5"/>
    <n v="2"/>
    <s v="No"/>
    <s v="Recruiter"/>
    <s v="Contract"/>
    <n v="0"/>
    <s v="Active"/>
    <x v="1"/>
    <x v="1"/>
    <x v="1"/>
  </r>
  <r>
    <n v="25"/>
    <s v="No"/>
    <s v="Travel_Rarely"/>
    <x v="0"/>
    <n v="2"/>
    <x v="0"/>
    <n v="4"/>
    <n v="1"/>
    <x v="1"/>
    <n v="1"/>
    <s v="Single"/>
    <n v="3424"/>
    <n v="7"/>
    <s v="No"/>
    <n v="13"/>
    <n v="3"/>
    <n v="0"/>
    <n v="6"/>
    <n v="3"/>
    <n v="4"/>
    <n v="0"/>
    <n v="1"/>
    <s v="Graduation"/>
    <d v="2017-05-02T00:00:00"/>
    <m/>
    <s v="Dept.Head"/>
    <x v="1"/>
    <n v="5"/>
    <n v="1"/>
    <s v="Yes"/>
    <s v="Job Event"/>
    <s v="FullTime"/>
    <n v="0"/>
    <s v="Active"/>
    <x v="1"/>
    <x v="0"/>
    <x v="0"/>
  </r>
  <r>
    <n v="49"/>
    <s v="No"/>
    <s v="Travel_Rarely"/>
    <x v="0"/>
    <n v="1"/>
    <x v="1"/>
    <n v="3"/>
    <n v="1"/>
    <x v="1"/>
    <n v="1"/>
    <s v="Married"/>
    <n v="3580"/>
    <n v="2"/>
    <s v="No"/>
    <n v="16"/>
    <n v="3"/>
    <n v="1"/>
    <n v="7"/>
    <n v="2"/>
    <n v="4"/>
    <n v="0"/>
    <n v="2"/>
    <s v="Graduation"/>
    <d v="2017-01-24T00:00:00"/>
    <m/>
    <s v="Work Environment"/>
    <x v="0"/>
    <n v="3"/>
    <n v="1"/>
    <s v="Yes"/>
    <s v="Recruiter"/>
    <s v="Contract"/>
    <n v="0"/>
    <s v="Active"/>
    <x v="1"/>
    <x v="0"/>
    <x v="0"/>
  </r>
  <r>
    <n v="33"/>
    <s v="No"/>
    <s v="Travel_Rarely"/>
    <x v="2"/>
    <n v="3"/>
    <x v="0"/>
    <n v="3"/>
    <n v="1"/>
    <x v="8"/>
    <n v="2"/>
    <s v="Divorced"/>
    <n v="2277"/>
    <n v="3"/>
    <s v="Yes"/>
    <n v="11"/>
    <n v="3"/>
    <n v="1"/>
    <n v="7"/>
    <n v="4"/>
    <n v="4"/>
    <n v="0"/>
    <n v="3"/>
    <s v="Graduation"/>
    <d v="2017-04-29T00:00:00"/>
    <m/>
    <s v="Dept.Head"/>
    <x v="1"/>
    <n v="4"/>
    <n v="0"/>
    <s v="Yes"/>
    <s v="Recruiter"/>
    <s v="Part Time"/>
    <n v="0"/>
    <s v="Active"/>
    <x v="1"/>
    <x v="0"/>
    <x v="4"/>
  </r>
  <r>
    <n v="29"/>
    <s v="No"/>
    <s v="Travel_Rarely"/>
    <x v="0"/>
    <n v="7"/>
    <x v="1"/>
    <n v="2"/>
    <n v="1"/>
    <x v="0"/>
    <n v="4"/>
    <s v="Divorced"/>
    <n v="2532"/>
    <n v="6"/>
    <s v="No"/>
    <n v="14"/>
    <n v="3"/>
    <n v="3"/>
    <n v="8"/>
    <n v="5"/>
    <n v="4"/>
    <n v="0"/>
    <n v="3"/>
    <s v="PHD"/>
    <d v="2017-02-12T00:00:00"/>
    <m/>
    <s v="Better Opportunity"/>
    <x v="0"/>
    <n v="5"/>
    <n v="3"/>
    <s v="Yes"/>
    <s v="Walk-in"/>
    <s v="Contract"/>
    <n v="0"/>
    <s v="Active"/>
    <x v="1"/>
    <x v="0"/>
    <x v="0"/>
  </r>
  <r>
    <n v="28"/>
    <s v="No"/>
    <s v="Travel_Rarely"/>
    <x v="1"/>
    <n v="5"/>
    <x v="0"/>
    <n v="3"/>
    <n v="2"/>
    <x v="4"/>
    <n v="4"/>
    <s v="Single"/>
    <n v="4908"/>
    <n v="1"/>
    <s v="No"/>
    <n v="14"/>
    <n v="3"/>
    <n v="0"/>
    <n v="4"/>
    <n v="3"/>
    <n v="4"/>
    <n v="0"/>
    <n v="2"/>
    <s v="Post-Graduation"/>
    <d v="2017-03-02T00:00:00"/>
    <m/>
    <s v="Salary"/>
    <x v="0"/>
    <n v="5"/>
    <n v="2"/>
    <s v="No"/>
    <s v="Job Portal"/>
    <s v="Part Time"/>
    <n v="0"/>
    <s v="Active"/>
    <x v="1"/>
    <x v="0"/>
    <x v="2"/>
  </r>
  <r>
    <n v="24"/>
    <s v="No"/>
    <s v="Travel_Rarely"/>
    <x v="0"/>
    <n v="17"/>
    <x v="1"/>
    <n v="2"/>
    <n v="2"/>
    <x v="6"/>
    <n v="3"/>
    <s v="Divorced"/>
    <n v="4377"/>
    <n v="1"/>
    <s v="No"/>
    <n v="15"/>
    <n v="3"/>
    <n v="2"/>
    <n v="5"/>
    <n v="6"/>
    <n v="4"/>
    <n v="3"/>
    <n v="2"/>
    <s v="Graduation"/>
    <d v="2017-04-02T00:00:00"/>
    <m/>
    <s v="Dept.Head"/>
    <x v="0"/>
    <n v="5"/>
    <n v="1"/>
    <s v="Yes"/>
    <s v="Walk-in"/>
    <s v="Part Time"/>
    <n v="0"/>
    <s v="Active"/>
    <x v="1"/>
    <x v="0"/>
    <x v="3"/>
  </r>
  <r>
    <n v="35"/>
    <s v="Yes"/>
    <s v="Travel_Rarely"/>
    <x v="0"/>
    <n v="14"/>
    <x v="0"/>
    <n v="2"/>
    <n v="1"/>
    <x v="0"/>
    <n v="2"/>
    <s v="Divorced"/>
    <n v="3743"/>
    <n v="1"/>
    <s v="Yes"/>
    <n v="24"/>
    <n v="4"/>
    <n v="1"/>
    <n v="5"/>
    <n v="2"/>
    <n v="4"/>
    <n v="0"/>
    <n v="2"/>
    <s v="Post-Graduation"/>
    <d v="2017-05-14T00:00:00"/>
    <m/>
    <s v="Work Environment"/>
    <x v="0"/>
    <n v="5"/>
    <n v="1"/>
    <s v="Yes"/>
    <s v="Walk-in"/>
    <s v="Contract"/>
    <n v="1"/>
    <s v="Active"/>
    <x v="1"/>
    <x v="0"/>
    <x v="0"/>
  </r>
  <r>
    <n v="31"/>
    <s v="No"/>
    <s v="Travel_Frequently"/>
    <x v="0"/>
    <n v="1"/>
    <x v="1"/>
    <n v="3"/>
    <n v="2"/>
    <x v="6"/>
    <n v="1"/>
    <s v="Married"/>
    <n v="4148"/>
    <n v="1"/>
    <s v="No"/>
    <n v="12"/>
    <n v="3"/>
    <n v="1"/>
    <n v="4"/>
    <n v="1"/>
    <n v="4"/>
    <n v="0"/>
    <n v="3"/>
    <s v="Post-Graduation"/>
    <d v="2017-03-18T00:00:00"/>
    <m/>
    <s v="Better Opportunity"/>
    <x v="0"/>
    <n v="4"/>
    <n v="2"/>
    <s v="No"/>
    <s v="Job Portal"/>
    <s v="FullTime"/>
    <n v="0"/>
    <s v="Active"/>
    <x v="1"/>
    <x v="0"/>
    <x v="3"/>
  </r>
  <r>
    <n v="22"/>
    <s v="No"/>
    <s v="Travel_Rarely"/>
    <x v="0"/>
    <n v="8"/>
    <x v="0"/>
    <n v="1"/>
    <n v="1"/>
    <x v="0"/>
    <n v="1"/>
    <s v="Married"/>
    <n v="2451"/>
    <n v="1"/>
    <s v="No"/>
    <n v="15"/>
    <n v="3"/>
    <n v="1"/>
    <n v="4"/>
    <n v="3"/>
    <n v="4"/>
    <n v="1"/>
    <n v="1"/>
    <s v="Post-Graduation"/>
    <d v="2017-04-12T00:00:00"/>
    <m/>
    <s v="Better Opportunity"/>
    <x v="1"/>
    <n v="3"/>
    <n v="3"/>
    <s v="No"/>
    <s v="Job Portal"/>
    <s v="Part Time"/>
    <n v="0"/>
    <s v="Active"/>
    <x v="1"/>
    <x v="0"/>
    <x v="0"/>
  </r>
  <r>
    <n v="37"/>
    <s v="No"/>
    <s v="Travel_Rarely"/>
    <x v="0"/>
    <n v="3"/>
    <x v="1"/>
    <n v="3"/>
    <n v="2"/>
    <x v="7"/>
    <n v="2"/>
    <s v="Single"/>
    <n v="4107"/>
    <n v="3"/>
    <s v="No"/>
    <n v="15"/>
    <n v="3"/>
    <n v="0"/>
    <n v="8"/>
    <n v="3"/>
    <n v="4"/>
    <n v="0"/>
    <n v="1"/>
    <s v="12th"/>
    <d v="2017-05-10T00:00:00"/>
    <m/>
    <s v="Salary"/>
    <x v="1"/>
    <n v="1"/>
    <n v="3"/>
    <s v="No"/>
    <s v="Recruiter"/>
    <s v="FullTime"/>
    <n v="0"/>
    <s v="Active"/>
    <x v="1"/>
    <x v="0"/>
    <x v="3"/>
  </r>
  <r>
    <n v="28"/>
    <s v="No"/>
    <s v="Travel_Rarely"/>
    <x v="0"/>
    <n v="15"/>
    <x v="0"/>
    <n v="3"/>
    <n v="1"/>
    <x v="0"/>
    <n v="3"/>
    <s v="Divorced"/>
    <n v="2207"/>
    <n v="1"/>
    <s v="No"/>
    <n v="16"/>
    <n v="3"/>
    <n v="1"/>
    <n v="4"/>
    <n v="5"/>
    <n v="4"/>
    <n v="2"/>
    <n v="2"/>
    <s v="PHD"/>
    <d v="2017-03-02T00:00:00"/>
    <m/>
    <s v="Salary"/>
    <x v="0"/>
    <n v="0"/>
    <n v="2"/>
    <s v="Yes"/>
    <s v="Job Event"/>
    <s v="Part Time"/>
    <n v="0"/>
    <s v="Active"/>
    <x v="1"/>
    <x v="0"/>
    <x v="0"/>
  </r>
  <r>
    <n v="27"/>
    <s v="No"/>
    <s v="Travel_Rarely"/>
    <x v="0"/>
    <n v="6"/>
    <x v="0"/>
    <n v="2"/>
    <n v="1"/>
    <x v="1"/>
    <n v="3"/>
    <s v="Married"/>
    <n v="2539"/>
    <n v="1"/>
    <s v="No"/>
    <n v="13"/>
    <n v="3"/>
    <n v="1"/>
    <n v="4"/>
    <n v="0"/>
    <n v="4"/>
    <n v="2"/>
    <n v="2"/>
    <s v="Post-Graduation"/>
    <d v="2017-01-03T00:00:00"/>
    <m/>
    <s v="Better Opportunity"/>
    <x v="0"/>
    <n v="1"/>
    <n v="3"/>
    <s v="No"/>
    <s v="Job Event"/>
    <s v="FullTime"/>
    <n v="0"/>
    <s v="Active"/>
    <x v="1"/>
    <x v="0"/>
    <x v="0"/>
  </r>
  <r>
    <n v="24"/>
    <s v="No"/>
    <s v="Travel_Rarely"/>
    <x v="0"/>
    <n v="24"/>
    <x v="0"/>
    <n v="3"/>
    <n v="1"/>
    <x v="0"/>
    <n v="2"/>
    <s v="Single"/>
    <n v="3597"/>
    <n v="8"/>
    <s v="No"/>
    <n v="22"/>
    <n v="4"/>
    <n v="0"/>
    <n v="6"/>
    <n v="2"/>
    <n v="4"/>
    <n v="1"/>
    <n v="2"/>
    <s v="12th"/>
    <d v="2017-04-25T00:00:00"/>
    <m/>
    <s v="Dept.Head"/>
    <x v="0"/>
    <n v="2"/>
    <n v="1"/>
    <s v="No"/>
    <s v="Job Event"/>
    <s v="Part Time"/>
    <n v="0"/>
    <s v="Active"/>
    <x v="1"/>
    <x v="0"/>
    <x v="0"/>
  </r>
  <r>
    <n v="43"/>
    <s v="Yes"/>
    <s v="Travel_Rarely"/>
    <x v="1"/>
    <n v="9"/>
    <x v="1"/>
    <n v="1"/>
    <n v="2"/>
    <x v="4"/>
    <n v="3"/>
    <s v="Single"/>
    <n v="5346"/>
    <n v="8"/>
    <s v="No"/>
    <n v="13"/>
    <n v="3"/>
    <n v="0"/>
    <n v="7"/>
    <n v="2"/>
    <n v="4"/>
    <n v="1"/>
    <n v="3"/>
    <s v="PHD"/>
    <d v="2017-03-01T00:00:00"/>
    <m/>
    <s v="Better Opportunity"/>
    <x v="0"/>
    <n v="5"/>
    <n v="0"/>
    <s v="Yes"/>
    <s v="Recruiter"/>
    <s v="Part Time"/>
    <n v="1"/>
    <s v="Active"/>
    <x v="1"/>
    <x v="0"/>
    <x v="2"/>
  </r>
  <r>
    <n v="30"/>
    <s v="No"/>
    <s v="Travel_Rarely"/>
    <x v="1"/>
    <n v="29"/>
    <x v="0"/>
    <n v="3"/>
    <n v="2"/>
    <x v="4"/>
    <n v="1"/>
    <s v="Divorced"/>
    <n v="4115"/>
    <n v="8"/>
    <s v="No"/>
    <n v="19"/>
    <n v="3"/>
    <n v="3"/>
    <n v="8"/>
    <n v="3"/>
    <n v="4"/>
    <n v="0"/>
    <n v="3"/>
    <s v="PHD"/>
    <d v="2017-04-12T00:00:00"/>
    <m/>
    <s v="Work Environment"/>
    <x v="1"/>
    <n v="2"/>
    <n v="1"/>
    <s v="No"/>
    <s v="Job Event"/>
    <s v="Contract"/>
    <n v="0"/>
    <s v="Active"/>
    <x v="1"/>
    <x v="0"/>
    <x v="2"/>
  </r>
  <r>
    <n v="46"/>
    <s v="No"/>
    <s v="Travel_Rarely"/>
    <x v="0"/>
    <n v="15"/>
    <x v="0"/>
    <n v="3"/>
    <n v="5"/>
    <x v="2"/>
    <n v="2"/>
    <s v="Married"/>
    <n v="19081"/>
    <n v="5"/>
    <s v="No"/>
    <n v="11"/>
    <n v="3"/>
    <n v="1"/>
    <n v="25"/>
    <n v="2"/>
    <n v="4"/>
    <n v="0"/>
    <n v="3"/>
    <s v="Graduation"/>
    <d v="2017-05-29T00:00:00"/>
    <m/>
    <s v="Work Environment"/>
    <x v="1"/>
    <n v="1"/>
    <n v="2"/>
    <s v="Yes"/>
    <s v="Recruiter"/>
    <s v="Part Time"/>
    <n v="0"/>
    <s v="Active"/>
    <x v="1"/>
    <x v="1"/>
    <x v="1"/>
  </r>
  <r>
    <n v="42"/>
    <s v="No"/>
    <s v="Non-Travel"/>
    <x v="2"/>
    <n v="2"/>
    <x v="0"/>
    <n v="4"/>
    <n v="2"/>
    <x v="8"/>
    <n v="1"/>
    <s v="Married"/>
    <n v="6272"/>
    <n v="7"/>
    <s v="No"/>
    <n v="16"/>
    <n v="3"/>
    <n v="1"/>
    <n v="10"/>
    <n v="3"/>
    <n v="4"/>
    <n v="0"/>
    <n v="3"/>
    <s v="PHD"/>
    <d v="2017-01-22T00:00:00"/>
    <m/>
    <s v="Work Environment"/>
    <x v="0"/>
    <n v="4"/>
    <n v="3"/>
    <s v="No"/>
    <s v="Job Portal"/>
    <s v="Part Time"/>
    <n v="0"/>
    <s v="Active"/>
    <x v="1"/>
    <x v="0"/>
    <x v="4"/>
  </r>
  <r>
    <n v="25"/>
    <s v="No"/>
    <s v="Travel_Rarely"/>
    <x v="1"/>
    <n v="10"/>
    <x v="0"/>
    <n v="3"/>
    <n v="2"/>
    <x v="4"/>
    <n v="4"/>
    <s v="Single"/>
    <n v="4950"/>
    <n v="0"/>
    <s v="No"/>
    <n v="14"/>
    <n v="3"/>
    <n v="0"/>
    <n v="5"/>
    <n v="4"/>
    <n v="4"/>
    <n v="1"/>
    <n v="1"/>
    <s v="Graduation"/>
    <d v="2017-02-15T00:00:00"/>
    <m/>
    <s v="Better Opportunity"/>
    <x v="0"/>
    <n v="3"/>
    <n v="3"/>
    <s v="No"/>
    <s v="Job Event"/>
    <s v="Part Time"/>
    <n v="0"/>
    <s v="Active"/>
    <x v="1"/>
    <x v="0"/>
    <x v="2"/>
  </r>
  <r>
    <n v="28"/>
    <s v="No"/>
    <s v="Travel_Frequently"/>
    <x v="0"/>
    <n v="1"/>
    <x v="0"/>
    <n v="3"/>
    <n v="1"/>
    <x v="0"/>
    <n v="3"/>
    <s v="Single"/>
    <n v="2154"/>
    <n v="0"/>
    <s v="Yes"/>
    <n v="11"/>
    <n v="3"/>
    <n v="0"/>
    <n v="5"/>
    <n v="2"/>
    <n v="4"/>
    <n v="0"/>
    <n v="2"/>
    <s v="PHD"/>
    <d v="2017-05-22T00:00:00"/>
    <m/>
    <s v="Work Accident"/>
    <x v="1"/>
    <n v="2"/>
    <n v="3"/>
    <s v="No"/>
    <s v="Walk-in"/>
    <s v="Contract"/>
    <n v="0"/>
    <s v="Active"/>
    <x v="1"/>
    <x v="0"/>
    <x v="0"/>
  </r>
  <r>
    <n v="40"/>
    <s v="No"/>
    <s v="Non-Travel"/>
    <x v="0"/>
    <n v="16"/>
    <x v="0"/>
    <n v="3"/>
    <n v="1"/>
    <x v="1"/>
    <n v="3"/>
    <s v="Divorced"/>
    <n v="3544"/>
    <n v="9"/>
    <s v="No"/>
    <n v="16"/>
    <n v="3"/>
    <n v="1"/>
    <n v="6"/>
    <n v="0"/>
    <n v="4"/>
    <n v="0"/>
    <n v="0"/>
    <s v="12th"/>
    <d v="2017-05-22T00:00:00"/>
    <m/>
    <s v="Work Accident"/>
    <x v="1"/>
    <n v="5"/>
    <n v="1"/>
    <s v="No"/>
    <s v="Job Event"/>
    <s v="Part Time"/>
    <n v="0"/>
    <s v="Active"/>
    <x v="1"/>
    <x v="0"/>
    <x v="0"/>
  </r>
  <r>
    <n v="40"/>
    <s v="No"/>
    <s v="Travel_Rarely"/>
    <x v="0"/>
    <n v="1"/>
    <x v="0"/>
    <n v="3"/>
    <n v="1"/>
    <x v="0"/>
    <n v="2"/>
    <s v="Married"/>
    <n v="2387"/>
    <n v="3"/>
    <s v="No"/>
    <n v="22"/>
    <n v="4"/>
    <n v="1"/>
    <n v="7"/>
    <n v="3"/>
    <n v="4"/>
    <n v="0"/>
    <n v="3"/>
    <s v="Post-Graduation"/>
    <d v="2017-05-07T00:00:00"/>
    <m/>
    <s v="Salary"/>
    <x v="0"/>
    <n v="5"/>
    <n v="3"/>
    <s v="No"/>
    <s v="Job Portal"/>
    <s v="Part Time"/>
    <n v="0"/>
    <s v="Active"/>
    <x v="1"/>
    <x v="0"/>
    <x v="0"/>
  </r>
  <r>
    <n v="35"/>
    <s v="Yes"/>
    <s v="Travel_Frequently"/>
    <x v="1"/>
    <n v="18"/>
    <x v="1"/>
    <n v="3"/>
    <n v="2"/>
    <x v="4"/>
    <n v="3"/>
    <s v="Married"/>
    <n v="4614"/>
    <n v="0"/>
    <s v="Yes"/>
    <n v="18"/>
    <n v="3"/>
    <n v="1"/>
    <n v="5"/>
    <n v="0"/>
    <n v="4"/>
    <n v="3"/>
    <n v="2"/>
    <s v="PHD"/>
    <d v="2017-01-20T00:00:00"/>
    <m/>
    <s v="Dept.Head"/>
    <x v="0"/>
    <n v="4"/>
    <n v="2"/>
    <s v="Yes"/>
    <s v="Recruiter"/>
    <s v="FullTime"/>
    <n v="1"/>
    <s v="Active"/>
    <x v="1"/>
    <x v="0"/>
    <x v="2"/>
  </r>
  <r>
    <n v="38"/>
    <s v="No"/>
    <s v="Travel_Frequently"/>
    <x v="0"/>
    <n v="7"/>
    <x v="0"/>
    <n v="4"/>
    <n v="1"/>
    <x v="1"/>
    <n v="3"/>
    <s v="Divorced"/>
    <n v="2610"/>
    <n v="1"/>
    <s v="No"/>
    <n v="11"/>
    <n v="3"/>
    <n v="3"/>
    <n v="4"/>
    <n v="2"/>
    <n v="4"/>
    <n v="0"/>
    <n v="3"/>
    <s v="Graduation"/>
    <d v="2017-04-06T00:00:00"/>
    <m/>
    <s v="Salary"/>
    <x v="1"/>
    <n v="4"/>
    <n v="3"/>
    <s v="Yes"/>
    <s v="Walk-in"/>
    <s v="FullTime"/>
    <n v="0"/>
    <s v="Active"/>
    <x v="1"/>
    <x v="0"/>
    <x v="0"/>
  </r>
  <r>
    <n v="51"/>
    <s v="No"/>
    <s v="Travel_Frequently"/>
    <x v="1"/>
    <n v="2"/>
    <x v="0"/>
    <n v="3"/>
    <n v="3"/>
    <x v="4"/>
    <n v="2"/>
    <s v="Married"/>
    <n v="10596"/>
    <n v="2"/>
    <s v="No"/>
    <n v="11"/>
    <n v="3"/>
    <n v="0"/>
    <n v="14"/>
    <n v="5"/>
    <n v="4"/>
    <n v="3"/>
    <n v="2"/>
    <s v="12th"/>
    <d v="2017-05-01T00:00:00"/>
    <m/>
    <s v="Work Environment"/>
    <x v="0"/>
    <n v="0"/>
    <n v="1"/>
    <s v="No"/>
    <s v="Recruiter"/>
    <s v="Part Time"/>
    <n v="0"/>
    <s v="Active"/>
    <x v="1"/>
    <x v="1"/>
    <x v="2"/>
  </r>
  <r>
    <n v="26"/>
    <s v="No"/>
    <s v="Travel_Rarely"/>
    <x v="0"/>
    <n v="2"/>
    <x v="0"/>
    <n v="2"/>
    <n v="1"/>
    <x v="1"/>
    <n v="4"/>
    <s v="Single"/>
    <n v="3904"/>
    <n v="0"/>
    <s v="No"/>
    <n v="12"/>
    <n v="3"/>
    <n v="0"/>
    <n v="5"/>
    <n v="2"/>
    <n v="4"/>
    <n v="1"/>
    <n v="1"/>
    <s v="PHD"/>
    <d v="2017-06-27T00:00:00"/>
    <m/>
    <s v="Work Accident"/>
    <x v="1"/>
    <n v="4"/>
    <n v="3"/>
    <s v="No"/>
    <s v="Walk-in"/>
    <s v="Part Time"/>
    <n v="0"/>
    <s v="Active"/>
    <x v="1"/>
    <x v="0"/>
    <x v="0"/>
  </r>
  <r>
    <n v="49"/>
    <s v="Yes"/>
    <s v="Travel_Frequently"/>
    <x v="0"/>
    <n v="28"/>
    <x v="0"/>
    <n v="2"/>
    <n v="2"/>
    <x v="0"/>
    <n v="1"/>
    <s v="Single"/>
    <n v="4284"/>
    <n v="3"/>
    <s v="No"/>
    <n v="20"/>
    <n v="4"/>
    <n v="0"/>
    <n v="20"/>
    <n v="2"/>
    <n v="4"/>
    <n v="1"/>
    <n v="3"/>
    <s v="Graduation"/>
    <d v="2017-02-09T00:00:00"/>
    <m/>
    <s v="Better Opportunity"/>
    <x v="0"/>
    <n v="1"/>
    <n v="3"/>
    <s v="Yes"/>
    <s v="Recruiter"/>
    <s v="FullTime"/>
    <n v="1"/>
    <s v="Active"/>
    <x v="1"/>
    <x v="0"/>
    <x v="0"/>
  </r>
  <r>
    <n v="34"/>
    <s v="No"/>
    <s v="Travel_Frequently"/>
    <x v="0"/>
    <n v="1"/>
    <x v="0"/>
    <n v="3"/>
    <n v="1"/>
    <x v="1"/>
    <n v="1"/>
    <s v="Divorced"/>
    <n v="2996"/>
    <n v="5"/>
    <s v="No"/>
    <n v="14"/>
    <n v="3"/>
    <n v="2"/>
    <n v="10"/>
    <n v="2"/>
    <n v="4"/>
    <n v="1"/>
    <n v="3"/>
    <s v="PHD"/>
    <d v="2017-06-29T00:00:00"/>
    <m/>
    <s v="Work Environment"/>
    <x v="1"/>
    <n v="0"/>
    <n v="3"/>
    <s v="No"/>
    <s v="Walk-in"/>
    <s v="Contract"/>
    <n v="0"/>
    <s v="Active"/>
    <x v="1"/>
    <x v="0"/>
    <x v="0"/>
  </r>
  <r>
    <n v="32"/>
    <s v="No"/>
    <s v="Travel_Rarely"/>
    <x v="1"/>
    <n v="7"/>
    <x v="0"/>
    <n v="3"/>
    <n v="2"/>
    <x v="4"/>
    <n v="4"/>
    <s v="Married"/>
    <n v="9204"/>
    <n v="4"/>
    <s v="No"/>
    <n v="12"/>
    <n v="3"/>
    <n v="1"/>
    <n v="7"/>
    <n v="3"/>
    <n v="4"/>
    <n v="0"/>
    <n v="3"/>
    <s v="PHD"/>
    <d v="2017-03-20T00:00:00"/>
    <m/>
    <s v="Work Environment"/>
    <x v="0"/>
    <n v="3"/>
    <n v="2"/>
    <s v="Yes"/>
    <s v="Job Portal"/>
    <s v="Contract"/>
    <n v="0"/>
    <s v="Active"/>
    <x v="1"/>
    <x v="1"/>
    <x v="2"/>
  </r>
  <r>
    <n v="41"/>
    <s v="No"/>
    <s v="Travel_Rarely"/>
    <x v="0"/>
    <n v="5"/>
    <x v="0"/>
    <n v="4"/>
    <n v="1"/>
    <x v="1"/>
    <n v="3"/>
    <s v="Married"/>
    <n v="2127"/>
    <n v="2"/>
    <s v="Yes"/>
    <n v="12"/>
    <n v="3"/>
    <n v="0"/>
    <n v="7"/>
    <n v="5"/>
    <n v="4"/>
    <n v="0"/>
    <n v="3"/>
    <s v="PHD"/>
    <d v="2017-03-05T00:00:00"/>
    <m/>
    <s v="Dept.Head"/>
    <x v="0"/>
    <n v="2"/>
    <n v="2"/>
    <s v="No"/>
    <s v="Job Portal"/>
    <s v="Contract"/>
    <n v="0"/>
    <s v="Active"/>
    <x v="1"/>
    <x v="0"/>
    <x v="0"/>
  </r>
  <r>
    <n v="33"/>
    <s v="No"/>
    <s v="Travel_Frequently"/>
    <x v="1"/>
    <n v="7"/>
    <x v="0"/>
    <n v="3"/>
    <n v="2"/>
    <x v="4"/>
    <n v="1"/>
    <s v="Married"/>
    <n v="4373"/>
    <n v="0"/>
    <s v="No"/>
    <n v="14"/>
    <n v="3"/>
    <n v="2"/>
    <n v="5"/>
    <n v="2"/>
    <n v="4"/>
    <n v="0"/>
    <n v="3"/>
    <s v="PHD"/>
    <d v="2017-01-17T00:00:00"/>
    <m/>
    <s v="Salary"/>
    <x v="1"/>
    <n v="3"/>
    <n v="2"/>
    <s v="Yes"/>
    <s v="Walk-in"/>
    <s v="Part Time"/>
    <n v="0"/>
    <s v="Active"/>
    <x v="1"/>
    <x v="0"/>
    <x v="2"/>
  </r>
  <r>
    <n v="28"/>
    <s v="No"/>
    <s v="Travel_Frequently"/>
    <x v="1"/>
    <n v="7"/>
    <x v="0"/>
    <n v="3"/>
    <n v="2"/>
    <x v="4"/>
    <n v="1"/>
    <s v="Single"/>
    <n v="4898"/>
    <n v="0"/>
    <s v="No"/>
    <n v="14"/>
    <n v="3"/>
    <n v="0"/>
    <n v="5"/>
    <n v="5"/>
    <n v="4"/>
    <n v="1"/>
    <n v="3"/>
    <s v="PHD"/>
    <d v="2017-05-24T00:00:00"/>
    <m/>
    <s v="Dept.Head"/>
    <x v="1"/>
    <n v="2"/>
    <n v="1"/>
    <s v="Yes"/>
    <s v="Job Event"/>
    <s v="Contract"/>
    <n v="0"/>
    <s v="Active"/>
    <x v="1"/>
    <x v="0"/>
    <x v="2"/>
  </r>
  <r>
    <n v="23"/>
    <s v="No"/>
    <s v="Travel_Rarely"/>
    <x v="0"/>
    <n v="20"/>
    <x v="0"/>
    <n v="3"/>
    <n v="2"/>
    <x v="0"/>
    <n v="3"/>
    <s v="Single"/>
    <n v="2272"/>
    <n v="0"/>
    <s v="No"/>
    <n v="14"/>
    <n v="3"/>
    <n v="0"/>
    <n v="5"/>
    <n v="2"/>
    <n v="4"/>
    <n v="1"/>
    <n v="2"/>
    <s v="12th"/>
    <d v="2017-02-02T00:00:00"/>
    <m/>
    <s v="Dept.Head"/>
    <x v="1"/>
    <n v="1"/>
    <n v="2"/>
    <s v="No"/>
    <s v="Recruiter"/>
    <s v="Part Time"/>
    <n v="0"/>
    <s v="Active"/>
    <x v="1"/>
    <x v="0"/>
    <x v="0"/>
  </r>
  <r>
    <n v="30"/>
    <s v="No"/>
    <s v="Travel_Rarely"/>
    <x v="1"/>
    <n v="29"/>
    <x v="0"/>
    <n v="3"/>
    <n v="3"/>
    <x v="4"/>
    <n v="2"/>
    <s v="Married"/>
    <n v="9250"/>
    <n v="3"/>
    <s v="No"/>
    <n v="12"/>
    <n v="3"/>
    <n v="1"/>
    <n v="9"/>
    <n v="3"/>
    <n v="4"/>
    <n v="1"/>
    <n v="3"/>
    <s v="PHD"/>
    <d v="2017-05-29T00:00:00"/>
    <m/>
    <s v="Work Accident"/>
    <x v="1"/>
    <n v="1"/>
    <n v="0"/>
    <s v="No"/>
    <s v="Walk-in"/>
    <s v="FullTime"/>
    <n v="0"/>
    <s v="Active"/>
    <x v="1"/>
    <x v="1"/>
    <x v="2"/>
  </r>
  <r>
    <n v="22"/>
    <s v="No"/>
    <s v="Non-Travel"/>
    <x v="0"/>
    <n v="26"/>
    <x v="1"/>
    <n v="2"/>
    <n v="1"/>
    <x v="1"/>
    <n v="3"/>
    <s v="Married"/>
    <n v="2814"/>
    <n v="1"/>
    <s v="Yes"/>
    <n v="14"/>
    <n v="3"/>
    <n v="0"/>
    <n v="4"/>
    <n v="2"/>
    <n v="4"/>
    <n v="1"/>
    <n v="3"/>
    <s v="12th"/>
    <d v="2017-05-25T00:00:00"/>
    <m/>
    <s v="Work Environment"/>
    <x v="1"/>
    <n v="4"/>
    <n v="2"/>
    <s v="No"/>
    <s v="Job Event"/>
    <s v="Part Time"/>
    <n v="0"/>
    <s v="Active"/>
    <x v="1"/>
    <x v="0"/>
    <x v="0"/>
  </r>
  <r>
    <n v="37"/>
    <s v="No"/>
    <s v="Travel_Rarely"/>
    <x v="0"/>
    <n v="19"/>
    <x v="0"/>
    <n v="3"/>
    <n v="2"/>
    <x v="6"/>
    <n v="3"/>
    <s v="Married"/>
    <n v="5768"/>
    <n v="3"/>
    <s v="No"/>
    <n v="17"/>
    <n v="3"/>
    <n v="3"/>
    <n v="9"/>
    <n v="2"/>
    <n v="4"/>
    <n v="0"/>
    <n v="2"/>
    <s v="12th"/>
    <d v="2017-03-27T00:00:00"/>
    <m/>
    <s v="Dept.Head"/>
    <x v="0"/>
    <n v="1"/>
    <n v="1"/>
    <s v="No"/>
    <s v="Job Portal"/>
    <s v="FullTime"/>
    <n v="0"/>
    <s v="Active"/>
    <x v="1"/>
    <x v="0"/>
    <x v="3"/>
  </r>
  <r>
    <n v="40"/>
    <s v="No"/>
    <s v="Travel_Rarely"/>
    <x v="0"/>
    <n v="16"/>
    <x v="1"/>
    <n v="3"/>
    <n v="3"/>
    <x v="6"/>
    <n v="4"/>
    <s v="Single"/>
    <n v="7945"/>
    <n v="6"/>
    <s v="Yes"/>
    <n v="15"/>
    <n v="3"/>
    <n v="0"/>
    <n v="18"/>
    <n v="2"/>
    <n v="4"/>
    <n v="3"/>
    <n v="3"/>
    <s v="12th"/>
    <d v="2017-05-03T00:00:00"/>
    <m/>
    <s v="Work Accident"/>
    <x v="1"/>
    <n v="0"/>
    <n v="3"/>
    <s v="No"/>
    <s v="Job Portal"/>
    <s v="Contract"/>
    <n v="0"/>
    <s v="Active"/>
    <x v="1"/>
    <x v="1"/>
    <x v="3"/>
  </r>
  <r>
    <n v="27"/>
    <s v="No"/>
    <s v="Travel_Frequently"/>
    <x v="0"/>
    <n v="2"/>
    <x v="0"/>
    <n v="3"/>
    <n v="1"/>
    <x v="1"/>
    <n v="4"/>
    <s v="Single"/>
    <n v="2580"/>
    <n v="2"/>
    <s v="No"/>
    <n v="13"/>
    <n v="3"/>
    <n v="0"/>
    <n v="6"/>
    <n v="0"/>
    <n v="4"/>
    <n v="1"/>
    <n v="2"/>
    <s v="12th"/>
    <d v="2017-05-17T00:00:00"/>
    <m/>
    <s v="Better Opportunity"/>
    <x v="0"/>
    <n v="2"/>
    <n v="3"/>
    <s v="Yes"/>
    <s v="Recruiter"/>
    <s v="Part Time"/>
    <n v="0"/>
    <s v="Active"/>
    <x v="1"/>
    <x v="0"/>
    <x v="0"/>
  </r>
  <r>
    <n v="40"/>
    <s v="Yes"/>
    <s v="Travel_Rarely"/>
    <x v="0"/>
    <n v="7"/>
    <x v="0"/>
    <n v="3"/>
    <n v="1"/>
    <x v="0"/>
    <n v="1"/>
    <s v="Single"/>
    <n v="2166"/>
    <n v="3"/>
    <s v="Yes"/>
    <n v="14"/>
    <n v="3"/>
    <n v="0"/>
    <n v="10"/>
    <n v="3"/>
    <n v="4"/>
    <n v="0"/>
    <n v="3"/>
    <s v="Post-Graduation"/>
    <d v="2017-05-17T00:00:00"/>
    <m/>
    <s v="Work Environment"/>
    <x v="1"/>
    <n v="1"/>
    <n v="1"/>
    <s v="No"/>
    <s v="Walk-in"/>
    <s v="FullTime"/>
    <n v="1"/>
    <s v="Active"/>
    <x v="1"/>
    <x v="0"/>
    <x v="0"/>
  </r>
  <r>
    <n v="49"/>
    <s v="No"/>
    <s v="Travel_Rarely"/>
    <x v="0"/>
    <n v="22"/>
    <x v="1"/>
    <n v="3"/>
    <n v="4"/>
    <x v="2"/>
    <n v="2"/>
    <s v="Married"/>
    <n v="16413"/>
    <n v="3"/>
    <s v="No"/>
    <n v="16"/>
    <n v="3"/>
    <n v="2"/>
    <n v="27"/>
    <n v="2"/>
    <n v="4"/>
    <n v="1"/>
    <n v="2"/>
    <s v="Graduation"/>
    <d v="2017-01-16T00:00:00"/>
    <m/>
    <s v="Dept.Head"/>
    <x v="0"/>
    <n v="0"/>
    <n v="0"/>
    <s v="No"/>
    <s v="Walk-in"/>
    <s v="Contract"/>
    <n v="0"/>
    <s v="Active"/>
    <x v="1"/>
    <x v="1"/>
    <x v="1"/>
  </r>
  <r>
    <n v="36"/>
    <s v="No"/>
    <s v="Travel_Rarely"/>
    <x v="0"/>
    <n v="7"/>
    <x v="0"/>
    <n v="3"/>
    <n v="1"/>
    <x v="0"/>
    <n v="2"/>
    <s v="Single"/>
    <n v="2013"/>
    <n v="2"/>
    <s v="No"/>
    <n v="11"/>
    <n v="3"/>
    <n v="0"/>
    <n v="15"/>
    <n v="4"/>
    <n v="4"/>
    <n v="1"/>
    <n v="3"/>
    <s v="PHD"/>
    <d v="2017-06-23T00:00:00"/>
    <m/>
    <s v="Work Accident"/>
    <x v="1"/>
    <n v="4"/>
    <n v="0"/>
    <s v="Yes"/>
    <s v="Recruiter"/>
    <s v="Contract"/>
    <n v="0"/>
    <s v="Active"/>
    <x v="1"/>
    <x v="0"/>
    <x v="0"/>
  </r>
  <r>
    <n v="38"/>
    <s v="No"/>
    <s v="Travel_Frequently"/>
    <x v="0"/>
    <n v="2"/>
    <x v="1"/>
    <n v="2"/>
    <n v="1"/>
    <x v="0"/>
    <n v="2"/>
    <s v="Single"/>
    <n v="2440"/>
    <n v="1"/>
    <s v="No"/>
    <n v="22"/>
    <n v="4"/>
    <n v="0"/>
    <n v="4"/>
    <n v="3"/>
    <n v="4"/>
    <n v="3"/>
    <n v="3"/>
    <s v="Graduation"/>
    <d v="2017-04-07T00:00:00"/>
    <m/>
    <s v="Work Environment"/>
    <x v="1"/>
    <n v="5"/>
    <n v="1"/>
    <s v="No"/>
    <s v="Job Portal"/>
    <s v="Contract"/>
    <n v="0"/>
    <s v="Active"/>
    <x v="1"/>
    <x v="0"/>
    <x v="0"/>
  </r>
  <r>
    <n v="53"/>
    <s v="No"/>
    <s v="Travel_Rarely"/>
    <x v="0"/>
    <n v="24"/>
    <x v="0"/>
    <n v="4"/>
    <n v="3"/>
    <x v="7"/>
    <n v="4"/>
    <s v="Married"/>
    <n v="7005"/>
    <n v="3"/>
    <s v="No"/>
    <n v="15"/>
    <n v="3"/>
    <n v="0"/>
    <n v="11"/>
    <n v="2"/>
    <n v="4"/>
    <n v="1"/>
    <n v="2"/>
    <s v="PHD"/>
    <d v="2017-03-24T00:00:00"/>
    <m/>
    <s v="Better Opportunity"/>
    <x v="0"/>
    <n v="5"/>
    <n v="3"/>
    <s v="Yes"/>
    <s v="Job Portal"/>
    <s v="FullTime"/>
    <n v="0"/>
    <s v="Active"/>
    <x v="1"/>
    <x v="1"/>
    <x v="3"/>
  </r>
  <r>
    <n v="55"/>
    <s v="No"/>
    <s v="Travel_Rarely"/>
    <x v="0"/>
    <n v="22"/>
    <x v="0"/>
    <n v="2"/>
    <n v="1"/>
    <x v="1"/>
    <n v="2"/>
    <s v="Divorced"/>
    <n v="3537"/>
    <n v="5"/>
    <s v="No"/>
    <n v="12"/>
    <n v="3"/>
    <n v="1"/>
    <n v="8"/>
    <n v="1"/>
    <n v="4"/>
    <n v="1"/>
    <n v="2"/>
    <s v="Post-Graduation"/>
    <d v="2017-05-18T00:00:00"/>
    <m/>
    <s v="Better Opportunity"/>
    <x v="1"/>
    <n v="5"/>
    <n v="1"/>
    <s v="Yes"/>
    <s v="Recruiter"/>
    <s v="Contract"/>
    <n v="0"/>
    <s v="Active"/>
    <x v="1"/>
    <x v="0"/>
    <x v="0"/>
  </r>
  <r>
    <n v="32"/>
    <s v="No"/>
    <s v="Travel_Rarely"/>
    <x v="1"/>
    <n v="19"/>
    <x v="0"/>
    <n v="1"/>
    <n v="3"/>
    <x v="4"/>
    <n v="3"/>
    <s v="Married"/>
    <n v="9610"/>
    <n v="3"/>
    <s v="No"/>
    <n v="13"/>
    <n v="3"/>
    <n v="1"/>
    <n v="10"/>
    <n v="2"/>
    <n v="4"/>
    <n v="0"/>
    <n v="2"/>
    <s v="Post-Graduation"/>
    <d v="2017-02-25T00:00:00"/>
    <m/>
    <s v="Dept.Head"/>
    <x v="1"/>
    <n v="5"/>
    <n v="3"/>
    <s v="No"/>
    <s v="Job Event"/>
    <s v="Contract"/>
    <n v="0"/>
    <s v="Active"/>
    <x v="1"/>
    <x v="1"/>
    <x v="2"/>
  </r>
  <r>
    <n v="30"/>
    <s v="Yes"/>
    <s v="Travel_Frequently"/>
    <x v="2"/>
    <n v="8"/>
    <x v="1"/>
    <n v="2"/>
    <n v="1"/>
    <x v="8"/>
    <n v="4"/>
    <s v="Divorced"/>
    <n v="2180"/>
    <n v="6"/>
    <s v="No"/>
    <n v="11"/>
    <n v="3"/>
    <n v="1"/>
    <n v="6"/>
    <n v="0"/>
    <n v="4"/>
    <n v="1"/>
    <n v="2"/>
    <s v="Graduation"/>
    <d v="2017-03-13T00:00:00"/>
    <m/>
    <s v="Dept.Head"/>
    <x v="1"/>
    <n v="4"/>
    <n v="1"/>
    <s v="Yes"/>
    <s v="Walk-in"/>
    <s v="Contract"/>
    <n v="1"/>
    <s v="Active"/>
    <x v="1"/>
    <x v="0"/>
    <x v="4"/>
  </r>
  <r>
    <n v="39"/>
    <s v="No"/>
    <s v="Travel_Rarely"/>
    <x v="0"/>
    <n v="10"/>
    <x v="0"/>
    <n v="3"/>
    <n v="3"/>
    <x v="2"/>
    <n v="3"/>
    <s v="Single"/>
    <n v="13464"/>
    <n v="7"/>
    <s v="No"/>
    <n v="21"/>
    <n v="4"/>
    <n v="0"/>
    <n v="9"/>
    <n v="3"/>
    <n v="4"/>
    <n v="2"/>
    <n v="2"/>
    <s v="Post-Graduation"/>
    <d v="2017-04-21T00:00:00"/>
    <m/>
    <s v="Dept.Head"/>
    <x v="1"/>
    <n v="3"/>
    <n v="2"/>
    <s v="Yes"/>
    <s v="Job Portal"/>
    <s v="Part Time"/>
    <n v="0"/>
    <s v="Active"/>
    <x v="1"/>
    <x v="1"/>
    <x v="1"/>
  </r>
  <r>
    <n v="40"/>
    <s v="No"/>
    <s v="Travel_Rarely"/>
    <x v="0"/>
    <n v="2"/>
    <x v="1"/>
    <n v="3"/>
    <n v="1"/>
    <x v="0"/>
    <n v="1"/>
    <s v="Married"/>
    <n v="3377"/>
    <n v="4"/>
    <s v="No"/>
    <n v="17"/>
    <n v="3"/>
    <n v="1"/>
    <n v="7"/>
    <n v="5"/>
    <n v="4"/>
    <n v="0"/>
    <n v="2"/>
    <s v="Post-Graduation"/>
    <d v="2017-03-04T00:00:00"/>
    <m/>
    <s v="Better Opportunity"/>
    <x v="0"/>
    <n v="2"/>
    <n v="1"/>
    <s v="No"/>
    <s v="Job Portal"/>
    <s v="FullTime"/>
    <n v="0"/>
    <s v="Active"/>
    <x v="1"/>
    <x v="0"/>
    <x v="0"/>
  </r>
  <r>
    <n v="38"/>
    <s v="No"/>
    <s v="Travel_Rarely"/>
    <x v="1"/>
    <n v="2"/>
    <x v="1"/>
    <n v="1"/>
    <n v="2"/>
    <x v="3"/>
    <n v="4"/>
    <s v="Married"/>
    <n v="5405"/>
    <n v="2"/>
    <s v="Yes"/>
    <n v="20"/>
    <n v="4"/>
    <n v="2"/>
    <n v="20"/>
    <n v="4"/>
    <n v="4"/>
    <n v="0"/>
    <n v="3"/>
    <s v="Post-Graduation"/>
    <d v="2017-06-24T00:00:00"/>
    <m/>
    <s v="Work Accident"/>
    <x v="0"/>
    <n v="5"/>
    <n v="3"/>
    <s v="Yes"/>
    <s v="Job Event"/>
    <s v="FullTime"/>
    <n v="0"/>
    <s v="Active"/>
    <x v="1"/>
    <x v="0"/>
    <x v="2"/>
  </r>
  <r>
    <n v="56"/>
    <s v="Yes"/>
    <s v="Travel_Rarely"/>
    <x v="0"/>
    <n v="24"/>
    <x v="0"/>
    <n v="3"/>
    <n v="1"/>
    <x v="0"/>
    <n v="4"/>
    <s v="Single"/>
    <n v="2587"/>
    <n v="1"/>
    <s v="No"/>
    <n v="16"/>
    <n v="3"/>
    <n v="0"/>
    <n v="5"/>
    <n v="3"/>
    <n v="4"/>
    <n v="1"/>
    <n v="0"/>
    <s v="Graduation"/>
    <d v="2017-03-26T00:00:00"/>
    <m/>
    <s v="Salary"/>
    <x v="1"/>
    <n v="1"/>
    <n v="3"/>
    <s v="Yes"/>
    <s v="Job Event"/>
    <s v="Part Time"/>
    <n v="1"/>
    <s v="Active"/>
    <x v="1"/>
    <x v="0"/>
    <x v="0"/>
  </r>
  <r>
    <n v="36"/>
    <s v="No"/>
    <s v="Travel_Rarely"/>
    <x v="1"/>
    <n v="17"/>
    <x v="0"/>
    <n v="2"/>
    <n v="2"/>
    <x v="4"/>
    <n v="2"/>
    <s v="Married"/>
    <n v="5507"/>
    <n v="2"/>
    <s v="No"/>
    <n v="16"/>
    <n v="3"/>
    <n v="2"/>
    <n v="12"/>
    <n v="1"/>
    <n v="4"/>
    <n v="1"/>
    <n v="3"/>
    <s v="Post-Graduation"/>
    <d v="2017-04-02T00:00:00"/>
    <m/>
    <s v="Salary"/>
    <x v="1"/>
    <n v="0"/>
    <n v="0"/>
    <s v="Yes"/>
    <s v="Recruiter"/>
    <s v="Contract"/>
    <n v="0"/>
    <s v="Active"/>
    <x v="1"/>
    <x v="0"/>
    <x v="2"/>
  </r>
  <r>
    <n v="34"/>
    <s v="No"/>
    <s v="Travel_Rarely"/>
    <x v="1"/>
    <n v="3"/>
    <x v="1"/>
    <n v="2"/>
    <n v="2"/>
    <x v="4"/>
    <n v="4"/>
    <s v="Married"/>
    <n v="8103"/>
    <n v="3"/>
    <s v="Yes"/>
    <n v="12"/>
    <n v="3"/>
    <n v="0"/>
    <n v="9"/>
    <n v="3"/>
    <n v="4"/>
    <n v="0"/>
    <n v="1"/>
    <s v="Post-Graduation"/>
    <d v="2017-03-09T00:00:00"/>
    <m/>
    <s v="Dept.Head"/>
    <x v="0"/>
    <n v="1"/>
    <n v="2"/>
    <s v="Yes"/>
    <s v="Walk-in"/>
    <s v="Part Time"/>
    <n v="0"/>
    <s v="Active"/>
    <x v="1"/>
    <x v="1"/>
    <x v="2"/>
  </r>
  <r>
    <n v="45"/>
    <s v="No"/>
    <s v="Travel_Frequently"/>
    <x v="0"/>
    <n v="1"/>
    <x v="0"/>
    <n v="3"/>
    <n v="2"/>
    <x v="7"/>
    <n v="3"/>
    <s v="Single"/>
    <n v="5399"/>
    <n v="4"/>
    <s v="No"/>
    <n v="12"/>
    <n v="3"/>
    <n v="0"/>
    <n v="12"/>
    <n v="3"/>
    <n v="4"/>
    <n v="0"/>
    <n v="3"/>
    <s v="12th"/>
    <d v="2017-02-12T00:00:00"/>
    <m/>
    <s v="Salary"/>
    <x v="1"/>
    <n v="3"/>
    <n v="2"/>
    <s v="No"/>
    <s v="Walk-in"/>
    <s v="Part Time"/>
    <n v="0"/>
    <s v="Active"/>
    <x v="1"/>
    <x v="0"/>
    <x v="3"/>
  </r>
  <r>
    <n v="32"/>
    <s v="Yes"/>
    <s v="Travel_Frequently"/>
    <x v="0"/>
    <n v="5"/>
    <x v="1"/>
    <n v="4"/>
    <n v="1"/>
    <x v="1"/>
    <n v="3"/>
    <s v="Single"/>
    <n v="2432"/>
    <n v="3"/>
    <s v="Yes"/>
    <n v="14"/>
    <n v="3"/>
    <n v="0"/>
    <n v="8"/>
    <n v="2"/>
    <n v="4"/>
    <n v="0"/>
    <n v="3"/>
    <s v="12th"/>
    <d v="2017-06-30T00:00:00"/>
    <m/>
    <s v="Work Environment"/>
    <x v="0"/>
    <n v="4"/>
    <n v="1"/>
    <s v="Yes"/>
    <s v="Job Portal"/>
    <s v="Part Time"/>
    <n v="1"/>
    <s v="Active"/>
    <x v="1"/>
    <x v="0"/>
    <x v="0"/>
  </r>
  <r>
    <n v="31"/>
    <s v="No"/>
    <s v="Non-Travel"/>
    <x v="0"/>
    <n v="3"/>
    <x v="0"/>
    <n v="3"/>
    <n v="1"/>
    <x v="1"/>
    <n v="1"/>
    <s v="Divorced"/>
    <n v="3065"/>
    <n v="1"/>
    <s v="Yes"/>
    <n v="13"/>
    <n v="3"/>
    <n v="1"/>
    <n v="4"/>
    <n v="3"/>
    <n v="4"/>
    <n v="2"/>
    <n v="3"/>
    <s v="Graduation"/>
    <d v="2017-05-07T00:00:00"/>
    <m/>
    <s v="Dept.Head"/>
    <x v="0"/>
    <n v="1"/>
    <n v="0"/>
    <s v="Yes"/>
    <s v="Job Event"/>
    <s v="FullTime"/>
    <n v="0"/>
    <s v="Active"/>
    <x v="1"/>
    <x v="0"/>
    <x v="0"/>
  </r>
  <r>
    <n v="28"/>
    <s v="Yes"/>
    <s v="Travel_Rarely"/>
    <x v="0"/>
    <n v="17"/>
    <x v="0"/>
    <n v="2"/>
    <n v="1"/>
    <x v="0"/>
    <n v="4"/>
    <s v="Divorced"/>
    <n v="2367"/>
    <n v="5"/>
    <s v="No"/>
    <n v="12"/>
    <n v="3"/>
    <n v="1"/>
    <n v="6"/>
    <n v="2"/>
    <n v="4"/>
    <n v="0"/>
    <n v="3"/>
    <s v="Post-Graduation"/>
    <d v="2017-05-14T00:00:00"/>
    <m/>
    <s v="Work Accident"/>
    <x v="1"/>
    <n v="0"/>
    <n v="2"/>
    <s v="No"/>
    <s v="Recruiter"/>
    <s v="Part Time"/>
    <n v="1"/>
    <s v="Active"/>
    <x v="1"/>
    <x v="0"/>
    <x v="0"/>
  </r>
  <r>
    <n v="54"/>
    <s v="No"/>
    <s v="Travel_Rarely"/>
    <x v="0"/>
    <n v="9"/>
    <x v="1"/>
    <n v="3"/>
    <n v="2"/>
    <x v="1"/>
    <n v="3"/>
    <s v="Married"/>
    <n v="2897"/>
    <n v="3"/>
    <s v="No"/>
    <n v="11"/>
    <n v="3"/>
    <n v="2"/>
    <n v="9"/>
    <n v="6"/>
    <n v="4"/>
    <n v="2"/>
    <n v="3"/>
    <s v="Post-Graduation"/>
    <d v="2017-06-23T00:00:00"/>
    <m/>
    <s v="Dept.Head"/>
    <x v="1"/>
    <n v="5"/>
    <n v="1"/>
    <s v="Yes"/>
    <s v="Job Portal"/>
    <s v="Contract"/>
    <n v="0"/>
    <s v="Active"/>
    <x v="1"/>
    <x v="0"/>
    <x v="0"/>
  </r>
  <r>
    <n v="24"/>
    <s v="No"/>
    <s v="Travel_Rarely"/>
    <x v="0"/>
    <n v="1"/>
    <x v="0"/>
    <n v="2"/>
    <n v="2"/>
    <x v="7"/>
    <n v="3"/>
    <s v="Single"/>
    <n v="4617"/>
    <n v="1"/>
    <s v="No"/>
    <n v="12"/>
    <n v="3"/>
    <n v="0"/>
    <n v="4"/>
    <n v="2"/>
    <n v="4"/>
    <n v="1"/>
    <n v="2"/>
    <s v="Graduation"/>
    <d v="2017-06-01T00:00:00"/>
    <m/>
    <s v="Dept.Head"/>
    <x v="1"/>
    <n v="0"/>
    <n v="1"/>
    <s v="No"/>
    <s v="Walk-in"/>
    <s v="Part Time"/>
    <n v="0"/>
    <s v="Active"/>
    <x v="1"/>
    <x v="0"/>
    <x v="3"/>
  </r>
  <r>
    <n v="42"/>
    <s v="No"/>
    <s v="Travel_Rarely"/>
    <x v="0"/>
    <n v="18"/>
    <x v="0"/>
    <n v="3"/>
    <n v="2"/>
    <x v="1"/>
    <n v="1"/>
    <s v="Divorced"/>
    <n v="5410"/>
    <n v="6"/>
    <s v="Yes"/>
    <n v="17"/>
    <n v="3"/>
    <n v="1"/>
    <n v="9"/>
    <n v="3"/>
    <n v="4"/>
    <n v="1"/>
    <n v="2"/>
    <s v="PHD"/>
    <d v="2017-06-01T00:00:00"/>
    <m/>
    <s v="Work Environment"/>
    <x v="1"/>
    <n v="3"/>
    <n v="0"/>
    <s v="Yes"/>
    <s v="Job Portal"/>
    <s v="FullTime"/>
    <n v="0"/>
    <s v="Active"/>
    <x v="1"/>
    <x v="0"/>
    <x v="0"/>
  </r>
  <r>
    <n v="44"/>
    <s v="No"/>
    <s v="Travel_Rarely"/>
    <x v="0"/>
    <n v="1"/>
    <x v="0"/>
    <n v="3"/>
    <n v="1"/>
    <x v="1"/>
    <n v="4"/>
    <s v="Single"/>
    <n v="2436"/>
    <n v="6"/>
    <s v="Yes"/>
    <n v="12"/>
    <n v="3"/>
    <n v="0"/>
    <n v="6"/>
    <n v="2"/>
    <n v="4"/>
    <n v="1"/>
    <n v="2"/>
    <s v="Post-Graduation"/>
    <d v="2017-02-25T00:00:00"/>
    <m/>
    <s v="Salary"/>
    <x v="1"/>
    <n v="2"/>
    <n v="2"/>
    <s v="No"/>
    <s v="Walk-in"/>
    <s v="FullTime"/>
    <n v="0"/>
    <s v="Active"/>
    <x v="1"/>
    <x v="0"/>
    <x v="0"/>
  </r>
  <r>
    <n v="36"/>
    <s v="No"/>
    <s v="Travel_Frequently"/>
    <x v="0"/>
    <n v="4"/>
    <x v="1"/>
    <n v="3"/>
    <n v="2"/>
    <x v="6"/>
    <n v="2"/>
    <s v="Divorced"/>
    <n v="5131"/>
    <n v="7"/>
    <s v="No"/>
    <n v="13"/>
    <n v="3"/>
    <n v="3"/>
    <n v="18"/>
    <n v="3"/>
    <n v="4"/>
    <n v="0"/>
    <n v="2"/>
    <s v="12th"/>
    <d v="2017-03-25T00:00:00"/>
    <m/>
    <s v="Work Environment"/>
    <x v="0"/>
    <n v="3"/>
    <n v="1"/>
    <s v="No"/>
    <s v="Walk-in"/>
    <s v="Part Time"/>
    <n v="0"/>
    <s v="Active"/>
    <x v="1"/>
    <x v="0"/>
    <x v="3"/>
  </r>
  <r>
    <n v="32"/>
    <s v="No"/>
    <s v="Travel_Rarely"/>
    <x v="0"/>
    <n v="2"/>
    <x v="0"/>
    <n v="3"/>
    <n v="1"/>
    <x v="1"/>
    <n v="1"/>
    <s v="Single"/>
    <n v="2439"/>
    <n v="1"/>
    <s v="No"/>
    <n v="14"/>
    <n v="3"/>
    <n v="0"/>
    <n v="4"/>
    <n v="4"/>
    <n v="4"/>
    <n v="1"/>
    <n v="2"/>
    <s v="12th"/>
    <d v="2017-01-14T00:00:00"/>
    <m/>
    <s v="Better Opportunity"/>
    <x v="0"/>
    <n v="4"/>
    <n v="2"/>
    <s v="Yes"/>
    <s v="Job Portal"/>
    <s v="Part Time"/>
    <n v="0"/>
    <s v="Active"/>
    <x v="1"/>
    <x v="0"/>
    <x v="0"/>
  </r>
  <r>
    <n v="35"/>
    <s v="No"/>
    <s v="Travel_Rarely"/>
    <x v="0"/>
    <n v="1"/>
    <x v="1"/>
    <n v="1"/>
    <n v="1"/>
    <x v="1"/>
    <n v="4"/>
    <s v="Married"/>
    <n v="2977"/>
    <n v="1"/>
    <s v="No"/>
    <n v="12"/>
    <n v="3"/>
    <n v="1"/>
    <n v="4"/>
    <n v="5"/>
    <n v="4"/>
    <n v="1"/>
    <n v="1"/>
    <s v="Graduation"/>
    <d v="2017-05-18T00:00:00"/>
    <m/>
    <s v="Work Accident"/>
    <x v="1"/>
    <n v="4"/>
    <n v="0"/>
    <s v="Yes"/>
    <s v="Recruiter"/>
    <s v="Part Time"/>
    <n v="0"/>
    <s v="Active"/>
    <x v="1"/>
    <x v="0"/>
    <x v="0"/>
  </r>
  <r>
    <n v="29"/>
    <s v="No"/>
    <s v="Travel_Rarely"/>
    <x v="0"/>
    <n v="13"/>
    <x v="0"/>
    <n v="2"/>
    <n v="2"/>
    <x v="0"/>
    <n v="2"/>
    <s v="Married"/>
    <n v="4025"/>
    <n v="4"/>
    <s v="Yes"/>
    <n v="13"/>
    <n v="3"/>
    <n v="1"/>
    <n v="10"/>
    <n v="2"/>
    <n v="4"/>
    <n v="0"/>
    <n v="3"/>
    <s v="12th"/>
    <d v="2017-03-27T00:00:00"/>
    <m/>
    <s v="Work Accident"/>
    <x v="0"/>
    <n v="5"/>
    <n v="2"/>
    <s v="No"/>
    <s v="Job Portal"/>
    <s v="FullTime"/>
    <n v="0"/>
    <s v="Active"/>
    <x v="1"/>
    <x v="0"/>
    <x v="0"/>
  </r>
  <r>
    <n v="26"/>
    <s v="No"/>
    <s v="Travel_Rarely"/>
    <x v="1"/>
    <n v="5"/>
    <x v="1"/>
    <n v="2"/>
    <n v="1"/>
    <x v="3"/>
    <n v="3"/>
    <s v="Single"/>
    <n v="2966"/>
    <n v="0"/>
    <s v="No"/>
    <n v="18"/>
    <n v="3"/>
    <n v="0"/>
    <n v="5"/>
    <n v="2"/>
    <n v="4"/>
    <n v="0"/>
    <n v="0"/>
    <s v="PHD"/>
    <d v="2017-02-01T00:00:00"/>
    <m/>
    <s v="Work Environment"/>
    <x v="1"/>
    <n v="4"/>
    <n v="2"/>
    <s v="Yes"/>
    <s v="Recruiter"/>
    <s v="FullTime"/>
    <n v="0"/>
    <s v="Active"/>
    <x v="1"/>
    <x v="0"/>
    <x v="2"/>
  </r>
  <r>
    <n v="34"/>
    <s v="No"/>
    <s v="Travel_Rarely"/>
    <x v="0"/>
    <n v="8"/>
    <x v="0"/>
    <n v="4"/>
    <n v="2"/>
    <x v="0"/>
    <n v="3"/>
    <s v="Married"/>
    <n v="4404"/>
    <n v="2"/>
    <s v="No"/>
    <n v="12"/>
    <n v="3"/>
    <n v="0"/>
    <n v="6"/>
    <n v="3"/>
    <n v="4"/>
    <n v="1"/>
    <n v="2"/>
    <s v="Graduation"/>
    <d v="2017-01-31T00:00:00"/>
    <m/>
    <s v="Work Accident"/>
    <x v="0"/>
    <n v="5"/>
    <n v="3"/>
    <s v="No"/>
    <s v="Walk-in"/>
    <s v="Part Time"/>
    <n v="0"/>
    <s v="Active"/>
    <x v="1"/>
    <x v="0"/>
    <x v="0"/>
  </r>
  <r>
    <n v="35"/>
    <s v="No"/>
    <s v="Travel_Rarely"/>
    <x v="0"/>
    <n v="16"/>
    <x v="0"/>
    <n v="4"/>
    <n v="1"/>
    <x v="0"/>
    <n v="2"/>
    <s v="Married"/>
    <n v="2426"/>
    <n v="0"/>
    <s v="No"/>
    <n v="13"/>
    <n v="3"/>
    <n v="1"/>
    <n v="6"/>
    <n v="5"/>
    <n v="5"/>
    <n v="0"/>
    <n v="3"/>
    <s v="PHD"/>
    <d v="2016-04-13T00:00:00"/>
    <m/>
    <s v="Dept.Head"/>
    <x v="0"/>
    <n v="1"/>
    <n v="3"/>
    <s v="Yes"/>
    <s v="Job Portal"/>
    <s v="Contract"/>
    <n v="0"/>
    <s v="Active"/>
    <x v="1"/>
    <x v="0"/>
    <x v="0"/>
  </r>
  <r>
    <n v="31"/>
    <s v="No"/>
    <s v="Travel_Rarely"/>
    <x v="0"/>
    <n v="26"/>
    <x v="0"/>
    <n v="3"/>
    <n v="1"/>
    <x v="1"/>
    <n v="3"/>
    <s v="Divorced"/>
    <n v="2911"/>
    <n v="1"/>
    <s v="No"/>
    <n v="17"/>
    <n v="3"/>
    <n v="1"/>
    <n v="5"/>
    <n v="1"/>
    <n v="5"/>
    <n v="4"/>
    <n v="3"/>
    <s v="PHD"/>
    <d v="2016-06-18T00:00:00"/>
    <m/>
    <s v="Salary"/>
    <x v="1"/>
    <n v="3"/>
    <n v="2"/>
    <s v="Yes"/>
    <s v="Walk-in"/>
    <s v="Contract"/>
    <n v="0"/>
    <s v="Active"/>
    <x v="1"/>
    <x v="0"/>
    <x v="0"/>
  </r>
  <r>
    <n v="36"/>
    <s v="Yes"/>
    <s v="Travel_Rarely"/>
    <x v="1"/>
    <n v="9"/>
    <x v="0"/>
    <n v="2"/>
    <n v="1"/>
    <x v="3"/>
    <n v="1"/>
    <s v="Single"/>
    <n v="3407"/>
    <n v="7"/>
    <s v="No"/>
    <n v="23"/>
    <n v="4"/>
    <n v="0"/>
    <n v="10"/>
    <n v="4"/>
    <n v="5"/>
    <n v="0"/>
    <n v="3"/>
    <s v="PHD"/>
    <d v="2016-02-17T00:00:00"/>
    <m/>
    <s v="Dept.Head"/>
    <x v="1"/>
    <n v="3"/>
    <n v="2"/>
    <s v="No"/>
    <s v="Recruiter"/>
    <s v="Contract"/>
    <n v="1"/>
    <s v="Active"/>
    <x v="1"/>
    <x v="0"/>
    <x v="2"/>
  </r>
  <r>
    <n v="43"/>
    <s v="No"/>
    <s v="Travel_Rarely"/>
    <x v="0"/>
    <n v="2"/>
    <x v="1"/>
    <n v="4"/>
    <n v="1"/>
    <x v="1"/>
    <n v="3"/>
    <s v="Divorced"/>
    <n v="2645"/>
    <n v="1"/>
    <s v="No"/>
    <n v="12"/>
    <n v="3"/>
    <n v="2"/>
    <n v="6"/>
    <n v="3"/>
    <n v="5"/>
    <n v="1"/>
    <n v="4"/>
    <s v="12th"/>
    <d v="2016-01-09T00:00:00"/>
    <m/>
    <s v="Dept.Head"/>
    <x v="0"/>
    <n v="0"/>
    <n v="0"/>
    <s v="Yes"/>
    <s v="Walk-in"/>
    <s v="FullTime"/>
    <n v="0"/>
    <s v="Active"/>
    <x v="1"/>
    <x v="0"/>
    <x v="0"/>
  </r>
  <r>
    <n v="33"/>
    <s v="No"/>
    <s v="Travel_Frequently"/>
    <x v="1"/>
    <n v="1"/>
    <x v="1"/>
    <n v="4"/>
    <n v="2"/>
    <x v="4"/>
    <n v="1"/>
    <s v="Married"/>
    <n v="5376"/>
    <n v="2"/>
    <s v="No"/>
    <n v="19"/>
    <n v="3"/>
    <n v="2"/>
    <n v="10"/>
    <n v="3"/>
    <n v="5"/>
    <n v="1"/>
    <n v="3"/>
    <s v="Graduation"/>
    <d v="2016-03-24T00:00:00"/>
    <m/>
    <s v="Better Opportunity"/>
    <x v="1"/>
    <n v="4"/>
    <n v="3"/>
    <s v="No"/>
    <s v="Recruiter"/>
    <s v="FullTime"/>
    <n v="0"/>
    <s v="Active"/>
    <x v="1"/>
    <x v="0"/>
    <x v="2"/>
  </r>
  <r>
    <n v="55"/>
    <s v="No"/>
    <s v="Travel_Rarely"/>
    <x v="0"/>
    <n v="8"/>
    <x v="1"/>
    <n v="3"/>
    <n v="4"/>
    <x v="5"/>
    <n v="3"/>
    <s v="Divorced"/>
    <n v="14756"/>
    <n v="2"/>
    <s v="Yes"/>
    <n v="14"/>
    <n v="3"/>
    <n v="3"/>
    <n v="21"/>
    <n v="2"/>
    <n v="5"/>
    <n v="0"/>
    <n v="2"/>
    <s v="PHD"/>
    <d v="2016-01-11T00:00:00"/>
    <m/>
    <s v="Salary"/>
    <x v="1"/>
    <n v="5"/>
    <n v="3"/>
    <s v="No"/>
    <s v="Job Event"/>
    <s v="FullTime"/>
    <n v="0"/>
    <s v="Active"/>
    <x v="1"/>
    <x v="1"/>
    <x v="1"/>
  </r>
  <r>
    <n v="29"/>
    <s v="No"/>
    <s v="Travel_Rarely"/>
    <x v="0"/>
    <n v="2"/>
    <x v="0"/>
    <n v="3"/>
    <n v="1"/>
    <x v="1"/>
    <n v="2"/>
    <s v="Married"/>
    <n v="2703"/>
    <n v="0"/>
    <s v="No"/>
    <n v="23"/>
    <n v="4"/>
    <n v="1"/>
    <n v="6"/>
    <n v="3"/>
    <n v="5"/>
    <n v="0"/>
    <n v="4"/>
    <s v="Graduation"/>
    <d v="2016-02-25T00:00:00"/>
    <m/>
    <s v="Work Accident"/>
    <x v="0"/>
    <n v="0"/>
    <n v="3"/>
    <s v="Yes"/>
    <s v="Walk-in"/>
    <s v="Part Time"/>
    <n v="0"/>
    <s v="Active"/>
    <x v="1"/>
    <x v="0"/>
    <x v="0"/>
  </r>
  <r>
    <n v="37"/>
    <s v="No"/>
    <s v="Travel_Rarely"/>
    <x v="0"/>
    <n v="7"/>
    <x v="0"/>
    <n v="3"/>
    <n v="3"/>
    <x v="2"/>
    <n v="3"/>
    <s v="Single"/>
    <n v="13664"/>
    <n v="4"/>
    <s v="No"/>
    <n v="13"/>
    <n v="3"/>
    <n v="0"/>
    <n v="16"/>
    <n v="3"/>
    <n v="5"/>
    <n v="0"/>
    <n v="2"/>
    <s v="Graduation"/>
    <d v="2016-04-29T00:00:00"/>
    <m/>
    <s v="Work Accident"/>
    <x v="1"/>
    <n v="3"/>
    <n v="0"/>
    <s v="Yes"/>
    <s v="Recruiter"/>
    <s v="Contract"/>
    <n v="0"/>
    <s v="Active"/>
    <x v="1"/>
    <x v="1"/>
    <x v="1"/>
  </r>
  <r>
    <n v="34"/>
    <s v="No"/>
    <s v="Travel_Rarely"/>
    <x v="0"/>
    <n v="1"/>
    <x v="0"/>
    <n v="3"/>
    <n v="2"/>
    <x v="6"/>
    <n v="2"/>
    <s v="Married"/>
    <n v="4325"/>
    <n v="1"/>
    <s v="No"/>
    <n v="15"/>
    <n v="3"/>
    <n v="0"/>
    <n v="5"/>
    <n v="2"/>
    <n v="5"/>
    <n v="1"/>
    <n v="3"/>
    <s v="Graduation"/>
    <d v="2016-06-23T00:00:00"/>
    <m/>
    <s v="Work Environment"/>
    <x v="0"/>
    <n v="1"/>
    <n v="1"/>
    <s v="No"/>
    <s v="Job Event"/>
    <s v="Part Time"/>
    <n v="0"/>
    <s v="Active"/>
    <x v="1"/>
    <x v="0"/>
    <x v="3"/>
  </r>
  <r>
    <n v="28"/>
    <s v="No"/>
    <s v="Non-Travel"/>
    <x v="1"/>
    <n v="4"/>
    <x v="0"/>
    <n v="3"/>
    <n v="2"/>
    <x v="4"/>
    <n v="3"/>
    <s v="Married"/>
    <n v="4221"/>
    <n v="1"/>
    <s v="No"/>
    <n v="15"/>
    <n v="3"/>
    <n v="0"/>
    <n v="5"/>
    <n v="3"/>
    <n v="5"/>
    <n v="0"/>
    <n v="4"/>
    <s v="PHD"/>
    <d v="2016-06-14T00:00:00"/>
    <m/>
    <s v="Dept.Head"/>
    <x v="0"/>
    <n v="2"/>
    <n v="1"/>
    <s v="No"/>
    <s v="Job Event"/>
    <s v="Part Time"/>
    <n v="0"/>
    <s v="Active"/>
    <x v="1"/>
    <x v="0"/>
    <x v="2"/>
  </r>
  <r>
    <n v="54"/>
    <s v="No"/>
    <s v="Non-Travel"/>
    <x v="2"/>
    <n v="26"/>
    <x v="1"/>
    <n v="4"/>
    <n v="4"/>
    <x v="5"/>
    <n v="4"/>
    <s v="Single"/>
    <n v="17328"/>
    <n v="2"/>
    <s v="Yes"/>
    <n v="12"/>
    <n v="3"/>
    <n v="0"/>
    <n v="23"/>
    <n v="3"/>
    <n v="5"/>
    <n v="4"/>
    <n v="4"/>
    <s v="PHD"/>
    <d v="2016-04-17T00:00:00"/>
    <m/>
    <s v="Salary"/>
    <x v="0"/>
    <n v="1"/>
    <n v="3"/>
    <s v="No"/>
    <s v="Job Event"/>
    <s v="Part Time"/>
    <n v="0"/>
    <s v="Active"/>
    <x v="1"/>
    <x v="1"/>
    <x v="1"/>
  </r>
  <r>
    <n v="24"/>
    <s v="No"/>
    <s v="Travel_Rarely"/>
    <x v="0"/>
    <n v="18"/>
    <x v="0"/>
    <n v="3"/>
    <n v="1"/>
    <x v="0"/>
    <n v="3"/>
    <s v="Married"/>
    <n v="2774"/>
    <n v="0"/>
    <s v="No"/>
    <n v="12"/>
    <n v="3"/>
    <n v="1"/>
    <n v="6"/>
    <n v="2"/>
    <n v="5"/>
    <n v="1"/>
    <n v="2"/>
    <s v="Post-Graduation"/>
    <d v="2016-05-08T00:00:00"/>
    <m/>
    <s v="Work Environment"/>
    <x v="0"/>
    <n v="3"/>
    <n v="0"/>
    <s v="Yes"/>
    <s v="Recruiter"/>
    <s v="Contract"/>
    <n v="0"/>
    <s v="Active"/>
    <x v="1"/>
    <x v="0"/>
    <x v="0"/>
  </r>
  <r>
    <n v="37"/>
    <s v="No"/>
    <s v="Travel_Rarely"/>
    <x v="1"/>
    <n v="3"/>
    <x v="0"/>
    <n v="3"/>
    <n v="3"/>
    <x v="4"/>
    <n v="4"/>
    <s v="Single"/>
    <n v="7428"/>
    <n v="2"/>
    <s v="No"/>
    <n v="12"/>
    <n v="3"/>
    <n v="0"/>
    <n v="12"/>
    <n v="3"/>
    <n v="5"/>
    <n v="1"/>
    <n v="3"/>
    <s v="PHD"/>
    <d v="2016-01-17T00:00:00"/>
    <m/>
    <s v="Work Environment"/>
    <x v="1"/>
    <n v="5"/>
    <n v="3"/>
    <s v="No"/>
    <s v="Job Event"/>
    <s v="Part Time"/>
    <n v="0"/>
    <s v="Active"/>
    <x v="1"/>
    <x v="1"/>
    <x v="2"/>
  </r>
  <r>
    <n v="56"/>
    <s v="Yes"/>
    <s v="Travel_Rarely"/>
    <x v="0"/>
    <n v="14"/>
    <x v="1"/>
    <n v="3"/>
    <n v="1"/>
    <x v="1"/>
    <n v="2"/>
    <s v="Married"/>
    <n v="4963"/>
    <n v="9"/>
    <s v="Yes"/>
    <n v="18"/>
    <n v="3"/>
    <n v="3"/>
    <n v="7"/>
    <n v="2"/>
    <n v="5"/>
    <n v="4"/>
    <n v="3"/>
    <s v="Graduation"/>
    <d v="2016-02-07T00:00:00"/>
    <m/>
    <s v="Salary"/>
    <x v="1"/>
    <n v="0"/>
    <n v="3"/>
    <s v="Yes"/>
    <s v="Job Event"/>
    <s v="Contract"/>
    <n v="1"/>
    <s v="Active"/>
    <x v="1"/>
    <x v="0"/>
    <x v="0"/>
  </r>
  <r>
    <n v="26"/>
    <s v="No"/>
    <s v="Travel_Rarely"/>
    <x v="0"/>
    <n v="6"/>
    <x v="1"/>
    <n v="2"/>
    <n v="1"/>
    <x v="1"/>
    <n v="2"/>
    <s v="Married"/>
    <n v="2368"/>
    <n v="1"/>
    <s v="No"/>
    <n v="19"/>
    <n v="3"/>
    <n v="0"/>
    <n v="5"/>
    <n v="3"/>
    <n v="5"/>
    <n v="4"/>
    <n v="3"/>
    <s v="Graduation"/>
    <d v="2016-02-23T00:00:00"/>
    <m/>
    <s v="Dept.Head"/>
    <x v="1"/>
    <n v="0"/>
    <n v="3"/>
    <s v="Yes"/>
    <s v="Job Portal"/>
    <s v="Contract"/>
    <n v="0"/>
    <s v="Active"/>
    <x v="1"/>
    <x v="0"/>
    <x v="0"/>
  </r>
  <r>
    <n v="32"/>
    <s v="Yes"/>
    <s v="Travel_Rarely"/>
    <x v="0"/>
    <n v="9"/>
    <x v="1"/>
    <n v="3"/>
    <n v="1"/>
    <x v="0"/>
    <n v="1"/>
    <s v="Single"/>
    <n v="4200"/>
    <n v="7"/>
    <s v="No"/>
    <n v="22"/>
    <n v="4"/>
    <n v="0"/>
    <n v="10"/>
    <n v="2"/>
    <n v="5"/>
    <n v="0"/>
    <n v="4"/>
    <s v="12th"/>
    <d v="2016-02-22T00:00:00"/>
    <m/>
    <s v="Work Environment"/>
    <x v="1"/>
    <n v="5"/>
    <n v="1"/>
    <s v="Yes"/>
    <s v="Walk-in"/>
    <s v="Contract"/>
    <n v="1"/>
    <s v="Active"/>
    <x v="1"/>
    <x v="0"/>
    <x v="0"/>
  </r>
  <r>
    <n v="30"/>
    <s v="No"/>
    <s v="Travel_Rarely"/>
    <x v="0"/>
    <n v="18"/>
    <x v="1"/>
    <n v="3"/>
    <n v="1"/>
    <x v="1"/>
    <n v="3"/>
    <s v="Single"/>
    <n v="2632"/>
    <n v="1"/>
    <s v="No"/>
    <n v="14"/>
    <n v="3"/>
    <n v="0"/>
    <n v="5"/>
    <n v="4"/>
    <n v="5"/>
    <n v="0"/>
    <n v="4"/>
    <s v="12th"/>
    <d v="2016-03-01T00:00:00"/>
    <m/>
    <s v="Work Accident"/>
    <x v="0"/>
    <n v="1"/>
    <n v="3"/>
    <s v="No"/>
    <s v="Job Event"/>
    <s v="FullTime"/>
    <n v="0"/>
    <s v="Active"/>
    <x v="1"/>
    <x v="0"/>
    <x v="0"/>
  </r>
  <r>
    <n v="30"/>
    <s v="No"/>
    <s v="Travel_Rarely"/>
    <x v="0"/>
    <n v="2"/>
    <x v="0"/>
    <n v="2"/>
    <n v="1"/>
    <x v="0"/>
    <n v="4"/>
    <s v="Single"/>
    <n v="2720"/>
    <n v="0"/>
    <s v="No"/>
    <n v="13"/>
    <n v="3"/>
    <n v="0"/>
    <n v="6"/>
    <n v="3"/>
    <n v="5"/>
    <n v="1"/>
    <n v="2"/>
    <s v="PHD"/>
    <d v="2016-06-05T00:00:00"/>
    <m/>
    <s v="Better Opportunity"/>
    <x v="1"/>
    <n v="1"/>
    <n v="1"/>
    <s v="Yes"/>
    <s v="Job Event"/>
    <s v="Contract"/>
    <n v="0"/>
    <s v="Active"/>
    <x v="1"/>
    <x v="0"/>
    <x v="0"/>
  </r>
  <r>
    <n v="41"/>
    <s v="No"/>
    <s v="Travel_Rarely"/>
    <x v="0"/>
    <n v="9"/>
    <x v="0"/>
    <n v="3"/>
    <n v="1"/>
    <x v="0"/>
    <n v="1"/>
    <s v="Married"/>
    <n v="2238"/>
    <n v="2"/>
    <s v="No"/>
    <n v="21"/>
    <n v="4"/>
    <n v="1"/>
    <n v="7"/>
    <n v="2"/>
    <n v="5"/>
    <n v="1"/>
    <n v="4"/>
    <s v="Post-Graduation"/>
    <d v="2016-02-02T00:00:00"/>
    <m/>
    <s v="Work Environment"/>
    <x v="1"/>
    <n v="1"/>
    <n v="2"/>
    <s v="No"/>
    <s v="Recruiter"/>
    <s v="Part Time"/>
    <n v="0"/>
    <s v="Active"/>
    <x v="1"/>
    <x v="0"/>
    <x v="0"/>
  </r>
  <r>
    <n v="28"/>
    <s v="No"/>
    <s v="Travel_Rarely"/>
    <x v="0"/>
    <n v="21"/>
    <x v="0"/>
    <n v="3"/>
    <n v="1"/>
    <x v="1"/>
    <n v="4"/>
    <s v="Married"/>
    <n v="2713"/>
    <n v="1"/>
    <s v="No"/>
    <n v="11"/>
    <n v="3"/>
    <n v="1"/>
    <n v="5"/>
    <n v="2"/>
    <n v="5"/>
    <n v="0"/>
    <n v="2"/>
    <s v="Post-Graduation"/>
    <d v="2016-04-20T00:00:00"/>
    <m/>
    <s v="Work Environment"/>
    <x v="1"/>
    <n v="2"/>
    <n v="0"/>
    <s v="No"/>
    <s v="Job Event"/>
    <s v="FullTime"/>
    <n v="0"/>
    <s v="Active"/>
    <x v="1"/>
    <x v="0"/>
    <x v="0"/>
  </r>
  <r>
    <n v="57"/>
    <s v="No"/>
    <s v="Travel_Rarely"/>
    <x v="0"/>
    <n v="24"/>
    <x v="0"/>
    <n v="4"/>
    <n v="3"/>
    <x v="7"/>
    <n v="4"/>
    <s v="Divorced"/>
    <n v="9439"/>
    <n v="3"/>
    <s v="Yes"/>
    <n v="16"/>
    <n v="3"/>
    <n v="1"/>
    <n v="12"/>
    <n v="2"/>
    <n v="5"/>
    <n v="1"/>
    <n v="4"/>
    <s v="12th"/>
    <d v="2016-05-18T00:00:00"/>
    <m/>
    <s v="Work Environment"/>
    <x v="1"/>
    <n v="4"/>
    <n v="2"/>
    <s v="Yes"/>
    <s v="Job Portal"/>
    <s v="FullTime"/>
    <n v="0"/>
    <s v="Active"/>
    <x v="1"/>
    <x v="1"/>
    <x v="3"/>
  </r>
  <r>
    <n v="50"/>
    <s v="No"/>
    <s v="Travel_Rarely"/>
    <x v="0"/>
    <n v="11"/>
    <x v="1"/>
    <n v="3"/>
    <n v="5"/>
    <x v="5"/>
    <n v="2"/>
    <s v="Single"/>
    <n v="19926"/>
    <n v="3"/>
    <s v="No"/>
    <n v="15"/>
    <n v="3"/>
    <n v="0"/>
    <n v="21"/>
    <n v="5"/>
    <n v="5"/>
    <n v="4"/>
    <n v="4"/>
    <s v="Graduation"/>
    <d v="2016-05-02T00:00:00"/>
    <m/>
    <s v="Work Accident"/>
    <x v="0"/>
    <n v="2"/>
    <n v="1"/>
    <s v="Yes"/>
    <s v="Job Portal"/>
    <s v="Part Time"/>
    <n v="0"/>
    <s v="Active"/>
    <x v="1"/>
    <x v="1"/>
    <x v="1"/>
  </r>
  <r>
    <n v="32"/>
    <s v="No"/>
    <s v="Travel_Rarely"/>
    <x v="0"/>
    <n v="6"/>
    <x v="0"/>
    <n v="3"/>
    <n v="1"/>
    <x v="1"/>
    <n v="3"/>
    <s v="Single"/>
    <n v="3038"/>
    <n v="3"/>
    <s v="No"/>
    <n v="20"/>
    <n v="4"/>
    <n v="0"/>
    <n v="8"/>
    <n v="2"/>
    <n v="5"/>
    <n v="1"/>
    <n v="4"/>
    <s v="PHD"/>
    <d v="2016-01-10T00:00:00"/>
    <m/>
    <s v="Better Opportunity"/>
    <x v="0"/>
    <n v="4"/>
    <n v="1"/>
    <s v="No"/>
    <s v="Job Portal"/>
    <s v="Part Time"/>
    <n v="0"/>
    <s v="Active"/>
    <x v="1"/>
    <x v="0"/>
    <x v="0"/>
  </r>
  <r>
    <n v="27"/>
    <s v="No"/>
    <s v="Travel_Rarely"/>
    <x v="0"/>
    <n v="17"/>
    <x v="0"/>
    <n v="3"/>
    <n v="1"/>
    <x v="1"/>
    <n v="2"/>
    <s v="Married"/>
    <n v="3058"/>
    <n v="0"/>
    <s v="Yes"/>
    <n v="16"/>
    <n v="3"/>
    <n v="1"/>
    <n v="6"/>
    <n v="3"/>
    <n v="5"/>
    <n v="1"/>
    <n v="1"/>
    <s v="12th"/>
    <d v="2016-04-22T00:00:00"/>
    <m/>
    <s v="Work Accident"/>
    <x v="1"/>
    <n v="3"/>
    <n v="2"/>
    <s v="No"/>
    <s v="Walk-in"/>
    <s v="Contract"/>
    <n v="0"/>
    <s v="Active"/>
    <x v="1"/>
    <x v="0"/>
    <x v="0"/>
  </r>
  <r>
    <n v="45"/>
    <s v="No"/>
    <s v="Travel_Rarely"/>
    <x v="1"/>
    <n v="4"/>
    <x v="1"/>
    <n v="3"/>
    <n v="2"/>
    <x v="4"/>
    <n v="1"/>
    <s v="Divorced"/>
    <n v="5006"/>
    <n v="4"/>
    <s v="Yes"/>
    <n v="11"/>
    <n v="3"/>
    <n v="1"/>
    <n v="9"/>
    <n v="3"/>
    <n v="5"/>
    <n v="0"/>
    <n v="3"/>
    <s v="PHD"/>
    <d v="2016-04-05T00:00:00"/>
    <m/>
    <s v="Work Environment"/>
    <x v="1"/>
    <n v="2"/>
    <n v="3"/>
    <s v="No"/>
    <s v="Job Event"/>
    <s v="Contract"/>
    <n v="0"/>
    <s v="Active"/>
    <x v="1"/>
    <x v="0"/>
    <x v="2"/>
  </r>
  <r>
    <n v="43"/>
    <s v="No"/>
    <s v="Non-Travel"/>
    <x v="0"/>
    <n v="7"/>
    <x v="0"/>
    <n v="4"/>
    <n v="1"/>
    <x v="1"/>
    <n v="4"/>
    <s v="Divorced"/>
    <n v="2089"/>
    <n v="4"/>
    <s v="No"/>
    <n v="14"/>
    <n v="3"/>
    <n v="3"/>
    <n v="7"/>
    <n v="3"/>
    <n v="5"/>
    <n v="2"/>
    <n v="2"/>
    <s v="12th"/>
    <d v="2016-01-04T00:00:00"/>
    <m/>
    <s v="Better Opportunity"/>
    <x v="1"/>
    <n v="3"/>
    <n v="3"/>
    <s v="No"/>
    <s v="Recruiter"/>
    <s v="FullTime"/>
    <n v="0"/>
    <s v="Active"/>
    <x v="1"/>
    <x v="0"/>
    <x v="0"/>
  </r>
  <r>
    <n v="42"/>
    <s v="No"/>
    <s v="Non-Travel"/>
    <x v="0"/>
    <n v="21"/>
    <x v="1"/>
    <n v="3"/>
    <n v="2"/>
    <x v="6"/>
    <n v="3"/>
    <s v="Divorced"/>
    <n v="5265"/>
    <n v="2"/>
    <s v="No"/>
    <n v="16"/>
    <n v="3"/>
    <n v="1"/>
    <n v="11"/>
    <n v="5"/>
    <n v="5"/>
    <n v="0"/>
    <n v="2"/>
    <s v="12th"/>
    <d v="2016-06-02T00:00:00"/>
    <m/>
    <s v="Better Opportunity"/>
    <x v="1"/>
    <n v="2"/>
    <n v="0"/>
    <s v="No"/>
    <s v="Walk-in"/>
    <s v="Contract"/>
    <n v="0"/>
    <s v="Active"/>
    <x v="1"/>
    <x v="0"/>
    <x v="3"/>
  </r>
  <r>
    <n v="34"/>
    <s v="No"/>
    <s v="Travel_Frequently"/>
    <x v="0"/>
    <n v="10"/>
    <x v="0"/>
    <n v="3"/>
    <n v="1"/>
    <x v="1"/>
    <n v="3"/>
    <s v="Divorced"/>
    <n v="3815"/>
    <n v="1"/>
    <s v="Yes"/>
    <n v="17"/>
    <n v="3"/>
    <n v="1"/>
    <n v="5"/>
    <n v="4"/>
    <n v="5"/>
    <n v="2"/>
    <n v="0"/>
    <s v="PHD"/>
    <d v="2016-03-15T00:00:00"/>
    <m/>
    <s v="Salary"/>
    <x v="0"/>
    <n v="0"/>
    <n v="2"/>
    <s v="Yes"/>
    <s v="Job Event"/>
    <s v="Contract"/>
    <n v="0"/>
    <s v="Active"/>
    <x v="1"/>
    <x v="0"/>
    <x v="0"/>
  </r>
  <r>
    <n v="30"/>
    <s v="Yes"/>
    <s v="Travel_Rarely"/>
    <x v="0"/>
    <n v="3"/>
    <x v="1"/>
    <n v="3"/>
    <n v="1"/>
    <x v="1"/>
    <n v="1"/>
    <s v="Single"/>
    <n v="2657"/>
    <n v="5"/>
    <s v="Yes"/>
    <n v="11"/>
    <n v="3"/>
    <n v="0"/>
    <n v="8"/>
    <n v="5"/>
    <n v="5"/>
    <n v="0"/>
    <n v="4"/>
    <s v="Graduation"/>
    <d v="2016-01-28T00:00:00"/>
    <m/>
    <s v="Work Accident"/>
    <x v="0"/>
    <n v="4"/>
    <n v="0"/>
    <s v="No"/>
    <s v="Walk-in"/>
    <s v="Contract"/>
    <n v="1"/>
    <s v="Active"/>
    <x v="1"/>
    <x v="0"/>
    <x v="0"/>
  </r>
  <r>
    <n v="31"/>
    <s v="No"/>
    <s v="Non-Travel"/>
    <x v="0"/>
    <n v="1"/>
    <x v="0"/>
    <n v="1"/>
    <n v="2"/>
    <x v="6"/>
    <n v="3"/>
    <s v="Married"/>
    <n v="4345"/>
    <n v="0"/>
    <s v="No"/>
    <n v="12"/>
    <n v="3"/>
    <n v="1"/>
    <n v="6"/>
    <n v="2"/>
    <n v="5"/>
    <n v="1"/>
    <n v="4"/>
    <s v="Post-Graduation"/>
    <d v="2016-01-17T00:00:00"/>
    <m/>
    <s v="Better Opportunity"/>
    <x v="1"/>
    <n v="5"/>
    <n v="1"/>
    <s v="No"/>
    <s v="Job Portal"/>
    <s v="Part Time"/>
    <n v="0"/>
    <s v="Active"/>
    <x v="1"/>
    <x v="0"/>
    <x v="3"/>
  </r>
  <r>
    <n v="33"/>
    <s v="Yes"/>
    <s v="Travel_Rarely"/>
    <x v="0"/>
    <n v="14"/>
    <x v="0"/>
    <n v="3"/>
    <n v="1"/>
    <x v="0"/>
    <n v="4"/>
    <s v="Married"/>
    <n v="2436"/>
    <n v="5"/>
    <s v="Yes"/>
    <n v="13"/>
    <n v="3"/>
    <n v="1"/>
    <n v="8"/>
    <n v="2"/>
    <n v="5"/>
    <n v="0"/>
    <n v="4"/>
    <s v="PHD"/>
    <d v="2016-06-08T00:00:00"/>
    <m/>
    <s v="Salary"/>
    <x v="1"/>
    <n v="1"/>
    <n v="1"/>
    <s v="Yes"/>
    <s v="Job Portal"/>
    <s v="Contract"/>
    <n v="1"/>
    <s v="Active"/>
    <x v="1"/>
    <x v="0"/>
    <x v="0"/>
  </r>
  <r>
    <n v="31"/>
    <s v="Yes"/>
    <s v="Travel_Frequently"/>
    <x v="0"/>
    <n v="29"/>
    <x v="0"/>
    <n v="2"/>
    <n v="1"/>
    <x v="0"/>
    <n v="2"/>
    <s v="Single"/>
    <n v="3479"/>
    <n v="0"/>
    <s v="No"/>
    <n v="11"/>
    <n v="3"/>
    <n v="0"/>
    <n v="6"/>
    <n v="2"/>
    <n v="5"/>
    <n v="1"/>
    <n v="4"/>
    <s v="Post-Graduation"/>
    <d v="2016-06-11T00:00:00"/>
    <m/>
    <s v="Work Accident"/>
    <x v="1"/>
    <n v="3"/>
    <n v="2"/>
    <s v="No"/>
    <s v="Job Event"/>
    <s v="Contract"/>
    <n v="1"/>
    <s v="Active"/>
    <x v="1"/>
    <x v="0"/>
    <x v="0"/>
  </r>
  <r>
    <n v="32"/>
    <s v="No"/>
    <s v="Travel_Frequently"/>
    <x v="0"/>
    <n v="7"/>
    <x v="0"/>
    <n v="4"/>
    <n v="1"/>
    <x v="0"/>
    <n v="2"/>
    <s v="Married"/>
    <n v="2794"/>
    <n v="1"/>
    <s v="No"/>
    <n v="20"/>
    <n v="4"/>
    <n v="0"/>
    <n v="5"/>
    <n v="3"/>
    <n v="5"/>
    <n v="0"/>
    <n v="3"/>
    <s v="PHD"/>
    <d v="2016-01-02T00:00:00"/>
    <m/>
    <s v="Salary"/>
    <x v="1"/>
    <n v="4"/>
    <n v="1"/>
    <s v="No"/>
    <s v="Walk-in"/>
    <s v="Part Time"/>
    <n v="0"/>
    <s v="Active"/>
    <x v="1"/>
    <x v="0"/>
    <x v="0"/>
  </r>
  <r>
    <n v="28"/>
    <s v="No"/>
    <s v="Travel_Rarely"/>
    <x v="0"/>
    <n v="9"/>
    <x v="0"/>
    <n v="3"/>
    <n v="1"/>
    <x v="1"/>
    <n v="4"/>
    <s v="Married"/>
    <n v="2070"/>
    <n v="1"/>
    <s v="No"/>
    <n v="23"/>
    <n v="4"/>
    <n v="1"/>
    <n v="5"/>
    <n v="3"/>
    <n v="5"/>
    <n v="0"/>
    <n v="4"/>
    <s v="Post-Graduation"/>
    <d v="2016-06-08T00:00:00"/>
    <m/>
    <s v="Salary"/>
    <x v="1"/>
    <n v="5"/>
    <n v="0"/>
    <s v="No"/>
    <s v="Job Event"/>
    <s v="FullTime"/>
    <n v="0"/>
    <s v="Active"/>
    <x v="1"/>
    <x v="0"/>
    <x v="0"/>
  </r>
  <r>
    <n v="37"/>
    <s v="No"/>
    <s v="Travel_Rarely"/>
    <x v="1"/>
    <n v="6"/>
    <x v="0"/>
    <n v="3"/>
    <n v="2"/>
    <x v="4"/>
    <n v="4"/>
    <s v="Married"/>
    <n v="6502"/>
    <n v="4"/>
    <s v="No"/>
    <n v="14"/>
    <n v="3"/>
    <n v="1"/>
    <n v="7"/>
    <n v="5"/>
    <n v="5"/>
    <n v="0"/>
    <n v="1"/>
    <s v="12th"/>
    <d v="2016-05-08T00:00:00"/>
    <m/>
    <s v="Dept.Head"/>
    <x v="1"/>
    <n v="3"/>
    <n v="2"/>
    <s v="Yes"/>
    <s v="Walk-in"/>
    <s v="Contract"/>
    <n v="0"/>
    <s v="Active"/>
    <x v="1"/>
    <x v="0"/>
    <x v="2"/>
  </r>
  <r>
    <n v="37"/>
    <s v="No"/>
    <s v="Non-Travel"/>
    <x v="0"/>
    <n v="1"/>
    <x v="1"/>
    <n v="3"/>
    <n v="3"/>
    <x v="2"/>
    <n v="4"/>
    <s v="Divorced"/>
    <n v="13603"/>
    <n v="2"/>
    <s v="Yes"/>
    <n v="18"/>
    <n v="3"/>
    <n v="2"/>
    <n v="15"/>
    <n v="2"/>
    <n v="5"/>
    <n v="0"/>
    <n v="2"/>
    <s v="PHD"/>
    <d v="2016-05-13T00:00:00"/>
    <m/>
    <s v="Salary"/>
    <x v="0"/>
    <n v="2"/>
    <n v="2"/>
    <s v="No"/>
    <s v="Walk-in"/>
    <s v="Part Time"/>
    <n v="0"/>
    <s v="Active"/>
    <x v="1"/>
    <x v="1"/>
    <x v="1"/>
  </r>
  <r>
    <n v="53"/>
    <s v="No"/>
    <s v="Travel_Rarely"/>
    <x v="0"/>
    <n v="3"/>
    <x v="0"/>
    <n v="3"/>
    <n v="4"/>
    <x v="2"/>
    <n v="3"/>
    <s v="Married"/>
    <n v="17584"/>
    <n v="3"/>
    <s v="Yes"/>
    <n v="16"/>
    <n v="3"/>
    <n v="3"/>
    <n v="21"/>
    <n v="5"/>
    <n v="5"/>
    <n v="1"/>
    <n v="3"/>
    <s v="12th"/>
    <d v="2016-06-23T00:00:00"/>
    <m/>
    <s v="Better Opportunity"/>
    <x v="0"/>
    <n v="0"/>
    <n v="0"/>
    <s v="Yes"/>
    <s v="Job Event"/>
    <s v="Part Time"/>
    <n v="0"/>
    <s v="Active"/>
    <x v="1"/>
    <x v="1"/>
    <x v="1"/>
  </r>
  <r>
    <n v="26"/>
    <s v="No"/>
    <s v="Travel_Frequently"/>
    <x v="0"/>
    <n v="11"/>
    <x v="0"/>
    <n v="3"/>
    <n v="2"/>
    <x v="7"/>
    <n v="1"/>
    <s v="Married"/>
    <n v="4741"/>
    <n v="1"/>
    <s v="Yes"/>
    <n v="13"/>
    <n v="3"/>
    <n v="1"/>
    <n v="5"/>
    <n v="3"/>
    <n v="5"/>
    <n v="3"/>
    <n v="3"/>
    <s v="PHD"/>
    <d v="2016-03-06T00:00:00"/>
    <m/>
    <s v="Dept.Head"/>
    <x v="1"/>
    <n v="4"/>
    <n v="1"/>
    <s v="Yes"/>
    <s v="Walk-in"/>
    <s v="Part Time"/>
    <n v="0"/>
    <s v="Active"/>
    <x v="1"/>
    <x v="0"/>
    <x v="3"/>
  </r>
  <r>
    <n v="28"/>
    <s v="No"/>
    <s v="Travel_Rarely"/>
    <x v="0"/>
    <n v="8"/>
    <x v="1"/>
    <n v="3"/>
    <n v="1"/>
    <x v="1"/>
    <n v="4"/>
    <s v="Single"/>
    <n v="3310"/>
    <n v="1"/>
    <s v="No"/>
    <n v="21"/>
    <n v="4"/>
    <n v="0"/>
    <n v="5"/>
    <n v="3"/>
    <n v="5"/>
    <n v="0"/>
    <n v="2"/>
    <s v="12th"/>
    <d v="2016-06-25T00:00:00"/>
    <m/>
    <s v="Work Accident"/>
    <x v="1"/>
    <n v="5"/>
    <n v="3"/>
    <s v="Yes"/>
    <s v="Job Event"/>
    <s v="FullTime"/>
    <n v="0"/>
    <s v="Active"/>
    <x v="1"/>
    <x v="0"/>
    <x v="0"/>
  </r>
  <r>
    <n v="58"/>
    <s v="No"/>
    <s v="Non-Travel"/>
    <x v="0"/>
    <n v="1"/>
    <x v="0"/>
    <n v="1"/>
    <n v="2"/>
    <x v="7"/>
    <n v="3"/>
    <s v="Divorced"/>
    <n v="5660"/>
    <n v="2"/>
    <s v="Yes"/>
    <n v="13"/>
    <n v="3"/>
    <n v="1"/>
    <n v="12"/>
    <n v="2"/>
    <n v="5"/>
    <n v="1"/>
    <n v="2"/>
    <s v="12th"/>
    <d v="2016-01-10T00:00:00"/>
    <m/>
    <s v="Dept.Head"/>
    <x v="0"/>
    <n v="4"/>
    <n v="2"/>
    <s v="Yes"/>
    <s v="Walk-in"/>
    <s v="Part Time"/>
    <n v="0"/>
    <s v="Active"/>
    <x v="1"/>
    <x v="0"/>
    <x v="3"/>
  </r>
  <r>
    <n v="31"/>
    <s v="No"/>
    <s v="Travel_Rarely"/>
    <x v="0"/>
    <n v="5"/>
    <x v="0"/>
    <n v="3"/>
    <n v="1"/>
    <x v="1"/>
    <n v="4"/>
    <s v="Married"/>
    <n v="4821"/>
    <n v="0"/>
    <s v="Yes"/>
    <n v="12"/>
    <n v="3"/>
    <n v="1"/>
    <n v="6"/>
    <n v="4"/>
    <n v="5"/>
    <n v="0"/>
    <n v="3"/>
    <s v="Graduation"/>
    <d v="2016-05-24T00:00:00"/>
    <m/>
    <s v="Dept.Head"/>
    <x v="1"/>
    <n v="1"/>
    <n v="0"/>
    <s v="Yes"/>
    <s v="Recruiter"/>
    <s v="Part Time"/>
    <n v="0"/>
    <s v="Active"/>
    <x v="1"/>
    <x v="0"/>
    <x v="0"/>
  </r>
  <r>
    <n v="27"/>
    <s v="No"/>
    <s v="Travel_Rarely"/>
    <x v="1"/>
    <n v="2"/>
    <x v="0"/>
    <n v="3"/>
    <n v="2"/>
    <x v="4"/>
    <n v="3"/>
    <s v="Single"/>
    <n v="4478"/>
    <n v="1"/>
    <s v="Yes"/>
    <n v="11"/>
    <n v="3"/>
    <n v="0"/>
    <n v="5"/>
    <n v="3"/>
    <n v="5"/>
    <n v="0"/>
    <n v="4"/>
    <s v="12th"/>
    <d v="2016-03-24T00:00:00"/>
    <m/>
    <s v="Better Opportunity"/>
    <x v="1"/>
    <n v="5"/>
    <n v="2"/>
    <s v="Yes"/>
    <s v="Job Portal"/>
    <s v="Part Time"/>
    <n v="0"/>
    <s v="Active"/>
    <x v="1"/>
    <x v="0"/>
    <x v="2"/>
  </r>
  <r>
    <n v="27"/>
    <s v="No"/>
    <s v="Non-Travel"/>
    <x v="1"/>
    <n v="1"/>
    <x v="0"/>
    <n v="3"/>
    <n v="2"/>
    <x v="4"/>
    <n v="2"/>
    <s v="Married"/>
    <n v="6349"/>
    <n v="0"/>
    <s v="Yes"/>
    <n v="13"/>
    <n v="3"/>
    <n v="1"/>
    <n v="6"/>
    <n v="0"/>
    <n v="5"/>
    <n v="1"/>
    <n v="4"/>
    <s v="PHD"/>
    <d v="2016-03-28T00:00:00"/>
    <m/>
    <s v="Salary"/>
    <x v="0"/>
    <n v="2"/>
    <n v="2"/>
    <s v="No"/>
    <s v="Recruiter"/>
    <s v="FullTime"/>
    <n v="0"/>
    <s v="Active"/>
    <x v="1"/>
    <x v="0"/>
    <x v="2"/>
  </r>
  <r>
    <n v="41"/>
    <s v="No"/>
    <s v="Travel_Rarely"/>
    <x v="0"/>
    <n v="6"/>
    <x v="0"/>
    <n v="2"/>
    <n v="2"/>
    <x v="6"/>
    <n v="2"/>
    <s v="Single"/>
    <n v="6032"/>
    <n v="6"/>
    <s v="Yes"/>
    <n v="15"/>
    <n v="3"/>
    <n v="0"/>
    <n v="8"/>
    <n v="3"/>
    <n v="5"/>
    <n v="1"/>
    <n v="2"/>
    <s v="12th"/>
    <d v="2016-05-13T00:00:00"/>
    <m/>
    <s v="Dept.Head"/>
    <x v="1"/>
    <n v="1"/>
    <n v="1"/>
    <s v="No"/>
    <s v="Job Portal"/>
    <s v="Part Time"/>
    <n v="0"/>
    <s v="Active"/>
    <x v="1"/>
    <x v="0"/>
    <x v="3"/>
  </r>
  <r>
    <n v="37"/>
    <s v="No"/>
    <s v="Travel_Rarely"/>
    <x v="0"/>
    <n v="10"/>
    <x v="1"/>
    <n v="3"/>
    <n v="1"/>
    <x v="0"/>
    <n v="1"/>
    <s v="Married"/>
    <n v="3452"/>
    <n v="6"/>
    <s v="No"/>
    <n v="20"/>
    <n v="4"/>
    <n v="1"/>
    <n v="17"/>
    <n v="3"/>
    <n v="5"/>
    <n v="0"/>
    <n v="3"/>
    <s v="PHD"/>
    <d v="2016-03-15T00:00:00"/>
    <m/>
    <s v="Salary"/>
    <x v="0"/>
    <n v="4"/>
    <n v="1"/>
    <s v="No"/>
    <s v="Job Portal"/>
    <s v="Contract"/>
    <n v="0"/>
    <s v="Active"/>
    <x v="1"/>
    <x v="0"/>
    <x v="0"/>
  </r>
  <r>
    <n v="27"/>
    <s v="No"/>
    <s v="Travel_Rarely"/>
    <x v="0"/>
    <n v="1"/>
    <x v="0"/>
    <n v="3"/>
    <n v="1"/>
    <x v="0"/>
    <n v="2"/>
    <s v="Divorced"/>
    <n v="3816"/>
    <n v="1"/>
    <s v="No"/>
    <n v="11"/>
    <n v="3"/>
    <n v="1"/>
    <n v="5"/>
    <n v="2"/>
    <n v="5"/>
    <n v="0"/>
    <n v="4"/>
    <s v="12th"/>
    <d v="2016-04-26T00:00:00"/>
    <m/>
    <s v="Dept.Head"/>
    <x v="1"/>
    <n v="5"/>
    <n v="0"/>
    <s v="Yes"/>
    <s v="Job Portal"/>
    <s v="Contract"/>
    <n v="0"/>
    <s v="Active"/>
    <x v="1"/>
    <x v="0"/>
    <x v="0"/>
  </r>
  <r>
    <n v="49"/>
    <s v="No"/>
    <s v="Travel_Rarely"/>
    <x v="0"/>
    <n v="7"/>
    <x v="0"/>
    <n v="2"/>
    <n v="3"/>
    <x v="7"/>
    <n v="3"/>
    <s v="Single"/>
    <n v="10965"/>
    <n v="8"/>
    <s v="No"/>
    <n v="24"/>
    <n v="4"/>
    <n v="0"/>
    <n v="26"/>
    <n v="2"/>
    <n v="5"/>
    <n v="0"/>
    <n v="0"/>
    <s v="Graduation"/>
    <d v="2016-04-07T00:00:00"/>
    <m/>
    <s v="Dept.Head"/>
    <x v="0"/>
    <n v="3"/>
    <n v="0"/>
    <s v="Yes"/>
    <s v="Walk-in"/>
    <s v="Part Time"/>
    <n v="0"/>
    <s v="Active"/>
    <x v="1"/>
    <x v="1"/>
    <x v="3"/>
  </r>
  <r>
    <n v="34"/>
    <s v="Yes"/>
    <s v="Non-Travel"/>
    <x v="1"/>
    <n v="19"/>
    <x v="0"/>
    <n v="4"/>
    <n v="2"/>
    <x v="4"/>
    <n v="4"/>
    <s v="Single"/>
    <n v="5304"/>
    <n v="8"/>
    <s v="Yes"/>
    <n v="13"/>
    <n v="3"/>
    <n v="0"/>
    <n v="9"/>
    <n v="3"/>
    <n v="5"/>
    <n v="0"/>
    <n v="4"/>
    <s v="12th"/>
    <d v="2016-04-01T00:00:00"/>
    <m/>
    <s v="Better Opportunity"/>
    <x v="1"/>
    <n v="0"/>
    <n v="3"/>
    <s v="Yes"/>
    <s v="Job Event"/>
    <s v="Contract"/>
    <n v="1"/>
    <s v="Active"/>
    <x v="1"/>
    <x v="0"/>
    <x v="2"/>
  </r>
  <r>
    <n v="55"/>
    <s v="No"/>
    <s v="Travel_Rarely"/>
    <x v="0"/>
    <n v="2"/>
    <x v="1"/>
    <n v="3"/>
    <n v="4"/>
    <x v="5"/>
    <n v="4"/>
    <s v="Single"/>
    <n v="16659"/>
    <n v="2"/>
    <s v="Yes"/>
    <n v="13"/>
    <n v="3"/>
    <n v="0"/>
    <n v="30"/>
    <n v="2"/>
    <n v="5"/>
    <n v="1"/>
    <n v="2"/>
    <s v="Graduation"/>
    <d v="2016-01-07T00:00:00"/>
    <m/>
    <s v="Salary"/>
    <x v="0"/>
    <n v="0"/>
    <n v="3"/>
    <s v="Yes"/>
    <s v="Job Portal"/>
    <s v="FullTime"/>
    <n v="0"/>
    <s v="Active"/>
    <x v="1"/>
    <x v="1"/>
    <x v="1"/>
  </r>
  <r>
    <n v="24"/>
    <s v="No"/>
    <s v="Travel_Rarely"/>
    <x v="1"/>
    <n v="10"/>
    <x v="1"/>
    <n v="3"/>
    <n v="2"/>
    <x v="4"/>
    <n v="3"/>
    <s v="Divorced"/>
    <n v="4260"/>
    <n v="1"/>
    <s v="Yes"/>
    <n v="12"/>
    <n v="3"/>
    <n v="1"/>
    <n v="5"/>
    <n v="2"/>
    <n v="5"/>
    <n v="0"/>
    <n v="3"/>
    <s v="12th"/>
    <d v="2016-01-08T00:00:00"/>
    <m/>
    <s v="Better Opportunity"/>
    <x v="1"/>
    <n v="2"/>
    <n v="0"/>
    <s v="No"/>
    <s v="Job Portal"/>
    <s v="FullTime"/>
    <n v="0"/>
    <s v="Active"/>
    <x v="1"/>
    <x v="0"/>
    <x v="2"/>
  </r>
  <r>
    <n v="40"/>
    <s v="No"/>
    <s v="Travel_Rarely"/>
    <x v="1"/>
    <n v="2"/>
    <x v="1"/>
    <n v="3"/>
    <n v="2"/>
    <x v="4"/>
    <n v="2"/>
    <s v="Divorced"/>
    <n v="5715"/>
    <n v="7"/>
    <s v="No"/>
    <n v="12"/>
    <n v="3"/>
    <n v="2"/>
    <n v="8"/>
    <n v="5"/>
    <n v="5"/>
    <n v="1"/>
    <n v="3"/>
    <s v="PHD"/>
    <d v="2016-02-09T00:00:00"/>
    <m/>
    <s v="Better Opportunity"/>
    <x v="1"/>
    <n v="3"/>
    <n v="3"/>
    <s v="Yes"/>
    <s v="Recruiter"/>
    <s v="FullTime"/>
    <n v="0"/>
    <s v="Active"/>
    <x v="1"/>
    <x v="0"/>
    <x v="2"/>
  </r>
  <r>
    <n v="42"/>
    <s v="No"/>
    <s v="Travel_Rarely"/>
    <x v="0"/>
    <n v="1"/>
    <x v="1"/>
    <n v="3"/>
    <n v="1"/>
    <x v="0"/>
    <n v="1"/>
    <s v="Divorced"/>
    <n v="2576"/>
    <n v="3"/>
    <s v="No"/>
    <n v="16"/>
    <n v="3"/>
    <n v="1"/>
    <n v="8"/>
    <n v="5"/>
    <n v="5"/>
    <n v="1"/>
    <n v="2"/>
    <s v="Graduation"/>
    <d v="2016-04-17T00:00:00"/>
    <m/>
    <s v="Work Environment"/>
    <x v="1"/>
    <n v="4"/>
    <n v="2"/>
    <s v="No"/>
    <s v="Job Event"/>
    <s v="Contract"/>
    <n v="0"/>
    <s v="Active"/>
    <x v="1"/>
    <x v="0"/>
    <x v="0"/>
  </r>
  <r>
    <n v="43"/>
    <s v="No"/>
    <s v="Travel_Rarely"/>
    <x v="0"/>
    <n v="8"/>
    <x v="1"/>
    <n v="3"/>
    <n v="2"/>
    <x v="7"/>
    <n v="3"/>
    <s v="Divorced"/>
    <n v="4522"/>
    <n v="4"/>
    <s v="Yes"/>
    <n v="14"/>
    <n v="3"/>
    <n v="0"/>
    <n v="8"/>
    <n v="3"/>
    <n v="5"/>
    <n v="0"/>
    <n v="2"/>
    <s v="12th"/>
    <d v="2016-02-24T00:00:00"/>
    <m/>
    <s v="Work Accident"/>
    <x v="0"/>
    <n v="3"/>
    <n v="2"/>
    <s v="No"/>
    <s v="Job Portal"/>
    <s v="Contract"/>
    <n v="0"/>
    <s v="Active"/>
    <x v="1"/>
    <x v="0"/>
    <x v="3"/>
  </r>
  <r>
    <n v="25"/>
    <s v="No"/>
    <s v="Travel_Rarely"/>
    <x v="1"/>
    <n v="4"/>
    <x v="1"/>
    <n v="2"/>
    <n v="2"/>
    <x v="4"/>
    <n v="4"/>
    <s v="Single"/>
    <n v="4487"/>
    <n v="1"/>
    <s v="Yes"/>
    <n v="11"/>
    <n v="3"/>
    <n v="0"/>
    <n v="5"/>
    <n v="3"/>
    <n v="5"/>
    <n v="1"/>
    <n v="3"/>
    <s v="Post-Graduation"/>
    <d v="2016-04-18T00:00:00"/>
    <m/>
    <s v="Salary"/>
    <x v="1"/>
    <n v="1"/>
    <n v="1"/>
    <s v="Yes"/>
    <s v="Recruiter"/>
    <s v="Part Time"/>
    <n v="0"/>
    <s v="Active"/>
    <x v="1"/>
    <x v="0"/>
    <x v="2"/>
  </r>
  <r>
    <n v="30"/>
    <s v="No"/>
    <s v="Travel_Rarely"/>
    <x v="1"/>
    <n v="12"/>
    <x v="1"/>
    <n v="3"/>
    <n v="2"/>
    <x v="4"/>
    <n v="3"/>
    <s v="Single"/>
    <n v="6577"/>
    <n v="0"/>
    <s v="No"/>
    <n v="11"/>
    <n v="3"/>
    <n v="0"/>
    <n v="6"/>
    <n v="6"/>
    <n v="5"/>
    <n v="4"/>
    <n v="4"/>
    <s v="PHD"/>
    <d v="2016-01-30T00:00:00"/>
    <m/>
    <s v="Salary"/>
    <x v="1"/>
    <n v="1"/>
    <n v="1"/>
    <s v="Yes"/>
    <s v="Job Event"/>
    <s v="Contract"/>
    <n v="0"/>
    <s v="Active"/>
    <x v="1"/>
    <x v="0"/>
    <x v="2"/>
  </r>
  <r>
    <n v="52"/>
    <s v="No"/>
    <s v="Travel_Rarely"/>
    <x v="0"/>
    <n v="3"/>
    <x v="0"/>
    <n v="2"/>
    <n v="3"/>
    <x v="6"/>
    <n v="3"/>
    <s v="Married"/>
    <n v="7969"/>
    <n v="2"/>
    <s v="Yes"/>
    <n v="14"/>
    <n v="3"/>
    <n v="0"/>
    <n v="28"/>
    <n v="4"/>
    <n v="5"/>
    <n v="0"/>
    <n v="4"/>
    <s v="PHD"/>
    <d v="2016-01-15T00:00:00"/>
    <m/>
    <s v="Salary"/>
    <x v="1"/>
    <n v="5"/>
    <n v="1"/>
    <s v="Yes"/>
    <s v="Walk-in"/>
    <s v="FullTime"/>
    <n v="0"/>
    <s v="Active"/>
    <x v="1"/>
    <x v="1"/>
    <x v="3"/>
  </r>
  <r>
    <n v="52"/>
    <s v="No"/>
    <s v="Travel_Rarely"/>
    <x v="0"/>
    <n v="4"/>
    <x v="1"/>
    <n v="3"/>
    <n v="4"/>
    <x v="5"/>
    <n v="4"/>
    <s v="Married"/>
    <n v="16555"/>
    <n v="2"/>
    <s v="No"/>
    <n v="13"/>
    <n v="3"/>
    <n v="0"/>
    <n v="31"/>
    <n v="2"/>
    <n v="5"/>
    <n v="1"/>
    <n v="4"/>
    <s v="PHD"/>
    <d v="2016-04-01T00:00:00"/>
    <m/>
    <s v="Work Accident"/>
    <x v="1"/>
    <n v="5"/>
    <n v="2"/>
    <s v="Yes"/>
    <s v="Recruiter"/>
    <s v="Part Time"/>
    <n v="0"/>
    <s v="Active"/>
    <x v="1"/>
    <x v="1"/>
    <x v="1"/>
  </r>
  <r>
    <n v="42"/>
    <s v="No"/>
    <s v="Travel_Frequently"/>
    <x v="0"/>
    <n v="29"/>
    <x v="1"/>
    <n v="3"/>
    <n v="2"/>
    <x v="1"/>
    <n v="3"/>
    <s v="Divorced"/>
    <n v="4556"/>
    <n v="2"/>
    <s v="No"/>
    <n v="11"/>
    <n v="3"/>
    <n v="1"/>
    <n v="19"/>
    <n v="3"/>
    <n v="5"/>
    <n v="0"/>
    <n v="2"/>
    <s v="PHD"/>
    <d v="2016-02-12T00:00:00"/>
    <m/>
    <s v="Dept.Head"/>
    <x v="1"/>
    <n v="0"/>
    <n v="2"/>
    <s v="No"/>
    <s v="Walk-in"/>
    <s v="Part Time"/>
    <n v="0"/>
    <s v="Active"/>
    <x v="1"/>
    <x v="0"/>
    <x v="0"/>
  </r>
  <r>
    <n v="30"/>
    <s v="No"/>
    <s v="Travel_Rarely"/>
    <x v="0"/>
    <n v="2"/>
    <x v="1"/>
    <n v="1"/>
    <n v="2"/>
    <x v="6"/>
    <n v="4"/>
    <s v="Single"/>
    <n v="6091"/>
    <n v="2"/>
    <s v="No"/>
    <n v="20"/>
    <n v="4"/>
    <n v="0"/>
    <n v="11"/>
    <n v="2"/>
    <n v="5"/>
    <n v="0"/>
    <n v="2"/>
    <s v="12th"/>
    <d v="2016-06-27T00:00:00"/>
    <m/>
    <s v="Dept.Head"/>
    <x v="1"/>
    <n v="4"/>
    <n v="2"/>
    <s v="Yes"/>
    <s v="Recruiter"/>
    <s v="FullTime"/>
    <n v="0"/>
    <s v="Active"/>
    <x v="1"/>
    <x v="0"/>
    <x v="3"/>
  </r>
  <r>
    <n v="24"/>
    <s v="Yes"/>
    <s v="Travel_Rarely"/>
    <x v="1"/>
    <n v="1"/>
    <x v="1"/>
    <n v="3"/>
    <n v="1"/>
    <x v="3"/>
    <n v="2"/>
    <s v="Single"/>
    <n v="3202"/>
    <n v="1"/>
    <s v="Yes"/>
    <n v="16"/>
    <n v="3"/>
    <n v="0"/>
    <n v="6"/>
    <n v="4"/>
    <n v="5"/>
    <n v="1"/>
    <n v="4"/>
    <s v="Graduation"/>
    <d v="2016-06-22T00:00:00"/>
    <m/>
    <s v="Dept.Head"/>
    <x v="1"/>
    <n v="4"/>
    <n v="3"/>
    <s v="No"/>
    <s v="Recruiter"/>
    <s v="FullTime"/>
    <n v="1"/>
    <s v="Active"/>
    <x v="1"/>
    <x v="0"/>
    <x v="2"/>
  </r>
  <r>
    <n v="30"/>
    <s v="No"/>
    <s v="Non-Travel"/>
    <x v="0"/>
    <n v="3"/>
    <x v="0"/>
    <n v="3"/>
    <n v="1"/>
    <x v="0"/>
    <n v="4"/>
    <s v="Married"/>
    <n v="2097"/>
    <n v="4"/>
    <s v="No"/>
    <n v="15"/>
    <n v="3"/>
    <n v="1"/>
    <n v="9"/>
    <n v="3"/>
    <n v="5"/>
    <n v="1"/>
    <n v="4"/>
    <s v="Graduation"/>
    <d v="2016-05-28T00:00:00"/>
    <m/>
    <s v="Work Accident"/>
    <x v="0"/>
    <n v="3"/>
    <n v="3"/>
    <s v="Yes"/>
    <s v="Walk-in"/>
    <s v="Part Time"/>
    <n v="0"/>
    <s v="Active"/>
    <x v="1"/>
    <x v="0"/>
    <x v="0"/>
  </r>
  <r>
    <n v="47"/>
    <s v="No"/>
    <s v="Travel_Rarely"/>
    <x v="0"/>
    <n v="2"/>
    <x v="1"/>
    <n v="3"/>
    <n v="2"/>
    <x v="6"/>
    <n v="4"/>
    <s v="Divorced"/>
    <n v="5070"/>
    <n v="5"/>
    <s v="No"/>
    <n v="13"/>
    <n v="3"/>
    <n v="3"/>
    <n v="20"/>
    <n v="2"/>
    <n v="5"/>
    <n v="0"/>
    <n v="4"/>
    <s v="Graduation"/>
    <d v="2016-03-27T00:00:00"/>
    <m/>
    <s v="Work Environment"/>
    <x v="1"/>
    <n v="3"/>
    <n v="3"/>
    <s v="Yes"/>
    <s v="Job Event"/>
    <s v="FullTime"/>
    <n v="0"/>
    <s v="Active"/>
    <x v="1"/>
    <x v="0"/>
    <x v="3"/>
  </r>
  <r>
    <n v="35"/>
    <s v="No"/>
    <s v="Travel_Rarely"/>
    <x v="0"/>
    <n v="22"/>
    <x v="0"/>
    <n v="1"/>
    <n v="1"/>
    <x v="0"/>
    <n v="3"/>
    <s v="Single"/>
    <n v="4230"/>
    <n v="0"/>
    <s v="No"/>
    <n v="15"/>
    <n v="3"/>
    <n v="0"/>
    <n v="6"/>
    <n v="2"/>
    <n v="5"/>
    <n v="4"/>
    <n v="3"/>
    <s v="Post-Graduation"/>
    <d v="2016-05-21T00:00:00"/>
    <m/>
    <s v="Salary"/>
    <x v="1"/>
    <n v="3"/>
    <n v="1"/>
    <s v="Yes"/>
    <s v="Job Portal"/>
    <s v="Part Time"/>
    <n v="0"/>
    <s v="Active"/>
    <x v="1"/>
    <x v="0"/>
    <x v="0"/>
  </r>
  <r>
    <n v="31"/>
    <s v="No"/>
    <s v="Travel_Rarely"/>
    <x v="1"/>
    <n v="7"/>
    <x v="0"/>
    <n v="2"/>
    <n v="3"/>
    <x v="5"/>
    <n v="4"/>
    <s v="Divorced"/>
    <n v="11557"/>
    <n v="9"/>
    <s v="No"/>
    <n v="21"/>
    <n v="4"/>
    <n v="1"/>
    <n v="10"/>
    <n v="3"/>
    <n v="5"/>
    <n v="0"/>
    <n v="1"/>
    <s v="PHD"/>
    <d v="2016-04-24T00:00:00"/>
    <m/>
    <s v="Dept.Head"/>
    <x v="1"/>
    <n v="0"/>
    <n v="0"/>
    <s v="No"/>
    <s v="Job Event"/>
    <s v="Contract"/>
    <n v="0"/>
    <s v="Active"/>
    <x v="1"/>
    <x v="1"/>
    <x v="1"/>
  </r>
  <r>
    <n v="35"/>
    <s v="No"/>
    <s v="Travel_Rarely"/>
    <x v="1"/>
    <n v="1"/>
    <x v="1"/>
    <n v="3"/>
    <n v="2"/>
    <x v="4"/>
    <n v="3"/>
    <s v="Single"/>
    <n v="4859"/>
    <n v="1"/>
    <s v="No"/>
    <n v="16"/>
    <n v="3"/>
    <n v="0"/>
    <n v="5"/>
    <n v="3"/>
    <n v="5"/>
    <n v="0"/>
    <n v="3"/>
    <s v="Post-Graduation"/>
    <d v="2016-04-06T00:00:00"/>
    <m/>
    <s v="Better Opportunity"/>
    <x v="1"/>
    <n v="3"/>
    <n v="2"/>
    <s v="No"/>
    <s v="Recruiter"/>
    <s v="Part Time"/>
    <n v="0"/>
    <s v="Active"/>
    <x v="1"/>
    <x v="0"/>
    <x v="2"/>
  </r>
  <r>
    <n v="26"/>
    <s v="No"/>
    <s v="Travel_Rarely"/>
    <x v="1"/>
    <n v="28"/>
    <x v="0"/>
    <n v="3"/>
    <n v="2"/>
    <x v="4"/>
    <n v="2"/>
    <s v="Married"/>
    <n v="6272"/>
    <n v="1"/>
    <s v="No"/>
    <n v="20"/>
    <n v="4"/>
    <n v="2"/>
    <n v="6"/>
    <n v="5"/>
    <n v="5"/>
    <n v="1"/>
    <n v="4"/>
    <s v="Graduation"/>
    <d v="2016-05-27T00:00:00"/>
    <m/>
    <s v="Better Opportunity"/>
    <x v="1"/>
    <n v="3"/>
    <n v="1"/>
    <s v="Yes"/>
    <s v="Walk-in"/>
    <s v="Contract"/>
    <n v="0"/>
    <s v="Active"/>
    <x v="1"/>
    <x v="0"/>
    <x v="2"/>
  </r>
  <r>
    <n v="27"/>
    <s v="No"/>
    <s v="Travel_Rarely"/>
    <x v="0"/>
    <n v="6"/>
    <x v="1"/>
    <n v="2"/>
    <n v="1"/>
    <x v="1"/>
    <n v="3"/>
    <s v="Divorced"/>
    <n v="2187"/>
    <n v="0"/>
    <s v="No"/>
    <n v="12"/>
    <n v="3"/>
    <n v="2"/>
    <n v="6"/>
    <n v="5"/>
    <n v="5"/>
    <n v="0"/>
    <n v="3"/>
    <s v="PHD"/>
    <d v="2016-02-15T00:00:00"/>
    <m/>
    <s v="Work Accident"/>
    <x v="0"/>
    <n v="3"/>
    <n v="2"/>
    <s v="Yes"/>
    <s v="Recruiter"/>
    <s v="FullTime"/>
    <n v="0"/>
    <s v="Active"/>
    <x v="1"/>
    <x v="0"/>
    <x v="0"/>
  </r>
  <r>
    <n v="33"/>
    <s v="No"/>
    <s v="Travel_Rarely"/>
    <x v="1"/>
    <n v="8"/>
    <x v="0"/>
    <n v="3"/>
    <n v="2"/>
    <x v="4"/>
    <n v="3"/>
    <s v="Divorced"/>
    <n v="7104"/>
    <n v="0"/>
    <s v="No"/>
    <n v="12"/>
    <n v="3"/>
    <n v="0"/>
    <n v="6"/>
    <n v="3"/>
    <n v="5"/>
    <n v="1"/>
    <n v="2"/>
    <s v="12th"/>
    <d v="2016-05-24T00:00:00"/>
    <m/>
    <s v="Salary"/>
    <x v="0"/>
    <n v="1"/>
    <n v="0"/>
    <s v="No"/>
    <s v="Recruiter"/>
    <s v="FullTime"/>
    <n v="0"/>
    <s v="Active"/>
    <x v="1"/>
    <x v="1"/>
    <x v="2"/>
  </r>
  <r>
    <n v="53"/>
    <s v="No"/>
    <s v="Travel_Rarely"/>
    <x v="0"/>
    <n v="7"/>
    <x v="0"/>
    <n v="4"/>
    <n v="4"/>
    <x v="2"/>
    <n v="3"/>
    <s v="Married"/>
    <n v="14814"/>
    <n v="3"/>
    <s v="No"/>
    <n v="19"/>
    <n v="3"/>
    <n v="0"/>
    <n v="32"/>
    <n v="3"/>
    <n v="5"/>
    <n v="1"/>
    <n v="3"/>
    <s v="12th"/>
    <d v="2016-01-27T00:00:00"/>
    <m/>
    <s v="Better Opportunity"/>
    <x v="1"/>
    <n v="5"/>
    <n v="0"/>
    <s v="Yes"/>
    <s v="Walk-in"/>
    <s v="FullTime"/>
    <n v="0"/>
    <s v="Active"/>
    <x v="1"/>
    <x v="1"/>
    <x v="1"/>
  </r>
  <r>
    <n v="44"/>
    <s v="No"/>
    <s v="Non-Travel"/>
    <x v="0"/>
    <n v="24"/>
    <x v="0"/>
    <n v="1"/>
    <n v="1"/>
    <x v="0"/>
    <n v="3"/>
    <s v="Single"/>
    <n v="3708"/>
    <n v="2"/>
    <s v="No"/>
    <n v="14"/>
    <n v="3"/>
    <n v="0"/>
    <n v="9"/>
    <n v="5"/>
    <n v="5"/>
    <n v="1"/>
    <n v="4"/>
    <s v="Post-Graduation"/>
    <d v="2016-03-22T00:00:00"/>
    <m/>
    <s v="Dept.Head"/>
    <x v="1"/>
    <n v="0"/>
    <n v="1"/>
    <s v="No"/>
    <s v="Job Event"/>
    <s v="FullTime"/>
    <n v="0"/>
    <s v="Active"/>
    <x v="1"/>
    <x v="0"/>
    <x v="0"/>
  </r>
  <r>
    <n v="34"/>
    <s v="No"/>
    <s v="Travel_Rarely"/>
    <x v="0"/>
    <n v="8"/>
    <x v="1"/>
    <n v="3"/>
    <n v="2"/>
    <x v="7"/>
    <n v="3"/>
    <s v="Single"/>
    <n v="6142"/>
    <n v="3"/>
    <s v="No"/>
    <n v="11"/>
    <n v="3"/>
    <n v="0"/>
    <n v="10"/>
    <n v="2"/>
    <n v="5"/>
    <n v="4"/>
    <n v="3"/>
    <s v="Graduation"/>
    <d v="2016-01-12T00:00:00"/>
    <m/>
    <s v="Better Opportunity"/>
    <x v="0"/>
    <n v="5"/>
    <n v="1"/>
    <s v="Yes"/>
    <s v="Job Event"/>
    <s v="Contract"/>
    <n v="0"/>
    <s v="Active"/>
    <x v="1"/>
    <x v="0"/>
    <x v="3"/>
  </r>
  <r>
    <n v="47"/>
    <s v="Yes"/>
    <s v="Travel_Frequently"/>
    <x v="1"/>
    <n v="27"/>
    <x v="1"/>
    <n v="4"/>
    <n v="2"/>
    <x v="4"/>
    <n v="3"/>
    <s v="Single"/>
    <n v="6397"/>
    <n v="4"/>
    <s v="Yes"/>
    <n v="12"/>
    <n v="3"/>
    <n v="0"/>
    <n v="8"/>
    <n v="2"/>
    <n v="5"/>
    <n v="1"/>
    <n v="3"/>
    <s v="PHD"/>
    <d v="2016-03-20T00:00:00"/>
    <m/>
    <s v="Better Opportunity"/>
    <x v="1"/>
    <n v="0"/>
    <n v="0"/>
    <s v="No"/>
    <s v="Walk-in"/>
    <s v="Part Time"/>
    <n v="1"/>
    <s v="Active"/>
    <x v="1"/>
    <x v="0"/>
    <x v="2"/>
  </r>
  <r>
    <n v="55"/>
    <s v="Yes"/>
    <s v="Travel_Rarely"/>
    <x v="0"/>
    <n v="2"/>
    <x v="0"/>
    <n v="3"/>
    <n v="5"/>
    <x v="5"/>
    <n v="1"/>
    <s v="Married"/>
    <n v="19859"/>
    <n v="5"/>
    <s v="Yes"/>
    <n v="13"/>
    <n v="3"/>
    <n v="1"/>
    <n v="24"/>
    <n v="2"/>
    <n v="5"/>
    <n v="1"/>
    <n v="4"/>
    <s v="Post-Graduation"/>
    <d v="2016-05-17T00:00:00"/>
    <m/>
    <s v="Work Accident"/>
    <x v="0"/>
    <n v="5"/>
    <n v="2"/>
    <s v="Yes"/>
    <s v="Walk-in"/>
    <s v="FullTime"/>
    <n v="1"/>
    <s v="Active"/>
    <x v="1"/>
    <x v="1"/>
    <x v="1"/>
  </r>
  <r>
    <n v="54"/>
    <s v="No"/>
    <s v="Travel_Rarely"/>
    <x v="0"/>
    <n v="19"/>
    <x v="1"/>
    <n v="3"/>
    <n v="2"/>
    <x v="6"/>
    <n v="1"/>
    <s v="Divorced"/>
    <n v="5485"/>
    <n v="9"/>
    <s v="Yes"/>
    <n v="11"/>
    <n v="3"/>
    <n v="2"/>
    <n v="9"/>
    <n v="4"/>
    <n v="5"/>
    <n v="1"/>
    <n v="4"/>
    <s v="Post-Graduation"/>
    <d v="2016-03-14T00:00:00"/>
    <m/>
    <s v="Dept.Head"/>
    <x v="0"/>
    <n v="4"/>
    <n v="1"/>
    <s v="No"/>
    <s v="Recruiter"/>
    <s v="Part Time"/>
    <n v="0"/>
    <s v="Active"/>
    <x v="1"/>
    <x v="0"/>
    <x v="3"/>
  </r>
  <r>
    <n v="37"/>
    <s v="No"/>
    <s v="Travel_Rarely"/>
    <x v="0"/>
    <n v="10"/>
    <x v="1"/>
    <n v="3"/>
    <n v="1"/>
    <x v="1"/>
    <n v="1"/>
    <s v="Divorced"/>
    <n v="2782"/>
    <n v="0"/>
    <s v="Yes"/>
    <n v="13"/>
    <n v="3"/>
    <n v="2"/>
    <n v="6"/>
    <n v="3"/>
    <n v="5"/>
    <n v="4"/>
    <n v="3"/>
    <s v="Graduation"/>
    <d v="2016-04-13T00:00:00"/>
    <m/>
    <s v="Salary"/>
    <x v="1"/>
    <n v="1"/>
    <n v="1"/>
    <s v="No"/>
    <s v="Recruiter"/>
    <s v="Part Time"/>
    <n v="0"/>
    <s v="Active"/>
    <x v="1"/>
    <x v="0"/>
    <x v="0"/>
  </r>
  <r>
    <n v="52"/>
    <s v="No"/>
    <s v="Travel_Rarely"/>
    <x v="0"/>
    <n v="11"/>
    <x v="1"/>
    <n v="3"/>
    <n v="2"/>
    <x v="0"/>
    <n v="3"/>
    <s v="Married"/>
    <n v="3149"/>
    <n v="8"/>
    <s v="No"/>
    <n v="20"/>
    <n v="4"/>
    <n v="1"/>
    <n v="9"/>
    <n v="3"/>
    <n v="5"/>
    <n v="1"/>
    <n v="4"/>
    <s v="12th"/>
    <d v="2016-02-18T00:00:00"/>
    <m/>
    <s v="Work Environment"/>
    <x v="0"/>
    <n v="1"/>
    <n v="3"/>
    <s v="No"/>
    <s v="Walk-in"/>
    <s v="FullTime"/>
    <n v="0"/>
    <s v="Active"/>
    <x v="1"/>
    <x v="0"/>
    <x v="0"/>
  </r>
  <r>
    <n v="36"/>
    <s v="No"/>
    <s v="Travel_Rarely"/>
    <x v="2"/>
    <n v="13"/>
    <x v="0"/>
    <n v="3"/>
    <n v="1"/>
    <x v="8"/>
    <n v="2"/>
    <s v="Married"/>
    <n v="2143"/>
    <n v="4"/>
    <s v="No"/>
    <n v="13"/>
    <n v="3"/>
    <n v="1"/>
    <n v="8"/>
    <n v="2"/>
    <n v="5"/>
    <n v="0"/>
    <n v="4"/>
    <s v="12th"/>
    <d v="2016-05-11T00:00:00"/>
    <m/>
    <s v="Work Accident"/>
    <x v="0"/>
    <n v="5"/>
    <n v="3"/>
    <s v="Yes"/>
    <s v="Walk-in"/>
    <s v="Contract"/>
    <n v="0"/>
    <s v="Active"/>
    <x v="1"/>
    <x v="0"/>
    <x v="4"/>
  </r>
  <r>
    <n v="34"/>
    <s v="No"/>
    <s v="Travel_Frequently"/>
    <x v="0"/>
    <n v="16"/>
    <x v="1"/>
    <n v="2"/>
    <n v="1"/>
    <x v="1"/>
    <n v="4"/>
    <s v="Single"/>
    <n v="2553"/>
    <n v="1"/>
    <s v="No"/>
    <n v="16"/>
    <n v="3"/>
    <n v="0"/>
    <n v="6"/>
    <n v="3"/>
    <n v="5"/>
    <n v="1"/>
    <n v="3"/>
    <s v="12th"/>
    <d v="2016-01-14T00:00:00"/>
    <m/>
    <s v="Work Accident"/>
    <x v="1"/>
    <n v="4"/>
    <n v="3"/>
    <s v="Yes"/>
    <s v="Recruiter"/>
    <s v="Part Time"/>
    <n v="0"/>
    <s v="Active"/>
    <x v="1"/>
    <x v="0"/>
    <x v="0"/>
  </r>
  <r>
    <n v="44"/>
    <s v="No"/>
    <s v="Travel_Rarely"/>
    <x v="0"/>
    <n v="4"/>
    <x v="0"/>
    <n v="3"/>
    <n v="2"/>
    <x v="7"/>
    <n v="2"/>
    <s v="Single"/>
    <n v="5933"/>
    <n v="9"/>
    <s v="No"/>
    <n v="12"/>
    <n v="3"/>
    <n v="0"/>
    <n v="10"/>
    <n v="2"/>
    <n v="5"/>
    <n v="2"/>
    <n v="3"/>
    <s v="Post-Graduation"/>
    <d v="2016-06-23T00:00:00"/>
    <m/>
    <s v="Work Environment"/>
    <x v="0"/>
    <n v="1"/>
    <n v="2"/>
    <s v="No"/>
    <s v="Recruiter"/>
    <s v="FullTime"/>
    <n v="0"/>
    <s v="Active"/>
    <x v="1"/>
    <x v="0"/>
    <x v="3"/>
  </r>
  <r>
    <n v="32"/>
    <s v="No"/>
    <s v="Travel_Rarely"/>
    <x v="1"/>
    <n v="13"/>
    <x v="0"/>
    <n v="3"/>
    <n v="2"/>
    <x v="4"/>
    <n v="4"/>
    <s v="Divorced"/>
    <n v="4403"/>
    <n v="2"/>
    <s v="No"/>
    <n v="11"/>
    <n v="3"/>
    <n v="1"/>
    <n v="8"/>
    <n v="3"/>
    <n v="5"/>
    <n v="0"/>
    <n v="3"/>
    <s v="Post-Graduation"/>
    <d v="2016-01-12T00:00:00"/>
    <m/>
    <s v="Salary"/>
    <x v="0"/>
    <n v="0"/>
    <n v="1"/>
    <s v="Yes"/>
    <s v="Job Portal"/>
    <s v="Part Time"/>
    <n v="0"/>
    <s v="Active"/>
    <x v="1"/>
    <x v="0"/>
    <x v="2"/>
  </r>
  <r>
    <n v="30"/>
    <s v="No"/>
    <s v="Travel_Frequently"/>
    <x v="0"/>
    <n v="5"/>
    <x v="0"/>
    <n v="2"/>
    <n v="1"/>
    <x v="1"/>
    <n v="4"/>
    <s v="Divorced"/>
    <n v="3761"/>
    <n v="9"/>
    <s v="No"/>
    <n v="12"/>
    <n v="3"/>
    <n v="1"/>
    <n v="10"/>
    <n v="3"/>
    <n v="5"/>
    <n v="0"/>
    <n v="3"/>
    <s v="Graduation"/>
    <d v="2016-03-15T00:00:00"/>
    <m/>
    <s v="Dept.Head"/>
    <x v="1"/>
    <n v="4"/>
    <n v="1"/>
    <s v="Yes"/>
    <s v="Walk-in"/>
    <s v="Contract"/>
    <n v="0"/>
    <s v="Active"/>
    <x v="1"/>
    <x v="0"/>
    <x v="0"/>
  </r>
  <r>
    <n v="53"/>
    <s v="No"/>
    <s v="Travel_Rarely"/>
    <x v="1"/>
    <n v="7"/>
    <x v="1"/>
    <n v="2"/>
    <n v="3"/>
    <x v="4"/>
    <n v="4"/>
    <s v="Married"/>
    <n v="10934"/>
    <n v="7"/>
    <s v="Yes"/>
    <n v="18"/>
    <n v="3"/>
    <n v="1"/>
    <n v="35"/>
    <n v="3"/>
    <n v="5"/>
    <n v="0"/>
    <n v="4"/>
    <s v="12th"/>
    <d v="2016-01-16T00:00:00"/>
    <m/>
    <s v="Better Opportunity"/>
    <x v="1"/>
    <n v="2"/>
    <n v="0"/>
    <s v="Yes"/>
    <s v="Job Event"/>
    <s v="FullTime"/>
    <n v="0"/>
    <s v="Active"/>
    <x v="1"/>
    <x v="1"/>
    <x v="2"/>
  </r>
  <r>
    <n v="45"/>
    <s v="No"/>
    <s v="Travel_Rarely"/>
    <x v="1"/>
    <n v="9"/>
    <x v="0"/>
    <n v="3"/>
    <n v="3"/>
    <x v="4"/>
    <n v="1"/>
    <s v="Divorced"/>
    <n v="10761"/>
    <n v="4"/>
    <s v="Yes"/>
    <n v="12"/>
    <n v="3"/>
    <n v="1"/>
    <n v="18"/>
    <n v="2"/>
    <n v="5"/>
    <n v="0"/>
    <n v="2"/>
    <s v="PHD"/>
    <d v="2016-05-24T00:00:00"/>
    <m/>
    <s v="Salary"/>
    <x v="1"/>
    <n v="4"/>
    <n v="1"/>
    <s v="Yes"/>
    <s v="Recruiter"/>
    <s v="Contract"/>
    <n v="0"/>
    <s v="Active"/>
    <x v="1"/>
    <x v="1"/>
    <x v="2"/>
  </r>
  <r>
    <n v="32"/>
    <s v="No"/>
    <s v="Travel_Rarely"/>
    <x v="0"/>
    <n v="8"/>
    <x v="1"/>
    <n v="4"/>
    <n v="2"/>
    <x v="1"/>
    <n v="3"/>
    <s v="Married"/>
    <n v="5175"/>
    <n v="5"/>
    <s v="No"/>
    <n v="12"/>
    <n v="3"/>
    <n v="1"/>
    <n v="9"/>
    <n v="3"/>
    <n v="5"/>
    <n v="1"/>
    <n v="3"/>
    <s v="PHD"/>
    <d v="2016-01-18T00:00:00"/>
    <m/>
    <s v="Work Accident"/>
    <x v="1"/>
    <n v="5"/>
    <n v="1"/>
    <s v="Yes"/>
    <s v="Recruiter"/>
    <s v="FullTime"/>
    <n v="0"/>
    <s v="Active"/>
    <x v="1"/>
    <x v="0"/>
    <x v="0"/>
  </r>
  <r>
    <n v="28"/>
    <s v="No"/>
    <s v="Travel_Rarely"/>
    <x v="2"/>
    <n v="8"/>
    <x v="0"/>
    <n v="2"/>
    <n v="1"/>
    <x v="8"/>
    <n v="4"/>
    <s v="Divorced"/>
    <n v="4936"/>
    <n v="1"/>
    <s v="No"/>
    <n v="13"/>
    <n v="3"/>
    <n v="1"/>
    <n v="6"/>
    <n v="6"/>
    <n v="5"/>
    <n v="0"/>
    <n v="4"/>
    <s v="PHD"/>
    <d v="2016-02-20T00:00:00"/>
    <m/>
    <s v="Work Environment"/>
    <x v="1"/>
    <n v="1"/>
    <n v="0"/>
    <s v="No"/>
    <s v="Job Event"/>
    <s v="FullTime"/>
    <n v="0"/>
    <s v="Active"/>
    <x v="1"/>
    <x v="0"/>
    <x v="4"/>
  </r>
  <r>
    <n v="36"/>
    <s v="No"/>
    <s v="Travel_Rarely"/>
    <x v="2"/>
    <n v="8"/>
    <x v="0"/>
    <n v="2"/>
    <n v="1"/>
    <x v="8"/>
    <n v="1"/>
    <s v="Married"/>
    <n v="2342"/>
    <n v="0"/>
    <s v="No"/>
    <n v="21"/>
    <n v="4"/>
    <n v="0"/>
    <n v="6"/>
    <n v="3"/>
    <n v="5"/>
    <n v="0"/>
    <n v="3"/>
    <s v="PHD"/>
    <d v="2016-04-22T00:00:00"/>
    <m/>
    <s v="Work Environment"/>
    <x v="0"/>
    <n v="4"/>
    <n v="0"/>
    <s v="Yes"/>
    <s v="Job Portal"/>
    <s v="Part Time"/>
    <n v="0"/>
    <s v="Active"/>
    <x v="1"/>
    <x v="0"/>
    <x v="4"/>
  </r>
  <r>
    <n v="25"/>
    <s v="No"/>
    <s v="Travel_Rarely"/>
    <x v="1"/>
    <n v="3"/>
    <x v="0"/>
    <n v="3"/>
    <n v="2"/>
    <x v="4"/>
    <n v="1"/>
    <s v="Married"/>
    <n v="4194"/>
    <n v="1"/>
    <s v="Yes"/>
    <n v="18"/>
    <n v="3"/>
    <n v="0"/>
    <n v="5"/>
    <n v="3"/>
    <n v="5"/>
    <n v="0"/>
    <n v="3"/>
    <s v="Graduation"/>
    <d v="2016-01-14T00:00:00"/>
    <m/>
    <s v="Work Accident"/>
    <x v="1"/>
    <n v="2"/>
    <n v="2"/>
    <s v="Yes"/>
    <s v="Job Event"/>
    <s v="Part Time"/>
    <n v="0"/>
    <s v="Active"/>
    <x v="1"/>
    <x v="0"/>
    <x v="2"/>
  </r>
  <r>
    <n v="25"/>
    <s v="No"/>
    <s v="Travel_Rarely"/>
    <x v="1"/>
    <n v="4"/>
    <x v="0"/>
    <n v="2"/>
    <n v="2"/>
    <x v="4"/>
    <n v="1"/>
    <s v="Married"/>
    <n v="4256"/>
    <n v="1"/>
    <s v="No"/>
    <n v="12"/>
    <n v="3"/>
    <n v="0"/>
    <n v="5"/>
    <n v="1"/>
    <n v="5"/>
    <n v="0"/>
    <n v="3"/>
    <s v="12th"/>
    <d v="2016-05-13T00:00:00"/>
    <m/>
    <s v="Dept.Head"/>
    <x v="1"/>
    <n v="2"/>
    <n v="1"/>
    <s v="Yes"/>
    <s v="Recruiter"/>
    <s v="Part Time"/>
    <n v="0"/>
    <s v="Active"/>
    <x v="1"/>
    <x v="0"/>
    <x v="2"/>
  </r>
  <r>
    <n v="24"/>
    <s v="No"/>
    <s v="Non-Travel"/>
    <x v="0"/>
    <n v="4"/>
    <x v="0"/>
    <n v="2"/>
    <n v="1"/>
    <x v="0"/>
    <n v="4"/>
    <s v="Married"/>
    <n v="3162"/>
    <n v="0"/>
    <s v="No"/>
    <n v="17"/>
    <n v="3"/>
    <n v="0"/>
    <n v="6"/>
    <n v="2"/>
    <n v="5"/>
    <n v="3"/>
    <n v="4"/>
    <s v="PHD"/>
    <d v="2016-03-31T00:00:00"/>
    <m/>
    <s v="Salary"/>
    <x v="0"/>
    <n v="4"/>
    <n v="3"/>
    <s v="No"/>
    <s v="Job Portal"/>
    <s v="Part Time"/>
    <n v="0"/>
    <s v="Active"/>
    <x v="1"/>
    <x v="0"/>
    <x v="0"/>
  </r>
  <r>
    <n v="42"/>
    <s v="No"/>
    <s v="Travel_Rarely"/>
    <x v="0"/>
    <n v="3"/>
    <x v="1"/>
    <n v="4"/>
    <n v="2"/>
    <x v="0"/>
    <n v="4"/>
    <s v="Married"/>
    <n v="5231"/>
    <n v="2"/>
    <s v="Yes"/>
    <n v="13"/>
    <n v="3"/>
    <n v="1"/>
    <n v="17"/>
    <n v="1"/>
    <n v="5"/>
    <n v="1"/>
    <n v="3"/>
    <s v="PHD"/>
    <d v="2016-03-26T00:00:00"/>
    <m/>
    <s v="Work Environment"/>
    <x v="0"/>
    <n v="4"/>
    <n v="2"/>
    <s v="No"/>
    <s v="Walk-in"/>
    <s v="FullTime"/>
    <n v="0"/>
    <s v="Active"/>
    <x v="1"/>
    <x v="0"/>
    <x v="0"/>
  </r>
  <r>
    <n v="37"/>
    <s v="No"/>
    <s v="Travel_Frequently"/>
    <x v="1"/>
    <n v="21"/>
    <x v="1"/>
    <n v="3"/>
    <n v="1"/>
    <x v="3"/>
    <n v="4"/>
    <s v="Married"/>
    <n v="2973"/>
    <n v="5"/>
    <s v="No"/>
    <n v="15"/>
    <n v="3"/>
    <n v="1"/>
    <n v="10"/>
    <n v="3"/>
    <n v="5"/>
    <n v="0"/>
    <n v="0"/>
    <s v="Post-Graduation"/>
    <d v="2016-03-11T00:00:00"/>
    <m/>
    <s v="Salary"/>
    <x v="1"/>
    <n v="1"/>
    <n v="1"/>
    <s v="Yes"/>
    <s v="Walk-in"/>
    <s v="Contract"/>
    <n v="0"/>
    <s v="Active"/>
    <x v="1"/>
    <x v="0"/>
    <x v="2"/>
  </r>
  <r>
    <n v="43"/>
    <s v="No"/>
    <s v="Travel_Frequently"/>
    <x v="0"/>
    <n v="1"/>
    <x v="1"/>
    <n v="3"/>
    <n v="2"/>
    <x v="7"/>
    <n v="4"/>
    <s v="Married"/>
    <n v="5562"/>
    <n v="4"/>
    <s v="No"/>
    <n v="13"/>
    <n v="3"/>
    <n v="1"/>
    <n v="12"/>
    <n v="2"/>
    <n v="5"/>
    <n v="2"/>
    <n v="2"/>
    <s v="12th"/>
    <d v="2016-04-19T00:00:00"/>
    <m/>
    <s v="Dept.Head"/>
    <x v="1"/>
    <n v="3"/>
    <n v="0"/>
    <s v="No"/>
    <s v="Job Event"/>
    <s v="Contract"/>
    <n v="0"/>
    <s v="Active"/>
    <x v="1"/>
    <x v="0"/>
    <x v="3"/>
  </r>
  <r>
    <n v="39"/>
    <s v="No"/>
    <s v="Travel_Rarely"/>
    <x v="2"/>
    <n v="2"/>
    <x v="1"/>
    <n v="2"/>
    <n v="2"/>
    <x v="8"/>
    <n v="4"/>
    <s v="Married"/>
    <n v="5204"/>
    <n v="8"/>
    <s v="No"/>
    <n v="11"/>
    <n v="3"/>
    <n v="2"/>
    <n v="13"/>
    <n v="2"/>
    <n v="5"/>
    <n v="0"/>
    <n v="4"/>
    <s v="Post-Graduation"/>
    <d v="2016-01-21T00:00:00"/>
    <m/>
    <s v="Work Environment"/>
    <x v="0"/>
    <n v="4"/>
    <n v="0"/>
    <s v="No"/>
    <s v="Job Portal"/>
    <s v="Contract"/>
    <n v="0"/>
    <s v="Active"/>
    <x v="1"/>
    <x v="0"/>
    <x v="4"/>
  </r>
  <r>
    <n v="42"/>
    <s v="No"/>
    <s v="Travel_Rarely"/>
    <x v="1"/>
    <n v="14"/>
    <x v="1"/>
    <n v="2"/>
    <n v="2"/>
    <x v="4"/>
    <n v="3"/>
    <s v="Single"/>
    <n v="6244"/>
    <n v="7"/>
    <s v="No"/>
    <n v="17"/>
    <n v="3"/>
    <n v="0"/>
    <n v="10"/>
    <n v="6"/>
    <n v="5"/>
    <n v="0"/>
    <n v="3"/>
    <s v="12th"/>
    <d v="2016-06-24T00:00:00"/>
    <m/>
    <s v="Salary"/>
    <x v="0"/>
    <n v="5"/>
    <n v="3"/>
    <s v="No"/>
    <s v="Walk-in"/>
    <s v="FullTime"/>
    <n v="0"/>
    <s v="Active"/>
    <x v="1"/>
    <x v="0"/>
    <x v="2"/>
  </r>
  <r>
    <n v="33"/>
    <s v="No"/>
    <s v="Travel_Rarely"/>
    <x v="0"/>
    <n v="1"/>
    <x v="1"/>
    <n v="2"/>
    <n v="2"/>
    <x v="7"/>
    <n v="4"/>
    <s v="Single"/>
    <n v="6949"/>
    <n v="0"/>
    <s v="No"/>
    <n v="14"/>
    <n v="3"/>
    <n v="0"/>
    <n v="6"/>
    <n v="3"/>
    <n v="5"/>
    <n v="1"/>
    <n v="4"/>
    <s v="Graduation"/>
    <d v="2016-03-04T00:00:00"/>
    <m/>
    <s v="Salary"/>
    <x v="0"/>
    <n v="3"/>
    <n v="0"/>
    <s v="Yes"/>
    <s v="Job Event"/>
    <s v="Part Time"/>
    <n v="0"/>
    <s v="Active"/>
    <x v="1"/>
    <x v="0"/>
    <x v="3"/>
  </r>
  <r>
    <n v="35"/>
    <s v="No"/>
    <s v="Travel_Rarely"/>
    <x v="1"/>
    <n v="18"/>
    <x v="1"/>
    <n v="3"/>
    <n v="2"/>
    <x v="4"/>
    <n v="3"/>
    <s v="Married"/>
    <n v="4601"/>
    <n v="1"/>
    <s v="No"/>
    <n v="16"/>
    <n v="3"/>
    <n v="0"/>
    <n v="5"/>
    <n v="3"/>
    <n v="5"/>
    <n v="1"/>
    <n v="0"/>
    <s v="Post-Graduation"/>
    <d v="2016-05-28T00:00:00"/>
    <m/>
    <s v="Work Accident"/>
    <x v="1"/>
    <n v="3"/>
    <n v="3"/>
    <s v="No"/>
    <s v="Job Portal"/>
    <s v="FullTime"/>
    <n v="0"/>
    <s v="Active"/>
    <x v="1"/>
    <x v="0"/>
    <x v="2"/>
  </r>
  <r>
    <n v="38"/>
    <s v="No"/>
    <s v="Non-Travel"/>
    <x v="1"/>
    <n v="10"/>
    <x v="1"/>
    <n v="3"/>
    <n v="2"/>
    <x v="4"/>
    <n v="4"/>
    <s v="Single"/>
    <n v="5666"/>
    <n v="1"/>
    <s v="Yes"/>
    <n v="13"/>
    <n v="3"/>
    <n v="0"/>
    <n v="6"/>
    <n v="1"/>
    <n v="5"/>
    <n v="1"/>
    <n v="3"/>
    <s v="Post-Graduation"/>
    <d v="2016-02-17T00:00:00"/>
    <m/>
    <s v="Salary"/>
    <x v="0"/>
    <n v="2"/>
    <n v="0"/>
    <s v="No"/>
    <s v="Walk-in"/>
    <s v="FullTime"/>
    <n v="0"/>
    <s v="Active"/>
    <x v="1"/>
    <x v="0"/>
    <x v="2"/>
  </r>
  <r>
    <n v="45"/>
    <s v="No"/>
    <s v="Travel_Rarely"/>
    <x v="0"/>
    <n v="1"/>
    <x v="1"/>
    <n v="3"/>
    <n v="1"/>
    <x v="0"/>
    <n v="4"/>
    <s v="Divorced"/>
    <n v="2270"/>
    <n v="3"/>
    <s v="No"/>
    <n v="14"/>
    <n v="3"/>
    <n v="2"/>
    <n v="8"/>
    <n v="2"/>
    <n v="5"/>
    <n v="0"/>
    <n v="2"/>
    <s v="12th"/>
    <d v="2016-05-22T00:00:00"/>
    <m/>
    <s v="Salary"/>
    <x v="0"/>
    <n v="1"/>
    <n v="3"/>
    <s v="No"/>
    <s v="Walk-in"/>
    <s v="Part Time"/>
    <n v="0"/>
    <s v="Active"/>
    <x v="1"/>
    <x v="0"/>
    <x v="0"/>
  </r>
  <r>
    <n v="50"/>
    <s v="No"/>
    <s v="Travel_Rarely"/>
    <x v="0"/>
    <n v="1"/>
    <x v="0"/>
    <n v="3"/>
    <n v="4"/>
    <x v="2"/>
    <n v="4"/>
    <s v="Divorced"/>
    <n v="17399"/>
    <n v="9"/>
    <s v="No"/>
    <n v="22"/>
    <n v="4"/>
    <n v="1"/>
    <n v="32"/>
    <n v="1"/>
    <n v="5"/>
    <n v="1"/>
    <n v="3"/>
    <s v="PHD"/>
    <d v="2016-05-31T00:00:00"/>
    <m/>
    <s v="Better Opportunity"/>
    <x v="1"/>
    <n v="2"/>
    <n v="1"/>
    <s v="No"/>
    <s v="Job Event"/>
    <s v="Part Time"/>
    <n v="0"/>
    <s v="Active"/>
    <x v="1"/>
    <x v="1"/>
    <x v="1"/>
  </r>
  <r>
    <n v="30"/>
    <s v="Yes"/>
    <s v="Travel_Rarely"/>
    <x v="0"/>
    <n v="22"/>
    <x v="1"/>
    <n v="3"/>
    <n v="1"/>
    <x v="1"/>
    <n v="3"/>
    <s v="Married"/>
    <n v="2132"/>
    <n v="4"/>
    <s v="Yes"/>
    <n v="11"/>
    <n v="3"/>
    <n v="0"/>
    <n v="7"/>
    <n v="2"/>
    <n v="5"/>
    <n v="0"/>
    <n v="1"/>
    <s v="Graduation"/>
    <d v="2016-04-08T00:00:00"/>
    <m/>
    <s v="Work Accident"/>
    <x v="0"/>
    <n v="3"/>
    <n v="0"/>
    <s v="No"/>
    <s v="Walk-in"/>
    <s v="Contract"/>
    <n v="1"/>
    <s v="Active"/>
    <x v="1"/>
    <x v="0"/>
    <x v="0"/>
  </r>
  <r>
    <n v="59"/>
    <s v="No"/>
    <s v="Travel_Rarely"/>
    <x v="0"/>
    <n v="2"/>
    <x v="1"/>
    <n v="2"/>
    <n v="4"/>
    <x v="6"/>
    <n v="4"/>
    <s v="Single"/>
    <n v="13726"/>
    <n v="3"/>
    <s v="Yes"/>
    <n v="13"/>
    <n v="3"/>
    <n v="0"/>
    <n v="30"/>
    <n v="4"/>
    <n v="5"/>
    <n v="4"/>
    <n v="3"/>
    <s v="12th"/>
    <d v="2016-02-29T00:00:00"/>
    <m/>
    <s v="Salary"/>
    <x v="1"/>
    <n v="5"/>
    <n v="1"/>
    <s v="Yes"/>
    <s v="Job Event"/>
    <s v="Part Time"/>
    <n v="0"/>
    <s v="Active"/>
    <x v="1"/>
    <x v="1"/>
    <x v="3"/>
  </r>
  <r>
    <n v="26"/>
    <s v="No"/>
    <s v="Travel_Frequently"/>
    <x v="0"/>
    <n v="1"/>
    <x v="1"/>
    <n v="2"/>
    <n v="1"/>
    <x v="1"/>
    <n v="3"/>
    <s v="Divorced"/>
    <n v="2007"/>
    <n v="1"/>
    <s v="No"/>
    <n v="13"/>
    <n v="3"/>
    <n v="2"/>
    <n v="5"/>
    <n v="5"/>
    <n v="5"/>
    <n v="1"/>
    <n v="3"/>
    <s v="12th"/>
    <d v="2016-03-31T00:00:00"/>
    <m/>
    <s v="Better Opportunity"/>
    <x v="0"/>
    <n v="1"/>
    <n v="0"/>
    <s v="Yes"/>
    <s v="Walk-in"/>
    <s v="Contract"/>
    <n v="0"/>
    <s v="Active"/>
    <x v="1"/>
    <x v="0"/>
    <x v="0"/>
  </r>
  <r>
    <n v="56"/>
    <s v="No"/>
    <s v="Travel_Frequently"/>
    <x v="0"/>
    <n v="9"/>
    <x v="1"/>
    <n v="3"/>
    <n v="1"/>
    <x v="1"/>
    <n v="3"/>
    <s v="Married"/>
    <n v="2942"/>
    <n v="2"/>
    <s v="No"/>
    <n v="19"/>
    <n v="3"/>
    <n v="1"/>
    <n v="18"/>
    <n v="4"/>
    <n v="5"/>
    <n v="0"/>
    <n v="3"/>
    <s v="Post-Graduation"/>
    <d v="2016-05-29T00:00:00"/>
    <m/>
    <s v="Better Opportunity"/>
    <x v="1"/>
    <n v="3"/>
    <n v="1"/>
    <s v="Yes"/>
    <s v="Job Portal"/>
    <s v="Contract"/>
    <n v="0"/>
    <s v="Active"/>
    <x v="1"/>
    <x v="0"/>
    <x v="0"/>
  </r>
  <r>
    <n v="26"/>
    <s v="No"/>
    <s v="Travel_Rarely"/>
    <x v="0"/>
    <n v="1"/>
    <x v="0"/>
    <n v="2"/>
    <n v="1"/>
    <x v="0"/>
    <n v="1"/>
    <s v="Married"/>
    <n v="3955"/>
    <n v="1"/>
    <s v="No"/>
    <n v="16"/>
    <n v="3"/>
    <n v="2"/>
    <n v="6"/>
    <n v="2"/>
    <n v="5"/>
    <n v="1"/>
    <n v="3"/>
    <s v="12th"/>
    <d v="2016-05-04T00:00:00"/>
    <m/>
    <s v="Work Environment"/>
    <x v="0"/>
    <n v="5"/>
    <n v="3"/>
    <s v="Yes"/>
    <s v="Job Portal"/>
    <s v="FullTime"/>
    <n v="0"/>
    <s v="Active"/>
    <x v="1"/>
    <x v="0"/>
    <x v="0"/>
  </r>
  <r>
    <n v="48"/>
    <s v="No"/>
    <s v="Non-Travel"/>
    <x v="0"/>
    <n v="1"/>
    <x v="0"/>
    <n v="4"/>
    <n v="4"/>
    <x v="5"/>
    <n v="4"/>
    <s v="Single"/>
    <n v="16885"/>
    <n v="2"/>
    <s v="No"/>
    <n v="22"/>
    <n v="4"/>
    <n v="0"/>
    <n v="27"/>
    <n v="3"/>
    <n v="5"/>
    <n v="2"/>
    <n v="1"/>
    <s v="PHD"/>
    <d v="2016-04-08T00:00:00"/>
    <m/>
    <s v="Salary"/>
    <x v="1"/>
    <n v="1"/>
    <n v="2"/>
    <s v="No"/>
    <s v="Walk-in"/>
    <s v="Part Time"/>
    <n v="0"/>
    <s v="Active"/>
    <x v="1"/>
    <x v="1"/>
    <x v="1"/>
  </r>
  <r>
    <n v="39"/>
    <s v="No"/>
    <s v="Non-Travel"/>
    <x v="0"/>
    <n v="9"/>
    <x v="0"/>
    <n v="3"/>
    <n v="2"/>
    <x v="0"/>
    <n v="2"/>
    <s v="Single"/>
    <n v="6782"/>
    <n v="9"/>
    <s v="No"/>
    <n v="15"/>
    <n v="3"/>
    <n v="0"/>
    <n v="9"/>
    <n v="2"/>
    <n v="5"/>
    <n v="0"/>
    <n v="3"/>
    <s v="PHD"/>
    <d v="2016-04-10T00:00:00"/>
    <m/>
    <s v="Dept.Head"/>
    <x v="0"/>
    <n v="1"/>
    <n v="3"/>
    <s v="No"/>
    <s v="Job Portal"/>
    <s v="FullTime"/>
    <n v="0"/>
    <s v="Active"/>
    <x v="1"/>
    <x v="0"/>
    <x v="0"/>
  </r>
  <r>
    <n v="28"/>
    <s v="No"/>
    <s v="Travel_Rarely"/>
    <x v="0"/>
    <n v="2"/>
    <x v="0"/>
    <n v="2"/>
    <n v="1"/>
    <x v="1"/>
    <n v="2"/>
    <s v="Married"/>
    <n v="3201"/>
    <n v="0"/>
    <s v="No"/>
    <n v="17"/>
    <n v="3"/>
    <n v="0"/>
    <n v="6"/>
    <n v="2"/>
    <n v="5"/>
    <n v="0"/>
    <n v="4"/>
    <s v="Post-Graduation"/>
    <d v="2016-06-02T00:00:00"/>
    <m/>
    <s v="Work Accident"/>
    <x v="0"/>
    <n v="3"/>
    <n v="0"/>
    <s v="Yes"/>
    <s v="Job Event"/>
    <s v="Contract"/>
    <n v="0"/>
    <s v="Active"/>
    <x v="1"/>
    <x v="0"/>
    <x v="0"/>
  </r>
  <r>
    <n v="35"/>
    <s v="No"/>
    <s v="Travel_Frequently"/>
    <x v="1"/>
    <n v="11"/>
    <x v="0"/>
    <n v="3"/>
    <n v="2"/>
    <x v="4"/>
    <n v="4"/>
    <s v="Divorced"/>
    <n v="4968"/>
    <n v="1"/>
    <s v="No"/>
    <n v="11"/>
    <n v="3"/>
    <n v="1"/>
    <n v="5"/>
    <n v="3"/>
    <n v="5"/>
    <n v="0"/>
    <n v="2"/>
    <s v="PHD"/>
    <d v="2016-04-05T00:00:00"/>
    <m/>
    <s v="Better Opportunity"/>
    <x v="0"/>
    <n v="4"/>
    <n v="3"/>
    <s v="Yes"/>
    <s v="Job Portal"/>
    <s v="FullTime"/>
    <n v="0"/>
    <s v="Active"/>
    <x v="1"/>
    <x v="0"/>
    <x v="2"/>
  </r>
  <r>
    <n v="33"/>
    <s v="Yes"/>
    <s v="Travel_Rarely"/>
    <x v="1"/>
    <n v="9"/>
    <x v="1"/>
    <n v="3"/>
    <n v="2"/>
    <x v="4"/>
    <n v="1"/>
    <s v="Single"/>
    <n v="8224"/>
    <n v="0"/>
    <s v="Yes"/>
    <n v="17"/>
    <n v="3"/>
    <n v="0"/>
    <n v="6"/>
    <n v="3"/>
    <n v="5"/>
    <n v="0"/>
    <n v="3"/>
    <s v="PHD"/>
    <d v="2016-05-01T00:00:00"/>
    <m/>
    <s v="Better Opportunity"/>
    <x v="1"/>
    <n v="2"/>
    <n v="2"/>
    <s v="Yes"/>
    <s v="Job Event"/>
    <s v="FullTime"/>
    <n v="1"/>
    <s v="Active"/>
    <x v="1"/>
    <x v="1"/>
    <x v="2"/>
  </r>
  <r>
    <n v="35"/>
    <s v="No"/>
    <s v="Travel_Rarely"/>
    <x v="2"/>
    <n v="8"/>
    <x v="0"/>
    <n v="3"/>
    <n v="1"/>
    <x v="8"/>
    <n v="3"/>
    <s v="Single"/>
    <n v="4323"/>
    <n v="1"/>
    <s v="No"/>
    <n v="17"/>
    <n v="3"/>
    <n v="0"/>
    <n v="6"/>
    <n v="2"/>
    <n v="5"/>
    <n v="1"/>
    <n v="4"/>
    <s v="Post-Graduation"/>
    <d v="2016-04-04T00:00:00"/>
    <m/>
    <s v="Work Accident"/>
    <x v="0"/>
    <n v="2"/>
    <n v="1"/>
    <s v="Yes"/>
    <s v="Walk-in"/>
    <s v="FullTime"/>
    <n v="0"/>
    <s v="Active"/>
    <x v="1"/>
    <x v="0"/>
    <x v="4"/>
  </r>
  <r>
    <n v="56"/>
    <s v="No"/>
    <s v="Travel_Rarely"/>
    <x v="0"/>
    <n v="4"/>
    <x v="1"/>
    <n v="3"/>
    <n v="5"/>
    <x v="5"/>
    <n v="1"/>
    <s v="Divorced"/>
    <n v="19943"/>
    <n v="4"/>
    <s v="No"/>
    <n v="13"/>
    <n v="3"/>
    <n v="1"/>
    <n v="28"/>
    <n v="2"/>
    <n v="5"/>
    <n v="4"/>
    <n v="2"/>
    <s v="Post-Graduation"/>
    <d v="2016-05-30T00:00:00"/>
    <m/>
    <s v="Work Accident"/>
    <x v="0"/>
    <n v="4"/>
    <n v="1"/>
    <s v="No"/>
    <s v="Job Portal"/>
    <s v="FullTime"/>
    <n v="0"/>
    <s v="Active"/>
    <x v="1"/>
    <x v="1"/>
    <x v="1"/>
  </r>
  <r>
    <n v="29"/>
    <s v="No"/>
    <s v="Travel_Rarely"/>
    <x v="0"/>
    <n v="15"/>
    <x v="1"/>
    <n v="1"/>
    <n v="1"/>
    <x v="1"/>
    <n v="4"/>
    <s v="Married"/>
    <n v="2168"/>
    <n v="0"/>
    <s v="Yes"/>
    <n v="18"/>
    <n v="3"/>
    <n v="1"/>
    <n v="6"/>
    <n v="2"/>
    <n v="5"/>
    <n v="1"/>
    <n v="3"/>
    <s v="12th"/>
    <d v="2016-04-06T00:00:00"/>
    <m/>
    <s v="Better Opportunity"/>
    <x v="1"/>
    <n v="3"/>
    <n v="0"/>
    <s v="No"/>
    <s v="Recruiter"/>
    <s v="Contract"/>
    <n v="0"/>
    <s v="Active"/>
    <x v="1"/>
    <x v="0"/>
    <x v="0"/>
  </r>
  <r>
    <n v="33"/>
    <s v="No"/>
    <s v="Travel_Rarely"/>
    <x v="2"/>
    <n v="2"/>
    <x v="0"/>
    <n v="3"/>
    <n v="1"/>
    <x v="8"/>
    <n v="3"/>
    <s v="Married"/>
    <n v="3600"/>
    <n v="1"/>
    <s v="No"/>
    <n v="13"/>
    <n v="3"/>
    <n v="1"/>
    <n v="5"/>
    <n v="2"/>
    <n v="5"/>
    <n v="1"/>
    <n v="4"/>
    <s v="PHD"/>
    <d v="2016-05-09T00:00:00"/>
    <m/>
    <s v="Better Opportunity"/>
    <x v="1"/>
    <n v="3"/>
    <n v="2"/>
    <s v="No"/>
    <s v="Job Portal"/>
    <s v="Contract"/>
    <n v="0"/>
    <s v="Active"/>
    <x v="1"/>
    <x v="0"/>
    <x v="4"/>
  </r>
  <r>
    <n v="40"/>
    <s v="No"/>
    <s v="Travel_Rarely"/>
    <x v="1"/>
    <n v="10"/>
    <x v="1"/>
    <n v="2"/>
    <n v="2"/>
    <x v="4"/>
    <n v="2"/>
    <s v="Divorced"/>
    <n v="6852"/>
    <n v="7"/>
    <s v="No"/>
    <n v="12"/>
    <n v="3"/>
    <n v="1"/>
    <n v="7"/>
    <n v="2"/>
    <n v="5"/>
    <n v="1"/>
    <n v="3"/>
    <s v="Post-Graduation"/>
    <d v="2016-04-29T00:00:00"/>
    <m/>
    <s v="Dept.Head"/>
    <x v="0"/>
    <n v="2"/>
    <n v="3"/>
    <s v="Yes"/>
    <s v="Job Portal"/>
    <s v="Part Time"/>
    <n v="0"/>
    <s v="Active"/>
    <x v="1"/>
    <x v="0"/>
    <x v="2"/>
  </r>
  <r>
    <n v="54"/>
    <s v="No"/>
    <s v="Travel_Frequently"/>
    <x v="0"/>
    <n v="1"/>
    <x v="1"/>
    <n v="3"/>
    <n v="3"/>
    <x v="6"/>
    <n v="3"/>
    <s v="Divorced"/>
    <n v="10502"/>
    <n v="7"/>
    <s v="No"/>
    <n v="17"/>
    <n v="3"/>
    <n v="1"/>
    <n v="33"/>
    <n v="2"/>
    <n v="5"/>
    <n v="1"/>
    <n v="4"/>
    <s v="Post-Graduation"/>
    <d v="2016-03-22T00:00:00"/>
    <m/>
    <s v="Work Environment"/>
    <x v="1"/>
    <n v="3"/>
    <n v="1"/>
    <s v="No"/>
    <s v="Job Portal"/>
    <s v="Contract"/>
    <n v="0"/>
    <s v="Active"/>
    <x v="1"/>
    <x v="1"/>
    <x v="3"/>
  </r>
  <r>
    <n v="27"/>
    <s v="No"/>
    <s v="Travel_Rarely"/>
    <x v="0"/>
    <n v="4"/>
    <x v="0"/>
    <n v="3"/>
    <n v="1"/>
    <x v="1"/>
    <n v="3"/>
    <s v="Divorced"/>
    <n v="2517"/>
    <n v="1"/>
    <s v="No"/>
    <n v="11"/>
    <n v="3"/>
    <n v="3"/>
    <n v="5"/>
    <n v="2"/>
    <n v="5"/>
    <n v="0"/>
    <n v="3"/>
    <s v="Post-Graduation"/>
    <d v="2016-01-17T00:00:00"/>
    <m/>
    <s v="Salary"/>
    <x v="0"/>
    <n v="0"/>
    <n v="3"/>
    <s v="No"/>
    <s v="Job Portal"/>
    <s v="FullTime"/>
    <n v="0"/>
    <s v="Active"/>
    <x v="1"/>
    <x v="0"/>
    <x v="0"/>
  </r>
  <r>
    <n v="39"/>
    <s v="Yes"/>
    <s v="Travel_Rarely"/>
    <x v="0"/>
    <n v="23"/>
    <x v="0"/>
    <n v="3"/>
    <n v="1"/>
    <x v="1"/>
    <n v="1"/>
    <s v="Single"/>
    <n v="3904"/>
    <n v="0"/>
    <s v="No"/>
    <n v="13"/>
    <n v="3"/>
    <n v="0"/>
    <n v="6"/>
    <n v="2"/>
    <n v="5"/>
    <n v="0"/>
    <n v="3"/>
    <s v="PHD"/>
    <d v="2016-03-30T00:00:00"/>
    <m/>
    <s v="Work Accident"/>
    <x v="0"/>
    <n v="5"/>
    <n v="1"/>
    <s v="No"/>
    <s v="Job Portal"/>
    <s v="Contract"/>
    <n v="1"/>
    <s v="Active"/>
    <x v="1"/>
    <x v="0"/>
    <x v="0"/>
  </r>
  <r>
    <n v="40"/>
    <s v="Yes"/>
    <s v="Travel_Rarely"/>
    <x v="1"/>
    <n v="25"/>
    <x v="0"/>
    <n v="2"/>
    <n v="3"/>
    <x v="4"/>
    <n v="2"/>
    <s v="Single"/>
    <n v="9094"/>
    <n v="2"/>
    <s v="Yes"/>
    <n v="12"/>
    <n v="3"/>
    <n v="0"/>
    <n v="9"/>
    <n v="2"/>
    <n v="5"/>
    <n v="1"/>
    <n v="0"/>
    <s v="12th"/>
    <d v="2016-01-01T00:00:00"/>
    <m/>
    <s v="Work Accident"/>
    <x v="1"/>
    <n v="1"/>
    <n v="0"/>
    <s v="No"/>
    <s v="Job Event"/>
    <s v="Part Time"/>
    <n v="1"/>
    <s v="Active"/>
    <x v="1"/>
    <x v="1"/>
    <x v="2"/>
  </r>
  <r>
    <n v="51"/>
    <s v="No"/>
    <s v="Travel_Rarely"/>
    <x v="0"/>
    <n v="11"/>
    <x v="1"/>
    <n v="2"/>
    <n v="4"/>
    <x v="6"/>
    <n v="2"/>
    <s v="Single"/>
    <n v="13142"/>
    <n v="3"/>
    <s v="No"/>
    <n v="16"/>
    <n v="3"/>
    <n v="0"/>
    <n v="29"/>
    <n v="1"/>
    <n v="5"/>
    <n v="0"/>
    <n v="3"/>
    <s v="12th"/>
    <d v="2016-05-05T00:00:00"/>
    <m/>
    <s v="Dept.Head"/>
    <x v="1"/>
    <n v="1"/>
    <n v="1"/>
    <s v="No"/>
    <s v="Recruiter"/>
    <s v="FullTime"/>
    <n v="0"/>
    <s v="Active"/>
    <x v="1"/>
    <x v="1"/>
    <x v="3"/>
  </r>
  <r>
    <n v="34"/>
    <s v="No"/>
    <s v="Non-Travel"/>
    <x v="0"/>
    <n v="26"/>
    <x v="1"/>
    <n v="2"/>
    <n v="1"/>
    <x v="1"/>
    <n v="3"/>
    <s v="Divorced"/>
    <n v="2029"/>
    <n v="1"/>
    <s v="No"/>
    <n v="20"/>
    <n v="4"/>
    <n v="3"/>
    <n v="5"/>
    <n v="2"/>
    <n v="5"/>
    <n v="0"/>
    <n v="0"/>
    <s v="PHD"/>
    <d v="2016-03-26T00:00:00"/>
    <m/>
    <s v="Dept.Head"/>
    <x v="0"/>
    <n v="2"/>
    <n v="0"/>
    <s v="No"/>
    <s v="Recruiter"/>
    <s v="Part Time"/>
    <n v="0"/>
    <s v="Active"/>
    <x v="1"/>
    <x v="0"/>
    <x v="0"/>
  </r>
  <r>
    <n v="28"/>
    <s v="No"/>
    <s v="Travel_Rarely"/>
    <x v="1"/>
    <n v="26"/>
    <x v="0"/>
    <n v="2"/>
    <n v="2"/>
    <x v="4"/>
    <n v="1"/>
    <s v="Married"/>
    <n v="4724"/>
    <n v="1"/>
    <s v="No"/>
    <n v="11"/>
    <n v="3"/>
    <n v="1"/>
    <n v="5"/>
    <n v="0"/>
    <n v="5"/>
    <n v="0"/>
    <n v="4"/>
    <s v="PHD"/>
    <d v="2016-02-15T00:00:00"/>
    <m/>
    <s v="Work Accident"/>
    <x v="0"/>
    <n v="0"/>
    <n v="3"/>
    <s v="Yes"/>
    <s v="Recruiter"/>
    <s v="Part Time"/>
    <n v="0"/>
    <s v="Active"/>
    <x v="1"/>
    <x v="0"/>
    <x v="2"/>
  </r>
  <r>
    <n v="39"/>
    <s v="No"/>
    <s v="Travel_Rarely"/>
    <x v="1"/>
    <n v="21"/>
    <x v="0"/>
    <n v="2"/>
    <n v="2"/>
    <x v="4"/>
    <n v="4"/>
    <s v="Married"/>
    <n v="6120"/>
    <n v="3"/>
    <s v="Yes"/>
    <n v="12"/>
    <n v="3"/>
    <n v="2"/>
    <n v="8"/>
    <n v="2"/>
    <n v="5"/>
    <n v="1"/>
    <n v="4"/>
    <s v="PHD"/>
    <d v="2016-03-04T00:00:00"/>
    <m/>
    <s v="Work Accident"/>
    <x v="1"/>
    <n v="4"/>
    <n v="2"/>
    <s v="Yes"/>
    <s v="Job Event"/>
    <s v="FullTime"/>
    <n v="0"/>
    <s v="Active"/>
    <x v="1"/>
    <x v="0"/>
    <x v="2"/>
  </r>
  <r>
    <n v="33"/>
    <s v="No"/>
    <s v="Travel_Frequently"/>
    <x v="1"/>
    <n v="5"/>
    <x v="0"/>
    <n v="3"/>
    <n v="2"/>
    <x v="4"/>
    <n v="4"/>
    <s v="Married"/>
    <n v="9998"/>
    <n v="6"/>
    <s v="No"/>
    <n v="13"/>
    <n v="3"/>
    <n v="0"/>
    <n v="8"/>
    <n v="2"/>
    <n v="5"/>
    <n v="1"/>
    <n v="2"/>
    <s v="Graduation"/>
    <d v="2016-02-16T00:00:00"/>
    <m/>
    <s v="Better Opportunity"/>
    <x v="0"/>
    <n v="3"/>
    <n v="1"/>
    <s v="Yes"/>
    <s v="Job Portal"/>
    <s v="Part Time"/>
    <n v="0"/>
    <s v="Active"/>
    <x v="1"/>
    <x v="1"/>
    <x v="2"/>
  </r>
  <r>
    <n v="52"/>
    <s v="No"/>
    <s v="Travel_Frequently"/>
    <x v="0"/>
    <n v="28"/>
    <x v="1"/>
    <n v="4"/>
    <n v="4"/>
    <x v="6"/>
    <n v="3"/>
    <s v="Married"/>
    <n v="13247"/>
    <n v="2"/>
    <s v="Yes"/>
    <n v="11"/>
    <n v="3"/>
    <n v="1"/>
    <n v="24"/>
    <n v="3"/>
    <n v="5"/>
    <n v="0"/>
    <n v="2"/>
    <s v="Graduation"/>
    <d v="2016-02-22T00:00:00"/>
    <m/>
    <s v="Better Opportunity"/>
    <x v="0"/>
    <n v="3"/>
    <n v="3"/>
    <s v="Yes"/>
    <s v="Job Event"/>
    <s v="FullTime"/>
    <n v="0"/>
    <s v="Active"/>
    <x v="1"/>
    <x v="1"/>
    <x v="3"/>
  </r>
  <r>
    <n v="52"/>
    <s v="No"/>
    <s v="Travel_Rarely"/>
    <x v="0"/>
    <n v="8"/>
    <x v="1"/>
    <n v="3"/>
    <n v="1"/>
    <x v="0"/>
    <n v="1"/>
    <s v="Married"/>
    <n v="2950"/>
    <n v="9"/>
    <s v="No"/>
    <n v="13"/>
    <n v="3"/>
    <n v="0"/>
    <n v="12"/>
    <n v="2"/>
    <n v="5"/>
    <n v="0"/>
    <n v="4"/>
    <s v="Post-Graduation"/>
    <d v="2016-06-01T00:00:00"/>
    <m/>
    <s v="Work Environment"/>
    <x v="0"/>
    <n v="2"/>
    <n v="3"/>
    <s v="Yes"/>
    <s v="Recruiter"/>
    <s v="FullTime"/>
    <n v="0"/>
    <s v="Active"/>
    <x v="1"/>
    <x v="0"/>
    <x v="0"/>
  </r>
  <r>
    <n v="36"/>
    <s v="No"/>
    <s v="Travel_Rarely"/>
    <x v="1"/>
    <n v="3"/>
    <x v="1"/>
    <n v="3"/>
    <n v="2"/>
    <x v="4"/>
    <n v="2"/>
    <s v="Single"/>
    <n v="9278"/>
    <n v="3"/>
    <s v="Yes"/>
    <n v="16"/>
    <n v="3"/>
    <n v="0"/>
    <n v="15"/>
    <n v="3"/>
    <n v="5"/>
    <n v="0"/>
    <n v="1"/>
    <s v="Graduation"/>
    <d v="2016-01-01T00:00:00"/>
    <m/>
    <s v="Work Accident"/>
    <x v="1"/>
    <n v="0"/>
    <n v="2"/>
    <s v="No"/>
    <s v="Job Event"/>
    <s v="FullTime"/>
    <n v="0"/>
    <s v="Active"/>
    <x v="1"/>
    <x v="1"/>
    <x v="2"/>
  </r>
  <r>
    <n v="27"/>
    <s v="No"/>
    <s v="Travel_Rarely"/>
    <x v="0"/>
    <n v="11"/>
    <x v="0"/>
    <n v="3"/>
    <n v="1"/>
    <x v="0"/>
    <n v="1"/>
    <s v="Married"/>
    <n v="2099"/>
    <n v="0"/>
    <s v="No"/>
    <n v="14"/>
    <n v="3"/>
    <n v="0"/>
    <n v="6"/>
    <n v="3"/>
    <n v="5"/>
    <n v="1"/>
    <n v="4"/>
    <s v="Graduation"/>
    <d v="2016-04-23T00:00:00"/>
    <m/>
    <s v="Dept.Head"/>
    <x v="0"/>
    <n v="2"/>
    <n v="0"/>
    <s v="No"/>
    <s v="Walk-in"/>
    <s v="Contract"/>
    <n v="0"/>
    <s v="Active"/>
    <x v="1"/>
    <x v="0"/>
    <x v="0"/>
  </r>
  <r>
    <n v="24"/>
    <s v="No"/>
    <s v="Travel_Rarely"/>
    <x v="1"/>
    <n v="4"/>
    <x v="1"/>
    <n v="3"/>
    <n v="2"/>
    <x v="4"/>
    <n v="3"/>
    <s v="Married"/>
    <n v="4162"/>
    <n v="1"/>
    <s v="Yes"/>
    <n v="12"/>
    <n v="3"/>
    <n v="2"/>
    <n v="5"/>
    <n v="3"/>
    <n v="5"/>
    <n v="0"/>
    <n v="3"/>
    <s v="PHD"/>
    <d v="2016-04-10T00:00:00"/>
    <m/>
    <s v="Work Accident"/>
    <x v="0"/>
    <n v="4"/>
    <n v="1"/>
    <s v="Yes"/>
    <s v="Job Portal"/>
    <s v="Part Time"/>
    <n v="0"/>
    <s v="Active"/>
    <x v="1"/>
    <x v="0"/>
    <x v="2"/>
  </r>
  <r>
    <n v="34"/>
    <s v="No"/>
    <s v="Travel_Rarely"/>
    <x v="0"/>
    <n v="1"/>
    <x v="1"/>
    <n v="2"/>
    <n v="1"/>
    <x v="0"/>
    <n v="2"/>
    <s v="Married"/>
    <n v="3294"/>
    <n v="5"/>
    <s v="No"/>
    <n v="17"/>
    <n v="3"/>
    <n v="1"/>
    <n v="7"/>
    <n v="2"/>
    <n v="5"/>
    <n v="0"/>
    <n v="2"/>
    <s v="Post-Graduation"/>
    <d v="2016-01-06T00:00:00"/>
    <m/>
    <s v="Work Accident"/>
    <x v="0"/>
    <n v="5"/>
    <n v="0"/>
    <s v="Yes"/>
    <s v="Job Portal"/>
    <s v="Part Time"/>
    <n v="0"/>
    <s v="Active"/>
    <x v="1"/>
    <x v="0"/>
    <x v="0"/>
  </r>
  <r>
    <n v="28"/>
    <s v="No"/>
    <s v="Travel_Rarely"/>
    <x v="1"/>
    <n v="5"/>
    <x v="0"/>
    <n v="3"/>
    <n v="2"/>
    <x v="4"/>
    <n v="1"/>
    <s v="Single"/>
    <n v="8463"/>
    <n v="0"/>
    <s v="No"/>
    <n v="18"/>
    <n v="3"/>
    <n v="0"/>
    <n v="6"/>
    <n v="4"/>
    <n v="5"/>
    <n v="1"/>
    <n v="3"/>
    <s v="Graduation"/>
    <d v="2016-03-05T00:00:00"/>
    <m/>
    <s v="Better Opportunity"/>
    <x v="1"/>
    <n v="3"/>
    <n v="1"/>
    <s v="No"/>
    <s v="Job Event"/>
    <s v="FullTime"/>
    <n v="0"/>
    <s v="Active"/>
    <x v="1"/>
    <x v="1"/>
    <x v="2"/>
  </r>
  <r>
    <n v="44"/>
    <s v="No"/>
    <s v="Non-Travel"/>
    <x v="0"/>
    <n v="5"/>
    <x v="0"/>
    <n v="2"/>
    <n v="1"/>
    <x v="0"/>
    <n v="3"/>
    <s v="Single"/>
    <n v="3162"/>
    <n v="3"/>
    <s v="No"/>
    <n v="14"/>
    <n v="3"/>
    <n v="0"/>
    <n v="7"/>
    <n v="5"/>
    <n v="5"/>
    <n v="0"/>
    <n v="3"/>
    <s v="12th"/>
    <d v="2016-01-11T00:00:00"/>
    <m/>
    <s v="Salary"/>
    <x v="1"/>
    <n v="3"/>
    <n v="3"/>
    <s v="Yes"/>
    <s v="Walk-in"/>
    <s v="Part Time"/>
    <n v="0"/>
    <s v="Active"/>
    <x v="1"/>
    <x v="0"/>
    <x v="0"/>
  </r>
  <r>
    <n v="44"/>
    <s v="No"/>
    <s v="Travel_Rarely"/>
    <x v="0"/>
    <n v="20"/>
    <x v="0"/>
    <n v="3"/>
    <n v="1"/>
    <x v="1"/>
    <n v="2"/>
    <s v="Single"/>
    <n v="3420"/>
    <n v="1"/>
    <s v="No"/>
    <n v="13"/>
    <n v="3"/>
    <n v="0"/>
    <n v="6"/>
    <n v="3"/>
    <n v="5"/>
    <n v="1"/>
    <n v="3"/>
    <s v="Graduation"/>
    <d v="2016-02-22T00:00:00"/>
    <m/>
    <s v="Work Accident"/>
    <x v="0"/>
    <n v="1"/>
    <n v="0"/>
    <s v="Yes"/>
    <s v="Recruiter"/>
    <s v="FullTime"/>
    <n v="0"/>
    <s v="Active"/>
    <x v="1"/>
    <x v="0"/>
    <x v="0"/>
  </r>
  <r>
    <n v="29"/>
    <s v="Yes"/>
    <s v="Travel_Frequently"/>
    <x v="1"/>
    <n v="13"/>
    <x v="1"/>
    <n v="3"/>
    <n v="2"/>
    <x v="4"/>
    <n v="2"/>
    <s v="Single"/>
    <n v="5765"/>
    <n v="5"/>
    <s v="No"/>
    <n v="11"/>
    <n v="3"/>
    <n v="0"/>
    <n v="7"/>
    <n v="4"/>
    <n v="5"/>
    <n v="0"/>
    <n v="0"/>
    <s v="PHD"/>
    <d v="2016-03-28T00:00:00"/>
    <m/>
    <s v="Work Accident"/>
    <x v="1"/>
    <n v="4"/>
    <n v="2"/>
    <s v="No"/>
    <s v="Walk-in"/>
    <s v="Contract"/>
    <n v="1"/>
    <s v="Active"/>
    <x v="1"/>
    <x v="0"/>
    <x v="2"/>
  </r>
  <r>
    <n v="30"/>
    <s v="No"/>
    <s v="Travel_Rarely"/>
    <x v="2"/>
    <n v="1"/>
    <x v="0"/>
    <n v="3"/>
    <n v="1"/>
    <x v="8"/>
    <n v="3"/>
    <s v="Divorced"/>
    <n v="2064"/>
    <n v="0"/>
    <s v="No"/>
    <n v="21"/>
    <n v="4"/>
    <n v="1"/>
    <n v="6"/>
    <n v="3"/>
    <n v="5"/>
    <n v="1"/>
    <n v="3"/>
    <s v="12th"/>
    <d v="2016-02-18T00:00:00"/>
    <m/>
    <s v="Work Accident"/>
    <x v="0"/>
    <n v="2"/>
    <n v="0"/>
    <s v="Yes"/>
    <s v="Recruiter"/>
    <s v="Part Time"/>
    <n v="0"/>
    <s v="Active"/>
    <x v="1"/>
    <x v="0"/>
    <x v="4"/>
  </r>
  <r>
    <n v="33"/>
    <s v="No"/>
    <s v="Travel_Rarely"/>
    <x v="0"/>
    <n v="4"/>
    <x v="1"/>
    <n v="2"/>
    <n v="1"/>
    <x v="0"/>
    <n v="2"/>
    <s v="Married"/>
    <n v="3838"/>
    <n v="8"/>
    <s v="No"/>
    <n v="11"/>
    <n v="3"/>
    <n v="0"/>
    <n v="8"/>
    <n v="5"/>
    <n v="5"/>
    <n v="0"/>
    <n v="2"/>
    <s v="Graduation"/>
    <d v="2016-02-28T00:00:00"/>
    <m/>
    <s v="Work Environment"/>
    <x v="1"/>
    <n v="0"/>
    <n v="1"/>
    <s v="Yes"/>
    <s v="Job Portal"/>
    <s v="Part Time"/>
    <n v="0"/>
    <s v="Active"/>
    <x v="1"/>
    <x v="0"/>
    <x v="0"/>
  </r>
  <r>
    <n v="47"/>
    <s v="No"/>
    <s v="Travel_Rarely"/>
    <x v="1"/>
    <n v="14"/>
    <x v="1"/>
    <n v="3"/>
    <n v="2"/>
    <x v="4"/>
    <n v="3"/>
    <s v="Married"/>
    <n v="4591"/>
    <n v="3"/>
    <s v="Yes"/>
    <n v="17"/>
    <n v="3"/>
    <n v="1"/>
    <n v="11"/>
    <n v="4"/>
    <n v="5"/>
    <n v="1"/>
    <n v="2"/>
    <s v="PHD"/>
    <d v="2016-03-27T00:00:00"/>
    <m/>
    <s v="Work Accident"/>
    <x v="1"/>
    <n v="4"/>
    <n v="1"/>
    <s v="Yes"/>
    <s v="Job Event"/>
    <s v="Part Time"/>
    <n v="0"/>
    <s v="Active"/>
    <x v="1"/>
    <x v="0"/>
    <x v="2"/>
  </r>
  <r>
    <n v="32"/>
    <s v="No"/>
    <s v="Travel_Rarely"/>
    <x v="0"/>
    <n v="10"/>
    <x v="0"/>
    <n v="3"/>
    <n v="3"/>
    <x v="5"/>
    <n v="4"/>
    <s v="Single"/>
    <n v="11244"/>
    <n v="2"/>
    <s v="No"/>
    <n v="25"/>
    <n v="4"/>
    <n v="0"/>
    <n v="10"/>
    <n v="5"/>
    <n v="5"/>
    <n v="0"/>
    <n v="0"/>
    <s v="PHD"/>
    <d v="2016-01-29T00:00:00"/>
    <m/>
    <s v="Better Opportunity"/>
    <x v="0"/>
    <n v="0"/>
    <n v="2"/>
    <s v="No"/>
    <s v="Job Event"/>
    <s v="FullTime"/>
    <n v="0"/>
    <s v="Active"/>
    <x v="1"/>
    <x v="1"/>
    <x v="1"/>
  </r>
  <r>
    <n v="40"/>
    <s v="Yes"/>
    <s v="Travel_Rarely"/>
    <x v="0"/>
    <n v="9"/>
    <x v="0"/>
    <n v="3"/>
    <n v="1"/>
    <x v="0"/>
    <n v="1"/>
    <s v="Single"/>
    <n v="2018"/>
    <n v="3"/>
    <s v="No"/>
    <n v="14"/>
    <n v="3"/>
    <n v="0"/>
    <n v="15"/>
    <n v="3"/>
    <n v="5"/>
    <n v="1"/>
    <n v="0"/>
    <s v="Post-Graduation"/>
    <d v="2016-03-08T00:00:00"/>
    <m/>
    <s v="Work Environment"/>
    <x v="1"/>
    <n v="2"/>
    <n v="0"/>
    <s v="Yes"/>
    <s v="Job Event"/>
    <s v="Contract"/>
    <n v="1"/>
    <s v="Active"/>
    <x v="1"/>
    <x v="0"/>
    <x v="0"/>
  </r>
  <r>
    <n v="33"/>
    <s v="No"/>
    <s v="Travel_Rarely"/>
    <x v="0"/>
    <n v="25"/>
    <x v="0"/>
    <n v="2"/>
    <n v="2"/>
    <x v="6"/>
    <n v="2"/>
    <s v="Single"/>
    <n v="4320"/>
    <n v="1"/>
    <s v="No"/>
    <n v="13"/>
    <n v="3"/>
    <n v="0"/>
    <n v="5"/>
    <n v="2"/>
    <n v="5"/>
    <n v="0"/>
    <n v="2"/>
    <s v="12th"/>
    <d v="2016-04-14T00:00:00"/>
    <m/>
    <s v="Salary"/>
    <x v="1"/>
    <n v="0"/>
    <n v="3"/>
    <s v="Yes"/>
    <s v="Job Event"/>
    <s v="FullTime"/>
    <n v="0"/>
    <s v="Active"/>
    <x v="1"/>
    <x v="0"/>
    <x v="3"/>
  </r>
  <r>
    <n v="45"/>
    <s v="No"/>
    <s v="Travel_Rarely"/>
    <x v="0"/>
    <n v="28"/>
    <x v="0"/>
    <n v="3"/>
    <n v="1"/>
    <x v="1"/>
    <n v="4"/>
    <s v="Married"/>
    <n v="2132"/>
    <n v="4"/>
    <s v="No"/>
    <n v="20"/>
    <n v="4"/>
    <n v="1"/>
    <n v="8"/>
    <n v="3"/>
    <n v="5"/>
    <n v="0"/>
    <n v="3"/>
    <s v="Graduation"/>
    <d v="2016-02-01T00:00:00"/>
    <m/>
    <s v="Better Opportunity"/>
    <x v="0"/>
    <n v="3"/>
    <n v="3"/>
    <s v="Yes"/>
    <s v="Walk-in"/>
    <s v="Part Time"/>
    <n v="0"/>
    <s v="Active"/>
    <x v="1"/>
    <x v="0"/>
    <x v="0"/>
  </r>
  <r>
    <n v="35"/>
    <s v="No"/>
    <s v="Travel_Rarely"/>
    <x v="1"/>
    <n v="28"/>
    <x v="1"/>
    <n v="2"/>
    <n v="1"/>
    <x v="3"/>
    <n v="3"/>
    <s v="Married"/>
    <n v="2430"/>
    <n v="0"/>
    <s v="No"/>
    <n v="23"/>
    <n v="4"/>
    <n v="2"/>
    <n v="6"/>
    <n v="5"/>
    <n v="5"/>
    <n v="4"/>
    <n v="2"/>
    <s v="12th"/>
    <d v="2016-03-14T00:00:00"/>
    <m/>
    <s v="Work Environment"/>
    <x v="0"/>
    <n v="4"/>
    <n v="3"/>
    <s v="No"/>
    <s v="Job Portal"/>
    <s v="Contract"/>
    <n v="0"/>
    <s v="Active"/>
    <x v="1"/>
    <x v="0"/>
    <x v="2"/>
  </r>
  <r>
    <n v="38"/>
    <s v="Yes"/>
    <s v="Travel_Rarely"/>
    <x v="0"/>
    <n v="2"/>
    <x v="0"/>
    <n v="3"/>
    <n v="2"/>
    <x v="6"/>
    <n v="2"/>
    <s v="Married"/>
    <n v="4855"/>
    <n v="4"/>
    <s v="No"/>
    <n v="11"/>
    <n v="3"/>
    <n v="2"/>
    <n v="7"/>
    <n v="2"/>
    <n v="5"/>
    <n v="1"/>
    <n v="4"/>
    <s v="Graduation"/>
    <d v="2016-02-16T00:00:00"/>
    <m/>
    <s v="Better Opportunity"/>
    <x v="0"/>
    <n v="4"/>
    <n v="1"/>
    <s v="Yes"/>
    <s v="Walk-in"/>
    <s v="FullTime"/>
    <n v="1"/>
    <s v="Active"/>
    <x v="1"/>
    <x v="0"/>
    <x v="3"/>
  </r>
  <r>
    <n v="35"/>
    <s v="No"/>
    <s v="Travel_Rarely"/>
    <x v="0"/>
    <n v="10"/>
    <x v="1"/>
    <n v="3"/>
    <n v="2"/>
    <x v="7"/>
    <n v="3"/>
    <s v="Single"/>
    <n v="6142"/>
    <n v="3"/>
    <s v="Yes"/>
    <n v="16"/>
    <n v="3"/>
    <n v="0"/>
    <n v="10"/>
    <n v="4"/>
    <n v="5"/>
    <n v="0"/>
    <n v="4"/>
    <s v="12th"/>
    <d v="2016-01-12T00:00:00"/>
    <m/>
    <s v="Better Opportunity"/>
    <x v="0"/>
    <n v="0"/>
    <n v="3"/>
    <s v="Yes"/>
    <s v="Recruiter"/>
    <s v="Part Time"/>
    <n v="0"/>
    <s v="Active"/>
    <x v="1"/>
    <x v="0"/>
    <x v="3"/>
  </r>
  <r>
    <n v="40"/>
    <s v="No"/>
    <s v="Travel_Rarely"/>
    <x v="1"/>
    <n v="14"/>
    <x v="1"/>
    <n v="3"/>
    <n v="2"/>
    <x v="4"/>
    <n v="1"/>
    <s v="Married"/>
    <n v="4639"/>
    <n v="1"/>
    <s v="No"/>
    <n v="15"/>
    <n v="3"/>
    <n v="1"/>
    <n v="5"/>
    <n v="2"/>
    <n v="5"/>
    <n v="1"/>
    <n v="2"/>
    <s v="Graduation"/>
    <d v="2016-03-14T00:00:00"/>
    <m/>
    <s v="Work Environment"/>
    <x v="0"/>
    <n v="0"/>
    <n v="2"/>
    <s v="No"/>
    <s v="Recruiter"/>
    <s v="FullTime"/>
    <n v="0"/>
    <s v="Active"/>
    <x v="1"/>
    <x v="0"/>
    <x v="2"/>
  </r>
  <r>
    <n v="31"/>
    <s v="No"/>
    <s v="Travel_Frequently"/>
    <x v="1"/>
    <n v="2"/>
    <x v="0"/>
    <n v="3"/>
    <n v="2"/>
    <x v="4"/>
    <n v="1"/>
    <s v="Single"/>
    <n v="5332"/>
    <n v="7"/>
    <s v="No"/>
    <n v="13"/>
    <n v="3"/>
    <n v="0"/>
    <n v="10"/>
    <n v="3"/>
    <n v="5"/>
    <n v="0"/>
    <n v="3"/>
    <s v="12th"/>
    <d v="2016-06-05T00:00:00"/>
    <m/>
    <s v="Work Accident"/>
    <x v="0"/>
    <n v="0"/>
    <n v="0"/>
    <s v="No"/>
    <s v="Walk-in"/>
    <s v="FullTime"/>
    <n v="0"/>
    <s v="Active"/>
    <x v="1"/>
    <x v="0"/>
    <x v="2"/>
  </r>
  <r>
    <n v="28"/>
    <s v="No"/>
    <s v="Travel_Rarely"/>
    <x v="0"/>
    <n v="27"/>
    <x v="1"/>
    <n v="1"/>
    <n v="2"/>
    <x v="6"/>
    <n v="1"/>
    <s v="Divorced"/>
    <n v="4877"/>
    <n v="0"/>
    <s v="No"/>
    <n v="21"/>
    <n v="4"/>
    <n v="1"/>
    <n v="6"/>
    <n v="5"/>
    <n v="5"/>
    <n v="0"/>
    <n v="0"/>
    <s v="12th"/>
    <d v="2016-03-03T00:00:00"/>
    <m/>
    <s v="Dept.Head"/>
    <x v="0"/>
    <n v="0"/>
    <n v="1"/>
    <s v="No"/>
    <s v="Recruiter"/>
    <s v="Contract"/>
    <n v="0"/>
    <s v="Active"/>
    <x v="1"/>
    <x v="0"/>
    <x v="3"/>
  </r>
  <r>
    <n v="47"/>
    <s v="No"/>
    <s v="Travel_Rarely"/>
    <x v="2"/>
    <n v="26"/>
    <x v="1"/>
    <n v="3"/>
    <n v="5"/>
    <x v="5"/>
    <n v="3"/>
    <s v="Married"/>
    <n v="19658"/>
    <n v="3"/>
    <s v="No"/>
    <n v="11"/>
    <n v="3"/>
    <n v="1"/>
    <n v="27"/>
    <n v="2"/>
    <n v="5"/>
    <n v="1"/>
    <n v="0"/>
    <s v="Graduation"/>
    <d v="2016-05-26T00:00:00"/>
    <m/>
    <s v="Work Environment"/>
    <x v="1"/>
    <n v="5"/>
    <n v="1"/>
    <s v="No"/>
    <s v="Recruiter"/>
    <s v="Part Time"/>
    <n v="0"/>
    <s v="Active"/>
    <x v="1"/>
    <x v="1"/>
    <x v="1"/>
  </r>
  <r>
    <n v="38"/>
    <s v="No"/>
    <s v="Travel_Rarely"/>
    <x v="0"/>
    <n v="2"/>
    <x v="1"/>
    <n v="2"/>
    <n v="3"/>
    <x v="6"/>
    <n v="3"/>
    <s v="Married"/>
    <n v="7756"/>
    <n v="3"/>
    <s v="Yes"/>
    <n v="19"/>
    <n v="3"/>
    <n v="1"/>
    <n v="10"/>
    <n v="6"/>
    <n v="5"/>
    <n v="0"/>
    <n v="2"/>
    <s v="Graduation"/>
    <d v="2016-01-13T00:00:00"/>
    <m/>
    <s v="Work Environment"/>
    <x v="0"/>
    <n v="4"/>
    <n v="3"/>
    <s v="Yes"/>
    <s v="Recruiter"/>
    <s v="Part Time"/>
    <n v="0"/>
    <s v="Active"/>
    <x v="1"/>
    <x v="1"/>
    <x v="3"/>
  </r>
  <r>
    <n v="29"/>
    <s v="No"/>
    <s v="Travel_Rarely"/>
    <x v="1"/>
    <n v="10"/>
    <x v="0"/>
    <n v="2"/>
    <n v="2"/>
    <x v="4"/>
    <n v="3"/>
    <s v="Single"/>
    <n v="5869"/>
    <n v="9"/>
    <s v="No"/>
    <n v="11"/>
    <n v="3"/>
    <n v="0"/>
    <n v="8"/>
    <n v="2"/>
    <n v="5"/>
    <n v="1"/>
    <n v="4"/>
    <s v="12th"/>
    <d v="2016-01-10T00:00:00"/>
    <m/>
    <s v="Work Environment"/>
    <x v="1"/>
    <n v="1"/>
    <n v="1"/>
    <s v="No"/>
    <s v="Job Portal"/>
    <s v="FullTime"/>
    <n v="0"/>
    <s v="Active"/>
    <x v="1"/>
    <x v="0"/>
    <x v="2"/>
  </r>
  <r>
    <n v="39"/>
    <s v="No"/>
    <s v="Travel_Rarely"/>
    <x v="0"/>
    <n v="12"/>
    <x v="0"/>
    <n v="3"/>
    <n v="2"/>
    <x v="6"/>
    <n v="2"/>
    <s v="Married"/>
    <n v="5295"/>
    <n v="4"/>
    <s v="No"/>
    <n v="21"/>
    <n v="4"/>
    <n v="0"/>
    <n v="7"/>
    <n v="3"/>
    <n v="5"/>
    <n v="1"/>
    <n v="0"/>
    <s v="Graduation"/>
    <d v="2016-01-10T00:00:00"/>
    <m/>
    <s v="Better Opportunity"/>
    <x v="0"/>
    <n v="0"/>
    <n v="2"/>
    <s v="No"/>
    <s v="Recruiter"/>
    <s v="Contract"/>
    <n v="0"/>
    <s v="Active"/>
    <x v="1"/>
    <x v="0"/>
    <x v="3"/>
  </r>
  <r>
    <n v="36"/>
    <s v="No"/>
    <s v="Travel_Rarely"/>
    <x v="0"/>
    <n v="3"/>
    <x v="0"/>
    <n v="4"/>
    <n v="2"/>
    <x v="7"/>
    <n v="1"/>
    <s v="Divorced"/>
    <n v="6842"/>
    <n v="6"/>
    <s v="No"/>
    <n v="20"/>
    <n v="4"/>
    <n v="1"/>
    <n v="13"/>
    <n v="3"/>
    <n v="5"/>
    <n v="0"/>
    <n v="4"/>
    <s v="Graduation"/>
    <d v="2016-05-14T00:00:00"/>
    <m/>
    <s v="Dept.Head"/>
    <x v="1"/>
    <n v="2"/>
    <n v="2"/>
    <s v="No"/>
    <s v="Recruiter"/>
    <s v="FullTime"/>
    <n v="0"/>
    <s v="Active"/>
    <x v="1"/>
    <x v="0"/>
    <x v="3"/>
  </r>
  <r>
    <n v="23"/>
    <s v="Yes"/>
    <s v="Travel_Rarely"/>
    <x v="0"/>
    <n v="8"/>
    <x v="0"/>
    <n v="2"/>
    <n v="1"/>
    <x v="0"/>
    <n v="3"/>
    <s v="Single"/>
    <n v="3989"/>
    <n v="1"/>
    <s v="Yes"/>
    <n v="11"/>
    <n v="3"/>
    <n v="0"/>
    <n v="5"/>
    <n v="2"/>
    <n v="5"/>
    <n v="1"/>
    <n v="2"/>
    <s v="Graduation"/>
    <d v="2016-06-03T00:00:00"/>
    <m/>
    <s v="Salary"/>
    <x v="0"/>
    <n v="1"/>
    <n v="2"/>
    <s v="No"/>
    <s v="Job Portal"/>
    <s v="Part Time"/>
    <n v="1"/>
    <s v="Active"/>
    <x v="1"/>
    <x v="0"/>
    <x v="0"/>
  </r>
  <r>
    <n v="35"/>
    <s v="No"/>
    <s v="Travel_Frequently"/>
    <x v="0"/>
    <n v="2"/>
    <x v="0"/>
    <n v="2"/>
    <n v="1"/>
    <x v="1"/>
    <n v="4"/>
    <s v="Single"/>
    <n v="4930"/>
    <n v="0"/>
    <s v="Yes"/>
    <n v="14"/>
    <n v="3"/>
    <n v="0"/>
    <n v="6"/>
    <n v="2"/>
    <n v="5"/>
    <n v="1"/>
    <n v="4"/>
    <s v="Graduation"/>
    <d v="2016-05-19T00:00:00"/>
    <m/>
    <s v="Work Environment"/>
    <x v="0"/>
    <n v="4"/>
    <n v="1"/>
    <s v="No"/>
    <s v="Recruiter"/>
    <s v="FullTime"/>
    <n v="0"/>
    <s v="Active"/>
    <x v="1"/>
    <x v="0"/>
    <x v="0"/>
  </r>
  <r>
    <n v="24"/>
    <s v="No"/>
    <s v="Travel_Rarely"/>
    <x v="0"/>
    <n v="9"/>
    <x v="0"/>
    <n v="4"/>
    <n v="1"/>
    <x v="1"/>
    <n v="3"/>
    <s v="Married"/>
    <n v="4401"/>
    <n v="1"/>
    <s v="No"/>
    <n v="16"/>
    <n v="3"/>
    <n v="1"/>
    <n v="5"/>
    <n v="1"/>
    <n v="5"/>
    <n v="0"/>
    <n v="4"/>
    <s v="PHD"/>
    <d v="2016-04-26T00:00:00"/>
    <m/>
    <s v="Work Accident"/>
    <x v="0"/>
    <n v="0"/>
    <n v="3"/>
    <s v="No"/>
    <s v="Job Portal"/>
    <s v="Part Time"/>
    <n v="0"/>
    <s v="Active"/>
    <x v="1"/>
    <x v="0"/>
    <x v="0"/>
  </r>
  <r>
    <n v="29"/>
    <s v="No"/>
    <s v="Travel_Rarely"/>
    <x v="0"/>
    <n v="9"/>
    <x v="1"/>
    <n v="3"/>
    <n v="1"/>
    <x v="0"/>
    <n v="3"/>
    <s v="Married"/>
    <n v="2974"/>
    <n v="9"/>
    <s v="No"/>
    <n v="17"/>
    <n v="3"/>
    <n v="1"/>
    <n v="9"/>
    <n v="2"/>
    <n v="5"/>
    <n v="1"/>
    <n v="2"/>
    <s v="PHD"/>
    <d v="2016-05-17T00:00:00"/>
    <m/>
    <s v="Dept.Head"/>
    <x v="0"/>
    <n v="5"/>
    <n v="0"/>
    <s v="Yes"/>
    <s v="Job Portal"/>
    <s v="FullTime"/>
    <n v="0"/>
    <s v="Active"/>
    <x v="1"/>
    <x v="0"/>
    <x v="0"/>
  </r>
  <r>
    <n v="32"/>
    <s v="No"/>
    <s v="Travel_Frequently"/>
    <x v="0"/>
    <n v="10"/>
    <x v="0"/>
    <n v="3"/>
    <n v="1"/>
    <x v="1"/>
    <n v="3"/>
    <s v="Married"/>
    <n v="3433"/>
    <n v="6"/>
    <s v="No"/>
    <n v="13"/>
    <n v="3"/>
    <n v="1"/>
    <n v="10"/>
    <n v="3"/>
    <n v="5"/>
    <n v="1"/>
    <n v="3"/>
    <s v="PHD"/>
    <d v="2016-04-05T00:00:00"/>
    <m/>
    <s v="Better Opportunity"/>
    <x v="1"/>
    <n v="1"/>
    <n v="3"/>
    <s v="No"/>
    <s v="Job Portal"/>
    <s v="Contract"/>
    <n v="0"/>
    <s v="Active"/>
    <x v="1"/>
    <x v="0"/>
    <x v="0"/>
  </r>
  <r>
    <n v="31"/>
    <s v="No"/>
    <s v="Travel_Rarely"/>
    <x v="0"/>
    <n v="2"/>
    <x v="0"/>
    <n v="3"/>
    <n v="1"/>
    <x v="0"/>
    <n v="3"/>
    <s v="Married"/>
    <n v="3477"/>
    <n v="1"/>
    <s v="No"/>
    <n v="14"/>
    <n v="3"/>
    <n v="1"/>
    <n v="6"/>
    <n v="2"/>
    <n v="5"/>
    <n v="0"/>
    <n v="3"/>
    <s v="Post-Graduation"/>
    <d v="2016-01-28T00:00:00"/>
    <m/>
    <s v="Dept.Head"/>
    <x v="0"/>
    <n v="3"/>
    <n v="3"/>
    <s v="Yes"/>
    <s v="Job Event"/>
    <s v="FullTime"/>
    <n v="0"/>
    <s v="Active"/>
    <x v="1"/>
    <x v="0"/>
    <x v="0"/>
  </r>
  <r>
    <n v="31"/>
    <s v="No"/>
    <s v="Travel_Frequently"/>
    <x v="0"/>
    <n v="24"/>
    <x v="1"/>
    <n v="3"/>
    <n v="2"/>
    <x v="6"/>
    <n v="4"/>
    <s v="Single"/>
    <n v="5238"/>
    <n v="2"/>
    <s v="No"/>
    <n v="20"/>
    <n v="4"/>
    <n v="0"/>
    <n v="9"/>
    <n v="3"/>
    <n v="5"/>
    <n v="1"/>
    <n v="4"/>
    <s v="PHD"/>
    <d v="2016-04-14T00:00:00"/>
    <m/>
    <s v="Work Environment"/>
    <x v="1"/>
    <n v="2"/>
    <n v="0"/>
    <s v="No"/>
    <s v="Job Event"/>
    <s v="Contract"/>
    <n v="0"/>
    <s v="Active"/>
    <x v="1"/>
    <x v="0"/>
    <x v="3"/>
  </r>
  <r>
    <n v="45"/>
    <s v="No"/>
    <s v="Travel_Rarely"/>
    <x v="2"/>
    <n v="4"/>
    <x v="1"/>
    <n v="1"/>
    <n v="3"/>
    <x v="8"/>
    <n v="3"/>
    <s v="Married"/>
    <n v="9756"/>
    <n v="4"/>
    <s v="No"/>
    <n v="21"/>
    <n v="4"/>
    <n v="2"/>
    <n v="9"/>
    <n v="2"/>
    <n v="5"/>
    <n v="0"/>
    <n v="3"/>
    <s v="Graduation"/>
    <d v="2016-05-12T00:00:00"/>
    <m/>
    <s v="Better Opportunity"/>
    <x v="1"/>
    <n v="1"/>
    <n v="0"/>
    <s v="No"/>
    <s v="Walk-in"/>
    <s v="FullTime"/>
    <n v="0"/>
    <s v="Active"/>
    <x v="1"/>
    <x v="1"/>
    <x v="4"/>
  </r>
  <r>
    <n v="31"/>
    <s v="No"/>
    <s v="Travel_Rarely"/>
    <x v="1"/>
    <n v="5"/>
    <x v="0"/>
    <n v="3"/>
    <n v="2"/>
    <x v="4"/>
    <n v="3"/>
    <s v="Married"/>
    <n v="8346"/>
    <n v="1"/>
    <s v="No"/>
    <n v="19"/>
    <n v="3"/>
    <n v="1"/>
    <n v="6"/>
    <n v="3"/>
    <n v="5"/>
    <n v="0"/>
    <n v="2"/>
    <s v="Graduation"/>
    <d v="2016-01-24T00:00:00"/>
    <m/>
    <s v="Work Environment"/>
    <x v="0"/>
    <n v="4"/>
    <n v="1"/>
    <s v="Yes"/>
    <s v="Job Portal"/>
    <s v="Part Time"/>
    <n v="0"/>
    <s v="Active"/>
    <x v="1"/>
    <x v="1"/>
    <x v="2"/>
  </r>
  <r>
    <n v="34"/>
    <s v="No"/>
    <s v="Travel_Rarely"/>
    <x v="0"/>
    <n v="2"/>
    <x v="0"/>
    <n v="4"/>
    <n v="1"/>
    <x v="1"/>
    <n v="4"/>
    <s v="Married"/>
    <n v="2932"/>
    <n v="0"/>
    <s v="Yes"/>
    <n v="14"/>
    <n v="3"/>
    <n v="3"/>
    <n v="6"/>
    <n v="3"/>
    <n v="5"/>
    <n v="1"/>
    <n v="2"/>
    <s v="Post-Graduation"/>
    <d v="2016-03-01T00:00:00"/>
    <m/>
    <s v="Work Environment"/>
    <x v="0"/>
    <n v="0"/>
    <n v="0"/>
    <s v="No"/>
    <s v="Recruiter"/>
    <s v="FullTime"/>
    <n v="0"/>
    <s v="Active"/>
    <x v="1"/>
    <x v="0"/>
    <x v="0"/>
  </r>
  <r>
    <n v="49"/>
    <s v="No"/>
    <s v="Travel_Rarely"/>
    <x v="1"/>
    <n v="11"/>
    <x v="1"/>
    <n v="3"/>
    <n v="2"/>
    <x v="4"/>
    <n v="4"/>
    <s v="Single"/>
    <n v="4507"/>
    <n v="3"/>
    <s v="No"/>
    <n v="12"/>
    <n v="3"/>
    <n v="0"/>
    <n v="8"/>
    <n v="1"/>
    <n v="5"/>
    <n v="0"/>
    <n v="4"/>
    <s v="Post-Graduation"/>
    <d v="2016-03-09T00:00:00"/>
    <m/>
    <s v="Better Opportunity"/>
    <x v="1"/>
    <n v="2"/>
    <n v="3"/>
    <s v="Yes"/>
    <s v="Job Portal"/>
    <s v="FullTime"/>
    <n v="0"/>
    <s v="Active"/>
    <x v="1"/>
    <x v="0"/>
    <x v="2"/>
  </r>
  <r>
    <n v="42"/>
    <s v="No"/>
    <s v="Travel_Rarely"/>
    <x v="0"/>
    <n v="12"/>
    <x v="0"/>
    <n v="3"/>
    <n v="1"/>
    <x v="0"/>
    <n v="2"/>
    <s v="Divorced"/>
    <n v="2766"/>
    <n v="8"/>
    <s v="No"/>
    <n v="22"/>
    <n v="4"/>
    <n v="3"/>
    <n v="7"/>
    <n v="6"/>
    <n v="5"/>
    <n v="0"/>
    <n v="4"/>
    <s v="PHD"/>
    <d v="2016-05-13T00:00:00"/>
    <m/>
    <s v="Work Accident"/>
    <x v="0"/>
    <n v="5"/>
    <n v="1"/>
    <s v="Yes"/>
    <s v="Job Event"/>
    <s v="FullTime"/>
    <n v="0"/>
    <s v="Active"/>
    <x v="1"/>
    <x v="0"/>
    <x v="0"/>
  </r>
  <r>
    <n v="41"/>
    <s v="No"/>
    <s v="Travel_Rarely"/>
    <x v="0"/>
    <n v="9"/>
    <x v="0"/>
    <n v="3"/>
    <n v="1"/>
    <x v="0"/>
    <n v="1"/>
    <s v="Divorced"/>
    <n v="2289"/>
    <n v="1"/>
    <s v="No"/>
    <n v="20"/>
    <n v="4"/>
    <n v="2"/>
    <n v="5"/>
    <n v="2"/>
    <n v="5"/>
    <n v="0"/>
    <n v="4"/>
    <s v="Post-Graduation"/>
    <d v="2016-05-25T00:00:00"/>
    <m/>
    <s v="Work Environment"/>
    <x v="0"/>
    <n v="4"/>
    <n v="0"/>
    <s v="No"/>
    <s v="Walk-in"/>
    <s v="FullTime"/>
    <n v="0"/>
    <s v="Active"/>
    <x v="1"/>
    <x v="0"/>
    <x v="0"/>
  </r>
  <r>
    <n v="38"/>
    <s v="No"/>
    <s v="Travel_Rarely"/>
    <x v="0"/>
    <n v="6"/>
    <x v="1"/>
    <n v="2"/>
    <n v="1"/>
    <x v="0"/>
    <n v="3"/>
    <s v="Married"/>
    <n v="3702"/>
    <n v="1"/>
    <s v="No"/>
    <n v="11"/>
    <n v="3"/>
    <n v="1"/>
    <n v="5"/>
    <n v="3"/>
    <n v="5"/>
    <n v="0"/>
    <n v="4"/>
    <s v="12th"/>
    <d v="2016-05-07T00:00:00"/>
    <m/>
    <s v="Better Opportunity"/>
    <x v="1"/>
    <n v="3"/>
    <n v="2"/>
    <s v="No"/>
    <s v="Job Portal"/>
    <s v="Part Time"/>
    <n v="0"/>
    <s v="Active"/>
    <x v="1"/>
    <x v="0"/>
    <x v="0"/>
  </r>
  <r>
    <n v="37"/>
    <s v="No"/>
    <s v="Travel_Rarely"/>
    <x v="1"/>
    <n v="9"/>
    <x v="0"/>
    <n v="2"/>
    <n v="2"/>
    <x v="4"/>
    <n v="2"/>
    <s v="Married"/>
    <n v="4189"/>
    <n v="1"/>
    <s v="No"/>
    <n v="14"/>
    <n v="3"/>
    <n v="2"/>
    <n v="5"/>
    <n v="2"/>
    <n v="5"/>
    <n v="0"/>
    <n v="3"/>
    <s v="Post-Graduation"/>
    <d v="2016-02-17T00:00:00"/>
    <m/>
    <s v="Better Opportunity"/>
    <x v="1"/>
    <n v="2"/>
    <n v="1"/>
    <s v="Yes"/>
    <s v="Recruiter"/>
    <s v="Part Time"/>
    <n v="0"/>
    <s v="Active"/>
    <x v="1"/>
    <x v="0"/>
    <x v="2"/>
  </r>
  <r>
    <n v="44"/>
    <s v="Yes"/>
    <s v="Travel_Frequently"/>
    <x v="0"/>
    <n v="1"/>
    <x v="0"/>
    <n v="3"/>
    <n v="1"/>
    <x v="1"/>
    <n v="2"/>
    <s v="Divorced"/>
    <n v="2342"/>
    <n v="1"/>
    <s v="Yes"/>
    <n v="12"/>
    <n v="3"/>
    <n v="3"/>
    <n v="6"/>
    <n v="2"/>
    <n v="5"/>
    <n v="2"/>
    <n v="3"/>
    <s v="PHD"/>
    <d v="2016-06-03T00:00:00"/>
    <m/>
    <s v="Work Environment"/>
    <x v="0"/>
    <n v="3"/>
    <n v="1"/>
    <s v="No"/>
    <s v="Job Portal"/>
    <s v="Contract"/>
    <n v="1"/>
    <s v="Active"/>
    <x v="1"/>
    <x v="0"/>
    <x v="0"/>
  </r>
  <r>
    <n v="28"/>
    <s v="No"/>
    <s v="Travel_Rarely"/>
    <x v="0"/>
    <n v="1"/>
    <x v="0"/>
    <n v="3"/>
    <n v="1"/>
    <x v="1"/>
    <n v="4"/>
    <s v="Married"/>
    <n v="2044"/>
    <n v="1"/>
    <s v="No"/>
    <n v="11"/>
    <n v="3"/>
    <n v="1"/>
    <n v="5"/>
    <n v="6"/>
    <n v="5"/>
    <n v="0"/>
    <n v="3"/>
    <s v="Post-Graduation"/>
    <d v="2016-06-22T00:00:00"/>
    <m/>
    <s v="Dept.Head"/>
    <x v="1"/>
    <n v="3"/>
    <n v="1"/>
    <s v="No"/>
    <s v="Walk-in"/>
    <s v="Contract"/>
    <n v="0"/>
    <s v="Active"/>
    <x v="1"/>
    <x v="0"/>
    <x v="0"/>
  </r>
  <r>
    <n v="26"/>
    <s v="Yes"/>
    <s v="Travel_Rarely"/>
    <x v="2"/>
    <n v="20"/>
    <x v="1"/>
    <n v="3"/>
    <n v="1"/>
    <x v="8"/>
    <n v="2"/>
    <s v="Married"/>
    <n v="2148"/>
    <n v="0"/>
    <s v="Yes"/>
    <n v="11"/>
    <n v="3"/>
    <n v="0"/>
    <n v="6"/>
    <n v="3"/>
    <n v="5"/>
    <n v="1"/>
    <n v="4"/>
    <s v="12th"/>
    <d v="2016-01-09T00:00:00"/>
    <m/>
    <s v="Salary"/>
    <x v="1"/>
    <n v="1"/>
    <n v="1"/>
    <s v="No"/>
    <s v="Job Portal"/>
    <s v="FullTime"/>
    <n v="1"/>
    <s v="Active"/>
    <x v="1"/>
    <x v="0"/>
    <x v="4"/>
  </r>
  <r>
    <n v="40"/>
    <s v="No"/>
    <s v="Travel_Rarely"/>
    <x v="0"/>
    <n v="1"/>
    <x v="1"/>
    <n v="3"/>
    <n v="2"/>
    <x v="7"/>
    <n v="4"/>
    <s v="Divorced"/>
    <n v="6513"/>
    <n v="4"/>
    <s v="No"/>
    <n v="17"/>
    <n v="3"/>
    <n v="1"/>
    <n v="12"/>
    <n v="3"/>
    <n v="5"/>
    <n v="0"/>
    <n v="3"/>
    <s v="12th"/>
    <d v="2016-03-09T00:00:00"/>
    <m/>
    <s v="Dept.Head"/>
    <x v="1"/>
    <n v="4"/>
    <n v="2"/>
    <s v="Yes"/>
    <s v="Recruiter"/>
    <s v="Contract"/>
    <n v="0"/>
    <s v="Active"/>
    <x v="1"/>
    <x v="0"/>
    <x v="3"/>
  </r>
  <r>
    <n v="35"/>
    <s v="No"/>
    <s v="Travel_Rarely"/>
    <x v="0"/>
    <n v="23"/>
    <x v="0"/>
    <n v="1"/>
    <n v="1"/>
    <x v="0"/>
    <n v="3"/>
    <s v="Married"/>
    <n v="2705"/>
    <n v="0"/>
    <s v="No"/>
    <n v="16"/>
    <n v="3"/>
    <n v="1"/>
    <n v="6"/>
    <n v="2"/>
    <n v="5"/>
    <n v="0"/>
    <n v="3"/>
    <s v="Graduation"/>
    <d v="2016-01-03T00:00:00"/>
    <m/>
    <s v="Work Environment"/>
    <x v="0"/>
    <n v="3"/>
    <n v="2"/>
    <s v="Yes"/>
    <s v="Walk-in"/>
    <s v="FullTime"/>
    <n v="0"/>
    <s v="Active"/>
    <x v="1"/>
    <x v="0"/>
    <x v="0"/>
  </r>
  <r>
    <n v="26"/>
    <s v="No"/>
    <s v="Travel_Rarely"/>
    <x v="1"/>
    <n v="10"/>
    <x v="0"/>
    <n v="3"/>
    <n v="2"/>
    <x v="4"/>
    <n v="4"/>
    <s v="Single"/>
    <n v="4684"/>
    <n v="1"/>
    <s v="No"/>
    <n v="13"/>
    <n v="3"/>
    <n v="0"/>
    <n v="5"/>
    <n v="4"/>
    <n v="5"/>
    <n v="1"/>
    <n v="2"/>
    <s v="Graduation"/>
    <d v="2016-05-24T00:00:00"/>
    <m/>
    <s v="Better Opportunity"/>
    <x v="1"/>
    <n v="2"/>
    <n v="3"/>
    <s v="No"/>
    <s v="Job Event"/>
    <s v="FullTime"/>
    <n v="0"/>
    <s v="Active"/>
    <x v="1"/>
    <x v="0"/>
    <x v="2"/>
  </r>
  <r>
    <n v="27"/>
    <s v="No"/>
    <s v="Travel_Frequently"/>
    <x v="0"/>
    <n v="5"/>
    <x v="1"/>
    <n v="3"/>
    <n v="1"/>
    <x v="0"/>
    <n v="4"/>
    <s v="Single"/>
    <n v="2379"/>
    <n v="0"/>
    <s v="Yes"/>
    <n v="14"/>
    <n v="3"/>
    <n v="0"/>
    <n v="6"/>
    <n v="3"/>
    <n v="5"/>
    <n v="0"/>
    <n v="2"/>
    <s v="Post-Graduation"/>
    <d v="2016-02-26T00:00:00"/>
    <m/>
    <s v="Salary"/>
    <x v="1"/>
    <n v="1"/>
    <n v="2"/>
    <s v="Yes"/>
    <s v="Walk-in"/>
    <s v="Contract"/>
    <n v="0"/>
    <s v="Active"/>
    <x v="1"/>
    <x v="0"/>
    <x v="0"/>
  </r>
  <r>
    <n v="55"/>
    <s v="No"/>
    <s v="Travel_Rarely"/>
    <x v="0"/>
    <n v="2"/>
    <x v="0"/>
    <n v="2"/>
    <n v="1"/>
    <x v="1"/>
    <n v="4"/>
    <s v="Married"/>
    <n v="2662"/>
    <n v="8"/>
    <s v="No"/>
    <n v="20"/>
    <n v="4"/>
    <n v="1"/>
    <n v="19"/>
    <n v="2"/>
    <n v="5"/>
    <n v="0"/>
    <n v="4"/>
    <s v="PHD"/>
    <d v="2016-02-28T00:00:00"/>
    <m/>
    <s v="Salary"/>
    <x v="0"/>
    <n v="5"/>
    <n v="3"/>
    <s v="No"/>
    <s v="Recruiter"/>
    <s v="FullTime"/>
    <n v="0"/>
    <s v="Active"/>
    <x v="1"/>
    <x v="0"/>
    <x v="0"/>
  </r>
  <r>
    <n v="34"/>
    <s v="No"/>
    <s v="Travel_Rarely"/>
    <x v="1"/>
    <n v="4"/>
    <x v="0"/>
    <n v="3"/>
    <n v="3"/>
    <x v="4"/>
    <n v="4"/>
    <s v="Married"/>
    <n v="9713"/>
    <n v="2"/>
    <s v="Yes"/>
    <n v="13"/>
    <n v="3"/>
    <n v="3"/>
    <n v="9"/>
    <n v="3"/>
    <n v="5"/>
    <n v="1"/>
    <n v="0"/>
    <s v="12th"/>
    <d v="2016-05-07T00:00:00"/>
    <m/>
    <s v="Salary"/>
    <x v="1"/>
    <n v="2"/>
    <n v="2"/>
    <s v="No"/>
    <s v="Recruiter"/>
    <s v="Part Time"/>
    <n v="0"/>
    <s v="Active"/>
    <x v="1"/>
    <x v="1"/>
    <x v="2"/>
  </r>
  <r>
    <n v="37"/>
    <s v="No"/>
    <s v="Travel_Rarely"/>
    <x v="0"/>
    <n v="7"/>
    <x v="0"/>
    <n v="3"/>
    <n v="2"/>
    <x v="1"/>
    <n v="1"/>
    <s v="Married"/>
    <n v="4284"/>
    <n v="5"/>
    <s v="Yes"/>
    <n v="22"/>
    <n v="4"/>
    <n v="1"/>
    <n v="16"/>
    <n v="2"/>
    <n v="5"/>
    <n v="0"/>
    <n v="4"/>
    <s v="12th"/>
    <d v="2016-03-13T00:00:00"/>
    <m/>
    <s v="Better Opportunity"/>
    <x v="1"/>
    <n v="2"/>
    <n v="1"/>
    <s v="Yes"/>
    <s v="Job Event"/>
    <s v="Part Time"/>
    <n v="0"/>
    <s v="Active"/>
    <x v="1"/>
    <x v="0"/>
    <x v="0"/>
  </r>
  <r>
    <n v="34"/>
    <s v="Yes"/>
    <s v="Non-Travel"/>
    <x v="0"/>
    <n v="16"/>
    <x v="0"/>
    <n v="1"/>
    <n v="1"/>
    <x v="1"/>
    <n v="1"/>
    <s v="Married"/>
    <n v="2307"/>
    <n v="1"/>
    <s v="Yes"/>
    <n v="23"/>
    <n v="4"/>
    <n v="1"/>
    <n v="5"/>
    <n v="2"/>
    <n v="5"/>
    <n v="3"/>
    <n v="0"/>
    <s v="Graduation"/>
    <d v="2016-02-17T00:00:00"/>
    <m/>
    <s v="Work Accident"/>
    <x v="1"/>
    <n v="0"/>
    <n v="1"/>
    <s v="Yes"/>
    <s v="Job Portal"/>
    <s v="FullTime"/>
    <n v="1"/>
    <s v="Active"/>
    <x v="1"/>
    <x v="0"/>
    <x v="0"/>
  </r>
  <r>
    <n v="41"/>
    <s v="No"/>
    <s v="Travel_Rarely"/>
    <x v="1"/>
    <n v="8"/>
    <x v="1"/>
    <n v="3"/>
    <n v="2"/>
    <x v="4"/>
    <n v="2"/>
    <s v="Married"/>
    <n v="4393"/>
    <n v="5"/>
    <s v="No"/>
    <n v="21"/>
    <n v="4"/>
    <n v="1"/>
    <n v="14"/>
    <n v="3"/>
    <n v="5"/>
    <n v="1"/>
    <n v="4"/>
    <s v="12th"/>
    <d v="2016-01-18T00:00:00"/>
    <m/>
    <s v="Salary"/>
    <x v="1"/>
    <n v="5"/>
    <n v="2"/>
    <s v="No"/>
    <s v="Job Event"/>
    <s v="Part Time"/>
    <n v="0"/>
    <s v="Active"/>
    <x v="1"/>
    <x v="0"/>
    <x v="2"/>
  </r>
  <r>
    <n v="31"/>
    <s v="No"/>
    <s v="Travel_Rarely"/>
    <x v="1"/>
    <n v="10"/>
    <x v="1"/>
    <n v="3"/>
    <n v="2"/>
    <x v="4"/>
    <n v="4"/>
    <s v="Divorced"/>
    <n v="6583"/>
    <n v="2"/>
    <s v="Yes"/>
    <n v="11"/>
    <n v="3"/>
    <n v="1"/>
    <n v="8"/>
    <n v="2"/>
    <n v="5"/>
    <n v="1"/>
    <n v="4"/>
    <s v="PHD"/>
    <d v="2016-06-13T00:00:00"/>
    <m/>
    <s v="Work Environment"/>
    <x v="0"/>
    <n v="4"/>
    <n v="0"/>
    <s v="Yes"/>
    <s v="Job Portal"/>
    <s v="FullTime"/>
    <n v="0"/>
    <s v="Active"/>
    <x v="1"/>
    <x v="0"/>
    <x v="2"/>
  </r>
  <r>
    <n v="27"/>
    <s v="No"/>
    <s v="Travel_Rarely"/>
    <x v="0"/>
    <n v="2"/>
    <x v="0"/>
    <n v="3"/>
    <n v="1"/>
    <x v="1"/>
    <n v="2"/>
    <s v="Married"/>
    <n v="2226"/>
    <n v="1"/>
    <s v="No"/>
    <n v="11"/>
    <n v="3"/>
    <n v="1"/>
    <n v="6"/>
    <n v="3"/>
    <n v="5"/>
    <n v="1"/>
    <n v="2"/>
    <s v="Post-Graduation"/>
    <d v="2016-03-25T00:00:00"/>
    <m/>
    <s v="Dept.Head"/>
    <x v="1"/>
    <n v="4"/>
    <n v="1"/>
    <s v="Yes"/>
    <s v="Recruiter"/>
    <s v="FullTime"/>
    <n v="0"/>
    <s v="Active"/>
    <x v="1"/>
    <x v="0"/>
    <x v="0"/>
  </r>
  <r>
    <n v="38"/>
    <s v="No"/>
    <s v="Travel_Rarely"/>
    <x v="0"/>
    <n v="9"/>
    <x v="0"/>
    <n v="3"/>
    <n v="1"/>
    <x v="1"/>
    <n v="4"/>
    <s v="Divorced"/>
    <n v="4771"/>
    <n v="2"/>
    <s v="No"/>
    <n v="19"/>
    <n v="3"/>
    <n v="2"/>
    <n v="10"/>
    <n v="0"/>
    <n v="5"/>
    <n v="0"/>
    <n v="3"/>
    <s v="PHD"/>
    <d v="2016-05-26T00:00:00"/>
    <m/>
    <s v="Work Accident"/>
    <x v="0"/>
    <n v="0"/>
    <n v="3"/>
    <s v="No"/>
    <s v="Recruiter"/>
    <s v="FullTime"/>
    <n v="0"/>
    <s v="Active"/>
    <x v="1"/>
    <x v="0"/>
    <x v="0"/>
  </r>
  <r>
    <n v="49"/>
    <s v="No"/>
    <s v="Travel_Frequently"/>
    <x v="0"/>
    <n v="2"/>
    <x v="0"/>
    <n v="3"/>
    <n v="5"/>
    <x v="2"/>
    <n v="4"/>
    <s v="Married"/>
    <n v="19161"/>
    <n v="3"/>
    <s v="No"/>
    <n v="15"/>
    <n v="3"/>
    <n v="0"/>
    <n v="28"/>
    <n v="3"/>
    <n v="5"/>
    <n v="4"/>
    <n v="3"/>
    <s v="12th"/>
    <d v="2016-04-02T00:00:00"/>
    <m/>
    <s v="Salary"/>
    <x v="0"/>
    <n v="1"/>
    <n v="2"/>
    <s v="Yes"/>
    <s v="Walk-in"/>
    <s v="FullTime"/>
    <n v="0"/>
    <s v="Active"/>
    <x v="1"/>
    <x v="1"/>
    <x v="1"/>
  </r>
  <r>
    <n v="35"/>
    <s v="No"/>
    <s v="Travel_Rarely"/>
    <x v="1"/>
    <n v="18"/>
    <x v="0"/>
    <n v="3"/>
    <n v="2"/>
    <x v="4"/>
    <n v="1"/>
    <s v="Married"/>
    <n v="5561"/>
    <n v="0"/>
    <s v="No"/>
    <n v="16"/>
    <n v="3"/>
    <n v="1"/>
    <n v="6"/>
    <n v="2"/>
    <n v="5"/>
    <n v="0"/>
    <n v="4"/>
    <s v="Graduation"/>
    <d v="2016-03-31T00:00:00"/>
    <m/>
    <s v="Work Environment"/>
    <x v="0"/>
    <n v="4"/>
    <n v="2"/>
    <s v="No"/>
    <s v="Walk-in"/>
    <s v="Part Time"/>
    <n v="0"/>
    <s v="Active"/>
    <x v="1"/>
    <x v="0"/>
    <x v="2"/>
  </r>
  <r>
    <n v="28"/>
    <s v="No"/>
    <s v="Non-Travel"/>
    <x v="0"/>
    <n v="16"/>
    <x v="0"/>
    <n v="3"/>
    <n v="1"/>
    <x v="1"/>
    <n v="3"/>
    <s v="Single"/>
    <n v="2144"/>
    <n v="1"/>
    <s v="No"/>
    <n v="14"/>
    <n v="3"/>
    <n v="0"/>
    <n v="5"/>
    <n v="3"/>
    <n v="5"/>
    <n v="1"/>
    <n v="4"/>
    <s v="Post-Graduation"/>
    <d v="2016-05-30T00:00:00"/>
    <m/>
    <s v="Salary"/>
    <x v="1"/>
    <n v="1"/>
    <n v="3"/>
    <s v="Yes"/>
    <s v="Job Event"/>
    <s v="Contract"/>
    <n v="0"/>
    <s v="Active"/>
    <x v="1"/>
    <x v="0"/>
    <x v="0"/>
  </r>
  <r>
    <n v="36"/>
    <s v="No"/>
    <s v="Non-Travel"/>
    <x v="0"/>
    <n v="9"/>
    <x v="0"/>
    <n v="4"/>
    <n v="1"/>
    <x v="0"/>
    <n v="2"/>
    <s v="Married"/>
    <n v="2810"/>
    <n v="1"/>
    <s v="No"/>
    <n v="22"/>
    <n v="4"/>
    <n v="0"/>
    <n v="5"/>
    <n v="3"/>
    <n v="5"/>
    <n v="0"/>
    <n v="2"/>
    <s v="Post-Graduation"/>
    <d v="2016-04-04T00:00:00"/>
    <m/>
    <s v="Dept.Head"/>
    <x v="0"/>
    <n v="0"/>
    <n v="0"/>
    <s v="No"/>
    <s v="Job Portal"/>
    <s v="FullTime"/>
    <n v="0"/>
    <s v="Active"/>
    <x v="1"/>
    <x v="0"/>
    <x v="0"/>
  </r>
  <r>
    <n v="29"/>
    <s v="No"/>
    <s v="Travel_Rarely"/>
    <x v="0"/>
    <n v="1"/>
    <x v="0"/>
    <n v="3"/>
    <n v="2"/>
    <x v="7"/>
    <n v="1"/>
    <s v="Married"/>
    <n v="5373"/>
    <n v="0"/>
    <s v="No"/>
    <n v="12"/>
    <n v="3"/>
    <n v="1"/>
    <n v="6"/>
    <n v="5"/>
    <n v="5"/>
    <n v="0"/>
    <n v="2"/>
    <s v="PHD"/>
    <d v="2016-02-17T00:00:00"/>
    <m/>
    <s v="Work Environment"/>
    <x v="1"/>
    <n v="3"/>
    <n v="3"/>
    <s v="Yes"/>
    <s v="Job Event"/>
    <s v="Contract"/>
    <n v="0"/>
    <s v="Active"/>
    <x v="1"/>
    <x v="0"/>
    <x v="3"/>
  </r>
  <r>
    <n v="32"/>
    <s v="No"/>
    <s v="Non-Travel"/>
    <x v="0"/>
    <n v="15"/>
    <x v="1"/>
    <n v="3"/>
    <n v="2"/>
    <x v="7"/>
    <n v="4"/>
    <s v="Divorced"/>
    <n v="6667"/>
    <n v="5"/>
    <s v="No"/>
    <n v="18"/>
    <n v="3"/>
    <n v="1"/>
    <n v="9"/>
    <n v="6"/>
    <n v="5"/>
    <n v="1"/>
    <n v="2"/>
    <s v="12th"/>
    <d v="2016-03-05T00:00:00"/>
    <m/>
    <s v="Work Environment"/>
    <x v="0"/>
    <n v="1"/>
    <n v="0"/>
    <s v="Yes"/>
    <s v="Job Portal"/>
    <s v="Contract"/>
    <n v="0"/>
    <s v="Active"/>
    <x v="1"/>
    <x v="0"/>
    <x v="3"/>
  </r>
  <r>
    <n v="54"/>
    <s v="No"/>
    <s v="Travel_Rarely"/>
    <x v="0"/>
    <n v="10"/>
    <x v="1"/>
    <n v="3"/>
    <n v="2"/>
    <x v="6"/>
    <n v="1"/>
    <s v="Single"/>
    <n v="4440"/>
    <n v="6"/>
    <s v="Yes"/>
    <n v="19"/>
    <n v="3"/>
    <n v="0"/>
    <n v="9"/>
    <n v="3"/>
    <n v="5"/>
    <n v="1"/>
    <n v="4"/>
    <s v="Post-Graduation"/>
    <d v="2016-01-13T00:00:00"/>
    <m/>
    <s v="Better Opportunity"/>
    <x v="1"/>
    <n v="1"/>
    <n v="0"/>
    <s v="No"/>
    <s v="Job Event"/>
    <s v="FullTime"/>
    <n v="0"/>
    <s v="Active"/>
    <x v="1"/>
    <x v="0"/>
    <x v="3"/>
  </r>
  <r>
    <n v="23"/>
    <s v="No"/>
    <s v="Travel_Rarely"/>
    <x v="0"/>
    <n v="12"/>
    <x v="0"/>
    <n v="3"/>
    <n v="1"/>
    <x v="0"/>
    <n v="4"/>
    <s v="Single"/>
    <n v="2647"/>
    <n v="1"/>
    <s v="No"/>
    <n v="13"/>
    <n v="3"/>
    <n v="0"/>
    <n v="5"/>
    <n v="6"/>
    <n v="5"/>
    <n v="1"/>
    <n v="4"/>
    <s v="12th"/>
    <d v="2016-04-15T00:00:00"/>
    <m/>
    <s v="Better Opportunity"/>
    <x v="0"/>
    <n v="5"/>
    <n v="2"/>
    <s v="Yes"/>
    <s v="Job Event"/>
    <s v="Part Time"/>
    <n v="0"/>
    <s v="Active"/>
    <x v="1"/>
    <x v="0"/>
    <x v="0"/>
  </r>
  <r>
    <n v="41"/>
    <s v="No"/>
    <s v="Travel_Rarely"/>
    <x v="0"/>
    <n v="1"/>
    <x v="0"/>
    <n v="3"/>
    <n v="1"/>
    <x v="1"/>
    <n v="4"/>
    <s v="Married"/>
    <n v="2782"/>
    <n v="3"/>
    <s v="No"/>
    <n v="22"/>
    <n v="4"/>
    <n v="1"/>
    <n v="12"/>
    <n v="3"/>
    <n v="5"/>
    <n v="1"/>
    <n v="0"/>
    <s v="12th"/>
    <d v="2016-03-14T00:00:00"/>
    <m/>
    <s v="Work Environment"/>
    <x v="1"/>
    <n v="1"/>
    <n v="3"/>
    <s v="Yes"/>
    <s v="Job Event"/>
    <s v="FullTime"/>
    <n v="0"/>
    <s v="Active"/>
    <x v="1"/>
    <x v="0"/>
    <x v="0"/>
  </r>
  <r>
    <n v="25"/>
    <s v="No"/>
    <s v="Travel_Rarely"/>
    <x v="1"/>
    <n v="8"/>
    <x v="1"/>
    <n v="3"/>
    <n v="2"/>
    <x v="4"/>
    <n v="3"/>
    <s v="Divorced"/>
    <n v="4907"/>
    <n v="0"/>
    <s v="Yes"/>
    <n v="22"/>
    <n v="4"/>
    <n v="1"/>
    <n v="6"/>
    <n v="3"/>
    <n v="5"/>
    <n v="0"/>
    <n v="4"/>
    <s v="Post-Graduation"/>
    <d v="2016-01-07T00:00:00"/>
    <m/>
    <s v="Work Accident"/>
    <x v="1"/>
    <n v="5"/>
    <n v="0"/>
    <s v="Yes"/>
    <s v="Walk-in"/>
    <s v="Part Time"/>
    <n v="0"/>
    <s v="Active"/>
    <x v="1"/>
    <x v="0"/>
    <x v="2"/>
  </r>
  <r>
    <n v="41"/>
    <s v="No"/>
    <s v="Travel_Rarely"/>
    <x v="1"/>
    <n v="3"/>
    <x v="0"/>
    <n v="2"/>
    <n v="2"/>
    <x v="4"/>
    <n v="2"/>
    <s v="Divorced"/>
    <n v="8938"/>
    <n v="2"/>
    <s v="No"/>
    <n v="11"/>
    <n v="3"/>
    <n v="1"/>
    <n v="14"/>
    <n v="5"/>
    <n v="5"/>
    <n v="0"/>
    <n v="4"/>
    <s v="PHD"/>
    <d v="2016-06-13T00:00:00"/>
    <m/>
    <s v="Dept.Head"/>
    <x v="1"/>
    <n v="4"/>
    <n v="3"/>
    <s v="No"/>
    <s v="Job Event"/>
    <s v="Part Time"/>
    <n v="0"/>
    <s v="Active"/>
    <x v="1"/>
    <x v="1"/>
    <x v="2"/>
  </r>
  <r>
    <n v="45"/>
    <s v="No"/>
    <s v="Travel_Rarely"/>
    <x v="1"/>
    <n v="20"/>
    <x v="1"/>
    <n v="3"/>
    <n v="2"/>
    <x v="4"/>
    <n v="3"/>
    <s v="Single"/>
    <n v="4850"/>
    <n v="8"/>
    <s v="No"/>
    <n v="15"/>
    <n v="3"/>
    <n v="0"/>
    <n v="8"/>
    <n v="3"/>
    <n v="5"/>
    <n v="0"/>
    <n v="1"/>
    <s v="PHD"/>
    <d v="2016-03-30T00:00:00"/>
    <m/>
    <s v="Work Accident"/>
    <x v="0"/>
    <n v="4"/>
    <n v="1"/>
    <s v="No"/>
    <s v="Job Portal"/>
    <s v="Contract"/>
    <n v="0"/>
    <s v="Active"/>
    <x v="1"/>
    <x v="0"/>
    <x v="2"/>
  </r>
  <r>
    <n v="40"/>
    <s v="No"/>
    <s v="Travel_Rarely"/>
    <x v="0"/>
    <n v="2"/>
    <x v="1"/>
    <n v="3"/>
    <n v="1"/>
    <x v="1"/>
    <n v="3"/>
    <s v="Married"/>
    <n v="2001"/>
    <n v="2"/>
    <s v="No"/>
    <n v="14"/>
    <n v="3"/>
    <n v="3"/>
    <n v="20"/>
    <n v="2"/>
    <n v="5"/>
    <n v="0"/>
    <n v="2"/>
    <s v="12th"/>
    <d v="2016-04-10T00:00:00"/>
    <m/>
    <s v="Salary"/>
    <x v="0"/>
    <n v="0"/>
    <n v="0"/>
    <s v="No"/>
    <s v="Job Event"/>
    <s v="FullTime"/>
    <n v="0"/>
    <s v="Active"/>
    <x v="1"/>
    <x v="0"/>
    <x v="0"/>
  </r>
  <r>
    <n v="29"/>
    <s v="No"/>
    <s v="Travel_Rarely"/>
    <x v="0"/>
    <n v="28"/>
    <x v="1"/>
    <n v="2"/>
    <n v="1"/>
    <x v="1"/>
    <n v="1"/>
    <s v="Single"/>
    <n v="3785"/>
    <n v="1"/>
    <s v="No"/>
    <n v="14"/>
    <n v="3"/>
    <n v="0"/>
    <n v="5"/>
    <n v="3"/>
    <n v="5"/>
    <n v="0"/>
    <n v="4"/>
    <s v="Post-Graduation"/>
    <d v="2016-01-27T00:00:00"/>
    <m/>
    <s v="Salary"/>
    <x v="1"/>
    <n v="4"/>
    <n v="3"/>
    <s v="No"/>
    <s v="Walk-in"/>
    <s v="Part Time"/>
    <n v="0"/>
    <s v="Active"/>
    <x v="1"/>
    <x v="0"/>
    <x v="0"/>
  </r>
  <r>
    <n v="36"/>
    <s v="No"/>
    <s v="Travel_Frequently"/>
    <x v="0"/>
    <n v="23"/>
    <x v="0"/>
    <n v="4"/>
    <n v="2"/>
    <x v="0"/>
    <n v="4"/>
    <s v="Married"/>
    <n v="2571"/>
    <n v="4"/>
    <s v="No"/>
    <n v="17"/>
    <n v="3"/>
    <n v="1"/>
    <n v="17"/>
    <n v="3"/>
    <n v="5"/>
    <n v="0"/>
    <n v="3"/>
    <s v="12th"/>
    <d v="2016-04-07T00:00:00"/>
    <m/>
    <s v="Work Environment"/>
    <x v="1"/>
    <n v="0"/>
    <n v="1"/>
    <s v="No"/>
    <s v="Job Event"/>
    <s v="Contract"/>
    <n v="0"/>
    <s v="Active"/>
    <x v="1"/>
    <x v="0"/>
    <x v="0"/>
  </r>
  <r>
    <n v="41"/>
    <s v="Yes"/>
    <s v="Travel_Rarely"/>
    <x v="1"/>
    <n v="1"/>
    <x v="1"/>
    <n v="3"/>
    <n v="2"/>
    <x v="4"/>
    <n v="4"/>
    <s v="Single"/>
    <n v="5993"/>
    <n v="8"/>
    <s v="Yes"/>
    <n v="11"/>
    <n v="3"/>
    <n v="0"/>
    <n v="8"/>
    <n v="0"/>
    <n v="6"/>
    <n v="0"/>
    <n v="5"/>
    <s v="Post-Graduation"/>
    <d v="2015-05-24T00:00:00"/>
    <m/>
    <s v="Salary"/>
    <x v="1"/>
    <n v="0"/>
    <n v="0"/>
    <s v="No"/>
    <s v="Job Portal"/>
    <s v="Contract"/>
    <n v="1"/>
    <s v="Active"/>
    <x v="2"/>
    <x v="0"/>
    <x v="2"/>
  </r>
  <r>
    <n v="32"/>
    <s v="No"/>
    <s v="Travel_Rarely"/>
    <x v="0"/>
    <n v="5"/>
    <x v="0"/>
    <n v="4"/>
    <n v="1"/>
    <x v="1"/>
    <n v="2"/>
    <s v="Divorced"/>
    <n v="3298"/>
    <n v="0"/>
    <s v="Yes"/>
    <n v="12"/>
    <n v="3"/>
    <n v="2"/>
    <n v="7"/>
    <n v="5"/>
    <n v="6"/>
    <n v="0"/>
    <n v="5"/>
    <s v="Post-Graduation"/>
    <d v="2015-01-29T00:00:00"/>
    <m/>
    <s v="Better Opportunity"/>
    <x v="1"/>
    <n v="5"/>
    <n v="1"/>
    <s v="Yes"/>
    <s v="Recruiter"/>
    <s v="Part Time"/>
    <n v="0"/>
    <s v="Active"/>
    <x v="2"/>
    <x v="0"/>
    <x v="0"/>
  </r>
  <r>
    <n v="36"/>
    <s v="No"/>
    <s v="Travel_Frequently"/>
    <x v="0"/>
    <n v="11"/>
    <x v="0"/>
    <n v="2"/>
    <n v="2"/>
    <x v="6"/>
    <n v="2"/>
    <s v="Single"/>
    <n v="6499"/>
    <n v="1"/>
    <s v="No"/>
    <n v="13"/>
    <n v="3"/>
    <n v="0"/>
    <n v="6"/>
    <n v="3"/>
    <n v="6"/>
    <n v="0"/>
    <n v="3"/>
    <s v="PHD"/>
    <d v="2015-03-20T00:00:00"/>
    <m/>
    <s v="Work Environment"/>
    <x v="0"/>
    <n v="2"/>
    <n v="1"/>
    <s v="No"/>
    <s v="Recruiter"/>
    <s v="Contract"/>
    <n v="0"/>
    <s v="Active"/>
    <x v="2"/>
    <x v="0"/>
    <x v="3"/>
  </r>
  <r>
    <n v="35"/>
    <s v="No"/>
    <s v="Travel_Rarely"/>
    <x v="0"/>
    <n v="1"/>
    <x v="0"/>
    <n v="2"/>
    <n v="1"/>
    <x v="1"/>
    <n v="3"/>
    <s v="Single"/>
    <n v="2859"/>
    <n v="1"/>
    <s v="No"/>
    <n v="18"/>
    <n v="3"/>
    <n v="0"/>
    <n v="6"/>
    <n v="3"/>
    <n v="6"/>
    <n v="0"/>
    <n v="4"/>
    <s v="PHD"/>
    <d v="2015-05-19T00:00:00"/>
    <m/>
    <s v="Salary"/>
    <x v="1"/>
    <n v="2"/>
    <n v="3"/>
    <s v="No"/>
    <s v="Job Portal"/>
    <s v="Contract"/>
    <n v="0"/>
    <s v="Active"/>
    <x v="2"/>
    <x v="0"/>
    <x v="0"/>
  </r>
  <r>
    <n v="56"/>
    <s v="No"/>
    <s v="Travel_Rarely"/>
    <x v="0"/>
    <n v="7"/>
    <x v="0"/>
    <n v="1"/>
    <n v="3"/>
    <x v="6"/>
    <n v="4"/>
    <s v="Single"/>
    <n v="7260"/>
    <n v="4"/>
    <s v="No"/>
    <n v="11"/>
    <n v="3"/>
    <n v="0"/>
    <n v="37"/>
    <n v="3"/>
    <n v="6"/>
    <n v="0"/>
    <n v="2"/>
    <s v="Graduation"/>
    <d v="2015-03-28T00:00:00"/>
    <m/>
    <s v="Work Accident"/>
    <x v="1"/>
    <n v="1"/>
    <n v="0"/>
    <s v="No"/>
    <s v="Walk-in"/>
    <s v="Part Time"/>
    <n v="0"/>
    <s v="Active"/>
    <x v="2"/>
    <x v="1"/>
    <x v="3"/>
  </r>
  <r>
    <n v="25"/>
    <s v="Yes"/>
    <s v="Travel_Rarely"/>
    <x v="1"/>
    <n v="5"/>
    <x v="0"/>
    <n v="2"/>
    <n v="2"/>
    <x v="4"/>
    <n v="3"/>
    <s v="Single"/>
    <n v="5744"/>
    <n v="1"/>
    <s v="Yes"/>
    <n v="11"/>
    <n v="3"/>
    <n v="0"/>
    <n v="6"/>
    <n v="1"/>
    <n v="6"/>
    <n v="0"/>
    <n v="3"/>
    <s v="Graduation"/>
    <d v="2015-04-27T00:00:00"/>
    <m/>
    <s v="Better Opportunity"/>
    <x v="0"/>
    <n v="4"/>
    <n v="0"/>
    <s v="No"/>
    <s v="Job Event"/>
    <s v="Part Time"/>
    <n v="1"/>
    <s v="Active"/>
    <x v="2"/>
    <x v="0"/>
    <x v="2"/>
  </r>
  <r>
    <n v="45"/>
    <s v="No"/>
    <s v="Travel_Rarely"/>
    <x v="0"/>
    <n v="29"/>
    <x v="0"/>
    <n v="3"/>
    <n v="1"/>
    <x v="1"/>
    <n v="4"/>
    <s v="Single"/>
    <n v="3452"/>
    <n v="5"/>
    <s v="No"/>
    <n v="13"/>
    <n v="3"/>
    <n v="0"/>
    <n v="9"/>
    <n v="2"/>
    <n v="6"/>
    <n v="0"/>
    <n v="3"/>
    <s v="PHD"/>
    <d v="2015-02-06T00:00:00"/>
    <m/>
    <s v="Work Environment"/>
    <x v="0"/>
    <n v="2"/>
    <n v="0"/>
    <s v="Yes"/>
    <s v="Job Portal"/>
    <s v="Contract"/>
    <n v="0"/>
    <s v="Active"/>
    <x v="2"/>
    <x v="0"/>
    <x v="0"/>
  </r>
  <r>
    <n v="35"/>
    <s v="No"/>
    <s v="Travel_Frequently"/>
    <x v="0"/>
    <n v="2"/>
    <x v="1"/>
    <n v="3"/>
    <n v="2"/>
    <x v="0"/>
    <n v="2"/>
    <s v="Single"/>
    <n v="4425"/>
    <n v="5"/>
    <s v="No"/>
    <n v="11"/>
    <n v="3"/>
    <n v="0"/>
    <n v="10"/>
    <n v="5"/>
    <n v="6"/>
    <n v="1"/>
    <n v="2"/>
    <s v="Post-Graduation"/>
    <d v="2015-01-26T00:00:00"/>
    <m/>
    <s v="Dept.Head"/>
    <x v="0"/>
    <n v="1"/>
    <n v="1"/>
    <s v="No"/>
    <s v="Walk-in"/>
    <s v="FullTime"/>
    <n v="0"/>
    <s v="Active"/>
    <x v="2"/>
    <x v="0"/>
    <x v="0"/>
  </r>
  <r>
    <n v="30"/>
    <s v="Yes"/>
    <s v="Travel_Frequently"/>
    <x v="1"/>
    <n v="26"/>
    <x v="1"/>
    <n v="2"/>
    <n v="2"/>
    <x v="4"/>
    <n v="1"/>
    <s v="Single"/>
    <n v="6696"/>
    <n v="5"/>
    <s v="No"/>
    <n v="15"/>
    <n v="3"/>
    <n v="0"/>
    <n v="9"/>
    <n v="5"/>
    <n v="6"/>
    <n v="0"/>
    <n v="1"/>
    <s v="12th"/>
    <d v="2015-05-09T00:00:00"/>
    <m/>
    <s v="Work Accident"/>
    <x v="0"/>
    <n v="5"/>
    <n v="3"/>
    <s v="Yes"/>
    <s v="Job Portal"/>
    <s v="FullTime"/>
    <n v="1"/>
    <s v="Active"/>
    <x v="2"/>
    <x v="0"/>
    <x v="2"/>
  </r>
  <r>
    <n v="29"/>
    <s v="Yes"/>
    <s v="Travel_Rarely"/>
    <x v="0"/>
    <n v="1"/>
    <x v="0"/>
    <n v="3"/>
    <n v="1"/>
    <x v="1"/>
    <n v="3"/>
    <s v="Single"/>
    <n v="2058"/>
    <n v="0"/>
    <s v="No"/>
    <n v="14"/>
    <n v="3"/>
    <n v="0"/>
    <n v="7"/>
    <n v="1"/>
    <n v="6"/>
    <n v="1"/>
    <n v="5"/>
    <s v="PHD"/>
    <d v="2015-01-19T00:00:00"/>
    <m/>
    <s v="Better Opportunity"/>
    <x v="1"/>
    <n v="0"/>
    <n v="0"/>
    <s v="No"/>
    <s v="Recruiter"/>
    <s v="Contract"/>
    <n v="1"/>
    <s v="Active"/>
    <x v="2"/>
    <x v="0"/>
    <x v="0"/>
  </r>
  <r>
    <n v="54"/>
    <s v="No"/>
    <s v="Travel_Rarely"/>
    <x v="1"/>
    <n v="3"/>
    <x v="1"/>
    <n v="3"/>
    <n v="2"/>
    <x v="4"/>
    <n v="1"/>
    <s v="Married"/>
    <n v="5940"/>
    <n v="2"/>
    <s v="No"/>
    <n v="14"/>
    <n v="3"/>
    <n v="1"/>
    <n v="16"/>
    <n v="4"/>
    <n v="6"/>
    <n v="0"/>
    <n v="5"/>
    <s v="Graduation"/>
    <d v="2015-05-27T00:00:00"/>
    <m/>
    <s v="Dept.Head"/>
    <x v="1"/>
    <n v="4"/>
    <n v="3"/>
    <s v="No"/>
    <s v="Job Event"/>
    <s v="Part Time"/>
    <n v="0"/>
    <s v="Active"/>
    <x v="2"/>
    <x v="0"/>
    <x v="2"/>
  </r>
  <r>
    <n v="29"/>
    <s v="No"/>
    <s v="Travel_Rarely"/>
    <x v="0"/>
    <n v="15"/>
    <x v="0"/>
    <n v="3"/>
    <n v="1"/>
    <x v="1"/>
    <n v="4"/>
    <s v="Single"/>
    <n v="2340"/>
    <n v="1"/>
    <s v="No"/>
    <n v="19"/>
    <n v="3"/>
    <n v="0"/>
    <n v="6"/>
    <n v="1"/>
    <n v="6"/>
    <n v="1"/>
    <n v="5"/>
    <s v="Graduation"/>
    <d v="2015-04-20T00:00:00"/>
    <m/>
    <s v="Work Environment"/>
    <x v="0"/>
    <n v="5"/>
    <n v="3"/>
    <s v="No"/>
    <s v="Job Portal"/>
    <s v="Contract"/>
    <n v="0"/>
    <s v="Active"/>
    <x v="2"/>
    <x v="0"/>
    <x v="0"/>
  </r>
  <r>
    <n v="32"/>
    <s v="No"/>
    <s v="Travel_Rarely"/>
    <x v="0"/>
    <n v="2"/>
    <x v="0"/>
    <n v="2"/>
    <n v="2"/>
    <x v="0"/>
    <n v="1"/>
    <s v="Single"/>
    <n v="2176"/>
    <n v="4"/>
    <s v="No"/>
    <n v="13"/>
    <n v="3"/>
    <n v="0"/>
    <n v="9"/>
    <n v="5"/>
    <n v="6"/>
    <n v="0"/>
    <n v="4"/>
    <s v="PHD"/>
    <d v="2015-04-12T00:00:00"/>
    <m/>
    <s v="Better Opportunity"/>
    <x v="0"/>
    <n v="4"/>
    <n v="3"/>
    <s v="No"/>
    <s v="Job Event"/>
    <s v="Part Time"/>
    <n v="0"/>
    <s v="Active"/>
    <x v="2"/>
    <x v="0"/>
    <x v="0"/>
  </r>
  <r>
    <n v="25"/>
    <s v="No"/>
    <s v="Non-Travel"/>
    <x v="0"/>
    <n v="5"/>
    <x v="0"/>
    <n v="4"/>
    <n v="2"/>
    <x v="7"/>
    <n v="1"/>
    <s v="Divorced"/>
    <n v="4000"/>
    <n v="1"/>
    <s v="No"/>
    <n v="12"/>
    <n v="3"/>
    <n v="2"/>
    <n v="6"/>
    <n v="2"/>
    <n v="6"/>
    <n v="1"/>
    <n v="5"/>
    <s v="12th"/>
    <d v="2015-04-04T00:00:00"/>
    <m/>
    <s v="Work Environment"/>
    <x v="1"/>
    <n v="3"/>
    <n v="1"/>
    <s v="Yes"/>
    <s v="Job Event"/>
    <s v="FullTime"/>
    <n v="0"/>
    <s v="Active"/>
    <x v="2"/>
    <x v="0"/>
    <x v="3"/>
  </r>
  <r>
    <n v="26"/>
    <s v="No"/>
    <s v="Travel_Frequently"/>
    <x v="0"/>
    <n v="1"/>
    <x v="1"/>
    <n v="3"/>
    <n v="2"/>
    <x v="6"/>
    <n v="2"/>
    <s v="Divorced"/>
    <n v="6397"/>
    <n v="1"/>
    <s v="No"/>
    <n v="20"/>
    <n v="4"/>
    <n v="1"/>
    <n v="6"/>
    <n v="6"/>
    <n v="6"/>
    <n v="1"/>
    <n v="4"/>
    <s v="PHD"/>
    <d v="2015-01-18T00:00:00"/>
    <m/>
    <s v="Better Opportunity"/>
    <x v="0"/>
    <n v="3"/>
    <n v="1"/>
    <s v="No"/>
    <s v="Recruiter"/>
    <s v="FullTime"/>
    <n v="0"/>
    <s v="Active"/>
    <x v="2"/>
    <x v="0"/>
    <x v="3"/>
  </r>
  <r>
    <n v="37"/>
    <s v="No"/>
    <s v="Travel_Rarely"/>
    <x v="0"/>
    <n v="5"/>
    <x v="0"/>
    <n v="3"/>
    <n v="2"/>
    <x v="6"/>
    <n v="4"/>
    <s v="Divorced"/>
    <n v="6347"/>
    <n v="7"/>
    <s v="No"/>
    <n v="16"/>
    <n v="3"/>
    <n v="2"/>
    <n v="8"/>
    <n v="2"/>
    <n v="6"/>
    <n v="0"/>
    <n v="4"/>
    <s v="Graduation"/>
    <d v="2015-03-17T00:00:00"/>
    <m/>
    <s v="Dept.Head"/>
    <x v="0"/>
    <n v="4"/>
    <n v="3"/>
    <s v="Yes"/>
    <s v="Recruiter"/>
    <s v="FullTime"/>
    <n v="0"/>
    <s v="Active"/>
    <x v="2"/>
    <x v="0"/>
    <x v="3"/>
  </r>
  <r>
    <n v="40"/>
    <s v="Yes"/>
    <s v="Travel_Rarely"/>
    <x v="1"/>
    <n v="22"/>
    <x v="0"/>
    <n v="2"/>
    <n v="2"/>
    <x v="4"/>
    <n v="3"/>
    <s v="Married"/>
    <n v="6380"/>
    <n v="2"/>
    <s v="Yes"/>
    <n v="12"/>
    <n v="3"/>
    <n v="2"/>
    <n v="8"/>
    <n v="6"/>
    <n v="6"/>
    <n v="1"/>
    <n v="0"/>
    <s v="PHD"/>
    <d v="2015-05-12T00:00:00"/>
    <m/>
    <s v="Salary"/>
    <x v="1"/>
    <n v="4"/>
    <n v="3"/>
    <s v="Yes"/>
    <s v="Job Event"/>
    <s v="Contract"/>
    <n v="1"/>
    <s v="Active"/>
    <x v="2"/>
    <x v="0"/>
    <x v="2"/>
  </r>
  <r>
    <n v="26"/>
    <s v="Yes"/>
    <s v="Travel_Frequently"/>
    <x v="0"/>
    <n v="3"/>
    <x v="0"/>
    <n v="3"/>
    <n v="1"/>
    <x v="1"/>
    <n v="1"/>
    <s v="Single"/>
    <n v="3102"/>
    <n v="0"/>
    <s v="No"/>
    <n v="22"/>
    <n v="4"/>
    <n v="0"/>
    <n v="7"/>
    <n v="2"/>
    <n v="6"/>
    <n v="0"/>
    <n v="4"/>
    <s v="Post-Graduation"/>
    <d v="2015-04-23T00:00:00"/>
    <m/>
    <s v="Dept.Head"/>
    <x v="1"/>
    <n v="5"/>
    <n v="0"/>
    <s v="No"/>
    <s v="Walk-in"/>
    <s v="Contract"/>
    <n v="1"/>
    <s v="Active"/>
    <x v="2"/>
    <x v="0"/>
    <x v="0"/>
  </r>
  <r>
    <n v="42"/>
    <s v="No"/>
    <s v="Travel_Frequently"/>
    <x v="0"/>
    <n v="28"/>
    <x v="1"/>
    <n v="2"/>
    <n v="2"/>
    <x v="7"/>
    <n v="4"/>
    <s v="Married"/>
    <n v="4523"/>
    <n v="0"/>
    <s v="No"/>
    <n v="11"/>
    <n v="3"/>
    <n v="3"/>
    <n v="7"/>
    <n v="4"/>
    <n v="6"/>
    <n v="0"/>
    <n v="4"/>
    <s v="Graduation"/>
    <d v="2015-01-20T00:00:00"/>
    <m/>
    <s v="Better Opportunity"/>
    <x v="0"/>
    <n v="4"/>
    <n v="3"/>
    <s v="No"/>
    <s v="Job Event"/>
    <s v="FullTime"/>
    <n v="0"/>
    <s v="Active"/>
    <x v="2"/>
    <x v="0"/>
    <x v="3"/>
  </r>
  <r>
    <n v="31"/>
    <s v="No"/>
    <s v="Travel_Rarely"/>
    <x v="1"/>
    <n v="2"/>
    <x v="0"/>
    <n v="3"/>
    <n v="2"/>
    <x v="4"/>
    <n v="4"/>
    <s v="Single"/>
    <n v="6582"/>
    <n v="4"/>
    <s v="Yes"/>
    <n v="13"/>
    <n v="3"/>
    <n v="0"/>
    <n v="10"/>
    <n v="2"/>
    <n v="6"/>
    <n v="0"/>
    <n v="5"/>
    <s v="Post-Graduation"/>
    <d v="2015-05-30T00:00:00"/>
    <m/>
    <s v="Salary"/>
    <x v="1"/>
    <n v="1"/>
    <n v="1"/>
    <s v="No"/>
    <s v="Walk-in"/>
    <s v="Part Time"/>
    <n v="0"/>
    <s v="Active"/>
    <x v="2"/>
    <x v="0"/>
    <x v="2"/>
  </r>
  <r>
    <n v="33"/>
    <s v="No"/>
    <s v="Travel_Rarely"/>
    <x v="0"/>
    <n v="1"/>
    <x v="1"/>
    <n v="4"/>
    <n v="4"/>
    <x v="2"/>
    <n v="3"/>
    <s v="Divorced"/>
    <n v="16184"/>
    <n v="4"/>
    <s v="No"/>
    <n v="19"/>
    <n v="3"/>
    <n v="1"/>
    <n v="10"/>
    <n v="2"/>
    <n v="6"/>
    <n v="0"/>
    <n v="5"/>
    <s v="12th"/>
    <d v="2015-06-02T00:00:00"/>
    <m/>
    <s v="Dept.Head"/>
    <x v="1"/>
    <n v="2"/>
    <n v="3"/>
    <s v="Yes"/>
    <s v="Job Event"/>
    <s v="Part Time"/>
    <n v="0"/>
    <s v="Active"/>
    <x v="2"/>
    <x v="1"/>
    <x v="1"/>
  </r>
  <r>
    <n v="37"/>
    <s v="No"/>
    <s v="Travel_Rarely"/>
    <x v="0"/>
    <n v="1"/>
    <x v="1"/>
    <n v="3"/>
    <n v="3"/>
    <x v="6"/>
    <n v="4"/>
    <s v="Single"/>
    <n v="7491"/>
    <n v="4"/>
    <s v="No"/>
    <n v="17"/>
    <n v="3"/>
    <n v="0"/>
    <n v="12"/>
    <n v="3"/>
    <n v="6"/>
    <n v="1"/>
    <n v="2"/>
    <s v="PHD"/>
    <d v="2015-05-07T00:00:00"/>
    <m/>
    <s v="Better Opportunity"/>
    <x v="0"/>
    <n v="1"/>
    <n v="0"/>
    <s v="No"/>
    <s v="Job Event"/>
    <s v="Part Time"/>
    <n v="0"/>
    <s v="Active"/>
    <x v="2"/>
    <x v="1"/>
    <x v="3"/>
  </r>
  <r>
    <n v="37"/>
    <s v="No"/>
    <s v="Travel_Rarely"/>
    <x v="0"/>
    <n v="1"/>
    <x v="1"/>
    <n v="3"/>
    <n v="2"/>
    <x v="6"/>
    <n v="2"/>
    <s v="Married"/>
    <n v="6447"/>
    <n v="6"/>
    <s v="No"/>
    <n v="12"/>
    <n v="3"/>
    <n v="1"/>
    <n v="8"/>
    <n v="2"/>
    <n v="6"/>
    <n v="4"/>
    <n v="3"/>
    <s v="Graduation"/>
    <d v="2015-06-22T00:00:00"/>
    <m/>
    <s v="Dept.Head"/>
    <x v="0"/>
    <n v="3"/>
    <n v="0"/>
    <s v="Yes"/>
    <s v="Job Event"/>
    <s v="FullTime"/>
    <n v="0"/>
    <s v="Active"/>
    <x v="2"/>
    <x v="0"/>
    <x v="3"/>
  </r>
  <r>
    <n v="24"/>
    <s v="No"/>
    <s v="Travel_Rarely"/>
    <x v="0"/>
    <n v="23"/>
    <x v="0"/>
    <n v="4"/>
    <n v="1"/>
    <x v="1"/>
    <n v="4"/>
    <s v="Married"/>
    <n v="2725"/>
    <n v="1"/>
    <s v="Yes"/>
    <n v="11"/>
    <n v="3"/>
    <n v="2"/>
    <n v="6"/>
    <n v="3"/>
    <n v="6"/>
    <n v="1"/>
    <n v="4"/>
    <s v="Post-Graduation"/>
    <d v="2015-03-18T00:00:00"/>
    <m/>
    <s v="Better Opportunity"/>
    <x v="0"/>
    <n v="1"/>
    <n v="3"/>
    <s v="No"/>
    <s v="Job Portal"/>
    <s v="Part Time"/>
    <n v="0"/>
    <s v="Active"/>
    <x v="2"/>
    <x v="0"/>
    <x v="0"/>
  </r>
  <r>
    <n v="24"/>
    <s v="Yes"/>
    <s v="Travel_Frequently"/>
    <x v="0"/>
    <n v="7"/>
    <x v="1"/>
    <n v="3"/>
    <n v="1"/>
    <x v="0"/>
    <n v="3"/>
    <s v="Married"/>
    <n v="2886"/>
    <n v="1"/>
    <s v="Yes"/>
    <n v="16"/>
    <n v="3"/>
    <n v="1"/>
    <n v="6"/>
    <n v="4"/>
    <n v="6"/>
    <n v="1"/>
    <n v="2"/>
    <s v="PHD"/>
    <d v="2015-01-01T00:00:00"/>
    <m/>
    <s v="Work Accident"/>
    <x v="1"/>
    <n v="0"/>
    <n v="0"/>
    <s v="Yes"/>
    <s v="Walk-in"/>
    <s v="Contract"/>
    <n v="1"/>
    <s v="Active"/>
    <x v="2"/>
    <x v="0"/>
    <x v="0"/>
  </r>
  <r>
    <n v="34"/>
    <s v="No"/>
    <s v="Travel_Rarely"/>
    <x v="0"/>
    <n v="1"/>
    <x v="0"/>
    <n v="2"/>
    <n v="1"/>
    <x v="1"/>
    <n v="4"/>
    <s v="Married"/>
    <n v="3622"/>
    <n v="1"/>
    <s v="Yes"/>
    <n v="13"/>
    <n v="3"/>
    <n v="1"/>
    <n v="6"/>
    <n v="3"/>
    <n v="6"/>
    <n v="1"/>
    <n v="3"/>
    <s v="12th"/>
    <d v="2015-03-26T00:00:00"/>
    <m/>
    <s v="Work Environment"/>
    <x v="1"/>
    <n v="3"/>
    <n v="1"/>
    <s v="Yes"/>
    <s v="Job Event"/>
    <s v="Part Time"/>
    <n v="0"/>
    <s v="Active"/>
    <x v="2"/>
    <x v="0"/>
    <x v="0"/>
  </r>
  <r>
    <n v="32"/>
    <s v="No"/>
    <s v="Travel_Rarely"/>
    <x v="0"/>
    <n v="9"/>
    <x v="1"/>
    <n v="3"/>
    <n v="2"/>
    <x v="1"/>
    <n v="4"/>
    <s v="Married"/>
    <n v="6322"/>
    <n v="1"/>
    <s v="Yes"/>
    <n v="12"/>
    <n v="3"/>
    <n v="1"/>
    <n v="6"/>
    <n v="2"/>
    <n v="6"/>
    <n v="0"/>
    <n v="5"/>
    <s v="Post-Graduation"/>
    <d v="2015-05-16T00:00:00"/>
    <m/>
    <s v="Dept.Head"/>
    <x v="1"/>
    <n v="4"/>
    <n v="3"/>
    <s v="Yes"/>
    <s v="Job Portal"/>
    <s v="Contract"/>
    <n v="0"/>
    <s v="Active"/>
    <x v="2"/>
    <x v="0"/>
    <x v="0"/>
  </r>
  <r>
    <n v="29"/>
    <s v="No"/>
    <s v="Travel_Rarely"/>
    <x v="1"/>
    <n v="3"/>
    <x v="1"/>
    <n v="3"/>
    <n v="2"/>
    <x v="4"/>
    <n v="3"/>
    <s v="Married"/>
    <n v="5561"/>
    <n v="1"/>
    <s v="No"/>
    <n v="14"/>
    <n v="3"/>
    <n v="1"/>
    <n v="6"/>
    <n v="5"/>
    <n v="6"/>
    <n v="1"/>
    <n v="2"/>
    <s v="Graduation"/>
    <d v="2015-06-27T00:00:00"/>
    <m/>
    <s v="Better Opportunity"/>
    <x v="0"/>
    <n v="0"/>
    <n v="1"/>
    <s v="Yes"/>
    <s v="Recruiter"/>
    <s v="FullTime"/>
    <n v="0"/>
    <s v="Active"/>
    <x v="2"/>
    <x v="0"/>
    <x v="2"/>
  </r>
  <r>
    <n v="27"/>
    <s v="No"/>
    <s v="Travel_Frequently"/>
    <x v="1"/>
    <n v="3"/>
    <x v="1"/>
    <n v="4"/>
    <n v="2"/>
    <x v="4"/>
    <n v="4"/>
    <s v="Divorced"/>
    <n v="4647"/>
    <n v="1"/>
    <s v="Yes"/>
    <n v="20"/>
    <n v="4"/>
    <n v="2"/>
    <n v="6"/>
    <n v="3"/>
    <n v="6"/>
    <n v="0"/>
    <n v="4"/>
    <s v="PHD"/>
    <d v="2015-04-12T00:00:00"/>
    <m/>
    <s v="Salary"/>
    <x v="1"/>
    <n v="4"/>
    <n v="2"/>
    <s v="Yes"/>
    <s v="Job Event"/>
    <s v="Contract"/>
    <n v="0"/>
    <s v="Active"/>
    <x v="2"/>
    <x v="0"/>
    <x v="2"/>
  </r>
  <r>
    <n v="25"/>
    <s v="No"/>
    <s v="Travel_Rarely"/>
    <x v="1"/>
    <n v="26"/>
    <x v="1"/>
    <n v="3"/>
    <n v="2"/>
    <x v="4"/>
    <n v="4"/>
    <s v="Single"/>
    <n v="6180"/>
    <n v="1"/>
    <s v="No"/>
    <n v="23"/>
    <n v="4"/>
    <n v="0"/>
    <n v="6"/>
    <n v="5"/>
    <n v="6"/>
    <n v="1"/>
    <n v="4"/>
    <s v="Graduation"/>
    <d v="2015-01-04T00:00:00"/>
    <m/>
    <s v="Better Opportunity"/>
    <x v="1"/>
    <n v="3"/>
    <n v="0"/>
    <s v="No"/>
    <s v="Recruiter"/>
    <s v="Part Time"/>
    <n v="0"/>
    <s v="Active"/>
    <x v="2"/>
    <x v="0"/>
    <x v="2"/>
  </r>
  <r>
    <n v="34"/>
    <s v="No"/>
    <s v="Travel_Rarely"/>
    <x v="1"/>
    <n v="2"/>
    <x v="0"/>
    <n v="3"/>
    <n v="2"/>
    <x v="4"/>
    <n v="4"/>
    <s v="Single"/>
    <n v="6274"/>
    <n v="1"/>
    <s v="No"/>
    <n v="22"/>
    <n v="4"/>
    <n v="0"/>
    <n v="6"/>
    <n v="5"/>
    <n v="6"/>
    <n v="1"/>
    <n v="4"/>
    <s v="Post-Graduation"/>
    <d v="2015-04-04T00:00:00"/>
    <m/>
    <s v="Work Environment"/>
    <x v="0"/>
    <n v="1"/>
    <n v="1"/>
    <s v="Yes"/>
    <s v="Recruiter"/>
    <s v="Contract"/>
    <n v="0"/>
    <s v="Active"/>
    <x v="2"/>
    <x v="0"/>
    <x v="2"/>
  </r>
  <r>
    <n v="34"/>
    <s v="No"/>
    <s v="Travel_Rarely"/>
    <x v="0"/>
    <n v="2"/>
    <x v="1"/>
    <n v="2"/>
    <n v="1"/>
    <x v="1"/>
    <n v="1"/>
    <s v="Single"/>
    <n v="4381"/>
    <n v="1"/>
    <s v="No"/>
    <n v="11"/>
    <n v="3"/>
    <n v="0"/>
    <n v="6"/>
    <n v="3"/>
    <n v="6"/>
    <n v="1"/>
    <n v="3"/>
    <s v="Graduation"/>
    <d v="2015-01-08T00:00:00"/>
    <m/>
    <s v="Dept.Head"/>
    <x v="1"/>
    <n v="1"/>
    <n v="3"/>
    <s v="Yes"/>
    <s v="Recruiter"/>
    <s v="FullTime"/>
    <n v="0"/>
    <s v="Active"/>
    <x v="2"/>
    <x v="0"/>
    <x v="0"/>
  </r>
  <r>
    <n v="35"/>
    <s v="No"/>
    <s v="Travel_Rarely"/>
    <x v="0"/>
    <n v="27"/>
    <x v="1"/>
    <n v="2"/>
    <n v="1"/>
    <x v="1"/>
    <n v="1"/>
    <s v="Single"/>
    <n v="2559"/>
    <n v="1"/>
    <s v="No"/>
    <n v="11"/>
    <n v="3"/>
    <n v="0"/>
    <n v="6"/>
    <n v="3"/>
    <n v="6"/>
    <n v="1"/>
    <n v="1"/>
    <s v="12th"/>
    <d v="2015-06-03T00:00:00"/>
    <m/>
    <s v="Work Environment"/>
    <x v="0"/>
    <n v="1"/>
    <n v="3"/>
    <s v="Yes"/>
    <s v="Recruiter"/>
    <s v="FullTime"/>
    <n v="0"/>
    <s v="Active"/>
    <x v="2"/>
    <x v="0"/>
    <x v="0"/>
  </r>
  <r>
    <n v="31"/>
    <s v="No"/>
    <s v="Travel_Rarely"/>
    <x v="0"/>
    <n v="11"/>
    <x v="0"/>
    <n v="3"/>
    <n v="1"/>
    <x v="1"/>
    <n v="4"/>
    <s v="Married"/>
    <n v="2356"/>
    <n v="3"/>
    <s v="Yes"/>
    <n v="19"/>
    <n v="3"/>
    <n v="1"/>
    <n v="8"/>
    <n v="2"/>
    <n v="6"/>
    <n v="0"/>
    <n v="2"/>
    <s v="PHD"/>
    <d v="2015-05-28T00:00:00"/>
    <m/>
    <s v="Work Environment"/>
    <x v="0"/>
    <n v="3"/>
    <n v="1"/>
    <s v="No"/>
    <s v="Recruiter"/>
    <s v="Contract"/>
    <n v="0"/>
    <s v="Active"/>
    <x v="2"/>
    <x v="0"/>
    <x v="0"/>
  </r>
  <r>
    <n v="58"/>
    <s v="No"/>
    <s v="Travel_Rarely"/>
    <x v="0"/>
    <n v="5"/>
    <x v="1"/>
    <n v="2"/>
    <n v="3"/>
    <x v="7"/>
    <n v="2"/>
    <s v="Divorced"/>
    <n v="10552"/>
    <n v="2"/>
    <s v="Yes"/>
    <n v="13"/>
    <n v="3"/>
    <n v="1"/>
    <n v="24"/>
    <n v="3"/>
    <n v="6"/>
    <n v="0"/>
    <n v="4"/>
    <s v="12th"/>
    <d v="2015-05-26T00:00:00"/>
    <m/>
    <s v="Salary"/>
    <x v="1"/>
    <n v="1"/>
    <n v="2"/>
    <s v="No"/>
    <s v="Job Portal"/>
    <s v="Part Time"/>
    <n v="0"/>
    <s v="Active"/>
    <x v="2"/>
    <x v="1"/>
    <x v="3"/>
  </r>
  <r>
    <n v="36"/>
    <s v="No"/>
    <s v="Travel_Rarely"/>
    <x v="0"/>
    <n v="7"/>
    <x v="0"/>
    <n v="3"/>
    <n v="1"/>
    <x v="1"/>
    <n v="4"/>
    <s v="Single"/>
    <n v="4678"/>
    <n v="2"/>
    <s v="No"/>
    <n v="18"/>
    <n v="3"/>
    <n v="0"/>
    <n v="8"/>
    <n v="6"/>
    <n v="6"/>
    <n v="0"/>
    <n v="1"/>
    <s v="PHD"/>
    <d v="2015-05-14T00:00:00"/>
    <m/>
    <s v="Salary"/>
    <x v="0"/>
    <n v="2"/>
    <n v="2"/>
    <s v="No"/>
    <s v="Recruiter"/>
    <s v="FullTime"/>
    <n v="0"/>
    <s v="Active"/>
    <x v="2"/>
    <x v="0"/>
    <x v="0"/>
  </r>
  <r>
    <n v="33"/>
    <s v="No"/>
    <s v="Travel_Frequently"/>
    <x v="0"/>
    <n v="1"/>
    <x v="1"/>
    <n v="4"/>
    <n v="2"/>
    <x v="7"/>
    <n v="2"/>
    <s v="Married"/>
    <n v="5488"/>
    <n v="1"/>
    <s v="Yes"/>
    <n v="13"/>
    <n v="3"/>
    <n v="1"/>
    <n v="6"/>
    <n v="2"/>
    <n v="6"/>
    <n v="1"/>
    <n v="2"/>
    <s v="12th"/>
    <d v="2015-04-20T00:00:00"/>
    <m/>
    <s v="Work Accident"/>
    <x v="1"/>
    <n v="5"/>
    <n v="0"/>
    <s v="No"/>
    <s v="Walk-in"/>
    <s v="Part Time"/>
    <n v="0"/>
    <s v="Active"/>
    <x v="2"/>
    <x v="0"/>
    <x v="3"/>
  </r>
  <r>
    <n v="59"/>
    <s v="No"/>
    <s v="Travel_Rarely"/>
    <x v="1"/>
    <n v="1"/>
    <x v="0"/>
    <n v="3"/>
    <n v="3"/>
    <x v="5"/>
    <n v="4"/>
    <s v="Married"/>
    <n v="11904"/>
    <n v="3"/>
    <s v="Yes"/>
    <n v="14"/>
    <n v="3"/>
    <n v="1"/>
    <n v="14"/>
    <n v="1"/>
    <n v="6"/>
    <n v="0"/>
    <n v="4"/>
    <s v="Graduation"/>
    <d v="2015-01-23T00:00:00"/>
    <m/>
    <s v="Work Environment"/>
    <x v="1"/>
    <n v="2"/>
    <n v="0"/>
    <s v="Yes"/>
    <s v="Job Event"/>
    <s v="Part Time"/>
    <n v="0"/>
    <s v="Active"/>
    <x v="2"/>
    <x v="1"/>
    <x v="1"/>
  </r>
  <r>
    <n v="45"/>
    <s v="No"/>
    <s v="Travel_Rarely"/>
    <x v="2"/>
    <n v="24"/>
    <x v="0"/>
    <n v="3"/>
    <n v="1"/>
    <x v="8"/>
    <n v="2"/>
    <s v="Single"/>
    <n v="2177"/>
    <n v="1"/>
    <s v="No"/>
    <n v="16"/>
    <n v="3"/>
    <n v="0"/>
    <n v="6"/>
    <n v="3"/>
    <n v="6"/>
    <n v="0"/>
    <n v="4"/>
    <s v="12th"/>
    <d v="2015-05-11T00:00:00"/>
    <m/>
    <s v="Dept.Head"/>
    <x v="1"/>
    <n v="4"/>
    <n v="3"/>
    <s v="Yes"/>
    <s v="Job Portal"/>
    <s v="Contract"/>
    <n v="0"/>
    <s v="Active"/>
    <x v="2"/>
    <x v="0"/>
    <x v="4"/>
  </r>
  <r>
    <n v="30"/>
    <s v="No"/>
    <s v="Travel_Rarely"/>
    <x v="0"/>
    <n v="20"/>
    <x v="0"/>
    <n v="3"/>
    <n v="2"/>
    <x v="6"/>
    <n v="1"/>
    <s v="Married"/>
    <n v="9957"/>
    <n v="0"/>
    <s v="No"/>
    <n v="15"/>
    <n v="3"/>
    <n v="1"/>
    <n v="7"/>
    <n v="1"/>
    <n v="6"/>
    <n v="0"/>
    <n v="2"/>
    <s v="Post-Graduation"/>
    <d v="2015-05-20T00:00:00"/>
    <m/>
    <s v="Dept.Head"/>
    <x v="0"/>
    <n v="3"/>
    <n v="3"/>
    <s v="No"/>
    <s v="Walk-in"/>
    <s v="FullTime"/>
    <n v="0"/>
    <s v="Active"/>
    <x v="2"/>
    <x v="1"/>
    <x v="3"/>
  </r>
  <r>
    <n v="34"/>
    <s v="No"/>
    <s v="Travel_Frequently"/>
    <x v="0"/>
    <n v="3"/>
    <x v="0"/>
    <n v="3"/>
    <n v="2"/>
    <x v="7"/>
    <n v="4"/>
    <s v="Single"/>
    <n v="7756"/>
    <n v="0"/>
    <s v="No"/>
    <n v="17"/>
    <n v="3"/>
    <n v="0"/>
    <n v="7"/>
    <n v="1"/>
    <n v="6"/>
    <n v="0"/>
    <n v="4"/>
    <s v="Graduation"/>
    <d v="2015-03-09T00:00:00"/>
    <m/>
    <s v="Dept.Head"/>
    <x v="1"/>
    <n v="5"/>
    <n v="2"/>
    <s v="Yes"/>
    <s v="Walk-in"/>
    <s v="Contract"/>
    <n v="0"/>
    <s v="Active"/>
    <x v="2"/>
    <x v="1"/>
    <x v="3"/>
  </r>
  <r>
    <n v="37"/>
    <s v="No"/>
    <s v="Travel_Rarely"/>
    <x v="0"/>
    <n v="25"/>
    <x v="1"/>
    <n v="2"/>
    <n v="2"/>
    <x v="7"/>
    <n v="4"/>
    <s v="Divorced"/>
    <n v="5731"/>
    <n v="7"/>
    <s v="No"/>
    <n v="13"/>
    <n v="3"/>
    <n v="2"/>
    <n v="9"/>
    <n v="2"/>
    <n v="6"/>
    <n v="1"/>
    <n v="3"/>
    <s v="12th"/>
    <d v="2015-01-14T00:00:00"/>
    <m/>
    <s v="Dept.Head"/>
    <x v="1"/>
    <n v="5"/>
    <n v="2"/>
    <s v="No"/>
    <s v="Recruiter"/>
    <s v="FullTime"/>
    <n v="0"/>
    <s v="Active"/>
    <x v="2"/>
    <x v="0"/>
    <x v="3"/>
  </r>
  <r>
    <n v="34"/>
    <s v="No"/>
    <s v="Travel_Rarely"/>
    <x v="1"/>
    <n v="9"/>
    <x v="1"/>
    <n v="3"/>
    <n v="2"/>
    <x v="4"/>
    <n v="3"/>
    <s v="Married"/>
    <n v="5714"/>
    <n v="1"/>
    <s v="No"/>
    <n v="20"/>
    <n v="4"/>
    <n v="0"/>
    <n v="6"/>
    <n v="3"/>
    <n v="6"/>
    <n v="1"/>
    <n v="3"/>
    <s v="PHD"/>
    <d v="2015-03-27T00:00:00"/>
    <m/>
    <s v="Work Accident"/>
    <x v="0"/>
    <n v="5"/>
    <n v="3"/>
    <s v="Yes"/>
    <s v="Recruiter"/>
    <s v="Contract"/>
    <n v="0"/>
    <s v="Active"/>
    <x v="2"/>
    <x v="0"/>
    <x v="2"/>
  </r>
  <r>
    <n v="42"/>
    <s v="No"/>
    <s v="Travel_Rarely"/>
    <x v="1"/>
    <n v="4"/>
    <x v="0"/>
    <n v="3"/>
    <n v="2"/>
    <x v="4"/>
    <n v="1"/>
    <s v="Single"/>
    <n v="5155"/>
    <n v="7"/>
    <s v="No"/>
    <n v="13"/>
    <n v="3"/>
    <n v="0"/>
    <n v="9"/>
    <n v="3"/>
    <n v="6"/>
    <n v="1"/>
    <n v="5"/>
    <s v="Graduation"/>
    <d v="2015-04-12T00:00:00"/>
    <m/>
    <s v="Work Accident"/>
    <x v="0"/>
    <n v="5"/>
    <n v="2"/>
    <s v="No"/>
    <s v="Job Portal"/>
    <s v="FullTime"/>
    <n v="0"/>
    <s v="Active"/>
    <x v="2"/>
    <x v="0"/>
    <x v="2"/>
  </r>
  <r>
    <n v="44"/>
    <s v="Yes"/>
    <s v="Travel_Rarely"/>
    <x v="0"/>
    <n v="10"/>
    <x v="0"/>
    <n v="3"/>
    <n v="1"/>
    <x v="1"/>
    <n v="3"/>
    <s v="Single"/>
    <n v="2936"/>
    <n v="1"/>
    <s v="Yes"/>
    <n v="11"/>
    <n v="3"/>
    <n v="0"/>
    <n v="6"/>
    <n v="4"/>
    <n v="6"/>
    <n v="0"/>
    <n v="2"/>
    <s v="PHD"/>
    <d v="2015-03-12T00:00:00"/>
    <m/>
    <s v="Work Environment"/>
    <x v="0"/>
    <n v="3"/>
    <n v="3"/>
    <s v="Yes"/>
    <s v="Job Portal"/>
    <s v="FullTime"/>
    <n v="1"/>
    <s v="Active"/>
    <x v="2"/>
    <x v="0"/>
    <x v="0"/>
  </r>
  <r>
    <n v="28"/>
    <s v="No"/>
    <s v="Travel_Rarely"/>
    <x v="0"/>
    <n v="19"/>
    <x v="0"/>
    <n v="2"/>
    <n v="1"/>
    <x v="0"/>
    <n v="1"/>
    <s v="Married"/>
    <n v="3196"/>
    <n v="1"/>
    <s v="No"/>
    <n v="12"/>
    <n v="3"/>
    <n v="3"/>
    <n v="6"/>
    <n v="2"/>
    <n v="6"/>
    <n v="3"/>
    <n v="3"/>
    <s v="Post-Graduation"/>
    <d v="2015-01-19T00:00:00"/>
    <m/>
    <s v="Better Opportunity"/>
    <x v="1"/>
    <n v="0"/>
    <n v="3"/>
    <s v="No"/>
    <s v="Job Event"/>
    <s v="Part Time"/>
    <n v="0"/>
    <s v="Active"/>
    <x v="2"/>
    <x v="0"/>
    <x v="0"/>
  </r>
  <r>
    <n v="46"/>
    <s v="No"/>
    <s v="Travel_Rarely"/>
    <x v="0"/>
    <n v="2"/>
    <x v="0"/>
    <n v="3"/>
    <n v="2"/>
    <x v="6"/>
    <n v="4"/>
    <s v="Divorced"/>
    <n v="7379"/>
    <n v="2"/>
    <s v="No"/>
    <n v="11"/>
    <n v="3"/>
    <n v="1"/>
    <n v="12"/>
    <n v="3"/>
    <n v="6"/>
    <n v="1"/>
    <n v="4"/>
    <s v="Post-Graduation"/>
    <d v="2015-01-25T00:00:00"/>
    <m/>
    <s v="Better Opportunity"/>
    <x v="1"/>
    <n v="2"/>
    <n v="1"/>
    <s v="Yes"/>
    <s v="Job Event"/>
    <s v="Contract"/>
    <n v="0"/>
    <s v="Active"/>
    <x v="2"/>
    <x v="1"/>
    <x v="3"/>
  </r>
  <r>
    <n v="31"/>
    <s v="No"/>
    <s v="Travel_Rarely"/>
    <x v="0"/>
    <n v="11"/>
    <x v="0"/>
    <n v="3"/>
    <n v="2"/>
    <x v="7"/>
    <n v="1"/>
    <s v="Married"/>
    <n v="6833"/>
    <n v="1"/>
    <s v="Yes"/>
    <n v="12"/>
    <n v="3"/>
    <n v="0"/>
    <n v="6"/>
    <n v="2"/>
    <n v="6"/>
    <n v="0"/>
    <n v="1"/>
    <s v="Graduation"/>
    <d v="2015-03-06T00:00:00"/>
    <m/>
    <s v="Salary"/>
    <x v="1"/>
    <n v="4"/>
    <n v="3"/>
    <s v="No"/>
    <s v="Job Event"/>
    <s v="Contract"/>
    <n v="0"/>
    <s v="Active"/>
    <x v="2"/>
    <x v="0"/>
    <x v="3"/>
  </r>
  <r>
    <n v="59"/>
    <s v="No"/>
    <s v="Travel_Rarely"/>
    <x v="1"/>
    <n v="3"/>
    <x v="1"/>
    <n v="2"/>
    <n v="2"/>
    <x v="4"/>
    <n v="4"/>
    <s v="Single"/>
    <n v="5171"/>
    <n v="5"/>
    <s v="No"/>
    <n v="17"/>
    <n v="3"/>
    <n v="0"/>
    <n v="13"/>
    <n v="2"/>
    <n v="6"/>
    <n v="0"/>
    <n v="5"/>
    <s v="Post-Graduation"/>
    <d v="2015-06-12T00:00:00"/>
    <m/>
    <s v="Dept.Head"/>
    <x v="1"/>
    <n v="5"/>
    <n v="0"/>
    <s v="No"/>
    <s v="Job Event"/>
    <s v="Contract"/>
    <n v="0"/>
    <s v="Active"/>
    <x v="2"/>
    <x v="0"/>
    <x v="2"/>
  </r>
  <r>
    <n v="29"/>
    <s v="No"/>
    <s v="Travel_Rarely"/>
    <x v="0"/>
    <n v="7"/>
    <x v="0"/>
    <n v="3"/>
    <n v="2"/>
    <x v="7"/>
    <n v="4"/>
    <s v="Divorced"/>
    <n v="6623"/>
    <n v="1"/>
    <s v="Yes"/>
    <n v="11"/>
    <n v="3"/>
    <n v="2"/>
    <n v="6"/>
    <n v="2"/>
    <n v="6"/>
    <n v="1"/>
    <n v="0"/>
    <s v="Post-Graduation"/>
    <d v="2015-05-03T00:00:00"/>
    <m/>
    <s v="Dept.Head"/>
    <x v="0"/>
    <n v="2"/>
    <n v="0"/>
    <s v="No"/>
    <s v="Walk-in"/>
    <s v="Part Time"/>
    <n v="0"/>
    <s v="Active"/>
    <x v="2"/>
    <x v="0"/>
    <x v="3"/>
  </r>
  <r>
    <n v="27"/>
    <s v="No"/>
    <s v="Travel_Frequently"/>
    <x v="1"/>
    <n v="2"/>
    <x v="0"/>
    <n v="1"/>
    <n v="2"/>
    <x v="4"/>
    <n v="4"/>
    <s v="Single"/>
    <n v="5071"/>
    <n v="3"/>
    <s v="No"/>
    <n v="20"/>
    <n v="4"/>
    <n v="0"/>
    <n v="8"/>
    <n v="3"/>
    <n v="6"/>
    <n v="0"/>
    <n v="0"/>
    <s v="PHD"/>
    <d v="2015-03-30T00:00:00"/>
    <m/>
    <s v="Salary"/>
    <x v="1"/>
    <n v="5"/>
    <n v="3"/>
    <s v="No"/>
    <s v="Job Portal"/>
    <s v="Contract"/>
    <n v="0"/>
    <s v="Active"/>
    <x v="2"/>
    <x v="0"/>
    <x v="2"/>
  </r>
  <r>
    <n v="41"/>
    <s v="No"/>
    <s v="Travel_Frequently"/>
    <x v="0"/>
    <n v="22"/>
    <x v="1"/>
    <n v="3"/>
    <n v="2"/>
    <x v="1"/>
    <n v="4"/>
    <s v="Divorced"/>
    <n v="5467"/>
    <n v="3"/>
    <s v="Yes"/>
    <n v="14"/>
    <n v="3"/>
    <n v="2"/>
    <n v="12"/>
    <n v="4"/>
    <n v="6"/>
    <n v="3"/>
    <n v="3"/>
    <s v="12th"/>
    <d v="2015-05-28T00:00:00"/>
    <m/>
    <s v="Work Accident"/>
    <x v="1"/>
    <n v="4"/>
    <n v="3"/>
    <s v="No"/>
    <s v="Walk-in"/>
    <s v="Contract"/>
    <n v="0"/>
    <s v="Active"/>
    <x v="2"/>
    <x v="0"/>
    <x v="0"/>
  </r>
  <r>
    <n v="37"/>
    <s v="No"/>
    <s v="Travel_Rarely"/>
    <x v="0"/>
    <n v="4"/>
    <x v="0"/>
    <n v="3"/>
    <n v="1"/>
    <x v="1"/>
    <n v="3"/>
    <s v="Married"/>
    <n v="2996"/>
    <n v="7"/>
    <s v="Yes"/>
    <n v="15"/>
    <n v="3"/>
    <n v="0"/>
    <n v="8"/>
    <n v="2"/>
    <n v="6"/>
    <n v="1"/>
    <n v="3"/>
    <s v="PHD"/>
    <d v="2015-03-24T00:00:00"/>
    <m/>
    <s v="Better Opportunity"/>
    <x v="0"/>
    <n v="3"/>
    <n v="1"/>
    <s v="No"/>
    <s v="Recruiter"/>
    <s v="FullTime"/>
    <n v="0"/>
    <s v="Active"/>
    <x v="2"/>
    <x v="0"/>
    <x v="0"/>
  </r>
  <r>
    <n v="39"/>
    <s v="No"/>
    <s v="Non-Travel"/>
    <x v="0"/>
    <n v="25"/>
    <x v="0"/>
    <n v="3"/>
    <n v="3"/>
    <x v="7"/>
    <n v="3"/>
    <s v="Married"/>
    <n v="10920"/>
    <n v="3"/>
    <s v="No"/>
    <n v="21"/>
    <n v="4"/>
    <n v="1"/>
    <n v="13"/>
    <n v="2"/>
    <n v="6"/>
    <n v="0"/>
    <n v="5"/>
    <s v="Post-Graduation"/>
    <d v="2015-03-06T00:00:00"/>
    <m/>
    <s v="Better Opportunity"/>
    <x v="0"/>
    <n v="4"/>
    <n v="2"/>
    <s v="Yes"/>
    <s v="Job Portal"/>
    <s v="Contract"/>
    <n v="0"/>
    <s v="Active"/>
    <x v="2"/>
    <x v="1"/>
    <x v="3"/>
  </r>
  <r>
    <n v="27"/>
    <s v="No"/>
    <s v="Travel_Rarely"/>
    <x v="1"/>
    <n v="10"/>
    <x v="1"/>
    <n v="2"/>
    <n v="2"/>
    <x v="4"/>
    <n v="4"/>
    <s v="Married"/>
    <n v="5769"/>
    <n v="1"/>
    <s v="Yes"/>
    <n v="11"/>
    <n v="3"/>
    <n v="0"/>
    <n v="6"/>
    <n v="3"/>
    <n v="6"/>
    <n v="4"/>
    <n v="4"/>
    <s v="Graduation"/>
    <d v="2015-04-14T00:00:00"/>
    <m/>
    <s v="Dept.Head"/>
    <x v="1"/>
    <n v="0"/>
    <n v="2"/>
    <s v="No"/>
    <s v="Job Event"/>
    <s v="Part Time"/>
    <n v="0"/>
    <s v="Active"/>
    <x v="2"/>
    <x v="0"/>
    <x v="2"/>
  </r>
  <r>
    <n v="47"/>
    <s v="No"/>
    <s v="Travel_Rarely"/>
    <x v="0"/>
    <n v="1"/>
    <x v="0"/>
    <n v="3"/>
    <n v="1"/>
    <x v="1"/>
    <n v="4"/>
    <s v="Married"/>
    <n v="3420"/>
    <n v="7"/>
    <s v="No"/>
    <n v="12"/>
    <n v="3"/>
    <n v="1"/>
    <n v="17"/>
    <n v="2"/>
    <n v="6"/>
    <n v="1"/>
    <n v="2"/>
    <s v="12th"/>
    <d v="2015-05-26T00:00:00"/>
    <m/>
    <s v="Better Opportunity"/>
    <x v="1"/>
    <n v="2"/>
    <n v="1"/>
    <s v="No"/>
    <s v="Job Event"/>
    <s v="FullTime"/>
    <n v="0"/>
    <s v="Active"/>
    <x v="2"/>
    <x v="0"/>
    <x v="0"/>
  </r>
  <r>
    <n v="37"/>
    <s v="No"/>
    <s v="Non-Travel"/>
    <x v="0"/>
    <n v="5"/>
    <x v="0"/>
    <n v="4"/>
    <n v="1"/>
    <x v="0"/>
    <n v="3"/>
    <s v="Single"/>
    <n v="3500"/>
    <n v="0"/>
    <s v="No"/>
    <n v="14"/>
    <n v="3"/>
    <n v="0"/>
    <n v="7"/>
    <n v="2"/>
    <n v="6"/>
    <n v="1"/>
    <n v="3"/>
    <s v="PHD"/>
    <d v="2015-03-25T00:00:00"/>
    <m/>
    <s v="Better Opportunity"/>
    <x v="1"/>
    <n v="4"/>
    <n v="0"/>
    <s v="No"/>
    <s v="Job Portal"/>
    <s v="Part Time"/>
    <n v="0"/>
    <s v="Active"/>
    <x v="2"/>
    <x v="0"/>
    <x v="0"/>
  </r>
  <r>
    <n v="38"/>
    <s v="No"/>
    <s v="Travel_Frequently"/>
    <x v="2"/>
    <n v="10"/>
    <x v="0"/>
    <n v="3"/>
    <n v="2"/>
    <x v="8"/>
    <n v="3"/>
    <s v="Married"/>
    <n v="6077"/>
    <n v="3"/>
    <s v="No"/>
    <n v="11"/>
    <n v="3"/>
    <n v="0"/>
    <n v="10"/>
    <n v="2"/>
    <n v="6"/>
    <n v="1"/>
    <n v="2"/>
    <s v="Post-Graduation"/>
    <d v="2015-05-18T00:00:00"/>
    <m/>
    <s v="Salary"/>
    <x v="0"/>
    <n v="4"/>
    <n v="1"/>
    <s v="No"/>
    <s v="Job Event"/>
    <s v="Part Time"/>
    <n v="0"/>
    <s v="Active"/>
    <x v="2"/>
    <x v="0"/>
    <x v="4"/>
  </r>
  <r>
    <n v="32"/>
    <s v="No"/>
    <s v="Non-Travel"/>
    <x v="0"/>
    <n v="1"/>
    <x v="0"/>
    <n v="3"/>
    <n v="2"/>
    <x v="1"/>
    <n v="1"/>
    <s v="Married"/>
    <n v="4087"/>
    <n v="4"/>
    <s v="No"/>
    <n v="14"/>
    <n v="3"/>
    <n v="1"/>
    <n v="9"/>
    <n v="3"/>
    <n v="6"/>
    <n v="1"/>
    <n v="2"/>
    <s v="Graduation"/>
    <d v="2015-05-31T00:00:00"/>
    <m/>
    <s v="Salary"/>
    <x v="1"/>
    <n v="1"/>
    <n v="1"/>
    <s v="Yes"/>
    <s v="Job Portal"/>
    <s v="FullTime"/>
    <n v="0"/>
    <s v="Active"/>
    <x v="2"/>
    <x v="0"/>
    <x v="0"/>
  </r>
  <r>
    <n v="29"/>
    <s v="No"/>
    <s v="Travel_Frequently"/>
    <x v="0"/>
    <n v="2"/>
    <x v="0"/>
    <n v="3"/>
    <n v="2"/>
    <x v="7"/>
    <n v="4"/>
    <s v="Divorced"/>
    <n v="8853"/>
    <n v="1"/>
    <s v="No"/>
    <n v="19"/>
    <n v="3"/>
    <n v="1"/>
    <n v="6"/>
    <n v="0"/>
    <n v="6"/>
    <n v="1"/>
    <n v="3"/>
    <s v="PHD"/>
    <d v="2015-04-26T00:00:00"/>
    <m/>
    <s v="Salary"/>
    <x v="0"/>
    <n v="2"/>
    <n v="3"/>
    <s v="Yes"/>
    <s v="Walk-in"/>
    <s v="FullTime"/>
    <n v="0"/>
    <s v="Active"/>
    <x v="2"/>
    <x v="1"/>
    <x v="3"/>
  </r>
  <r>
    <n v="43"/>
    <s v="No"/>
    <s v="Travel_Rarely"/>
    <x v="0"/>
    <n v="27"/>
    <x v="0"/>
    <n v="4"/>
    <n v="1"/>
    <x v="0"/>
    <n v="2"/>
    <s v="Divorced"/>
    <n v="4876"/>
    <n v="5"/>
    <s v="No"/>
    <n v="12"/>
    <n v="3"/>
    <n v="1"/>
    <n v="8"/>
    <n v="0"/>
    <n v="6"/>
    <n v="0"/>
    <n v="2"/>
    <s v="12th"/>
    <d v="2015-04-02T00:00:00"/>
    <m/>
    <s v="Work Accident"/>
    <x v="0"/>
    <n v="2"/>
    <n v="2"/>
    <s v="Yes"/>
    <s v="Walk-in"/>
    <s v="Contract"/>
    <n v="0"/>
    <s v="Active"/>
    <x v="2"/>
    <x v="0"/>
    <x v="0"/>
  </r>
  <r>
    <n v="30"/>
    <s v="No"/>
    <s v="Travel_Rarely"/>
    <x v="0"/>
    <n v="7"/>
    <x v="0"/>
    <n v="2"/>
    <n v="1"/>
    <x v="1"/>
    <n v="2"/>
    <s v="Married"/>
    <n v="2141"/>
    <n v="1"/>
    <s v="No"/>
    <n v="12"/>
    <n v="3"/>
    <n v="1"/>
    <n v="6"/>
    <n v="3"/>
    <n v="6"/>
    <n v="1"/>
    <n v="1"/>
    <s v="Graduation"/>
    <d v="2015-06-16T00:00:00"/>
    <m/>
    <s v="Work Accident"/>
    <x v="0"/>
    <n v="0"/>
    <n v="0"/>
    <s v="Yes"/>
    <s v="Job Event"/>
    <s v="FullTime"/>
    <n v="0"/>
    <s v="Active"/>
    <x v="2"/>
    <x v="0"/>
    <x v="0"/>
  </r>
  <r>
    <n v="24"/>
    <s v="No"/>
    <s v="Travel_Frequently"/>
    <x v="0"/>
    <n v="2"/>
    <x v="1"/>
    <n v="3"/>
    <n v="1"/>
    <x v="1"/>
    <n v="4"/>
    <s v="Single"/>
    <n v="3760"/>
    <n v="1"/>
    <s v="Yes"/>
    <n v="13"/>
    <n v="3"/>
    <n v="0"/>
    <n v="6"/>
    <n v="2"/>
    <n v="6"/>
    <n v="1"/>
    <n v="3"/>
    <s v="12th"/>
    <d v="2015-05-28T00:00:00"/>
    <m/>
    <s v="Better Opportunity"/>
    <x v="0"/>
    <n v="4"/>
    <n v="0"/>
    <s v="Yes"/>
    <s v="Job Portal"/>
    <s v="Part Time"/>
    <n v="0"/>
    <s v="Active"/>
    <x v="2"/>
    <x v="0"/>
    <x v="0"/>
  </r>
  <r>
    <n v="33"/>
    <s v="No"/>
    <s v="Travel_Rarely"/>
    <x v="1"/>
    <n v="2"/>
    <x v="0"/>
    <n v="3"/>
    <n v="2"/>
    <x v="4"/>
    <n v="4"/>
    <s v="Divorced"/>
    <n v="5505"/>
    <n v="1"/>
    <s v="No"/>
    <n v="14"/>
    <n v="3"/>
    <n v="2"/>
    <n v="6"/>
    <n v="5"/>
    <n v="6"/>
    <n v="0"/>
    <n v="4"/>
    <s v="Graduation"/>
    <d v="2015-06-24T00:00:00"/>
    <m/>
    <s v="Work Environment"/>
    <x v="1"/>
    <n v="3"/>
    <n v="2"/>
    <s v="Yes"/>
    <s v="Job Event"/>
    <s v="FullTime"/>
    <n v="0"/>
    <s v="Active"/>
    <x v="2"/>
    <x v="0"/>
    <x v="2"/>
  </r>
  <r>
    <n v="33"/>
    <s v="No"/>
    <s v="Non-Travel"/>
    <x v="1"/>
    <n v="16"/>
    <x v="1"/>
    <n v="3"/>
    <n v="2"/>
    <x v="4"/>
    <n v="4"/>
    <s v="Divorced"/>
    <n v="5368"/>
    <n v="1"/>
    <s v="Yes"/>
    <n v="25"/>
    <n v="4"/>
    <n v="1"/>
    <n v="7"/>
    <n v="2"/>
    <n v="6"/>
    <n v="1"/>
    <n v="2"/>
    <s v="Graduation"/>
    <d v="2015-01-06T00:00:00"/>
    <m/>
    <s v="Salary"/>
    <x v="0"/>
    <n v="0"/>
    <n v="0"/>
    <s v="No"/>
    <s v="Walk-in"/>
    <s v="FullTime"/>
    <n v="0"/>
    <s v="Active"/>
    <x v="2"/>
    <x v="0"/>
    <x v="2"/>
  </r>
  <r>
    <n v="37"/>
    <s v="No"/>
    <s v="Travel_Frequently"/>
    <x v="1"/>
    <n v="1"/>
    <x v="0"/>
    <n v="1"/>
    <n v="2"/>
    <x v="4"/>
    <n v="4"/>
    <s v="Divorced"/>
    <n v="9525"/>
    <n v="1"/>
    <s v="No"/>
    <n v="14"/>
    <n v="3"/>
    <n v="2"/>
    <n v="6"/>
    <n v="2"/>
    <n v="6"/>
    <n v="1"/>
    <n v="3"/>
    <s v="Graduation"/>
    <d v="2015-04-20T00:00:00"/>
    <m/>
    <s v="Work Environment"/>
    <x v="0"/>
    <n v="3"/>
    <n v="3"/>
    <s v="No"/>
    <s v="Job Event"/>
    <s v="Contract"/>
    <n v="0"/>
    <s v="Active"/>
    <x v="2"/>
    <x v="1"/>
    <x v="2"/>
  </r>
  <r>
    <n v="24"/>
    <s v="No"/>
    <s v="Travel_Rarely"/>
    <x v="0"/>
    <n v="29"/>
    <x v="0"/>
    <n v="3"/>
    <n v="1"/>
    <x v="0"/>
    <n v="1"/>
    <s v="Divorced"/>
    <n v="3907"/>
    <n v="1"/>
    <s v="No"/>
    <n v="13"/>
    <n v="3"/>
    <n v="3"/>
    <n v="6"/>
    <n v="2"/>
    <n v="6"/>
    <n v="1"/>
    <n v="2"/>
    <s v="Graduation"/>
    <d v="2015-05-26T00:00:00"/>
    <m/>
    <s v="Salary"/>
    <x v="1"/>
    <n v="4"/>
    <n v="1"/>
    <s v="Yes"/>
    <s v="Recruiter"/>
    <s v="Part Time"/>
    <n v="0"/>
    <s v="Active"/>
    <x v="2"/>
    <x v="0"/>
    <x v="0"/>
  </r>
  <r>
    <n v="27"/>
    <s v="No"/>
    <s v="Travel_Rarely"/>
    <x v="0"/>
    <n v="8"/>
    <x v="1"/>
    <n v="3"/>
    <n v="1"/>
    <x v="1"/>
    <n v="4"/>
    <s v="Single"/>
    <n v="3445"/>
    <n v="1"/>
    <s v="No"/>
    <n v="11"/>
    <n v="3"/>
    <n v="0"/>
    <n v="6"/>
    <n v="5"/>
    <n v="6"/>
    <n v="1"/>
    <n v="4"/>
    <s v="Graduation"/>
    <d v="2015-01-12T00:00:00"/>
    <m/>
    <s v="Better Opportunity"/>
    <x v="1"/>
    <n v="3"/>
    <n v="3"/>
    <s v="Yes"/>
    <s v="Recruiter"/>
    <s v="Contract"/>
    <n v="0"/>
    <s v="Active"/>
    <x v="2"/>
    <x v="0"/>
    <x v="0"/>
  </r>
  <r>
    <n v="38"/>
    <s v="No"/>
    <s v="Travel_Frequently"/>
    <x v="0"/>
    <n v="2"/>
    <x v="1"/>
    <n v="2"/>
    <n v="1"/>
    <x v="0"/>
    <n v="2"/>
    <s v="Married"/>
    <n v="2468"/>
    <n v="4"/>
    <s v="No"/>
    <n v="14"/>
    <n v="3"/>
    <n v="1"/>
    <n v="9"/>
    <n v="4"/>
    <n v="6"/>
    <n v="0"/>
    <n v="5"/>
    <s v="Graduation"/>
    <d v="2015-02-13T00:00:00"/>
    <m/>
    <s v="Salary"/>
    <x v="0"/>
    <n v="0"/>
    <n v="0"/>
    <s v="No"/>
    <s v="Recruiter"/>
    <s v="FullTime"/>
    <n v="0"/>
    <s v="Active"/>
    <x v="2"/>
    <x v="0"/>
    <x v="0"/>
  </r>
  <r>
    <n v="42"/>
    <s v="No"/>
    <s v="Non-Travel"/>
    <x v="0"/>
    <n v="10"/>
    <x v="0"/>
    <n v="3"/>
    <n v="1"/>
    <x v="1"/>
    <n v="3"/>
    <s v="Married"/>
    <n v="2936"/>
    <n v="3"/>
    <s v="No"/>
    <n v="22"/>
    <n v="4"/>
    <n v="2"/>
    <n v="10"/>
    <n v="1"/>
    <n v="6"/>
    <n v="3"/>
    <n v="3"/>
    <s v="PHD"/>
    <d v="2015-06-11T00:00:00"/>
    <m/>
    <s v="Better Opportunity"/>
    <x v="0"/>
    <n v="4"/>
    <n v="2"/>
    <s v="Yes"/>
    <s v="Job Portal"/>
    <s v="Part Time"/>
    <n v="0"/>
    <s v="Active"/>
    <x v="2"/>
    <x v="0"/>
    <x v="0"/>
  </r>
  <r>
    <n v="38"/>
    <s v="No"/>
    <s v="Travel_Frequently"/>
    <x v="2"/>
    <n v="1"/>
    <x v="0"/>
    <n v="3"/>
    <n v="1"/>
    <x v="8"/>
    <n v="2"/>
    <s v="Married"/>
    <n v="2991"/>
    <n v="0"/>
    <s v="Yes"/>
    <n v="11"/>
    <n v="3"/>
    <n v="1"/>
    <n v="7"/>
    <n v="2"/>
    <n v="6"/>
    <n v="1"/>
    <n v="2"/>
    <s v="PHD"/>
    <d v="2015-03-31T00:00:00"/>
    <m/>
    <s v="Dept.Head"/>
    <x v="0"/>
    <n v="1"/>
    <n v="3"/>
    <s v="No"/>
    <s v="Recruiter"/>
    <s v="Contract"/>
    <n v="0"/>
    <s v="Active"/>
    <x v="2"/>
    <x v="0"/>
    <x v="4"/>
  </r>
  <r>
    <n v="32"/>
    <s v="No"/>
    <s v="Travel_Rarely"/>
    <x v="0"/>
    <n v="29"/>
    <x v="1"/>
    <n v="2"/>
    <n v="1"/>
    <x v="0"/>
    <n v="2"/>
    <s v="Single"/>
    <n v="2837"/>
    <n v="1"/>
    <s v="No"/>
    <n v="13"/>
    <n v="3"/>
    <n v="0"/>
    <n v="6"/>
    <n v="3"/>
    <n v="6"/>
    <n v="4"/>
    <n v="1"/>
    <s v="Post-Graduation"/>
    <d v="2015-06-02T00:00:00"/>
    <m/>
    <s v="Work Accident"/>
    <x v="1"/>
    <n v="1"/>
    <n v="3"/>
    <s v="Yes"/>
    <s v="Walk-in"/>
    <s v="Part Time"/>
    <n v="0"/>
    <s v="Active"/>
    <x v="2"/>
    <x v="0"/>
    <x v="0"/>
  </r>
  <r>
    <n v="39"/>
    <s v="No"/>
    <s v="Non-Travel"/>
    <x v="0"/>
    <n v="9"/>
    <x v="0"/>
    <n v="3"/>
    <n v="5"/>
    <x v="5"/>
    <n v="4"/>
    <s v="Single"/>
    <n v="19431"/>
    <n v="2"/>
    <s v="No"/>
    <n v="13"/>
    <n v="3"/>
    <n v="0"/>
    <n v="21"/>
    <n v="3"/>
    <n v="6"/>
    <n v="1"/>
    <n v="3"/>
    <s v="Post-Graduation"/>
    <d v="2015-06-03T00:00:00"/>
    <m/>
    <s v="Work Environment"/>
    <x v="1"/>
    <n v="1"/>
    <n v="1"/>
    <s v="No"/>
    <s v="Job Event"/>
    <s v="Contract"/>
    <n v="0"/>
    <s v="Active"/>
    <x v="2"/>
    <x v="1"/>
    <x v="1"/>
  </r>
  <r>
    <n v="50"/>
    <s v="Yes"/>
    <s v="Travel_Frequently"/>
    <x v="1"/>
    <n v="1"/>
    <x v="0"/>
    <n v="3"/>
    <n v="2"/>
    <x v="4"/>
    <n v="3"/>
    <s v="Divorced"/>
    <n v="6728"/>
    <n v="7"/>
    <s v="No"/>
    <n v="12"/>
    <n v="3"/>
    <n v="2"/>
    <n v="12"/>
    <n v="3"/>
    <n v="6"/>
    <n v="0"/>
    <n v="1"/>
    <s v="Graduation"/>
    <d v="2015-01-27T00:00:00"/>
    <m/>
    <s v="Dept.Head"/>
    <x v="0"/>
    <n v="5"/>
    <n v="0"/>
    <s v="No"/>
    <s v="Recruiter"/>
    <s v="Contract"/>
    <n v="1"/>
    <s v="Active"/>
    <x v="2"/>
    <x v="0"/>
    <x v="2"/>
  </r>
  <r>
    <n v="36"/>
    <s v="No"/>
    <s v="Travel_Rarely"/>
    <x v="1"/>
    <n v="11"/>
    <x v="1"/>
    <n v="2"/>
    <n v="2"/>
    <x v="4"/>
    <n v="4"/>
    <s v="Married"/>
    <n v="6652"/>
    <n v="4"/>
    <s v="No"/>
    <n v="13"/>
    <n v="3"/>
    <n v="1"/>
    <n v="8"/>
    <n v="2"/>
    <n v="6"/>
    <n v="0"/>
    <n v="0"/>
    <s v="12th"/>
    <d v="2015-05-27T00:00:00"/>
    <m/>
    <s v="Better Opportunity"/>
    <x v="0"/>
    <n v="2"/>
    <n v="3"/>
    <s v="No"/>
    <s v="Job Event"/>
    <s v="Contract"/>
    <n v="0"/>
    <s v="Active"/>
    <x v="2"/>
    <x v="0"/>
    <x v="2"/>
  </r>
  <r>
    <n v="27"/>
    <s v="No"/>
    <s v="Travel_Rarely"/>
    <x v="0"/>
    <n v="4"/>
    <x v="0"/>
    <n v="4"/>
    <n v="2"/>
    <x v="6"/>
    <n v="2"/>
    <s v="Married"/>
    <n v="6142"/>
    <n v="1"/>
    <s v="Yes"/>
    <n v="20"/>
    <n v="4"/>
    <n v="1"/>
    <n v="6"/>
    <n v="0"/>
    <n v="6"/>
    <n v="0"/>
    <n v="3"/>
    <s v="Post-Graduation"/>
    <d v="2015-03-26T00:00:00"/>
    <m/>
    <s v="Salary"/>
    <x v="0"/>
    <n v="5"/>
    <n v="0"/>
    <s v="Yes"/>
    <s v="Job Portal"/>
    <s v="Contract"/>
    <n v="0"/>
    <s v="Active"/>
    <x v="2"/>
    <x v="0"/>
    <x v="3"/>
  </r>
  <r>
    <n v="32"/>
    <s v="No"/>
    <s v="Travel_Frequently"/>
    <x v="0"/>
    <n v="2"/>
    <x v="0"/>
    <n v="3"/>
    <n v="1"/>
    <x v="0"/>
    <n v="4"/>
    <s v="Single"/>
    <n v="3068"/>
    <n v="0"/>
    <s v="No"/>
    <n v="13"/>
    <n v="3"/>
    <n v="0"/>
    <n v="8"/>
    <n v="2"/>
    <n v="7"/>
    <n v="3"/>
    <n v="6"/>
    <s v="PHD"/>
    <d v="2014-03-02T00:00:00"/>
    <m/>
    <s v="Salary"/>
    <x v="1"/>
    <n v="5"/>
    <n v="1"/>
    <s v="Yes"/>
    <s v="Walk-in"/>
    <s v="Part Time"/>
    <n v="0"/>
    <s v="Active"/>
    <x v="2"/>
    <x v="0"/>
    <x v="0"/>
  </r>
  <r>
    <n v="36"/>
    <s v="No"/>
    <s v="Travel_Rarely"/>
    <x v="0"/>
    <n v="27"/>
    <x v="0"/>
    <n v="3"/>
    <n v="2"/>
    <x v="7"/>
    <n v="3"/>
    <s v="Married"/>
    <n v="5237"/>
    <n v="6"/>
    <s v="No"/>
    <n v="13"/>
    <n v="3"/>
    <n v="2"/>
    <n v="17"/>
    <n v="3"/>
    <n v="7"/>
    <n v="7"/>
    <n v="7"/>
    <s v="12th"/>
    <d v="2014-03-28T00:00:00"/>
    <m/>
    <s v="Work Environment"/>
    <x v="0"/>
    <n v="0"/>
    <n v="2"/>
    <s v="No"/>
    <s v="Recruiter"/>
    <s v="Contract"/>
    <n v="0"/>
    <s v="Active"/>
    <x v="2"/>
    <x v="0"/>
    <x v="3"/>
  </r>
  <r>
    <n v="31"/>
    <s v="No"/>
    <s v="Travel_Rarely"/>
    <x v="0"/>
    <n v="7"/>
    <x v="0"/>
    <n v="3"/>
    <n v="2"/>
    <x v="0"/>
    <n v="4"/>
    <s v="Divorced"/>
    <n v="5915"/>
    <n v="3"/>
    <s v="No"/>
    <n v="22"/>
    <n v="4"/>
    <n v="1"/>
    <n v="10"/>
    <n v="3"/>
    <n v="7"/>
    <n v="1"/>
    <n v="7"/>
    <s v="Post-Graduation"/>
    <d v="2014-03-31T00:00:00"/>
    <m/>
    <s v="Better Opportunity"/>
    <x v="1"/>
    <n v="5"/>
    <n v="3"/>
    <s v="No"/>
    <s v="Recruiter"/>
    <s v="FullTime"/>
    <n v="0"/>
    <s v="Active"/>
    <x v="2"/>
    <x v="0"/>
    <x v="0"/>
  </r>
  <r>
    <n v="37"/>
    <s v="No"/>
    <s v="Travel_Rarely"/>
    <x v="0"/>
    <n v="1"/>
    <x v="0"/>
    <n v="2"/>
    <n v="2"/>
    <x v="6"/>
    <n v="3"/>
    <s v="Divorced"/>
    <n v="5993"/>
    <n v="1"/>
    <s v="No"/>
    <n v="18"/>
    <n v="3"/>
    <n v="1"/>
    <n v="7"/>
    <n v="2"/>
    <n v="7"/>
    <n v="0"/>
    <n v="7"/>
    <s v="Post-Graduation"/>
    <d v="2014-03-09T00:00:00"/>
    <m/>
    <s v="Dept.Head"/>
    <x v="1"/>
    <n v="0"/>
    <n v="3"/>
    <s v="No"/>
    <s v="Job Event"/>
    <s v="Part Time"/>
    <n v="0"/>
    <s v="Active"/>
    <x v="2"/>
    <x v="0"/>
    <x v="3"/>
  </r>
  <r>
    <n v="33"/>
    <s v="No"/>
    <s v="Non-Travel"/>
    <x v="1"/>
    <n v="22"/>
    <x v="0"/>
    <n v="3"/>
    <n v="2"/>
    <x v="4"/>
    <n v="2"/>
    <s v="Married"/>
    <n v="6146"/>
    <n v="0"/>
    <s v="No"/>
    <n v="13"/>
    <n v="3"/>
    <n v="1"/>
    <n v="8"/>
    <n v="2"/>
    <n v="7"/>
    <n v="0"/>
    <n v="7"/>
    <s v="PHD"/>
    <d v="2014-06-08T00:00:00"/>
    <m/>
    <s v="Work Accident"/>
    <x v="0"/>
    <n v="4"/>
    <n v="3"/>
    <s v="No"/>
    <s v="Job Portal"/>
    <s v="Contract"/>
    <n v="0"/>
    <s v="Active"/>
    <x v="2"/>
    <x v="0"/>
    <x v="2"/>
  </r>
  <r>
    <n v="31"/>
    <s v="Yes"/>
    <s v="Travel_Rarely"/>
    <x v="1"/>
    <n v="6"/>
    <x v="0"/>
    <n v="1"/>
    <n v="2"/>
    <x v="4"/>
    <n v="3"/>
    <s v="Married"/>
    <n v="6172"/>
    <n v="4"/>
    <s v="Yes"/>
    <n v="18"/>
    <n v="3"/>
    <n v="0"/>
    <n v="12"/>
    <n v="3"/>
    <n v="7"/>
    <n v="7"/>
    <n v="7"/>
    <s v="Post-Graduation"/>
    <d v="2014-02-02T00:00:00"/>
    <m/>
    <s v="Salary"/>
    <x v="1"/>
    <n v="1"/>
    <n v="1"/>
    <s v="No"/>
    <s v="Job Portal"/>
    <s v="Part Time"/>
    <n v="1"/>
    <s v="Active"/>
    <x v="2"/>
    <x v="0"/>
    <x v="2"/>
  </r>
  <r>
    <n v="41"/>
    <s v="No"/>
    <s v="Travel_Frequently"/>
    <x v="0"/>
    <n v="10"/>
    <x v="0"/>
    <n v="2"/>
    <n v="4"/>
    <x v="5"/>
    <n v="1"/>
    <s v="Divorced"/>
    <n v="17181"/>
    <n v="4"/>
    <s v="No"/>
    <n v="13"/>
    <n v="3"/>
    <n v="1"/>
    <n v="21"/>
    <n v="2"/>
    <n v="7"/>
    <n v="7"/>
    <n v="7"/>
    <s v="Post-Graduation"/>
    <d v="2014-05-01T00:00:00"/>
    <m/>
    <s v="Dept.Head"/>
    <x v="0"/>
    <n v="2"/>
    <n v="2"/>
    <s v="Yes"/>
    <s v="Walk-in"/>
    <s v="Part Time"/>
    <n v="0"/>
    <s v="Active"/>
    <x v="2"/>
    <x v="1"/>
    <x v="1"/>
  </r>
  <r>
    <n v="53"/>
    <s v="No"/>
    <s v="Travel_Rarely"/>
    <x v="1"/>
    <n v="6"/>
    <x v="0"/>
    <n v="3"/>
    <n v="2"/>
    <x v="3"/>
    <n v="3"/>
    <s v="Married"/>
    <n v="2306"/>
    <n v="2"/>
    <s v="Yes"/>
    <n v="20"/>
    <n v="4"/>
    <n v="1"/>
    <n v="13"/>
    <n v="3"/>
    <n v="7"/>
    <n v="4"/>
    <n v="5"/>
    <s v="PHD"/>
    <d v="2014-04-20T00:00:00"/>
    <m/>
    <s v="Work Environment"/>
    <x v="1"/>
    <n v="0"/>
    <n v="1"/>
    <s v="No"/>
    <s v="Recruiter"/>
    <s v="Contract"/>
    <n v="0"/>
    <s v="Active"/>
    <x v="2"/>
    <x v="0"/>
    <x v="2"/>
  </r>
  <r>
    <n v="51"/>
    <s v="No"/>
    <s v="Travel_Rarely"/>
    <x v="0"/>
    <n v="3"/>
    <x v="1"/>
    <n v="3"/>
    <n v="4"/>
    <x v="7"/>
    <n v="2"/>
    <s v="Single"/>
    <n v="13734"/>
    <n v="3"/>
    <s v="No"/>
    <n v="18"/>
    <n v="3"/>
    <n v="0"/>
    <n v="21"/>
    <n v="6"/>
    <n v="7"/>
    <n v="1"/>
    <n v="0"/>
    <s v="Graduation"/>
    <d v="2014-06-22T00:00:00"/>
    <m/>
    <s v="Salary"/>
    <x v="1"/>
    <n v="0"/>
    <n v="2"/>
    <s v="Yes"/>
    <s v="Recruiter"/>
    <s v="FullTime"/>
    <n v="0"/>
    <s v="Active"/>
    <x v="2"/>
    <x v="1"/>
    <x v="3"/>
  </r>
  <r>
    <n v="27"/>
    <s v="No"/>
    <s v="Travel_Rarely"/>
    <x v="0"/>
    <n v="9"/>
    <x v="1"/>
    <n v="3"/>
    <n v="1"/>
    <x v="1"/>
    <n v="2"/>
    <s v="Single"/>
    <n v="2279"/>
    <n v="1"/>
    <s v="No"/>
    <n v="16"/>
    <n v="3"/>
    <n v="0"/>
    <n v="7"/>
    <n v="2"/>
    <n v="7"/>
    <n v="0"/>
    <n v="3"/>
    <s v="12th"/>
    <d v="2014-06-17T00:00:00"/>
    <m/>
    <s v="Salary"/>
    <x v="1"/>
    <n v="1"/>
    <n v="1"/>
    <s v="Yes"/>
    <s v="Job Event"/>
    <s v="Contract"/>
    <n v="0"/>
    <s v="Active"/>
    <x v="2"/>
    <x v="0"/>
    <x v="0"/>
  </r>
  <r>
    <n v="38"/>
    <s v="No"/>
    <s v="Travel_Rarely"/>
    <x v="0"/>
    <n v="29"/>
    <x v="0"/>
    <n v="3"/>
    <n v="2"/>
    <x v="6"/>
    <n v="4"/>
    <s v="Married"/>
    <n v="6261"/>
    <n v="3"/>
    <s v="No"/>
    <n v="18"/>
    <n v="3"/>
    <n v="1"/>
    <n v="9"/>
    <n v="3"/>
    <n v="7"/>
    <n v="1"/>
    <n v="7"/>
    <s v="12th"/>
    <d v="2014-03-02T00:00:00"/>
    <m/>
    <s v="Better Opportunity"/>
    <x v="0"/>
    <n v="3"/>
    <n v="0"/>
    <s v="No"/>
    <s v="Recruiter"/>
    <s v="FullTime"/>
    <n v="0"/>
    <s v="Active"/>
    <x v="2"/>
    <x v="0"/>
    <x v="3"/>
  </r>
  <r>
    <n v="49"/>
    <s v="No"/>
    <s v="Non-Travel"/>
    <x v="0"/>
    <n v="18"/>
    <x v="0"/>
    <n v="3"/>
    <n v="2"/>
    <x v="6"/>
    <n v="4"/>
    <s v="Divorced"/>
    <n v="6804"/>
    <n v="1"/>
    <s v="Yes"/>
    <n v="15"/>
    <n v="3"/>
    <n v="2"/>
    <n v="7"/>
    <n v="0"/>
    <n v="7"/>
    <n v="1"/>
    <n v="7"/>
    <s v="12th"/>
    <d v="2014-04-21T00:00:00"/>
    <m/>
    <s v="Work Accident"/>
    <x v="1"/>
    <n v="2"/>
    <n v="0"/>
    <s v="No"/>
    <s v="Walk-in"/>
    <s v="Part Time"/>
    <n v="0"/>
    <s v="Active"/>
    <x v="2"/>
    <x v="0"/>
    <x v="3"/>
  </r>
  <r>
    <n v="40"/>
    <s v="No"/>
    <s v="Travel_Rarely"/>
    <x v="0"/>
    <n v="19"/>
    <x v="0"/>
    <n v="3"/>
    <n v="2"/>
    <x v="0"/>
    <n v="4"/>
    <s v="Married"/>
    <n v="2741"/>
    <n v="8"/>
    <s v="Yes"/>
    <n v="15"/>
    <n v="3"/>
    <n v="1"/>
    <n v="15"/>
    <n v="2"/>
    <n v="7"/>
    <n v="3"/>
    <n v="7"/>
    <s v="Post-Graduation"/>
    <d v="2014-04-25T00:00:00"/>
    <m/>
    <s v="Better Opportunity"/>
    <x v="0"/>
    <n v="3"/>
    <n v="2"/>
    <s v="Yes"/>
    <s v="Job Portal"/>
    <s v="FullTime"/>
    <n v="0"/>
    <s v="Active"/>
    <x v="2"/>
    <x v="0"/>
    <x v="0"/>
  </r>
  <r>
    <n v="27"/>
    <s v="No"/>
    <s v="Travel_Frequently"/>
    <x v="1"/>
    <n v="20"/>
    <x v="1"/>
    <n v="3"/>
    <n v="2"/>
    <x v="4"/>
    <n v="3"/>
    <s v="Single"/>
    <n v="9981"/>
    <n v="1"/>
    <s v="No"/>
    <n v="14"/>
    <n v="3"/>
    <n v="0"/>
    <n v="7"/>
    <n v="2"/>
    <n v="7"/>
    <n v="0"/>
    <n v="7"/>
    <s v="PHD"/>
    <d v="2014-01-19T00:00:00"/>
    <m/>
    <s v="Work Environment"/>
    <x v="1"/>
    <n v="2"/>
    <n v="3"/>
    <s v="No"/>
    <s v="Job Event"/>
    <s v="Part Time"/>
    <n v="0"/>
    <s v="Active"/>
    <x v="2"/>
    <x v="1"/>
    <x v="2"/>
  </r>
  <r>
    <n v="50"/>
    <s v="No"/>
    <s v="Travel_Rarely"/>
    <x v="1"/>
    <n v="1"/>
    <x v="1"/>
    <n v="3"/>
    <n v="5"/>
    <x v="5"/>
    <n v="4"/>
    <s v="Divorced"/>
    <n v="19517"/>
    <n v="3"/>
    <s v="No"/>
    <n v="11"/>
    <n v="3"/>
    <n v="1"/>
    <n v="32"/>
    <n v="3"/>
    <n v="7"/>
    <n v="0"/>
    <n v="6"/>
    <s v="Post-Graduation"/>
    <d v="2014-05-17T00:00:00"/>
    <m/>
    <s v="Work Accident"/>
    <x v="0"/>
    <n v="1"/>
    <n v="2"/>
    <s v="No"/>
    <s v="Walk-in"/>
    <s v="Contract"/>
    <n v="0"/>
    <s v="Active"/>
    <x v="2"/>
    <x v="1"/>
    <x v="1"/>
  </r>
  <r>
    <n v="46"/>
    <s v="No"/>
    <s v="Travel_Rarely"/>
    <x v="1"/>
    <n v="2"/>
    <x v="1"/>
    <n v="1"/>
    <n v="4"/>
    <x v="5"/>
    <n v="2"/>
    <s v="Married"/>
    <n v="16872"/>
    <n v="3"/>
    <s v="Yes"/>
    <n v="12"/>
    <n v="3"/>
    <n v="1"/>
    <n v="28"/>
    <n v="2"/>
    <n v="7"/>
    <n v="7"/>
    <n v="7"/>
    <s v="PHD"/>
    <d v="2014-04-21T00:00:00"/>
    <m/>
    <s v="Better Opportunity"/>
    <x v="0"/>
    <n v="2"/>
    <n v="0"/>
    <s v="Yes"/>
    <s v="Job Portal"/>
    <s v="FullTime"/>
    <n v="0"/>
    <s v="Active"/>
    <x v="2"/>
    <x v="1"/>
    <x v="1"/>
  </r>
  <r>
    <n v="35"/>
    <s v="No"/>
    <s v="Travel_Rarely"/>
    <x v="0"/>
    <n v="22"/>
    <x v="1"/>
    <n v="4"/>
    <n v="3"/>
    <x v="5"/>
    <n v="2"/>
    <s v="Divorced"/>
    <n v="11996"/>
    <n v="7"/>
    <s v="No"/>
    <n v="18"/>
    <n v="3"/>
    <n v="1"/>
    <n v="10"/>
    <n v="6"/>
    <n v="7"/>
    <n v="6"/>
    <n v="2"/>
    <s v="Graduation"/>
    <d v="2014-03-27T00:00:00"/>
    <m/>
    <s v="Work Environment"/>
    <x v="0"/>
    <n v="5"/>
    <n v="0"/>
    <s v="No"/>
    <s v="Job Portal"/>
    <s v="FullTime"/>
    <n v="0"/>
    <s v="Active"/>
    <x v="2"/>
    <x v="1"/>
    <x v="1"/>
  </r>
  <r>
    <n v="49"/>
    <s v="No"/>
    <s v="Travel_Rarely"/>
    <x v="0"/>
    <n v="1"/>
    <x v="1"/>
    <n v="2"/>
    <n v="4"/>
    <x v="7"/>
    <n v="3"/>
    <s v="Single"/>
    <n v="13964"/>
    <n v="7"/>
    <s v="Yes"/>
    <n v="12"/>
    <n v="3"/>
    <n v="0"/>
    <n v="25"/>
    <n v="2"/>
    <n v="7"/>
    <n v="0"/>
    <n v="7"/>
    <s v="Post-Graduation"/>
    <d v="2014-03-10T00:00:00"/>
    <m/>
    <s v="Better Opportunity"/>
    <x v="1"/>
    <n v="5"/>
    <n v="1"/>
    <s v="Yes"/>
    <s v="Walk-in"/>
    <s v="Contract"/>
    <n v="0"/>
    <s v="Active"/>
    <x v="2"/>
    <x v="1"/>
    <x v="3"/>
  </r>
  <r>
    <n v="31"/>
    <s v="No"/>
    <s v="Travel_Rarely"/>
    <x v="1"/>
    <n v="7"/>
    <x v="0"/>
    <n v="3"/>
    <n v="2"/>
    <x v="4"/>
    <n v="4"/>
    <s v="Divorced"/>
    <n v="7547"/>
    <n v="4"/>
    <s v="No"/>
    <n v="12"/>
    <n v="3"/>
    <n v="3"/>
    <n v="13"/>
    <n v="3"/>
    <n v="7"/>
    <n v="1"/>
    <n v="7"/>
    <s v="Post-Graduation"/>
    <d v="2014-03-29T00:00:00"/>
    <m/>
    <s v="Work Environment"/>
    <x v="0"/>
    <n v="0"/>
    <n v="2"/>
    <s v="Yes"/>
    <s v="Job Portal"/>
    <s v="FullTime"/>
    <n v="0"/>
    <s v="Active"/>
    <x v="2"/>
    <x v="1"/>
    <x v="2"/>
  </r>
  <r>
    <n v="32"/>
    <s v="No"/>
    <s v="Travel_Rarely"/>
    <x v="0"/>
    <n v="2"/>
    <x v="1"/>
    <n v="4"/>
    <n v="2"/>
    <x v="1"/>
    <n v="4"/>
    <s v="Single"/>
    <n v="5055"/>
    <n v="7"/>
    <s v="No"/>
    <n v="16"/>
    <n v="3"/>
    <n v="0"/>
    <n v="10"/>
    <n v="0"/>
    <n v="7"/>
    <n v="0"/>
    <n v="7"/>
    <s v="12th"/>
    <d v="2014-01-28T00:00:00"/>
    <m/>
    <s v="Dept.Head"/>
    <x v="1"/>
    <n v="1"/>
    <n v="1"/>
    <s v="No"/>
    <s v="Job Portal"/>
    <s v="Part Time"/>
    <n v="0"/>
    <s v="Active"/>
    <x v="2"/>
    <x v="0"/>
    <x v="0"/>
  </r>
  <r>
    <n v="33"/>
    <s v="No"/>
    <s v="Travel_Frequently"/>
    <x v="1"/>
    <n v="10"/>
    <x v="0"/>
    <n v="2"/>
    <n v="2"/>
    <x v="4"/>
    <n v="4"/>
    <s v="Single"/>
    <n v="4682"/>
    <n v="3"/>
    <s v="No"/>
    <n v="14"/>
    <n v="3"/>
    <n v="0"/>
    <n v="9"/>
    <n v="6"/>
    <n v="7"/>
    <n v="0"/>
    <n v="1"/>
    <s v="PHD"/>
    <d v="2014-03-26T00:00:00"/>
    <m/>
    <s v="Work Accident"/>
    <x v="0"/>
    <n v="5"/>
    <n v="0"/>
    <s v="Yes"/>
    <s v="Walk-in"/>
    <s v="Contract"/>
    <n v="0"/>
    <s v="Active"/>
    <x v="2"/>
    <x v="0"/>
    <x v="2"/>
  </r>
  <r>
    <n v="29"/>
    <s v="Yes"/>
    <s v="Travel_Rarely"/>
    <x v="0"/>
    <n v="8"/>
    <x v="0"/>
    <n v="1"/>
    <n v="1"/>
    <x v="0"/>
    <n v="1"/>
    <s v="Married"/>
    <n v="2119"/>
    <n v="1"/>
    <s v="Yes"/>
    <n v="11"/>
    <n v="3"/>
    <n v="0"/>
    <n v="7"/>
    <n v="4"/>
    <n v="7"/>
    <n v="0"/>
    <n v="7"/>
    <s v="Graduation"/>
    <d v="2014-03-19T00:00:00"/>
    <m/>
    <s v="Dept.Head"/>
    <x v="1"/>
    <n v="0"/>
    <n v="0"/>
    <s v="Yes"/>
    <s v="Walk-in"/>
    <s v="FullTime"/>
    <n v="1"/>
    <s v="Active"/>
    <x v="2"/>
    <x v="0"/>
    <x v="0"/>
  </r>
  <r>
    <n v="29"/>
    <s v="No"/>
    <s v="Travel_Rarely"/>
    <x v="1"/>
    <n v="10"/>
    <x v="1"/>
    <n v="2"/>
    <n v="2"/>
    <x v="4"/>
    <n v="2"/>
    <s v="Divorced"/>
    <n v="8268"/>
    <n v="1"/>
    <s v="Yes"/>
    <n v="14"/>
    <n v="3"/>
    <n v="2"/>
    <n v="7"/>
    <n v="2"/>
    <n v="7"/>
    <n v="1"/>
    <n v="7"/>
    <s v="12th"/>
    <d v="2014-05-23T00:00:00"/>
    <m/>
    <s v="Better Opportunity"/>
    <x v="0"/>
    <n v="5"/>
    <n v="2"/>
    <s v="Yes"/>
    <s v="Walk-in"/>
    <s v="Part Time"/>
    <n v="0"/>
    <s v="Active"/>
    <x v="2"/>
    <x v="1"/>
    <x v="2"/>
  </r>
  <r>
    <n v="37"/>
    <s v="No"/>
    <s v="Travel_Rarely"/>
    <x v="0"/>
    <n v="6"/>
    <x v="0"/>
    <n v="4"/>
    <n v="2"/>
    <x v="1"/>
    <n v="1"/>
    <s v="Divorced"/>
    <n v="5974"/>
    <n v="4"/>
    <s v="Yes"/>
    <n v="13"/>
    <n v="3"/>
    <n v="2"/>
    <n v="13"/>
    <n v="2"/>
    <n v="7"/>
    <n v="6"/>
    <n v="7"/>
    <s v="Graduation"/>
    <d v="2014-04-17T00:00:00"/>
    <m/>
    <s v="Work Accident"/>
    <x v="1"/>
    <n v="3"/>
    <n v="0"/>
    <s v="Yes"/>
    <s v="Walk-in"/>
    <s v="Part Time"/>
    <n v="0"/>
    <s v="Active"/>
    <x v="2"/>
    <x v="0"/>
    <x v="0"/>
  </r>
  <r>
    <n v="40"/>
    <s v="No"/>
    <s v="Travel_Rarely"/>
    <x v="0"/>
    <n v="10"/>
    <x v="1"/>
    <n v="4"/>
    <n v="1"/>
    <x v="0"/>
    <n v="3"/>
    <s v="Married"/>
    <n v="2213"/>
    <n v="3"/>
    <s v="Yes"/>
    <n v="13"/>
    <n v="3"/>
    <n v="1"/>
    <n v="10"/>
    <n v="3"/>
    <n v="7"/>
    <n v="1"/>
    <n v="7"/>
    <s v="12th"/>
    <d v="2014-05-11T00:00:00"/>
    <m/>
    <s v="Salary"/>
    <x v="1"/>
    <n v="5"/>
    <n v="2"/>
    <s v="No"/>
    <s v="Walk-in"/>
    <s v="FullTime"/>
    <n v="0"/>
    <s v="Active"/>
    <x v="2"/>
    <x v="0"/>
    <x v="0"/>
  </r>
  <r>
    <n v="28"/>
    <s v="No"/>
    <s v="Travel_Rarely"/>
    <x v="1"/>
    <n v="9"/>
    <x v="0"/>
    <n v="3"/>
    <n v="2"/>
    <x v="4"/>
    <n v="4"/>
    <s v="Single"/>
    <n v="5253"/>
    <n v="1"/>
    <s v="No"/>
    <n v="16"/>
    <n v="3"/>
    <n v="0"/>
    <n v="7"/>
    <n v="1"/>
    <n v="7"/>
    <n v="0"/>
    <n v="7"/>
    <s v="Graduation"/>
    <d v="2014-03-07T00:00:00"/>
    <m/>
    <s v="Salary"/>
    <x v="0"/>
    <n v="4"/>
    <n v="0"/>
    <s v="No"/>
    <s v="Recruiter"/>
    <s v="FullTime"/>
    <n v="0"/>
    <s v="Active"/>
    <x v="2"/>
    <x v="0"/>
    <x v="2"/>
  </r>
  <r>
    <n v="51"/>
    <s v="No"/>
    <s v="Travel_Rarely"/>
    <x v="1"/>
    <n v="14"/>
    <x v="1"/>
    <n v="3"/>
    <n v="2"/>
    <x v="4"/>
    <n v="4"/>
    <s v="Married"/>
    <n v="4936"/>
    <n v="4"/>
    <s v="No"/>
    <n v="11"/>
    <n v="3"/>
    <n v="1"/>
    <n v="18"/>
    <n v="2"/>
    <n v="7"/>
    <n v="0"/>
    <n v="7"/>
    <s v="PHD"/>
    <d v="2014-06-23T00:00:00"/>
    <m/>
    <s v="Dept.Head"/>
    <x v="1"/>
    <n v="4"/>
    <n v="1"/>
    <s v="Yes"/>
    <s v="Job Portal"/>
    <s v="FullTime"/>
    <n v="0"/>
    <s v="Active"/>
    <x v="2"/>
    <x v="0"/>
    <x v="2"/>
  </r>
  <r>
    <n v="56"/>
    <s v="No"/>
    <s v="Travel_Frequently"/>
    <x v="1"/>
    <n v="6"/>
    <x v="1"/>
    <n v="4"/>
    <n v="4"/>
    <x v="4"/>
    <n v="1"/>
    <s v="Married"/>
    <n v="13212"/>
    <n v="9"/>
    <s v="No"/>
    <n v="11"/>
    <n v="3"/>
    <n v="3"/>
    <n v="36"/>
    <n v="0"/>
    <n v="7"/>
    <n v="7"/>
    <n v="7"/>
    <s v="Graduation"/>
    <d v="2014-04-07T00:00:00"/>
    <m/>
    <s v="Work Environment"/>
    <x v="0"/>
    <n v="5"/>
    <n v="1"/>
    <s v="Yes"/>
    <s v="Walk-in"/>
    <s v="FullTime"/>
    <n v="0"/>
    <s v="Active"/>
    <x v="2"/>
    <x v="1"/>
    <x v="2"/>
  </r>
  <r>
    <n v="34"/>
    <s v="No"/>
    <s v="Travel_Rarely"/>
    <x v="0"/>
    <n v="2"/>
    <x v="0"/>
    <n v="2"/>
    <n v="1"/>
    <x v="1"/>
    <n v="3"/>
    <s v="Divorced"/>
    <n v="2768"/>
    <n v="3"/>
    <s v="No"/>
    <n v="12"/>
    <n v="3"/>
    <n v="1"/>
    <n v="14"/>
    <n v="3"/>
    <n v="7"/>
    <n v="5"/>
    <n v="7"/>
    <s v="12th"/>
    <d v="2014-04-19T00:00:00"/>
    <m/>
    <s v="Salary"/>
    <x v="1"/>
    <n v="2"/>
    <n v="0"/>
    <s v="Yes"/>
    <s v="Recruiter"/>
    <s v="Part Time"/>
    <n v="0"/>
    <s v="Active"/>
    <x v="2"/>
    <x v="0"/>
    <x v="0"/>
  </r>
  <r>
    <n v="33"/>
    <s v="Yes"/>
    <s v="Travel_Rarely"/>
    <x v="0"/>
    <n v="15"/>
    <x v="0"/>
    <n v="3"/>
    <n v="3"/>
    <x v="5"/>
    <n v="3"/>
    <s v="Married"/>
    <n v="13610"/>
    <n v="7"/>
    <s v="Yes"/>
    <n v="12"/>
    <n v="3"/>
    <n v="0"/>
    <n v="15"/>
    <n v="2"/>
    <n v="7"/>
    <n v="7"/>
    <n v="7"/>
    <s v="12th"/>
    <d v="2014-05-30T00:00:00"/>
    <m/>
    <s v="Dept.Head"/>
    <x v="0"/>
    <n v="2"/>
    <n v="1"/>
    <s v="No"/>
    <s v="Job Event"/>
    <s v="Part Time"/>
    <n v="1"/>
    <s v="Active"/>
    <x v="2"/>
    <x v="1"/>
    <x v="1"/>
  </r>
  <r>
    <n v="26"/>
    <s v="Yes"/>
    <s v="Travel_Frequently"/>
    <x v="2"/>
    <n v="17"/>
    <x v="1"/>
    <n v="3"/>
    <n v="1"/>
    <x v="8"/>
    <n v="3"/>
    <s v="Divorced"/>
    <n v="2741"/>
    <n v="0"/>
    <s v="Yes"/>
    <n v="11"/>
    <n v="3"/>
    <n v="1"/>
    <n v="8"/>
    <n v="2"/>
    <n v="7"/>
    <n v="1"/>
    <n v="0"/>
    <s v="Graduation"/>
    <d v="2014-02-03T00:00:00"/>
    <m/>
    <s v="Dept.Head"/>
    <x v="1"/>
    <n v="4"/>
    <n v="3"/>
    <s v="Yes"/>
    <s v="Job Event"/>
    <s v="Contract"/>
    <n v="1"/>
    <s v="Active"/>
    <x v="2"/>
    <x v="0"/>
    <x v="4"/>
  </r>
  <r>
    <n v="25"/>
    <s v="No"/>
    <s v="Travel_Rarely"/>
    <x v="1"/>
    <n v="13"/>
    <x v="0"/>
    <n v="3"/>
    <n v="1"/>
    <x v="3"/>
    <n v="3"/>
    <s v="Married"/>
    <n v="2096"/>
    <n v="1"/>
    <s v="No"/>
    <n v="11"/>
    <n v="3"/>
    <n v="0"/>
    <n v="7"/>
    <n v="1"/>
    <n v="7"/>
    <n v="0"/>
    <n v="6"/>
    <s v="PHD"/>
    <d v="2014-02-18T00:00:00"/>
    <m/>
    <s v="Work Accident"/>
    <x v="0"/>
    <n v="1"/>
    <n v="1"/>
    <s v="No"/>
    <s v="Job Event"/>
    <s v="Contract"/>
    <n v="0"/>
    <s v="Active"/>
    <x v="2"/>
    <x v="0"/>
    <x v="2"/>
  </r>
  <r>
    <n v="31"/>
    <s v="No"/>
    <s v="Travel_Rarely"/>
    <x v="1"/>
    <n v="6"/>
    <x v="0"/>
    <n v="4"/>
    <n v="2"/>
    <x v="4"/>
    <n v="4"/>
    <s v="Divorced"/>
    <n v="5460"/>
    <n v="4"/>
    <s v="No"/>
    <n v="22"/>
    <n v="4"/>
    <n v="2"/>
    <n v="13"/>
    <n v="4"/>
    <n v="7"/>
    <n v="5"/>
    <n v="7"/>
    <s v="PHD"/>
    <d v="2014-01-14T00:00:00"/>
    <m/>
    <s v="Work Accident"/>
    <x v="1"/>
    <n v="4"/>
    <n v="1"/>
    <s v="No"/>
    <s v="Recruiter"/>
    <s v="Part Time"/>
    <n v="0"/>
    <s v="Active"/>
    <x v="2"/>
    <x v="0"/>
    <x v="2"/>
  </r>
  <r>
    <n v="38"/>
    <s v="No"/>
    <s v="Travel_Rarely"/>
    <x v="1"/>
    <n v="7"/>
    <x v="1"/>
    <n v="2"/>
    <n v="2"/>
    <x v="4"/>
    <n v="4"/>
    <s v="Single"/>
    <n v="4028"/>
    <n v="0"/>
    <s v="No"/>
    <n v="20"/>
    <n v="4"/>
    <n v="0"/>
    <n v="8"/>
    <n v="2"/>
    <n v="7"/>
    <n v="0"/>
    <n v="5"/>
    <s v="PHD"/>
    <d v="2014-02-23T00:00:00"/>
    <m/>
    <s v="Work Accident"/>
    <x v="0"/>
    <n v="1"/>
    <n v="2"/>
    <s v="No"/>
    <s v="Recruiter"/>
    <s v="FullTime"/>
    <n v="0"/>
    <s v="Active"/>
    <x v="2"/>
    <x v="0"/>
    <x v="2"/>
  </r>
  <r>
    <n v="32"/>
    <s v="No"/>
    <s v="Travel_Rarely"/>
    <x v="0"/>
    <n v="3"/>
    <x v="1"/>
    <n v="3"/>
    <n v="3"/>
    <x v="2"/>
    <n v="4"/>
    <s v="Single"/>
    <n v="11159"/>
    <n v="3"/>
    <s v="No"/>
    <n v="15"/>
    <n v="3"/>
    <n v="0"/>
    <n v="10"/>
    <n v="6"/>
    <n v="7"/>
    <n v="7"/>
    <n v="7"/>
    <s v="Graduation"/>
    <d v="2014-02-19T00:00:00"/>
    <m/>
    <s v="Dept.Head"/>
    <x v="1"/>
    <n v="4"/>
    <n v="1"/>
    <s v="Yes"/>
    <s v="Walk-in"/>
    <s v="FullTime"/>
    <n v="0"/>
    <s v="Active"/>
    <x v="2"/>
    <x v="1"/>
    <x v="1"/>
  </r>
  <r>
    <n v="47"/>
    <s v="No"/>
    <s v="Travel_Rarely"/>
    <x v="1"/>
    <n v="14"/>
    <x v="0"/>
    <n v="3"/>
    <n v="2"/>
    <x v="4"/>
    <n v="1"/>
    <s v="Single"/>
    <n v="4960"/>
    <n v="2"/>
    <s v="No"/>
    <n v="12"/>
    <n v="3"/>
    <n v="0"/>
    <n v="20"/>
    <n v="2"/>
    <n v="7"/>
    <n v="1"/>
    <n v="7"/>
    <s v="Post-Graduation"/>
    <d v="2014-06-13T00:00:00"/>
    <m/>
    <s v="Salary"/>
    <x v="1"/>
    <n v="5"/>
    <n v="0"/>
    <s v="No"/>
    <s v="Recruiter"/>
    <s v="Part Time"/>
    <n v="0"/>
    <s v="Active"/>
    <x v="2"/>
    <x v="0"/>
    <x v="2"/>
  </r>
  <r>
    <n v="28"/>
    <s v="Yes"/>
    <s v="Travel_Rarely"/>
    <x v="0"/>
    <n v="1"/>
    <x v="1"/>
    <n v="1"/>
    <n v="1"/>
    <x v="1"/>
    <n v="2"/>
    <s v="Single"/>
    <n v="2216"/>
    <n v="7"/>
    <s v="Yes"/>
    <n v="13"/>
    <n v="3"/>
    <n v="0"/>
    <n v="10"/>
    <n v="4"/>
    <n v="7"/>
    <n v="3"/>
    <n v="7"/>
    <s v="12th"/>
    <d v="2014-06-11T00:00:00"/>
    <m/>
    <s v="Salary"/>
    <x v="0"/>
    <n v="0"/>
    <n v="0"/>
    <s v="Yes"/>
    <s v="Job Portal"/>
    <s v="FullTime"/>
    <n v="1"/>
    <s v="Active"/>
    <x v="2"/>
    <x v="0"/>
    <x v="0"/>
  </r>
  <r>
    <n v="27"/>
    <s v="No"/>
    <s v="Travel_Rarely"/>
    <x v="0"/>
    <n v="7"/>
    <x v="1"/>
    <n v="2"/>
    <n v="2"/>
    <x v="7"/>
    <n v="1"/>
    <s v="Single"/>
    <n v="6811"/>
    <n v="8"/>
    <s v="No"/>
    <n v="19"/>
    <n v="3"/>
    <n v="0"/>
    <n v="9"/>
    <n v="2"/>
    <n v="7"/>
    <n v="0"/>
    <n v="7"/>
    <s v="PHD"/>
    <d v="2014-02-07T00:00:00"/>
    <m/>
    <s v="Salary"/>
    <x v="1"/>
    <n v="3"/>
    <n v="2"/>
    <s v="No"/>
    <s v="Walk-in"/>
    <s v="FullTime"/>
    <n v="0"/>
    <s v="Active"/>
    <x v="2"/>
    <x v="0"/>
    <x v="3"/>
  </r>
  <r>
    <n v="47"/>
    <s v="No"/>
    <s v="Travel_Rarely"/>
    <x v="1"/>
    <n v="2"/>
    <x v="1"/>
    <n v="3"/>
    <n v="2"/>
    <x v="4"/>
    <n v="4"/>
    <s v="Married"/>
    <n v="4537"/>
    <n v="0"/>
    <s v="Yes"/>
    <n v="22"/>
    <n v="4"/>
    <n v="1"/>
    <n v="8"/>
    <n v="2"/>
    <n v="7"/>
    <n v="7"/>
    <n v="7"/>
    <s v="12th"/>
    <d v="2014-01-13T00:00:00"/>
    <m/>
    <s v="Work Accident"/>
    <x v="1"/>
    <n v="2"/>
    <n v="0"/>
    <s v="Yes"/>
    <s v="Job Event"/>
    <s v="Part Time"/>
    <n v="0"/>
    <s v="Active"/>
    <x v="2"/>
    <x v="0"/>
    <x v="2"/>
  </r>
  <r>
    <n v="41"/>
    <s v="Yes"/>
    <s v="Travel_Rarely"/>
    <x v="0"/>
    <n v="2"/>
    <x v="1"/>
    <n v="1"/>
    <n v="1"/>
    <x v="0"/>
    <n v="4"/>
    <s v="Divorced"/>
    <n v="2778"/>
    <n v="4"/>
    <s v="Yes"/>
    <n v="13"/>
    <n v="3"/>
    <n v="1"/>
    <n v="10"/>
    <n v="1"/>
    <n v="7"/>
    <n v="1"/>
    <n v="0"/>
    <s v="Graduation"/>
    <d v="2014-02-24T00:00:00"/>
    <m/>
    <s v="Dept.Head"/>
    <x v="0"/>
    <n v="0"/>
    <n v="2"/>
    <s v="Yes"/>
    <s v="Walk-in"/>
    <s v="FullTime"/>
    <n v="1"/>
    <s v="Active"/>
    <x v="2"/>
    <x v="0"/>
    <x v="0"/>
  </r>
  <r>
    <n v="31"/>
    <s v="No"/>
    <s v="Travel_Rarely"/>
    <x v="1"/>
    <n v="7"/>
    <x v="0"/>
    <n v="2"/>
    <n v="1"/>
    <x v="3"/>
    <n v="3"/>
    <s v="Married"/>
    <n v="2329"/>
    <n v="3"/>
    <s v="No"/>
    <n v="15"/>
    <n v="3"/>
    <n v="0"/>
    <n v="13"/>
    <n v="2"/>
    <n v="7"/>
    <n v="5"/>
    <n v="2"/>
    <s v="12th"/>
    <d v="2014-05-04T00:00:00"/>
    <m/>
    <s v="Dept.Head"/>
    <x v="0"/>
    <n v="3"/>
    <n v="0"/>
    <s v="No"/>
    <s v="Walk-in"/>
    <s v="FullTime"/>
    <n v="0"/>
    <s v="Active"/>
    <x v="2"/>
    <x v="0"/>
    <x v="2"/>
  </r>
  <r>
    <n v="26"/>
    <s v="No"/>
    <s v="Travel_Frequently"/>
    <x v="1"/>
    <n v="1"/>
    <x v="0"/>
    <n v="2"/>
    <n v="2"/>
    <x v="4"/>
    <n v="1"/>
    <s v="Single"/>
    <n v="4294"/>
    <n v="1"/>
    <s v="No"/>
    <n v="12"/>
    <n v="3"/>
    <n v="0"/>
    <n v="7"/>
    <n v="2"/>
    <n v="7"/>
    <n v="0"/>
    <n v="7"/>
    <s v="PHD"/>
    <d v="2014-06-14T00:00:00"/>
    <m/>
    <s v="Better Opportunity"/>
    <x v="1"/>
    <n v="4"/>
    <n v="2"/>
    <s v="No"/>
    <s v="Recruiter"/>
    <s v="Part Time"/>
    <n v="0"/>
    <s v="Active"/>
    <x v="2"/>
    <x v="0"/>
    <x v="2"/>
  </r>
  <r>
    <n v="36"/>
    <s v="No"/>
    <s v="Non-Travel"/>
    <x v="1"/>
    <n v="8"/>
    <x v="0"/>
    <n v="3"/>
    <n v="2"/>
    <x v="4"/>
    <n v="4"/>
    <s v="Divorced"/>
    <n v="5079"/>
    <n v="4"/>
    <s v="No"/>
    <n v="13"/>
    <n v="3"/>
    <n v="2"/>
    <n v="12"/>
    <n v="3"/>
    <n v="7"/>
    <n v="0"/>
    <n v="7"/>
    <s v="12th"/>
    <d v="2014-05-15T00:00:00"/>
    <m/>
    <s v="Salary"/>
    <x v="0"/>
    <n v="1"/>
    <n v="2"/>
    <s v="Yes"/>
    <s v="Job Event"/>
    <s v="FullTime"/>
    <n v="0"/>
    <s v="Active"/>
    <x v="2"/>
    <x v="0"/>
    <x v="2"/>
  </r>
  <r>
    <n v="40"/>
    <s v="No"/>
    <s v="Travel_Rarely"/>
    <x v="1"/>
    <n v="26"/>
    <x v="0"/>
    <n v="3"/>
    <n v="2"/>
    <x v="4"/>
    <n v="1"/>
    <s v="Married"/>
    <n v="8396"/>
    <n v="1"/>
    <s v="No"/>
    <n v="14"/>
    <n v="3"/>
    <n v="1"/>
    <n v="8"/>
    <n v="3"/>
    <n v="7"/>
    <n v="7"/>
    <n v="5"/>
    <s v="Post-Graduation"/>
    <d v="2014-04-27T00:00:00"/>
    <m/>
    <s v="Dept.Head"/>
    <x v="1"/>
    <n v="0"/>
    <n v="3"/>
    <s v="No"/>
    <s v="Walk-in"/>
    <s v="FullTime"/>
    <n v="0"/>
    <s v="Active"/>
    <x v="2"/>
    <x v="1"/>
    <x v="2"/>
  </r>
  <r>
    <n v="25"/>
    <s v="Yes"/>
    <s v="Travel_Rarely"/>
    <x v="0"/>
    <n v="4"/>
    <x v="0"/>
    <n v="3"/>
    <n v="1"/>
    <x v="0"/>
    <n v="4"/>
    <s v="Married"/>
    <n v="3691"/>
    <n v="1"/>
    <s v="Yes"/>
    <n v="15"/>
    <n v="3"/>
    <n v="1"/>
    <n v="7"/>
    <n v="3"/>
    <n v="7"/>
    <n v="5"/>
    <n v="6"/>
    <s v="12th"/>
    <d v="2014-02-10T00:00:00"/>
    <m/>
    <s v="Work Accident"/>
    <x v="0"/>
    <n v="4"/>
    <n v="2"/>
    <s v="Yes"/>
    <s v="Job Event"/>
    <s v="Contract"/>
    <n v="1"/>
    <s v="Active"/>
    <x v="2"/>
    <x v="0"/>
    <x v="0"/>
  </r>
  <r>
    <n v="29"/>
    <s v="No"/>
    <s v="Travel_Rarely"/>
    <x v="0"/>
    <n v="28"/>
    <x v="1"/>
    <n v="3"/>
    <n v="1"/>
    <x v="1"/>
    <n v="4"/>
    <s v="Divorced"/>
    <n v="2514"/>
    <n v="4"/>
    <s v="No"/>
    <n v="22"/>
    <n v="4"/>
    <n v="1"/>
    <n v="11"/>
    <n v="1"/>
    <n v="7"/>
    <n v="1"/>
    <n v="7"/>
    <s v="Post-Graduation"/>
    <d v="2014-01-22T00:00:00"/>
    <m/>
    <s v="Work Environment"/>
    <x v="0"/>
    <n v="1"/>
    <n v="3"/>
    <s v="Yes"/>
    <s v="Job Portal"/>
    <s v="Contract"/>
    <n v="0"/>
    <s v="Active"/>
    <x v="2"/>
    <x v="0"/>
    <x v="0"/>
  </r>
  <r>
    <n v="29"/>
    <s v="No"/>
    <s v="Travel_Frequently"/>
    <x v="0"/>
    <n v="10"/>
    <x v="1"/>
    <n v="3"/>
    <n v="1"/>
    <x v="1"/>
    <n v="2"/>
    <s v="Divorced"/>
    <n v="3291"/>
    <n v="0"/>
    <s v="No"/>
    <n v="14"/>
    <n v="3"/>
    <n v="2"/>
    <n v="8"/>
    <n v="2"/>
    <n v="7"/>
    <n v="1"/>
    <n v="1"/>
    <s v="PHD"/>
    <d v="2014-03-15T00:00:00"/>
    <m/>
    <s v="Work Accident"/>
    <x v="0"/>
    <n v="1"/>
    <n v="1"/>
    <s v="No"/>
    <s v="Walk-in"/>
    <s v="Contract"/>
    <n v="0"/>
    <s v="Active"/>
    <x v="2"/>
    <x v="0"/>
    <x v="0"/>
  </r>
  <r>
    <n v="38"/>
    <s v="No"/>
    <s v="Travel_Rarely"/>
    <x v="2"/>
    <n v="1"/>
    <x v="0"/>
    <n v="4"/>
    <n v="1"/>
    <x v="8"/>
    <n v="3"/>
    <s v="Married"/>
    <n v="2844"/>
    <n v="1"/>
    <s v="No"/>
    <n v="13"/>
    <n v="3"/>
    <n v="1"/>
    <n v="7"/>
    <n v="2"/>
    <n v="7"/>
    <n v="5"/>
    <n v="0"/>
    <s v="Graduation"/>
    <d v="2014-03-06T00:00:00"/>
    <m/>
    <s v="Salary"/>
    <x v="0"/>
    <n v="4"/>
    <n v="2"/>
    <s v="No"/>
    <s v="Job Portal"/>
    <s v="Part Time"/>
    <n v="0"/>
    <s v="Active"/>
    <x v="2"/>
    <x v="0"/>
    <x v="4"/>
  </r>
  <r>
    <n v="35"/>
    <s v="No"/>
    <s v="Travel_Rarely"/>
    <x v="0"/>
    <n v="2"/>
    <x v="0"/>
    <n v="2"/>
    <n v="3"/>
    <x v="6"/>
    <n v="2"/>
    <s v="Divorced"/>
    <n v="10274"/>
    <n v="2"/>
    <s v="No"/>
    <n v="18"/>
    <n v="3"/>
    <n v="1"/>
    <n v="15"/>
    <n v="2"/>
    <n v="7"/>
    <n v="6"/>
    <n v="4"/>
    <s v="Graduation"/>
    <d v="2014-05-11T00:00:00"/>
    <m/>
    <s v="Better Opportunity"/>
    <x v="1"/>
    <n v="2"/>
    <n v="0"/>
    <s v="Yes"/>
    <s v="Walk-in"/>
    <s v="FullTime"/>
    <n v="0"/>
    <s v="Active"/>
    <x v="2"/>
    <x v="1"/>
    <x v="3"/>
  </r>
  <r>
    <n v="53"/>
    <s v="No"/>
    <s v="Travel_Rarely"/>
    <x v="0"/>
    <n v="7"/>
    <x v="1"/>
    <n v="3"/>
    <n v="5"/>
    <x v="5"/>
    <n v="3"/>
    <s v="Divorced"/>
    <n v="18606"/>
    <n v="3"/>
    <s v="No"/>
    <n v="18"/>
    <n v="3"/>
    <n v="1"/>
    <n v="26"/>
    <n v="6"/>
    <n v="7"/>
    <n v="4"/>
    <n v="7"/>
    <s v="Graduation"/>
    <d v="2014-04-22T00:00:00"/>
    <m/>
    <s v="Salary"/>
    <x v="1"/>
    <n v="2"/>
    <n v="2"/>
    <s v="No"/>
    <s v="Job Event"/>
    <s v="Contract"/>
    <n v="0"/>
    <s v="Active"/>
    <x v="2"/>
    <x v="1"/>
    <x v="1"/>
  </r>
  <r>
    <n v="35"/>
    <s v="No"/>
    <s v="Travel_Rarely"/>
    <x v="1"/>
    <n v="17"/>
    <x v="0"/>
    <n v="3"/>
    <n v="2"/>
    <x v="4"/>
    <n v="1"/>
    <s v="Married"/>
    <n v="8966"/>
    <n v="3"/>
    <s v="Yes"/>
    <n v="15"/>
    <n v="3"/>
    <n v="3"/>
    <n v="15"/>
    <n v="2"/>
    <n v="7"/>
    <n v="1"/>
    <n v="7"/>
    <s v="12th"/>
    <d v="2014-06-17T00:00:00"/>
    <m/>
    <s v="Dept.Head"/>
    <x v="0"/>
    <n v="4"/>
    <n v="0"/>
    <s v="Yes"/>
    <s v="Job Event"/>
    <s v="Contract"/>
    <n v="0"/>
    <s v="Active"/>
    <x v="2"/>
    <x v="1"/>
    <x v="2"/>
  </r>
  <r>
    <n v="36"/>
    <s v="No"/>
    <s v="Travel_Rarely"/>
    <x v="0"/>
    <n v="6"/>
    <x v="0"/>
    <n v="1"/>
    <n v="1"/>
    <x v="0"/>
    <n v="3"/>
    <s v="Divorced"/>
    <n v="2741"/>
    <n v="1"/>
    <s v="No"/>
    <n v="14"/>
    <n v="3"/>
    <n v="1"/>
    <n v="7"/>
    <n v="4"/>
    <n v="7"/>
    <n v="1"/>
    <n v="7"/>
    <s v="Post-Graduation"/>
    <d v="2014-03-08T00:00:00"/>
    <m/>
    <s v="Work Environment"/>
    <x v="0"/>
    <n v="2"/>
    <n v="0"/>
    <s v="No"/>
    <s v="Recruiter"/>
    <s v="Part Time"/>
    <n v="0"/>
    <s v="Active"/>
    <x v="2"/>
    <x v="0"/>
    <x v="0"/>
  </r>
  <r>
    <n v="36"/>
    <s v="No"/>
    <s v="Travel_Rarely"/>
    <x v="0"/>
    <n v="1"/>
    <x v="1"/>
    <n v="1"/>
    <n v="3"/>
    <x v="6"/>
    <n v="1"/>
    <s v="Divorced"/>
    <n v="10252"/>
    <n v="2"/>
    <s v="Yes"/>
    <n v="21"/>
    <n v="4"/>
    <n v="1"/>
    <n v="17"/>
    <n v="2"/>
    <n v="7"/>
    <n v="7"/>
    <n v="7"/>
    <s v="PHD"/>
    <d v="2014-05-20T00:00:00"/>
    <m/>
    <s v="Dept.Head"/>
    <x v="0"/>
    <n v="5"/>
    <n v="1"/>
    <s v="No"/>
    <s v="Recruiter"/>
    <s v="FullTime"/>
    <n v="0"/>
    <s v="Active"/>
    <x v="2"/>
    <x v="1"/>
    <x v="3"/>
  </r>
  <r>
    <n v="29"/>
    <s v="No"/>
    <s v="Travel_Rarely"/>
    <x v="0"/>
    <n v="1"/>
    <x v="1"/>
    <n v="2"/>
    <n v="4"/>
    <x v="2"/>
    <n v="4"/>
    <s v="Divorced"/>
    <n v="16124"/>
    <n v="3"/>
    <s v="No"/>
    <n v="14"/>
    <n v="3"/>
    <n v="2"/>
    <n v="9"/>
    <n v="2"/>
    <n v="7"/>
    <n v="1"/>
    <n v="7"/>
    <s v="12th"/>
    <d v="2014-03-01T00:00:00"/>
    <m/>
    <s v="Dept.Head"/>
    <x v="0"/>
    <n v="0"/>
    <n v="3"/>
    <s v="No"/>
    <s v="Walk-in"/>
    <s v="Contract"/>
    <n v="0"/>
    <s v="Active"/>
    <x v="2"/>
    <x v="1"/>
    <x v="1"/>
  </r>
  <r>
    <n v="51"/>
    <s v="No"/>
    <s v="Travel_Frequently"/>
    <x v="0"/>
    <n v="6"/>
    <x v="1"/>
    <n v="2"/>
    <n v="1"/>
    <x v="0"/>
    <n v="3"/>
    <s v="Single"/>
    <n v="2838"/>
    <n v="0"/>
    <s v="No"/>
    <n v="14"/>
    <n v="3"/>
    <n v="0"/>
    <n v="8"/>
    <n v="6"/>
    <n v="7"/>
    <n v="7"/>
    <n v="7"/>
    <s v="12th"/>
    <d v="2014-01-02T00:00:00"/>
    <m/>
    <s v="Better Opportunity"/>
    <x v="1"/>
    <n v="1"/>
    <n v="3"/>
    <s v="Yes"/>
    <s v="Job Portal"/>
    <s v="Contract"/>
    <n v="0"/>
    <s v="Active"/>
    <x v="2"/>
    <x v="0"/>
    <x v="0"/>
  </r>
  <r>
    <n v="29"/>
    <s v="Yes"/>
    <s v="Travel_Rarely"/>
    <x v="0"/>
    <n v="7"/>
    <x v="1"/>
    <n v="3"/>
    <n v="1"/>
    <x v="0"/>
    <n v="3"/>
    <s v="Divorced"/>
    <n v="3339"/>
    <n v="3"/>
    <s v="Yes"/>
    <n v="13"/>
    <n v="3"/>
    <n v="2"/>
    <n v="10"/>
    <n v="2"/>
    <n v="7"/>
    <n v="7"/>
    <n v="7"/>
    <s v="PHD"/>
    <d v="2014-01-16T00:00:00"/>
    <m/>
    <s v="Better Opportunity"/>
    <x v="1"/>
    <n v="1"/>
    <n v="2"/>
    <s v="Yes"/>
    <s v="Job Portal"/>
    <s v="Part Time"/>
    <n v="1"/>
    <s v="Active"/>
    <x v="2"/>
    <x v="0"/>
    <x v="0"/>
  </r>
  <r>
    <n v="36"/>
    <s v="No"/>
    <s v="Travel_Rarely"/>
    <x v="0"/>
    <n v="10"/>
    <x v="1"/>
    <n v="3"/>
    <n v="3"/>
    <x v="7"/>
    <n v="3"/>
    <s v="Married"/>
    <n v="7094"/>
    <n v="3"/>
    <s v="No"/>
    <n v="12"/>
    <n v="3"/>
    <n v="0"/>
    <n v="10"/>
    <n v="0"/>
    <n v="7"/>
    <n v="1"/>
    <n v="7"/>
    <s v="PHD"/>
    <d v="2014-04-14T00:00:00"/>
    <m/>
    <s v="Salary"/>
    <x v="1"/>
    <n v="1"/>
    <n v="0"/>
    <s v="Yes"/>
    <s v="Recruiter"/>
    <s v="Contract"/>
    <n v="0"/>
    <s v="Active"/>
    <x v="2"/>
    <x v="1"/>
    <x v="3"/>
  </r>
  <r>
    <n v="46"/>
    <s v="No"/>
    <s v="Travel_Rarely"/>
    <x v="2"/>
    <n v="1"/>
    <x v="1"/>
    <n v="3"/>
    <n v="1"/>
    <x v="8"/>
    <n v="1"/>
    <s v="Single"/>
    <n v="3423"/>
    <n v="6"/>
    <s v="No"/>
    <n v="12"/>
    <n v="3"/>
    <n v="0"/>
    <n v="10"/>
    <n v="3"/>
    <n v="7"/>
    <n v="5"/>
    <n v="7"/>
    <s v="Graduation"/>
    <d v="2014-02-16T00:00:00"/>
    <m/>
    <s v="Dept.Head"/>
    <x v="0"/>
    <n v="5"/>
    <n v="3"/>
    <s v="Yes"/>
    <s v="Recruiter"/>
    <s v="Part Time"/>
    <n v="0"/>
    <s v="Active"/>
    <x v="2"/>
    <x v="0"/>
    <x v="4"/>
  </r>
  <r>
    <n v="56"/>
    <s v="No"/>
    <s v="Travel_Rarely"/>
    <x v="2"/>
    <n v="8"/>
    <x v="0"/>
    <n v="3"/>
    <n v="5"/>
    <x v="5"/>
    <n v="2"/>
    <s v="Single"/>
    <n v="19717"/>
    <n v="6"/>
    <s v="No"/>
    <n v="14"/>
    <n v="3"/>
    <n v="0"/>
    <n v="36"/>
    <n v="4"/>
    <n v="7"/>
    <n v="7"/>
    <n v="7"/>
    <s v="12th"/>
    <d v="2014-06-11T00:00:00"/>
    <m/>
    <s v="Work Accident"/>
    <x v="0"/>
    <n v="3"/>
    <n v="2"/>
    <s v="Yes"/>
    <s v="Job Event"/>
    <s v="Part Time"/>
    <n v="0"/>
    <s v="Active"/>
    <x v="2"/>
    <x v="1"/>
    <x v="1"/>
  </r>
  <r>
    <n v="38"/>
    <s v="No"/>
    <s v="Travel_Rarely"/>
    <x v="1"/>
    <n v="2"/>
    <x v="1"/>
    <n v="3"/>
    <n v="2"/>
    <x v="4"/>
    <n v="1"/>
    <s v="Divorced"/>
    <n v="6893"/>
    <n v="3"/>
    <s v="No"/>
    <n v="15"/>
    <n v="3"/>
    <n v="1"/>
    <n v="11"/>
    <n v="3"/>
    <n v="7"/>
    <n v="1"/>
    <n v="7"/>
    <s v="PHD"/>
    <d v="2014-03-07T00:00:00"/>
    <m/>
    <s v="Dept.Head"/>
    <x v="0"/>
    <n v="0"/>
    <n v="3"/>
    <s v="No"/>
    <s v="Recruiter"/>
    <s v="Contract"/>
    <n v="0"/>
    <s v="Active"/>
    <x v="2"/>
    <x v="0"/>
    <x v="2"/>
  </r>
  <r>
    <n v="26"/>
    <s v="No"/>
    <s v="Travel_Rarely"/>
    <x v="0"/>
    <n v="7"/>
    <x v="0"/>
    <n v="4"/>
    <n v="1"/>
    <x v="0"/>
    <n v="1"/>
    <s v="Single"/>
    <n v="3578"/>
    <n v="0"/>
    <s v="No"/>
    <n v="12"/>
    <n v="3"/>
    <n v="0"/>
    <n v="8"/>
    <n v="2"/>
    <n v="7"/>
    <n v="0"/>
    <n v="7"/>
    <s v="PHD"/>
    <d v="2014-06-03T00:00:00"/>
    <m/>
    <s v="Dept.Head"/>
    <x v="1"/>
    <n v="3"/>
    <n v="0"/>
    <s v="Yes"/>
    <s v="Walk-in"/>
    <s v="Part Time"/>
    <n v="0"/>
    <s v="Active"/>
    <x v="2"/>
    <x v="0"/>
    <x v="0"/>
  </r>
  <r>
    <n v="55"/>
    <s v="No"/>
    <s v="Travel_Rarely"/>
    <x v="0"/>
    <n v="1"/>
    <x v="0"/>
    <n v="4"/>
    <n v="4"/>
    <x v="2"/>
    <n v="4"/>
    <s v="Divorced"/>
    <n v="14732"/>
    <n v="2"/>
    <s v="No"/>
    <n v="13"/>
    <n v="3"/>
    <n v="2"/>
    <n v="31"/>
    <n v="4"/>
    <n v="7"/>
    <n v="0"/>
    <n v="0"/>
    <s v="Post-Graduation"/>
    <d v="2014-04-21T00:00:00"/>
    <m/>
    <s v="Work Environment"/>
    <x v="0"/>
    <n v="3"/>
    <n v="0"/>
    <s v="No"/>
    <s v="Job Portal"/>
    <s v="Contract"/>
    <n v="0"/>
    <s v="Active"/>
    <x v="2"/>
    <x v="1"/>
    <x v="1"/>
  </r>
  <r>
    <n v="46"/>
    <s v="Yes"/>
    <s v="Travel_Rarely"/>
    <x v="1"/>
    <n v="9"/>
    <x v="0"/>
    <n v="3"/>
    <n v="3"/>
    <x v="4"/>
    <n v="4"/>
    <s v="Divorced"/>
    <n v="10096"/>
    <n v="4"/>
    <s v="No"/>
    <n v="11"/>
    <n v="3"/>
    <n v="1"/>
    <n v="28"/>
    <n v="1"/>
    <n v="7"/>
    <n v="4"/>
    <n v="3"/>
    <s v="12th"/>
    <d v="2014-03-26T00:00:00"/>
    <m/>
    <s v="Salary"/>
    <x v="0"/>
    <n v="4"/>
    <n v="0"/>
    <s v="Yes"/>
    <s v="Walk-in"/>
    <s v="FullTime"/>
    <n v="1"/>
    <s v="Active"/>
    <x v="2"/>
    <x v="1"/>
    <x v="2"/>
  </r>
  <r>
    <n v="45"/>
    <s v="No"/>
    <s v="Travel_Rarely"/>
    <x v="0"/>
    <n v="20"/>
    <x v="0"/>
    <n v="1"/>
    <n v="3"/>
    <x v="7"/>
    <n v="1"/>
    <s v="Divorced"/>
    <n v="10851"/>
    <n v="2"/>
    <s v="Yes"/>
    <n v="18"/>
    <n v="3"/>
    <n v="1"/>
    <n v="24"/>
    <n v="2"/>
    <n v="7"/>
    <n v="0"/>
    <n v="7"/>
    <s v="PHD"/>
    <d v="2014-05-24T00:00:00"/>
    <m/>
    <s v="Dept.Head"/>
    <x v="1"/>
    <n v="2"/>
    <n v="0"/>
    <s v="No"/>
    <s v="Recruiter"/>
    <s v="Contract"/>
    <n v="0"/>
    <s v="Active"/>
    <x v="2"/>
    <x v="1"/>
    <x v="3"/>
  </r>
  <r>
    <n v="31"/>
    <s v="Yes"/>
    <s v="Travel_Frequently"/>
    <x v="0"/>
    <n v="3"/>
    <x v="1"/>
    <n v="3"/>
    <n v="1"/>
    <x v="1"/>
    <n v="3"/>
    <s v="Single"/>
    <n v="4084"/>
    <n v="1"/>
    <s v="No"/>
    <n v="12"/>
    <n v="3"/>
    <n v="0"/>
    <n v="7"/>
    <n v="2"/>
    <n v="7"/>
    <n v="7"/>
    <n v="7"/>
    <s v="Post-Graduation"/>
    <d v="2014-06-10T00:00:00"/>
    <m/>
    <s v="Salary"/>
    <x v="0"/>
    <n v="1"/>
    <n v="2"/>
    <s v="No"/>
    <s v="Recruiter"/>
    <s v="Part Time"/>
    <n v="1"/>
    <s v="Active"/>
    <x v="2"/>
    <x v="0"/>
    <x v="0"/>
  </r>
  <r>
    <n v="29"/>
    <s v="No"/>
    <s v="Travel_Rarely"/>
    <x v="0"/>
    <n v="8"/>
    <x v="1"/>
    <n v="1"/>
    <n v="2"/>
    <x v="7"/>
    <n v="1"/>
    <s v="Married"/>
    <n v="9715"/>
    <n v="3"/>
    <s v="No"/>
    <n v="13"/>
    <n v="3"/>
    <n v="1"/>
    <n v="9"/>
    <n v="3"/>
    <n v="7"/>
    <n v="0"/>
    <n v="7"/>
    <s v="PHD"/>
    <d v="2014-05-11T00:00:00"/>
    <m/>
    <s v="Work Environment"/>
    <x v="1"/>
    <n v="5"/>
    <n v="0"/>
    <s v="Yes"/>
    <s v="Walk-in"/>
    <s v="Part Time"/>
    <n v="0"/>
    <s v="Active"/>
    <x v="2"/>
    <x v="1"/>
    <x v="3"/>
  </r>
  <r>
    <n v="32"/>
    <s v="No"/>
    <s v="Travel_Rarely"/>
    <x v="0"/>
    <n v="5"/>
    <x v="1"/>
    <n v="2"/>
    <n v="2"/>
    <x v="1"/>
    <n v="2"/>
    <s v="Married"/>
    <n v="5878"/>
    <n v="3"/>
    <s v="No"/>
    <n v="12"/>
    <n v="3"/>
    <n v="1"/>
    <n v="12"/>
    <n v="2"/>
    <n v="7"/>
    <n v="2"/>
    <n v="5"/>
    <s v="Post-Graduation"/>
    <d v="2014-06-22T00:00:00"/>
    <m/>
    <s v="Work Environment"/>
    <x v="0"/>
    <n v="3"/>
    <n v="1"/>
    <s v="Yes"/>
    <s v="Job Portal"/>
    <s v="Part Time"/>
    <n v="0"/>
    <s v="Active"/>
    <x v="2"/>
    <x v="0"/>
    <x v="0"/>
  </r>
  <r>
    <n v="39"/>
    <s v="No"/>
    <s v="Travel_Rarely"/>
    <x v="1"/>
    <n v="6"/>
    <x v="0"/>
    <n v="4"/>
    <n v="3"/>
    <x v="4"/>
    <n v="3"/>
    <s v="Married"/>
    <n v="8237"/>
    <n v="2"/>
    <s v="No"/>
    <n v="11"/>
    <n v="3"/>
    <n v="1"/>
    <n v="11"/>
    <n v="3"/>
    <n v="7"/>
    <n v="7"/>
    <n v="6"/>
    <s v="Graduation"/>
    <d v="2014-03-09T00:00:00"/>
    <m/>
    <s v="Dept.Head"/>
    <x v="0"/>
    <n v="2"/>
    <n v="0"/>
    <s v="Yes"/>
    <s v="Recruiter"/>
    <s v="Part Time"/>
    <n v="0"/>
    <s v="Active"/>
    <x v="2"/>
    <x v="1"/>
    <x v="2"/>
  </r>
  <r>
    <n v="39"/>
    <s v="No"/>
    <s v="Travel_Rarely"/>
    <x v="0"/>
    <n v="10"/>
    <x v="0"/>
    <n v="3"/>
    <n v="2"/>
    <x v="6"/>
    <n v="1"/>
    <s v="Married"/>
    <n v="5377"/>
    <n v="2"/>
    <s v="No"/>
    <n v="13"/>
    <n v="3"/>
    <n v="3"/>
    <n v="10"/>
    <n v="3"/>
    <n v="7"/>
    <n v="7"/>
    <n v="7"/>
    <s v="PHD"/>
    <d v="2014-02-14T00:00:00"/>
    <m/>
    <s v="Better Opportunity"/>
    <x v="1"/>
    <n v="5"/>
    <n v="3"/>
    <s v="Yes"/>
    <s v="Job Portal"/>
    <s v="Part Time"/>
    <n v="0"/>
    <s v="Active"/>
    <x v="2"/>
    <x v="0"/>
    <x v="3"/>
  </r>
  <r>
    <n v="27"/>
    <s v="No"/>
    <s v="Travel_Rarely"/>
    <x v="0"/>
    <n v="19"/>
    <x v="0"/>
    <n v="2"/>
    <n v="1"/>
    <x v="0"/>
    <n v="1"/>
    <s v="Divorced"/>
    <n v="4066"/>
    <n v="1"/>
    <s v="No"/>
    <n v="11"/>
    <n v="3"/>
    <n v="2"/>
    <n v="7"/>
    <n v="3"/>
    <n v="7"/>
    <n v="0"/>
    <n v="7"/>
    <s v="12th"/>
    <d v="2014-03-12T00:00:00"/>
    <m/>
    <s v="Salary"/>
    <x v="0"/>
    <n v="3"/>
    <n v="2"/>
    <s v="No"/>
    <s v="Job Event"/>
    <s v="FullTime"/>
    <n v="0"/>
    <s v="Active"/>
    <x v="2"/>
    <x v="0"/>
    <x v="0"/>
  </r>
  <r>
    <n v="25"/>
    <s v="No"/>
    <s v="Travel_Frequently"/>
    <x v="0"/>
    <n v="2"/>
    <x v="0"/>
    <n v="4"/>
    <n v="2"/>
    <x v="6"/>
    <n v="3"/>
    <s v="Divorced"/>
    <n v="5206"/>
    <n v="1"/>
    <s v="No"/>
    <n v="17"/>
    <n v="3"/>
    <n v="2"/>
    <n v="7"/>
    <n v="6"/>
    <n v="7"/>
    <n v="0"/>
    <n v="7"/>
    <s v="PHD"/>
    <d v="2014-06-05T00:00:00"/>
    <m/>
    <s v="Better Opportunity"/>
    <x v="0"/>
    <n v="5"/>
    <n v="3"/>
    <s v="No"/>
    <s v="Job Portal"/>
    <s v="Part Time"/>
    <n v="0"/>
    <s v="Active"/>
    <x v="2"/>
    <x v="0"/>
    <x v="3"/>
  </r>
  <r>
    <n v="26"/>
    <s v="No"/>
    <s v="Non-Travel"/>
    <x v="0"/>
    <n v="7"/>
    <x v="0"/>
    <n v="3"/>
    <n v="1"/>
    <x v="0"/>
    <n v="4"/>
    <s v="Single"/>
    <n v="2570"/>
    <n v="1"/>
    <s v="No"/>
    <n v="20"/>
    <n v="4"/>
    <n v="0"/>
    <n v="7"/>
    <n v="5"/>
    <n v="7"/>
    <n v="5"/>
    <n v="7"/>
    <s v="PHD"/>
    <d v="2014-02-11T00:00:00"/>
    <m/>
    <s v="Salary"/>
    <x v="0"/>
    <n v="3"/>
    <n v="1"/>
    <s v="Yes"/>
    <s v="Job Event"/>
    <s v="Part Time"/>
    <n v="0"/>
    <s v="Active"/>
    <x v="2"/>
    <x v="0"/>
    <x v="0"/>
  </r>
  <r>
    <n v="35"/>
    <s v="No"/>
    <s v="Travel_Rarely"/>
    <x v="0"/>
    <n v="27"/>
    <x v="0"/>
    <n v="3"/>
    <n v="2"/>
    <x v="6"/>
    <n v="3"/>
    <s v="Married"/>
    <n v="6883"/>
    <n v="2"/>
    <s v="No"/>
    <n v="16"/>
    <n v="3"/>
    <n v="1"/>
    <n v="17"/>
    <n v="3"/>
    <n v="7"/>
    <n v="0"/>
    <n v="7"/>
    <s v="Graduation"/>
    <d v="2014-06-28T00:00:00"/>
    <m/>
    <s v="Salary"/>
    <x v="0"/>
    <n v="2"/>
    <n v="3"/>
    <s v="Yes"/>
    <s v="Recruiter"/>
    <s v="Contract"/>
    <n v="0"/>
    <s v="Active"/>
    <x v="2"/>
    <x v="0"/>
    <x v="3"/>
  </r>
  <r>
    <n v="30"/>
    <s v="No"/>
    <s v="Travel_Rarely"/>
    <x v="1"/>
    <n v="15"/>
    <x v="0"/>
    <n v="2"/>
    <n v="3"/>
    <x v="4"/>
    <n v="1"/>
    <s v="Divorced"/>
    <n v="7140"/>
    <n v="2"/>
    <s v="No"/>
    <n v="11"/>
    <n v="3"/>
    <n v="1"/>
    <n v="12"/>
    <n v="2"/>
    <n v="7"/>
    <n v="1"/>
    <n v="7"/>
    <s v="Graduation"/>
    <d v="2014-05-14T00:00:00"/>
    <m/>
    <s v="Work Accident"/>
    <x v="0"/>
    <n v="3"/>
    <n v="3"/>
    <s v="No"/>
    <s v="Job Portal"/>
    <s v="FullTime"/>
    <n v="0"/>
    <s v="Active"/>
    <x v="2"/>
    <x v="1"/>
    <x v="2"/>
  </r>
  <r>
    <n v="30"/>
    <s v="No"/>
    <s v="Travel_Rarely"/>
    <x v="0"/>
    <n v="16"/>
    <x v="0"/>
    <n v="4"/>
    <n v="2"/>
    <x v="7"/>
    <n v="3"/>
    <s v="Married"/>
    <n v="5294"/>
    <n v="3"/>
    <s v="No"/>
    <n v="16"/>
    <n v="3"/>
    <n v="1"/>
    <n v="10"/>
    <n v="3"/>
    <n v="7"/>
    <n v="1"/>
    <n v="7"/>
    <s v="Graduation"/>
    <d v="2014-05-14T00:00:00"/>
    <m/>
    <s v="Work Accident"/>
    <x v="0"/>
    <n v="4"/>
    <n v="1"/>
    <s v="Yes"/>
    <s v="Job Event"/>
    <s v="Part Time"/>
    <n v="0"/>
    <s v="Active"/>
    <x v="2"/>
    <x v="0"/>
    <x v="3"/>
  </r>
  <r>
    <n v="35"/>
    <s v="No"/>
    <s v="Non-Travel"/>
    <x v="0"/>
    <n v="2"/>
    <x v="0"/>
    <n v="3"/>
    <n v="2"/>
    <x v="6"/>
    <n v="4"/>
    <s v="Divorced"/>
    <n v="5762"/>
    <n v="2"/>
    <s v="No"/>
    <n v="14"/>
    <n v="3"/>
    <n v="1"/>
    <n v="15"/>
    <n v="6"/>
    <n v="7"/>
    <n v="1"/>
    <n v="7"/>
    <s v="PHD"/>
    <d v="2014-02-22T00:00:00"/>
    <m/>
    <s v="Dept.Head"/>
    <x v="1"/>
    <n v="3"/>
    <n v="1"/>
    <s v="Yes"/>
    <s v="Recruiter"/>
    <s v="Part Time"/>
    <n v="0"/>
    <s v="Active"/>
    <x v="2"/>
    <x v="0"/>
    <x v="3"/>
  </r>
  <r>
    <n v="34"/>
    <s v="Yes"/>
    <s v="Travel_Frequently"/>
    <x v="0"/>
    <n v="9"/>
    <x v="0"/>
    <n v="3"/>
    <n v="2"/>
    <x v="0"/>
    <n v="1"/>
    <s v="Married"/>
    <n v="5346"/>
    <n v="4"/>
    <s v="No"/>
    <n v="17"/>
    <n v="3"/>
    <n v="1"/>
    <n v="11"/>
    <n v="3"/>
    <n v="7"/>
    <n v="0"/>
    <n v="7"/>
    <s v="12th"/>
    <d v="2014-06-02T00:00:00"/>
    <m/>
    <s v="Work Accident"/>
    <x v="1"/>
    <n v="2"/>
    <n v="3"/>
    <s v="Yes"/>
    <s v="Job Event"/>
    <s v="Contract"/>
    <n v="1"/>
    <s v="Active"/>
    <x v="2"/>
    <x v="0"/>
    <x v="0"/>
  </r>
  <r>
    <n v="30"/>
    <s v="No"/>
    <s v="Travel_Rarely"/>
    <x v="0"/>
    <n v="10"/>
    <x v="1"/>
    <n v="3"/>
    <n v="3"/>
    <x v="6"/>
    <n v="3"/>
    <s v="Single"/>
    <n v="9667"/>
    <n v="9"/>
    <s v="No"/>
    <n v="14"/>
    <n v="3"/>
    <n v="0"/>
    <n v="9"/>
    <n v="3"/>
    <n v="7"/>
    <n v="0"/>
    <n v="2"/>
    <s v="12th"/>
    <d v="2014-04-14T00:00:00"/>
    <m/>
    <s v="Better Opportunity"/>
    <x v="1"/>
    <n v="3"/>
    <n v="3"/>
    <s v="Yes"/>
    <s v="Recruiter"/>
    <s v="Part Time"/>
    <n v="0"/>
    <s v="Active"/>
    <x v="2"/>
    <x v="1"/>
    <x v="3"/>
  </r>
  <r>
    <n v="40"/>
    <s v="No"/>
    <s v="Travel_Rarely"/>
    <x v="0"/>
    <n v="12"/>
    <x v="1"/>
    <n v="3"/>
    <n v="2"/>
    <x v="7"/>
    <n v="1"/>
    <s v="Divorced"/>
    <n v="4448"/>
    <n v="2"/>
    <s v="No"/>
    <n v="12"/>
    <n v="3"/>
    <n v="1"/>
    <n v="15"/>
    <n v="3"/>
    <n v="7"/>
    <n v="7"/>
    <n v="7"/>
    <s v="12th"/>
    <d v="2014-04-06T00:00:00"/>
    <m/>
    <s v="Work Environment"/>
    <x v="1"/>
    <n v="3"/>
    <n v="3"/>
    <s v="Yes"/>
    <s v="Walk-in"/>
    <s v="Contract"/>
    <n v="0"/>
    <s v="Active"/>
    <x v="2"/>
    <x v="0"/>
    <x v="3"/>
  </r>
  <r>
    <n v="54"/>
    <s v="No"/>
    <s v="Travel_Rarely"/>
    <x v="0"/>
    <n v="7"/>
    <x v="1"/>
    <n v="3"/>
    <n v="2"/>
    <x v="1"/>
    <n v="4"/>
    <s v="Married"/>
    <n v="6854"/>
    <n v="4"/>
    <s v="No"/>
    <n v="15"/>
    <n v="3"/>
    <n v="1"/>
    <n v="14"/>
    <n v="2"/>
    <n v="7"/>
    <n v="1"/>
    <n v="7"/>
    <s v="Graduation"/>
    <d v="2014-02-18T00:00:00"/>
    <m/>
    <s v="Salary"/>
    <x v="1"/>
    <n v="1"/>
    <n v="3"/>
    <s v="No"/>
    <s v="Job Portal"/>
    <s v="Part Time"/>
    <n v="0"/>
    <s v="Active"/>
    <x v="2"/>
    <x v="0"/>
    <x v="0"/>
  </r>
  <r>
    <n v="43"/>
    <s v="No"/>
    <s v="Travel_Frequently"/>
    <x v="1"/>
    <n v="2"/>
    <x v="0"/>
    <n v="3"/>
    <n v="2"/>
    <x v="4"/>
    <n v="4"/>
    <s v="Married"/>
    <n v="5675"/>
    <n v="1"/>
    <s v="No"/>
    <n v="20"/>
    <n v="4"/>
    <n v="1"/>
    <n v="7"/>
    <n v="5"/>
    <n v="7"/>
    <n v="7"/>
    <n v="7"/>
    <s v="PHD"/>
    <d v="2014-04-15T00:00:00"/>
    <m/>
    <s v="Work Environment"/>
    <x v="0"/>
    <n v="2"/>
    <n v="3"/>
    <s v="No"/>
    <s v="Job Portal"/>
    <s v="Contract"/>
    <n v="0"/>
    <s v="Active"/>
    <x v="2"/>
    <x v="0"/>
    <x v="2"/>
  </r>
  <r>
    <n v="29"/>
    <s v="No"/>
    <s v="Travel_Rarely"/>
    <x v="0"/>
    <n v="29"/>
    <x v="0"/>
    <n v="1"/>
    <n v="2"/>
    <x v="7"/>
    <n v="3"/>
    <s v="Divorced"/>
    <n v="6384"/>
    <n v="8"/>
    <s v="No"/>
    <n v="17"/>
    <n v="3"/>
    <n v="2"/>
    <n v="11"/>
    <n v="3"/>
    <n v="7"/>
    <n v="1"/>
    <n v="6"/>
    <s v="Post-Graduation"/>
    <d v="2014-04-25T00:00:00"/>
    <m/>
    <s v="Work Accident"/>
    <x v="1"/>
    <n v="0"/>
    <n v="1"/>
    <s v="Yes"/>
    <s v="Walk-in"/>
    <s v="Contract"/>
    <n v="0"/>
    <s v="Active"/>
    <x v="2"/>
    <x v="0"/>
    <x v="3"/>
  </r>
  <r>
    <n v="27"/>
    <s v="No"/>
    <s v="Travel_Frequently"/>
    <x v="0"/>
    <n v="15"/>
    <x v="1"/>
    <n v="2"/>
    <n v="1"/>
    <x v="1"/>
    <n v="1"/>
    <s v="Married"/>
    <n v="4774"/>
    <n v="0"/>
    <s v="No"/>
    <n v="19"/>
    <n v="3"/>
    <n v="1"/>
    <n v="8"/>
    <n v="2"/>
    <n v="7"/>
    <n v="7"/>
    <n v="3"/>
    <s v="Post-Graduation"/>
    <d v="2014-03-19T00:00:00"/>
    <m/>
    <s v="Dept.Head"/>
    <x v="1"/>
    <n v="2"/>
    <n v="1"/>
    <s v="Yes"/>
    <s v="Job Portal"/>
    <s v="Part Time"/>
    <n v="0"/>
    <s v="Active"/>
    <x v="2"/>
    <x v="0"/>
    <x v="0"/>
  </r>
  <r>
    <n v="26"/>
    <s v="No"/>
    <s v="Travel_Frequently"/>
    <x v="0"/>
    <n v="6"/>
    <x v="0"/>
    <n v="4"/>
    <n v="1"/>
    <x v="0"/>
    <n v="4"/>
    <s v="Married"/>
    <n v="2544"/>
    <n v="0"/>
    <s v="No"/>
    <n v="18"/>
    <n v="3"/>
    <n v="1"/>
    <n v="8"/>
    <n v="3"/>
    <n v="7"/>
    <n v="7"/>
    <n v="7"/>
    <s v="Graduation"/>
    <d v="2014-02-19T00:00:00"/>
    <m/>
    <s v="Salary"/>
    <x v="1"/>
    <n v="5"/>
    <n v="0"/>
    <s v="No"/>
    <s v="Job Event"/>
    <s v="FullTime"/>
    <n v="0"/>
    <s v="Active"/>
    <x v="2"/>
    <x v="0"/>
    <x v="0"/>
  </r>
  <r>
    <n v="28"/>
    <s v="No"/>
    <s v="Travel_Frequently"/>
    <x v="1"/>
    <n v="1"/>
    <x v="0"/>
    <n v="2"/>
    <n v="2"/>
    <x v="4"/>
    <n v="4"/>
    <s v="Married"/>
    <n v="6834"/>
    <n v="1"/>
    <s v="Yes"/>
    <n v="12"/>
    <n v="3"/>
    <n v="1"/>
    <n v="7"/>
    <n v="2"/>
    <n v="7"/>
    <n v="0"/>
    <n v="7"/>
    <s v="Post-Graduation"/>
    <d v="2014-03-23T00:00:00"/>
    <m/>
    <s v="Work Environment"/>
    <x v="1"/>
    <n v="2"/>
    <n v="0"/>
    <s v="No"/>
    <s v="Job Event"/>
    <s v="Part Time"/>
    <n v="0"/>
    <s v="Active"/>
    <x v="2"/>
    <x v="0"/>
    <x v="2"/>
  </r>
  <r>
    <n v="26"/>
    <s v="No"/>
    <s v="Travel_Rarely"/>
    <x v="0"/>
    <n v="1"/>
    <x v="0"/>
    <n v="3"/>
    <n v="1"/>
    <x v="0"/>
    <n v="1"/>
    <s v="Single"/>
    <n v="2867"/>
    <n v="0"/>
    <s v="No"/>
    <n v="13"/>
    <n v="3"/>
    <n v="0"/>
    <n v="8"/>
    <n v="6"/>
    <n v="7"/>
    <n v="7"/>
    <n v="6"/>
    <s v="Graduation"/>
    <d v="2014-03-20T00:00:00"/>
    <m/>
    <s v="Work Accident"/>
    <x v="0"/>
    <n v="1"/>
    <n v="0"/>
    <s v="No"/>
    <s v="Job Portal"/>
    <s v="FullTime"/>
    <n v="0"/>
    <s v="Active"/>
    <x v="2"/>
    <x v="0"/>
    <x v="0"/>
  </r>
  <r>
    <n v="27"/>
    <s v="No"/>
    <s v="Travel_Rarely"/>
    <x v="1"/>
    <n v="9"/>
    <x v="0"/>
    <n v="3"/>
    <n v="2"/>
    <x v="4"/>
    <n v="4"/>
    <s v="Single"/>
    <n v="4105"/>
    <n v="1"/>
    <s v="No"/>
    <n v="14"/>
    <n v="3"/>
    <n v="0"/>
    <n v="7"/>
    <n v="5"/>
    <n v="7"/>
    <n v="0"/>
    <n v="7"/>
    <s v="12th"/>
    <d v="2014-01-31T00:00:00"/>
    <m/>
    <s v="Dept.Head"/>
    <x v="0"/>
    <n v="4"/>
    <n v="1"/>
    <s v="No"/>
    <s v="Job Event"/>
    <s v="FullTime"/>
    <n v="0"/>
    <s v="Active"/>
    <x v="2"/>
    <x v="0"/>
    <x v="2"/>
  </r>
  <r>
    <n v="39"/>
    <s v="No"/>
    <s v="Travel_Rarely"/>
    <x v="0"/>
    <n v="24"/>
    <x v="0"/>
    <n v="3"/>
    <n v="2"/>
    <x v="1"/>
    <n v="4"/>
    <s v="Single"/>
    <n v="4108"/>
    <n v="7"/>
    <s v="No"/>
    <n v="13"/>
    <n v="3"/>
    <n v="0"/>
    <n v="18"/>
    <n v="2"/>
    <n v="7"/>
    <n v="1"/>
    <n v="7"/>
    <s v="Graduation"/>
    <d v="2014-05-15T00:00:00"/>
    <m/>
    <s v="Salary"/>
    <x v="0"/>
    <n v="2"/>
    <n v="0"/>
    <s v="Yes"/>
    <s v="Recruiter"/>
    <s v="Contract"/>
    <n v="0"/>
    <s v="Active"/>
    <x v="2"/>
    <x v="0"/>
    <x v="0"/>
  </r>
  <r>
    <n v="39"/>
    <s v="No"/>
    <s v="Travel_Rarely"/>
    <x v="0"/>
    <n v="6"/>
    <x v="0"/>
    <n v="2"/>
    <n v="3"/>
    <x v="7"/>
    <n v="1"/>
    <s v="Married"/>
    <n v="9991"/>
    <n v="4"/>
    <s v="No"/>
    <n v="15"/>
    <n v="3"/>
    <n v="1"/>
    <n v="9"/>
    <n v="5"/>
    <n v="7"/>
    <n v="1"/>
    <n v="7"/>
    <s v="Post-Graduation"/>
    <d v="2014-02-22T00:00:00"/>
    <m/>
    <s v="Work Accident"/>
    <x v="0"/>
    <n v="5"/>
    <n v="2"/>
    <s v="Yes"/>
    <s v="Job Portal"/>
    <s v="FullTime"/>
    <n v="0"/>
    <s v="Active"/>
    <x v="2"/>
    <x v="1"/>
    <x v="3"/>
  </r>
  <r>
    <n v="33"/>
    <s v="No"/>
    <s v="Travel_Frequently"/>
    <x v="0"/>
    <n v="3"/>
    <x v="1"/>
    <n v="3"/>
    <n v="1"/>
    <x v="1"/>
    <n v="3"/>
    <s v="Married"/>
    <n v="2909"/>
    <n v="1"/>
    <s v="Yes"/>
    <n v="11"/>
    <n v="3"/>
    <n v="0"/>
    <n v="8"/>
    <n v="3"/>
    <n v="8"/>
    <n v="3"/>
    <n v="0"/>
    <s v="Graduation"/>
    <d v="2013-04-26T00:00:00"/>
    <m/>
    <s v="Dept.Head"/>
    <x v="1"/>
    <n v="2"/>
    <n v="0"/>
    <s v="No"/>
    <s v="Walk-in"/>
    <s v="Contract"/>
    <n v="0"/>
    <s v="Active"/>
    <x v="2"/>
    <x v="0"/>
    <x v="0"/>
  </r>
  <r>
    <n v="50"/>
    <s v="No"/>
    <s v="Travel_Frequently"/>
    <x v="0"/>
    <n v="1"/>
    <x v="1"/>
    <n v="3"/>
    <n v="5"/>
    <x v="2"/>
    <n v="2"/>
    <s v="Married"/>
    <n v="18172"/>
    <n v="3"/>
    <s v="Yes"/>
    <n v="19"/>
    <n v="3"/>
    <n v="0"/>
    <n v="28"/>
    <n v="1"/>
    <n v="8"/>
    <n v="0"/>
    <n v="7"/>
    <s v="Post-Graduation"/>
    <d v="2013-03-30T00:00:00"/>
    <m/>
    <s v="Work Accident"/>
    <x v="1"/>
    <n v="5"/>
    <n v="3"/>
    <s v="Yes"/>
    <s v="Walk-in"/>
    <s v="FullTime"/>
    <n v="0"/>
    <s v="Active"/>
    <x v="2"/>
    <x v="1"/>
    <x v="1"/>
  </r>
  <r>
    <n v="26"/>
    <s v="No"/>
    <s v="Travel_Rarely"/>
    <x v="2"/>
    <n v="25"/>
    <x v="1"/>
    <n v="3"/>
    <n v="1"/>
    <x v="8"/>
    <n v="3"/>
    <s v="Married"/>
    <n v="2942"/>
    <n v="1"/>
    <s v="No"/>
    <n v="23"/>
    <n v="4"/>
    <n v="1"/>
    <n v="8"/>
    <n v="3"/>
    <n v="8"/>
    <n v="5"/>
    <n v="7"/>
    <s v="12th"/>
    <d v="2013-02-13T00:00:00"/>
    <m/>
    <s v="Salary"/>
    <x v="0"/>
    <n v="0"/>
    <n v="2"/>
    <s v="No"/>
    <s v="Walk-in"/>
    <s v="Part Time"/>
    <n v="0"/>
    <s v="Active"/>
    <x v="2"/>
    <x v="0"/>
    <x v="4"/>
  </r>
  <r>
    <n v="32"/>
    <s v="No"/>
    <s v="Travel_Frequently"/>
    <x v="1"/>
    <n v="9"/>
    <x v="0"/>
    <n v="1"/>
    <n v="2"/>
    <x v="4"/>
    <n v="4"/>
    <s v="Divorced"/>
    <n v="4668"/>
    <n v="0"/>
    <s v="No"/>
    <n v="17"/>
    <n v="3"/>
    <n v="3"/>
    <n v="9"/>
    <n v="2"/>
    <n v="8"/>
    <n v="0"/>
    <n v="7"/>
    <s v="12th"/>
    <d v="2013-03-27T00:00:00"/>
    <m/>
    <s v="Work Environment"/>
    <x v="0"/>
    <n v="5"/>
    <n v="3"/>
    <s v="Yes"/>
    <s v="Job Event"/>
    <s v="FullTime"/>
    <n v="0"/>
    <s v="Active"/>
    <x v="2"/>
    <x v="0"/>
    <x v="2"/>
  </r>
  <r>
    <n v="38"/>
    <s v="No"/>
    <s v="Travel_Rarely"/>
    <x v="1"/>
    <n v="1"/>
    <x v="1"/>
    <n v="2"/>
    <n v="2"/>
    <x v="4"/>
    <n v="4"/>
    <s v="Single"/>
    <n v="8686"/>
    <n v="4"/>
    <s v="No"/>
    <n v="22"/>
    <n v="4"/>
    <n v="0"/>
    <n v="12"/>
    <n v="2"/>
    <n v="8"/>
    <n v="0"/>
    <n v="7"/>
    <s v="12th"/>
    <d v="2013-01-22T00:00:00"/>
    <m/>
    <s v="Better Opportunity"/>
    <x v="1"/>
    <n v="0"/>
    <n v="1"/>
    <s v="No"/>
    <s v="Job Event"/>
    <s v="Contract"/>
    <n v="0"/>
    <s v="Active"/>
    <x v="2"/>
    <x v="1"/>
    <x v="2"/>
  </r>
  <r>
    <n v="36"/>
    <s v="No"/>
    <s v="Travel_Frequently"/>
    <x v="0"/>
    <n v="3"/>
    <x v="0"/>
    <n v="3"/>
    <n v="1"/>
    <x v="0"/>
    <n v="2"/>
    <s v="Single"/>
    <n v="2088"/>
    <n v="4"/>
    <s v="No"/>
    <n v="12"/>
    <n v="3"/>
    <n v="0"/>
    <n v="13"/>
    <n v="3"/>
    <n v="8"/>
    <n v="7"/>
    <n v="2"/>
    <s v="Graduation"/>
    <d v="2013-04-18T00:00:00"/>
    <m/>
    <s v="Dept.Head"/>
    <x v="1"/>
    <n v="5"/>
    <n v="1"/>
    <s v="Yes"/>
    <s v="Job Event"/>
    <s v="FullTime"/>
    <n v="0"/>
    <s v="Active"/>
    <x v="2"/>
    <x v="0"/>
    <x v="0"/>
  </r>
  <r>
    <n v="33"/>
    <s v="No"/>
    <s v="Travel_Rarely"/>
    <x v="0"/>
    <n v="14"/>
    <x v="1"/>
    <n v="3"/>
    <n v="1"/>
    <x v="1"/>
    <n v="2"/>
    <s v="Married"/>
    <n v="2756"/>
    <n v="1"/>
    <s v="No"/>
    <n v="13"/>
    <n v="3"/>
    <n v="1"/>
    <n v="8"/>
    <n v="5"/>
    <n v="8"/>
    <n v="1"/>
    <n v="6"/>
    <s v="PHD"/>
    <d v="2013-01-23T00:00:00"/>
    <m/>
    <s v="Work Environment"/>
    <x v="0"/>
    <n v="4"/>
    <n v="1"/>
    <s v="No"/>
    <s v="Recruiter"/>
    <s v="Contract"/>
    <n v="0"/>
    <s v="Active"/>
    <x v="2"/>
    <x v="0"/>
    <x v="0"/>
  </r>
  <r>
    <n v="37"/>
    <s v="No"/>
    <s v="Travel_Rarely"/>
    <x v="0"/>
    <n v="21"/>
    <x v="0"/>
    <n v="4"/>
    <n v="1"/>
    <x v="1"/>
    <n v="1"/>
    <s v="Married"/>
    <n v="3564"/>
    <n v="1"/>
    <s v="Yes"/>
    <n v="12"/>
    <n v="3"/>
    <n v="1"/>
    <n v="8"/>
    <n v="3"/>
    <n v="8"/>
    <n v="1"/>
    <n v="7"/>
    <s v="PHD"/>
    <d v="2013-05-11T00:00:00"/>
    <m/>
    <s v="Dept.Head"/>
    <x v="0"/>
    <n v="3"/>
    <n v="0"/>
    <s v="Yes"/>
    <s v="Walk-in"/>
    <s v="FullTime"/>
    <n v="0"/>
    <s v="Active"/>
    <x v="2"/>
    <x v="0"/>
    <x v="0"/>
  </r>
  <r>
    <n v="36"/>
    <s v="No"/>
    <s v="Travel_Frequently"/>
    <x v="0"/>
    <n v="18"/>
    <x v="1"/>
    <n v="3"/>
    <n v="1"/>
    <x v="0"/>
    <n v="4"/>
    <s v="Single"/>
    <n v="2153"/>
    <n v="1"/>
    <s v="No"/>
    <n v="13"/>
    <n v="3"/>
    <n v="0"/>
    <n v="8"/>
    <n v="2"/>
    <n v="8"/>
    <n v="1"/>
    <n v="7"/>
    <s v="Post-Graduation"/>
    <d v="2013-06-24T00:00:00"/>
    <m/>
    <s v="Work Environment"/>
    <x v="0"/>
    <n v="4"/>
    <n v="3"/>
    <s v="Yes"/>
    <s v="Recruiter"/>
    <s v="Part Time"/>
    <n v="0"/>
    <s v="Active"/>
    <x v="2"/>
    <x v="0"/>
    <x v="0"/>
  </r>
  <r>
    <n v="38"/>
    <s v="No"/>
    <s v="Non-Travel"/>
    <x v="1"/>
    <n v="2"/>
    <x v="0"/>
    <n v="2"/>
    <n v="2"/>
    <x v="4"/>
    <n v="4"/>
    <s v="Married"/>
    <n v="5249"/>
    <n v="3"/>
    <s v="No"/>
    <n v="18"/>
    <n v="3"/>
    <n v="1"/>
    <n v="13"/>
    <n v="0"/>
    <n v="8"/>
    <n v="7"/>
    <n v="5"/>
    <s v="PHD"/>
    <d v="2013-01-26T00:00:00"/>
    <m/>
    <s v="Salary"/>
    <x v="1"/>
    <n v="1"/>
    <n v="0"/>
    <s v="Yes"/>
    <s v="Walk-in"/>
    <s v="Part Time"/>
    <n v="0"/>
    <s v="Active"/>
    <x v="2"/>
    <x v="0"/>
    <x v="2"/>
  </r>
  <r>
    <n v="38"/>
    <s v="No"/>
    <s v="Travel_Rarely"/>
    <x v="1"/>
    <n v="7"/>
    <x v="1"/>
    <n v="4"/>
    <n v="2"/>
    <x v="4"/>
    <n v="1"/>
    <s v="Divorced"/>
    <n v="5605"/>
    <n v="1"/>
    <s v="Yes"/>
    <n v="24"/>
    <n v="4"/>
    <n v="1"/>
    <n v="8"/>
    <n v="3"/>
    <n v="8"/>
    <n v="7"/>
    <n v="7"/>
    <s v="12th"/>
    <d v="2013-01-09T00:00:00"/>
    <m/>
    <s v="Dept.Head"/>
    <x v="1"/>
    <n v="5"/>
    <n v="3"/>
    <s v="No"/>
    <s v="Walk-in"/>
    <s v="Contract"/>
    <n v="0"/>
    <s v="Active"/>
    <x v="2"/>
    <x v="0"/>
    <x v="2"/>
  </r>
  <r>
    <n v="36"/>
    <s v="No"/>
    <s v="Travel_Rarely"/>
    <x v="0"/>
    <n v="3"/>
    <x v="0"/>
    <n v="3"/>
    <n v="2"/>
    <x v="1"/>
    <n v="2"/>
    <s v="Single"/>
    <n v="4485"/>
    <n v="4"/>
    <s v="No"/>
    <n v="12"/>
    <n v="3"/>
    <n v="0"/>
    <n v="10"/>
    <n v="2"/>
    <n v="8"/>
    <n v="7"/>
    <n v="7"/>
    <s v="12th"/>
    <d v="2013-02-17T00:00:00"/>
    <m/>
    <s v="Dept.Head"/>
    <x v="1"/>
    <n v="5"/>
    <n v="2"/>
    <s v="No"/>
    <s v="Recruiter"/>
    <s v="FullTime"/>
    <n v="0"/>
    <s v="Active"/>
    <x v="2"/>
    <x v="0"/>
    <x v="0"/>
  </r>
  <r>
    <n v="26"/>
    <s v="Yes"/>
    <s v="Travel_Rarely"/>
    <x v="1"/>
    <n v="4"/>
    <x v="0"/>
    <n v="2"/>
    <n v="2"/>
    <x v="4"/>
    <n v="4"/>
    <s v="Single"/>
    <n v="5828"/>
    <n v="1"/>
    <s v="Yes"/>
    <n v="12"/>
    <n v="3"/>
    <n v="0"/>
    <n v="8"/>
    <n v="0"/>
    <n v="8"/>
    <n v="7"/>
    <n v="4"/>
    <s v="12th"/>
    <d v="2013-03-28T00:00:00"/>
    <m/>
    <s v="Work Accident"/>
    <x v="1"/>
    <n v="3"/>
    <n v="3"/>
    <s v="Yes"/>
    <s v="Recruiter"/>
    <s v="Part Time"/>
    <n v="1"/>
    <s v="Active"/>
    <x v="2"/>
    <x v="0"/>
    <x v="2"/>
  </r>
  <r>
    <n v="28"/>
    <s v="No"/>
    <s v="Travel_Rarely"/>
    <x v="0"/>
    <n v="16"/>
    <x v="0"/>
    <n v="4"/>
    <n v="2"/>
    <x v="7"/>
    <n v="1"/>
    <s v="Single"/>
    <n v="5661"/>
    <n v="0"/>
    <s v="No"/>
    <n v="19"/>
    <n v="3"/>
    <n v="0"/>
    <n v="9"/>
    <n v="2"/>
    <n v="8"/>
    <n v="0"/>
    <n v="7"/>
    <s v="12th"/>
    <d v="2013-06-25T00:00:00"/>
    <m/>
    <s v="Better Opportunity"/>
    <x v="0"/>
    <n v="2"/>
    <n v="2"/>
    <s v="No"/>
    <s v="Job Event"/>
    <s v="Part Time"/>
    <n v="0"/>
    <s v="Active"/>
    <x v="2"/>
    <x v="0"/>
    <x v="3"/>
  </r>
  <r>
    <n v="31"/>
    <s v="No"/>
    <s v="Travel_Rarely"/>
    <x v="1"/>
    <n v="7"/>
    <x v="0"/>
    <n v="4"/>
    <n v="2"/>
    <x v="4"/>
    <n v="4"/>
    <s v="Married"/>
    <n v="6929"/>
    <n v="4"/>
    <s v="No"/>
    <n v="11"/>
    <n v="3"/>
    <n v="1"/>
    <n v="10"/>
    <n v="3"/>
    <n v="8"/>
    <n v="7"/>
    <n v="7"/>
    <s v="Post-Graduation"/>
    <d v="2013-04-08T00:00:00"/>
    <m/>
    <s v="Work Accident"/>
    <x v="1"/>
    <n v="2"/>
    <n v="2"/>
    <s v="Yes"/>
    <s v="Walk-in"/>
    <s v="FullTime"/>
    <n v="0"/>
    <s v="Active"/>
    <x v="2"/>
    <x v="0"/>
    <x v="2"/>
  </r>
  <r>
    <n v="43"/>
    <s v="No"/>
    <s v="Travel_Frequently"/>
    <x v="0"/>
    <n v="10"/>
    <x v="1"/>
    <n v="3"/>
    <n v="1"/>
    <x v="0"/>
    <n v="4"/>
    <s v="Single"/>
    <n v="2455"/>
    <n v="0"/>
    <s v="No"/>
    <n v="19"/>
    <n v="3"/>
    <n v="0"/>
    <n v="9"/>
    <n v="5"/>
    <n v="8"/>
    <n v="1"/>
    <n v="7"/>
    <s v="12th"/>
    <d v="2013-06-28T00:00:00"/>
    <m/>
    <s v="Better Opportunity"/>
    <x v="1"/>
    <n v="0"/>
    <n v="1"/>
    <s v="No"/>
    <s v="Job Event"/>
    <s v="Part Time"/>
    <n v="0"/>
    <s v="Active"/>
    <x v="2"/>
    <x v="0"/>
    <x v="0"/>
  </r>
  <r>
    <n v="52"/>
    <s v="Yes"/>
    <s v="Travel_Rarely"/>
    <x v="0"/>
    <n v="8"/>
    <x v="0"/>
    <n v="2"/>
    <n v="2"/>
    <x v="1"/>
    <n v="2"/>
    <s v="Married"/>
    <n v="4941"/>
    <n v="2"/>
    <s v="No"/>
    <n v="15"/>
    <n v="3"/>
    <n v="0"/>
    <n v="11"/>
    <n v="3"/>
    <n v="8"/>
    <n v="7"/>
    <n v="7"/>
    <s v="12th"/>
    <d v="2013-04-25T00:00:00"/>
    <m/>
    <s v="Dept.Head"/>
    <x v="0"/>
    <n v="5"/>
    <n v="2"/>
    <s v="No"/>
    <s v="Job Event"/>
    <s v="Contract"/>
    <n v="1"/>
    <s v="Active"/>
    <x v="2"/>
    <x v="0"/>
    <x v="0"/>
  </r>
  <r>
    <n v="27"/>
    <s v="No"/>
    <s v="Travel_Rarely"/>
    <x v="1"/>
    <n v="8"/>
    <x v="1"/>
    <n v="3"/>
    <n v="2"/>
    <x v="4"/>
    <n v="2"/>
    <s v="Married"/>
    <n v="6214"/>
    <n v="1"/>
    <s v="No"/>
    <n v="18"/>
    <n v="3"/>
    <n v="1"/>
    <n v="8"/>
    <n v="3"/>
    <n v="8"/>
    <n v="0"/>
    <n v="7"/>
    <s v="PHD"/>
    <d v="2013-04-04T00:00:00"/>
    <m/>
    <s v="Work Environment"/>
    <x v="0"/>
    <n v="5"/>
    <n v="2"/>
    <s v="Yes"/>
    <s v="Walk-in"/>
    <s v="Part Time"/>
    <n v="0"/>
    <s v="Active"/>
    <x v="2"/>
    <x v="0"/>
    <x v="2"/>
  </r>
  <r>
    <n v="32"/>
    <s v="No"/>
    <s v="Travel_Rarely"/>
    <x v="0"/>
    <n v="2"/>
    <x v="1"/>
    <n v="3"/>
    <n v="1"/>
    <x v="0"/>
    <n v="2"/>
    <s v="Married"/>
    <n v="2370"/>
    <n v="1"/>
    <s v="No"/>
    <n v="13"/>
    <n v="3"/>
    <n v="1"/>
    <n v="8"/>
    <n v="4"/>
    <n v="8"/>
    <n v="0"/>
    <n v="7"/>
    <s v="PHD"/>
    <d v="2013-03-25T00:00:00"/>
    <m/>
    <s v="Work Environment"/>
    <x v="0"/>
    <n v="3"/>
    <n v="1"/>
    <s v="Yes"/>
    <s v="Job Portal"/>
    <s v="Part Time"/>
    <n v="0"/>
    <s v="Active"/>
    <x v="2"/>
    <x v="0"/>
    <x v="0"/>
  </r>
  <r>
    <n v="26"/>
    <s v="No"/>
    <s v="Travel_Rarely"/>
    <x v="1"/>
    <n v="1"/>
    <x v="0"/>
    <n v="3"/>
    <n v="2"/>
    <x v="4"/>
    <n v="3"/>
    <s v="Married"/>
    <n v="5296"/>
    <n v="1"/>
    <s v="No"/>
    <n v="17"/>
    <n v="3"/>
    <n v="1"/>
    <n v="8"/>
    <n v="3"/>
    <n v="8"/>
    <n v="7"/>
    <n v="7"/>
    <s v="PHD"/>
    <d v="2013-05-13T00:00:00"/>
    <m/>
    <s v="Dept.Head"/>
    <x v="1"/>
    <n v="0"/>
    <n v="2"/>
    <s v="Yes"/>
    <s v="Walk-in"/>
    <s v="Contract"/>
    <n v="0"/>
    <s v="Active"/>
    <x v="2"/>
    <x v="0"/>
    <x v="2"/>
  </r>
  <r>
    <n v="41"/>
    <s v="Yes"/>
    <s v="Travel_Frequently"/>
    <x v="1"/>
    <n v="4"/>
    <x v="0"/>
    <n v="3"/>
    <n v="2"/>
    <x v="4"/>
    <n v="2"/>
    <s v="Single"/>
    <n v="9355"/>
    <n v="1"/>
    <s v="No"/>
    <n v="18"/>
    <n v="3"/>
    <n v="0"/>
    <n v="8"/>
    <n v="5"/>
    <n v="8"/>
    <n v="7"/>
    <n v="7"/>
    <s v="PHD"/>
    <d v="2013-03-26T00:00:00"/>
    <m/>
    <s v="Work Accident"/>
    <x v="1"/>
    <n v="1"/>
    <n v="1"/>
    <s v="Yes"/>
    <s v="Job Event"/>
    <s v="Part Time"/>
    <n v="1"/>
    <s v="Active"/>
    <x v="2"/>
    <x v="1"/>
    <x v="2"/>
  </r>
  <r>
    <n v="35"/>
    <s v="No"/>
    <s v="Travel_Rarely"/>
    <x v="0"/>
    <n v="16"/>
    <x v="0"/>
    <n v="3"/>
    <n v="3"/>
    <x v="7"/>
    <n v="3"/>
    <s v="Married"/>
    <n v="7632"/>
    <n v="4"/>
    <s v="Yes"/>
    <n v="12"/>
    <n v="3"/>
    <n v="0"/>
    <n v="10"/>
    <n v="2"/>
    <n v="8"/>
    <n v="0"/>
    <n v="0"/>
    <s v="Graduation"/>
    <d v="2013-03-13T00:00:00"/>
    <m/>
    <s v="Salary"/>
    <x v="1"/>
    <n v="2"/>
    <n v="1"/>
    <s v="Yes"/>
    <s v="Walk-in"/>
    <s v="Part Time"/>
    <n v="0"/>
    <s v="Active"/>
    <x v="2"/>
    <x v="1"/>
    <x v="3"/>
  </r>
  <r>
    <n v="39"/>
    <s v="No"/>
    <s v="Travel_Frequently"/>
    <x v="0"/>
    <n v="8"/>
    <x v="1"/>
    <n v="3"/>
    <n v="1"/>
    <x v="0"/>
    <n v="3"/>
    <s v="Married"/>
    <n v="3755"/>
    <n v="1"/>
    <s v="No"/>
    <n v="11"/>
    <n v="3"/>
    <n v="1"/>
    <n v="8"/>
    <n v="3"/>
    <n v="8"/>
    <n v="0"/>
    <n v="7"/>
    <s v="Post-Graduation"/>
    <d v="2013-04-25T00:00:00"/>
    <m/>
    <s v="Better Opportunity"/>
    <x v="0"/>
    <n v="1"/>
    <n v="3"/>
    <s v="Yes"/>
    <s v="Walk-in"/>
    <s v="FullTime"/>
    <n v="0"/>
    <s v="Active"/>
    <x v="2"/>
    <x v="0"/>
    <x v="0"/>
  </r>
  <r>
    <n v="45"/>
    <s v="No"/>
    <s v="Travel_Rarely"/>
    <x v="1"/>
    <n v="2"/>
    <x v="0"/>
    <n v="3"/>
    <n v="2"/>
    <x v="4"/>
    <n v="2"/>
    <s v="Married"/>
    <n v="4805"/>
    <n v="0"/>
    <s v="No"/>
    <n v="19"/>
    <n v="3"/>
    <n v="1"/>
    <n v="9"/>
    <n v="3"/>
    <n v="8"/>
    <n v="3"/>
    <n v="7"/>
    <s v="Post-Graduation"/>
    <d v="2013-01-20T00:00:00"/>
    <m/>
    <s v="Work Environment"/>
    <x v="1"/>
    <n v="5"/>
    <n v="3"/>
    <s v="Yes"/>
    <s v="Job Event"/>
    <s v="FullTime"/>
    <n v="0"/>
    <s v="Active"/>
    <x v="2"/>
    <x v="0"/>
    <x v="2"/>
  </r>
  <r>
    <n v="41"/>
    <s v="No"/>
    <s v="Non-Travel"/>
    <x v="0"/>
    <n v="2"/>
    <x v="1"/>
    <n v="2"/>
    <n v="2"/>
    <x v="7"/>
    <n v="3"/>
    <s v="Single"/>
    <n v="6811"/>
    <n v="2"/>
    <s v="Yes"/>
    <n v="17"/>
    <n v="3"/>
    <n v="0"/>
    <n v="10"/>
    <n v="3"/>
    <n v="8"/>
    <n v="0"/>
    <n v="7"/>
    <s v="Graduation"/>
    <d v="2013-02-13T00:00:00"/>
    <m/>
    <s v="Work Environment"/>
    <x v="0"/>
    <n v="3"/>
    <n v="0"/>
    <s v="No"/>
    <s v="Job Event"/>
    <s v="FullTime"/>
    <n v="0"/>
    <s v="Active"/>
    <x v="2"/>
    <x v="0"/>
    <x v="3"/>
  </r>
  <r>
    <n v="43"/>
    <s v="No"/>
    <s v="Travel_Frequently"/>
    <x v="0"/>
    <n v="9"/>
    <x v="0"/>
    <n v="3"/>
    <n v="2"/>
    <x v="0"/>
    <n v="3"/>
    <s v="Divorced"/>
    <n v="5679"/>
    <n v="3"/>
    <s v="Yes"/>
    <n v="13"/>
    <n v="3"/>
    <n v="1"/>
    <n v="10"/>
    <n v="3"/>
    <n v="8"/>
    <n v="4"/>
    <n v="7"/>
    <s v="PHD"/>
    <d v="2013-02-24T00:00:00"/>
    <m/>
    <s v="Salary"/>
    <x v="1"/>
    <n v="4"/>
    <n v="2"/>
    <s v="No"/>
    <s v="Job Portal"/>
    <s v="Part Time"/>
    <n v="0"/>
    <s v="Active"/>
    <x v="2"/>
    <x v="0"/>
    <x v="0"/>
  </r>
  <r>
    <n v="34"/>
    <s v="No"/>
    <s v="Travel_Rarely"/>
    <x v="1"/>
    <n v="14"/>
    <x v="1"/>
    <n v="3"/>
    <n v="1"/>
    <x v="3"/>
    <n v="3"/>
    <s v="Divorced"/>
    <n v="2579"/>
    <n v="1"/>
    <s v="Yes"/>
    <n v="18"/>
    <n v="3"/>
    <n v="2"/>
    <n v="8"/>
    <n v="3"/>
    <n v="8"/>
    <n v="0"/>
    <n v="6"/>
    <s v="PHD"/>
    <d v="2013-01-24T00:00:00"/>
    <m/>
    <s v="Better Opportunity"/>
    <x v="1"/>
    <n v="3"/>
    <n v="0"/>
    <s v="Yes"/>
    <s v="Walk-in"/>
    <s v="Part Time"/>
    <n v="0"/>
    <s v="Active"/>
    <x v="2"/>
    <x v="0"/>
    <x v="2"/>
  </r>
  <r>
    <n v="34"/>
    <s v="No"/>
    <s v="Travel_Rarely"/>
    <x v="0"/>
    <n v="9"/>
    <x v="1"/>
    <n v="2"/>
    <n v="3"/>
    <x v="7"/>
    <n v="2"/>
    <s v="Single"/>
    <n v="8621"/>
    <n v="1"/>
    <s v="No"/>
    <n v="14"/>
    <n v="3"/>
    <n v="0"/>
    <n v="9"/>
    <n v="3"/>
    <n v="8"/>
    <n v="7"/>
    <n v="7"/>
    <s v="Graduation"/>
    <d v="2013-05-02T00:00:00"/>
    <m/>
    <s v="Work Environment"/>
    <x v="1"/>
    <n v="0"/>
    <n v="2"/>
    <s v="Yes"/>
    <s v="Recruiter"/>
    <s v="Contract"/>
    <n v="0"/>
    <s v="Active"/>
    <x v="2"/>
    <x v="1"/>
    <x v="3"/>
  </r>
  <r>
    <n v="36"/>
    <s v="No"/>
    <s v="Non-Travel"/>
    <x v="0"/>
    <n v="8"/>
    <x v="1"/>
    <n v="4"/>
    <n v="3"/>
    <x v="2"/>
    <n v="1"/>
    <s v="Married"/>
    <n v="11713"/>
    <n v="9"/>
    <s v="No"/>
    <n v="14"/>
    <n v="3"/>
    <n v="1"/>
    <n v="10"/>
    <n v="2"/>
    <n v="8"/>
    <n v="0"/>
    <n v="5"/>
    <s v="Graduation"/>
    <d v="2013-03-17T00:00:00"/>
    <m/>
    <s v="Dept.Head"/>
    <x v="0"/>
    <n v="1"/>
    <n v="0"/>
    <s v="Yes"/>
    <s v="Recruiter"/>
    <s v="Contract"/>
    <n v="0"/>
    <s v="Active"/>
    <x v="2"/>
    <x v="1"/>
    <x v="1"/>
  </r>
  <r>
    <n v="30"/>
    <s v="No"/>
    <s v="Travel_Rarely"/>
    <x v="1"/>
    <n v="27"/>
    <x v="0"/>
    <n v="3"/>
    <n v="2"/>
    <x v="4"/>
    <n v="4"/>
    <s v="Divorced"/>
    <n v="5304"/>
    <n v="7"/>
    <s v="No"/>
    <n v="23"/>
    <n v="4"/>
    <n v="1"/>
    <n v="10"/>
    <n v="2"/>
    <n v="8"/>
    <n v="7"/>
    <n v="7"/>
    <s v="Graduation"/>
    <d v="2013-03-31T00:00:00"/>
    <m/>
    <s v="Dept.Head"/>
    <x v="0"/>
    <n v="2"/>
    <n v="2"/>
    <s v="No"/>
    <s v="Job Portal"/>
    <s v="Contract"/>
    <n v="0"/>
    <s v="Active"/>
    <x v="2"/>
    <x v="0"/>
    <x v="2"/>
  </r>
  <r>
    <n v="39"/>
    <s v="No"/>
    <s v="Travel_Rarely"/>
    <x v="2"/>
    <n v="3"/>
    <x v="1"/>
    <n v="4"/>
    <n v="2"/>
    <x v="8"/>
    <n v="2"/>
    <s v="Married"/>
    <n v="6389"/>
    <n v="9"/>
    <s v="No"/>
    <n v="15"/>
    <n v="3"/>
    <n v="1"/>
    <n v="12"/>
    <n v="3"/>
    <n v="8"/>
    <n v="3"/>
    <n v="6"/>
    <s v="Graduation"/>
    <d v="2013-05-17T00:00:00"/>
    <m/>
    <s v="Salary"/>
    <x v="1"/>
    <n v="3"/>
    <n v="3"/>
    <s v="No"/>
    <s v="Recruiter"/>
    <s v="Contract"/>
    <n v="0"/>
    <s v="Active"/>
    <x v="2"/>
    <x v="0"/>
    <x v="4"/>
  </r>
  <r>
    <n v="45"/>
    <s v="No"/>
    <s v="Travel_Rarely"/>
    <x v="1"/>
    <n v="2"/>
    <x v="0"/>
    <n v="1"/>
    <n v="2"/>
    <x v="3"/>
    <n v="3"/>
    <s v="Single"/>
    <n v="6632"/>
    <n v="0"/>
    <s v="No"/>
    <n v="13"/>
    <n v="3"/>
    <n v="0"/>
    <n v="9"/>
    <n v="3"/>
    <n v="8"/>
    <n v="3"/>
    <n v="1"/>
    <s v="12th"/>
    <d v="2013-02-23T00:00:00"/>
    <m/>
    <s v="Salary"/>
    <x v="1"/>
    <n v="4"/>
    <n v="0"/>
    <s v="No"/>
    <s v="Walk-in"/>
    <s v="FullTime"/>
    <n v="0"/>
    <s v="Active"/>
    <x v="2"/>
    <x v="0"/>
    <x v="2"/>
  </r>
  <r>
    <n v="29"/>
    <s v="No"/>
    <s v="Travel_Rarely"/>
    <x v="0"/>
    <n v="27"/>
    <x v="1"/>
    <n v="3"/>
    <n v="2"/>
    <x v="7"/>
    <n v="3"/>
    <s v="Married"/>
    <n v="4335"/>
    <n v="4"/>
    <s v="No"/>
    <n v="12"/>
    <n v="3"/>
    <n v="1"/>
    <n v="11"/>
    <n v="3"/>
    <n v="8"/>
    <n v="1"/>
    <n v="1"/>
    <s v="PHD"/>
    <d v="2013-03-31T00:00:00"/>
    <m/>
    <s v="Salary"/>
    <x v="1"/>
    <n v="5"/>
    <n v="1"/>
    <s v="No"/>
    <s v="Job Event"/>
    <s v="Part Time"/>
    <n v="0"/>
    <s v="Active"/>
    <x v="2"/>
    <x v="0"/>
    <x v="3"/>
  </r>
  <r>
    <n v="40"/>
    <s v="No"/>
    <s v="Travel_Frequently"/>
    <x v="0"/>
    <n v="2"/>
    <x v="1"/>
    <n v="4"/>
    <n v="2"/>
    <x v="7"/>
    <n v="2"/>
    <s v="Married"/>
    <n v="4244"/>
    <n v="1"/>
    <s v="No"/>
    <n v="24"/>
    <n v="4"/>
    <n v="1"/>
    <n v="8"/>
    <n v="2"/>
    <n v="8"/>
    <n v="3"/>
    <n v="7"/>
    <s v="Post-Graduation"/>
    <d v="2013-04-27T00:00:00"/>
    <m/>
    <s v="Salary"/>
    <x v="1"/>
    <n v="5"/>
    <n v="1"/>
    <s v="Yes"/>
    <s v="Job Event"/>
    <s v="Part Time"/>
    <n v="0"/>
    <s v="Active"/>
    <x v="2"/>
    <x v="0"/>
    <x v="3"/>
  </r>
  <r>
    <n v="35"/>
    <s v="No"/>
    <s v="Travel_Rarely"/>
    <x v="0"/>
    <n v="7"/>
    <x v="0"/>
    <n v="3"/>
    <n v="3"/>
    <x v="6"/>
    <n v="3"/>
    <s v="Single"/>
    <n v="10221"/>
    <n v="3"/>
    <s v="No"/>
    <n v="21"/>
    <n v="4"/>
    <n v="0"/>
    <n v="17"/>
    <n v="3"/>
    <n v="8"/>
    <n v="1"/>
    <n v="6"/>
    <s v="PHD"/>
    <d v="2013-01-30T00:00:00"/>
    <m/>
    <s v="Salary"/>
    <x v="1"/>
    <n v="1"/>
    <n v="1"/>
    <s v="No"/>
    <s v="Job Event"/>
    <s v="Part Time"/>
    <n v="0"/>
    <s v="Active"/>
    <x v="2"/>
    <x v="1"/>
    <x v="3"/>
  </r>
  <r>
    <n v="28"/>
    <s v="No"/>
    <s v="Travel_Rarely"/>
    <x v="1"/>
    <n v="2"/>
    <x v="1"/>
    <n v="3"/>
    <n v="2"/>
    <x v="4"/>
    <n v="2"/>
    <s v="Married"/>
    <n v="4779"/>
    <n v="1"/>
    <s v="Yes"/>
    <n v="20"/>
    <n v="4"/>
    <n v="0"/>
    <n v="8"/>
    <n v="2"/>
    <n v="8"/>
    <n v="7"/>
    <n v="5"/>
    <s v="Graduation"/>
    <d v="2013-02-13T00:00:00"/>
    <m/>
    <s v="Salary"/>
    <x v="0"/>
    <n v="0"/>
    <n v="1"/>
    <s v="No"/>
    <s v="Job Portal"/>
    <s v="Contract"/>
    <n v="0"/>
    <s v="Active"/>
    <x v="2"/>
    <x v="0"/>
    <x v="2"/>
  </r>
  <r>
    <n v="26"/>
    <s v="Yes"/>
    <s v="Travel_Frequently"/>
    <x v="0"/>
    <n v="5"/>
    <x v="1"/>
    <n v="2"/>
    <n v="1"/>
    <x v="1"/>
    <n v="3"/>
    <s v="Married"/>
    <n v="2366"/>
    <n v="1"/>
    <s v="Yes"/>
    <n v="14"/>
    <n v="3"/>
    <n v="1"/>
    <n v="8"/>
    <n v="2"/>
    <n v="8"/>
    <n v="1"/>
    <n v="7"/>
    <s v="Graduation"/>
    <d v="2013-04-16T00:00:00"/>
    <m/>
    <s v="Better Opportunity"/>
    <x v="0"/>
    <n v="5"/>
    <n v="0"/>
    <s v="Yes"/>
    <s v="Recruiter"/>
    <s v="Part Time"/>
    <n v="1"/>
    <s v="Active"/>
    <x v="2"/>
    <x v="0"/>
    <x v="0"/>
  </r>
  <r>
    <n v="44"/>
    <s v="No"/>
    <s v="Travel_Rarely"/>
    <x v="0"/>
    <n v="9"/>
    <x v="0"/>
    <n v="3"/>
    <n v="1"/>
    <x v="1"/>
    <n v="1"/>
    <s v="Married"/>
    <n v="2559"/>
    <n v="1"/>
    <s v="Yes"/>
    <n v="13"/>
    <n v="3"/>
    <n v="0"/>
    <n v="8"/>
    <n v="0"/>
    <n v="8"/>
    <n v="7"/>
    <n v="1"/>
    <s v="PHD"/>
    <d v="2013-04-26T00:00:00"/>
    <m/>
    <s v="Work Environment"/>
    <x v="1"/>
    <n v="3"/>
    <n v="1"/>
    <s v="Yes"/>
    <s v="Recruiter"/>
    <s v="Part Time"/>
    <n v="0"/>
    <s v="Active"/>
    <x v="2"/>
    <x v="0"/>
    <x v="0"/>
  </r>
  <r>
    <n v="32"/>
    <s v="No"/>
    <s v="Travel_Rarely"/>
    <x v="0"/>
    <n v="3"/>
    <x v="1"/>
    <n v="3"/>
    <n v="2"/>
    <x v="6"/>
    <n v="1"/>
    <s v="Married"/>
    <n v="6725"/>
    <n v="1"/>
    <s v="No"/>
    <n v="12"/>
    <n v="3"/>
    <n v="1"/>
    <n v="8"/>
    <n v="2"/>
    <n v="8"/>
    <n v="6"/>
    <n v="3"/>
    <s v="Post-Graduation"/>
    <d v="2013-02-20T00:00:00"/>
    <m/>
    <s v="Better Opportunity"/>
    <x v="1"/>
    <n v="3"/>
    <n v="0"/>
    <s v="Yes"/>
    <s v="Job Event"/>
    <s v="FullTime"/>
    <n v="0"/>
    <s v="Active"/>
    <x v="2"/>
    <x v="0"/>
    <x v="3"/>
  </r>
  <r>
    <n v="30"/>
    <s v="No"/>
    <s v="Travel_Rarely"/>
    <x v="1"/>
    <n v="8"/>
    <x v="0"/>
    <n v="3"/>
    <n v="3"/>
    <x v="4"/>
    <n v="3"/>
    <s v="Divorced"/>
    <n v="7264"/>
    <n v="5"/>
    <s v="No"/>
    <n v="11"/>
    <n v="3"/>
    <n v="1"/>
    <n v="10"/>
    <n v="2"/>
    <n v="8"/>
    <n v="7"/>
    <n v="7"/>
    <s v="PHD"/>
    <d v="2013-03-19T00:00:00"/>
    <m/>
    <s v="Salary"/>
    <x v="1"/>
    <n v="5"/>
    <n v="2"/>
    <s v="Yes"/>
    <s v="Recruiter"/>
    <s v="Part Time"/>
    <n v="0"/>
    <s v="Active"/>
    <x v="2"/>
    <x v="1"/>
    <x v="2"/>
  </r>
  <r>
    <n v="39"/>
    <s v="No"/>
    <s v="Travel_Rarely"/>
    <x v="1"/>
    <n v="2"/>
    <x v="0"/>
    <n v="4"/>
    <n v="3"/>
    <x v="4"/>
    <n v="3"/>
    <s v="Single"/>
    <n v="7880"/>
    <n v="0"/>
    <s v="No"/>
    <n v="18"/>
    <n v="3"/>
    <n v="0"/>
    <n v="9"/>
    <n v="3"/>
    <n v="8"/>
    <n v="0"/>
    <n v="7"/>
    <s v="12th"/>
    <d v="2013-02-17T00:00:00"/>
    <m/>
    <s v="Dept.Head"/>
    <x v="0"/>
    <n v="1"/>
    <n v="1"/>
    <s v="Yes"/>
    <s v="Walk-in"/>
    <s v="FullTime"/>
    <n v="0"/>
    <s v="Active"/>
    <x v="2"/>
    <x v="1"/>
    <x v="2"/>
  </r>
  <r>
    <n v="46"/>
    <s v="No"/>
    <s v="Travel_Rarely"/>
    <x v="0"/>
    <n v="7"/>
    <x v="0"/>
    <n v="3"/>
    <n v="3"/>
    <x v="6"/>
    <n v="3"/>
    <s v="Divorced"/>
    <n v="10845"/>
    <n v="6"/>
    <s v="No"/>
    <n v="13"/>
    <n v="3"/>
    <n v="1"/>
    <n v="13"/>
    <n v="3"/>
    <n v="8"/>
    <n v="0"/>
    <n v="7"/>
    <s v="Post-Graduation"/>
    <d v="2013-04-26T00:00:00"/>
    <m/>
    <s v="Work Accident"/>
    <x v="1"/>
    <n v="2"/>
    <n v="0"/>
    <s v="No"/>
    <s v="Job Event"/>
    <s v="Contract"/>
    <n v="0"/>
    <s v="Active"/>
    <x v="2"/>
    <x v="1"/>
    <x v="3"/>
  </r>
  <r>
    <n v="30"/>
    <s v="No"/>
    <s v="Travel_Rarely"/>
    <x v="0"/>
    <n v="8"/>
    <x v="1"/>
    <n v="4"/>
    <n v="3"/>
    <x v="2"/>
    <n v="1"/>
    <s v="Married"/>
    <n v="11416"/>
    <n v="0"/>
    <s v="Yes"/>
    <n v="12"/>
    <n v="3"/>
    <n v="3"/>
    <n v="9"/>
    <n v="4"/>
    <n v="8"/>
    <n v="1"/>
    <n v="7"/>
    <s v="Post-Graduation"/>
    <d v="2013-05-25T00:00:00"/>
    <m/>
    <s v="Dept.Head"/>
    <x v="1"/>
    <n v="2"/>
    <n v="2"/>
    <s v="No"/>
    <s v="Walk-in"/>
    <s v="Part Time"/>
    <n v="0"/>
    <s v="Active"/>
    <x v="2"/>
    <x v="1"/>
    <x v="1"/>
  </r>
  <r>
    <n v="26"/>
    <s v="No"/>
    <s v="Travel_Rarely"/>
    <x v="0"/>
    <n v="2"/>
    <x v="0"/>
    <n v="4"/>
    <n v="2"/>
    <x v="6"/>
    <n v="4"/>
    <s v="Married"/>
    <n v="5472"/>
    <n v="1"/>
    <s v="No"/>
    <n v="12"/>
    <n v="3"/>
    <n v="0"/>
    <n v="8"/>
    <n v="2"/>
    <n v="8"/>
    <n v="1"/>
    <n v="3"/>
    <s v="PHD"/>
    <d v="2013-01-15T00:00:00"/>
    <m/>
    <s v="Better Opportunity"/>
    <x v="1"/>
    <n v="5"/>
    <n v="0"/>
    <s v="No"/>
    <s v="Recruiter"/>
    <s v="FullTime"/>
    <n v="0"/>
    <s v="Active"/>
    <x v="2"/>
    <x v="0"/>
    <x v="3"/>
  </r>
  <r>
    <n v="55"/>
    <s v="No"/>
    <s v="Travel_Frequently"/>
    <x v="0"/>
    <n v="18"/>
    <x v="0"/>
    <n v="3"/>
    <n v="2"/>
    <x v="7"/>
    <n v="2"/>
    <s v="Married"/>
    <n v="6385"/>
    <n v="3"/>
    <s v="Yes"/>
    <n v="14"/>
    <n v="3"/>
    <n v="2"/>
    <n v="17"/>
    <n v="3"/>
    <n v="8"/>
    <n v="6"/>
    <n v="7"/>
    <s v="Graduation"/>
    <d v="2013-03-16T00:00:00"/>
    <m/>
    <s v="Better Opportunity"/>
    <x v="1"/>
    <n v="1"/>
    <n v="2"/>
    <s v="No"/>
    <s v="Job Event"/>
    <s v="FullTime"/>
    <n v="0"/>
    <s v="Active"/>
    <x v="2"/>
    <x v="0"/>
    <x v="3"/>
  </r>
  <r>
    <n v="32"/>
    <s v="No"/>
    <s v="Non-Travel"/>
    <x v="0"/>
    <n v="29"/>
    <x v="1"/>
    <n v="3"/>
    <n v="1"/>
    <x v="0"/>
    <n v="3"/>
    <s v="Single"/>
    <n v="4025"/>
    <n v="9"/>
    <s v="No"/>
    <n v="12"/>
    <n v="3"/>
    <n v="0"/>
    <n v="10"/>
    <n v="2"/>
    <n v="8"/>
    <n v="7"/>
    <n v="7"/>
    <s v="PHD"/>
    <d v="2013-01-21T00:00:00"/>
    <m/>
    <s v="Dept.Head"/>
    <x v="1"/>
    <n v="2"/>
    <n v="3"/>
    <s v="No"/>
    <s v="Job Event"/>
    <s v="FullTime"/>
    <n v="0"/>
    <s v="Active"/>
    <x v="2"/>
    <x v="0"/>
    <x v="0"/>
  </r>
  <r>
    <n v="50"/>
    <s v="No"/>
    <s v="Travel_Rarely"/>
    <x v="0"/>
    <n v="2"/>
    <x v="0"/>
    <n v="3"/>
    <n v="5"/>
    <x v="2"/>
    <n v="3"/>
    <s v="Married"/>
    <n v="19237"/>
    <n v="2"/>
    <s v="Yes"/>
    <n v="11"/>
    <n v="3"/>
    <n v="1"/>
    <n v="29"/>
    <n v="2"/>
    <n v="8"/>
    <n v="7"/>
    <n v="7"/>
    <s v="PHD"/>
    <d v="2013-05-12T00:00:00"/>
    <m/>
    <s v="Work Accident"/>
    <x v="0"/>
    <n v="4"/>
    <n v="1"/>
    <s v="No"/>
    <s v="Recruiter"/>
    <s v="FullTime"/>
    <n v="0"/>
    <s v="Active"/>
    <x v="2"/>
    <x v="1"/>
    <x v="1"/>
  </r>
  <r>
    <n v="28"/>
    <s v="No"/>
    <s v="Travel_Rarely"/>
    <x v="0"/>
    <n v="10"/>
    <x v="1"/>
    <n v="3"/>
    <n v="2"/>
    <x v="1"/>
    <n v="3"/>
    <s v="Single"/>
    <n v="3660"/>
    <n v="3"/>
    <s v="No"/>
    <n v="13"/>
    <n v="3"/>
    <n v="0"/>
    <n v="10"/>
    <n v="4"/>
    <n v="8"/>
    <n v="1"/>
    <n v="7"/>
    <s v="Post-Graduation"/>
    <d v="2013-03-05T00:00:00"/>
    <m/>
    <s v="Better Opportunity"/>
    <x v="1"/>
    <n v="0"/>
    <n v="2"/>
    <s v="Yes"/>
    <s v="Recruiter"/>
    <s v="Part Time"/>
    <n v="0"/>
    <s v="Active"/>
    <x v="2"/>
    <x v="0"/>
    <x v="0"/>
  </r>
  <r>
    <n v="35"/>
    <s v="Yes"/>
    <s v="Travel_Rarely"/>
    <x v="1"/>
    <n v="4"/>
    <x v="0"/>
    <n v="3"/>
    <n v="3"/>
    <x v="4"/>
    <n v="1"/>
    <s v="Single"/>
    <n v="9582"/>
    <n v="0"/>
    <s v="Yes"/>
    <n v="22"/>
    <n v="4"/>
    <n v="0"/>
    <n v="9"/>
    <n v="2"/>
    <n v="8"/>
    <n v="4"/>
    <n v="7"/>
    <s v="Post-Graduation"/>
    <d v="2013-05-16T00:00:00"/>
    <m/>
    <s v="Dept.Head"/>
    <x v="1"/>
    <n v="5"/>
    <n v="0"/>
    <s v="Yes"/>
    <s v="Job Event"/>
    <s v="Contract"/>
    <n v="1"/>
    <s v="Active"/>
    <x v="2"/>
    <x v="1"/>
    <x v="2"/>
  </r>
  <r>
    <n v="52"/>
    <s v="No"/>
    <s v="Travel_Rarely"/>
    <x v="0"/>
    <n v="7"/>
    <x v="0"/>
    <n v="3"/>
    <n v="3"/>
    <x v="7"/>
    <n v="2"/>
    <s v="Single"/>
    <n v="10445"/>
    <n v="7"/>
    <s v="No"/>
    <n v="19"/>
    <n v="3"/>
    <n v="0"/>
    <n v="18"/>
    <n v="4"/>
    <n v="8"/>
    <n v="4"/>
    <n v="0"/>
    <s v="Post-Graduation"/>
    <d v="2013-03-02T00:00:00"/>
    <m/>
    <s v="Salary"/>
    <x v="0"/>
    <n v="0"/>
    <n v="3"/>
    <s v="Yes"/>
    <s v="Walk-in"/>
    <s v="FullTime"/>
    <n v="0"/>
    <s v="Active"/>
    <x v="2"/>
    <x v="1"/>
    <x v="3"/>
  </r>
  <r>
    <n v="38"/>
    <s v="No"/>
    <s v="Travel_Rarely"/>
    <x v="1"/>
    <n v="10"/>
    <x v="0"/>
    <n v="2"/>
    <n v="3"/>
    <x v="4"/>
    <n v="3"/>
    <s v="Divorced"/>
    <n v="8740"/>
    <n v="0"/>
    <s v="Yes"/>
    <n v="14"/>
    <n v="3"/>
    <n v="2"/>
    <n v="9"/>
    <n v="2"/>
    <n v="8"/>
    <n v="2"/>
    <n v="7"/>
    <s v="Post-Graduation"/>
    <d v="2013-02-01T00:00:00"/>
    <m/>
    <s v="Work Environment"/>
    <x v="1"/>
    <n v="4"/>
    <n v="2"/>
    <s v="No"/>
    <s v="Job Event"/>
    <s v="Part Time"/>
    <n v="0"/>
    <s v="Active"/>
    <x v="2"/>
    <x v="1"/>
    <x v="2"/>
  </r>
  <r>
    <n v="43"/>
    <s v="No"/>
    <s v="Travel_Frequently"/>
    <x v="0"/>
    <n v="27"/>
    <x v="1"/>
    <n v="3"/>
    <n v="3"/>
    <x v="6"/>
    <n v="1"/>
    <s v="Married"/>
    <n v="10820"/>
    <n v="8"/>
    <s v="No"/>
    <n v="11"/>
    <n v="3"/>
    <n v="1"/>
    <n v="18"/>
    <n v="1"/>
    <n v="8"/>
    <n v="0"/>
    <n v="1"/>
    <s v="12th"/>
    <d v="2013-05-23T00:00:00"/>
    <m/>
    <s v="Salary"/>
    <x v="0"/>
    <n v="1"/>
    <n v="1"/>
    <s v="Yes"/>
    <s v="Walk-in"/>
    <s v="FullTime"/>
    <n v="0"/>
    <s v="Active"/>
    <x v="2"/>
    <x v="1"/>
    <x v="3"/>
  </r>
  <r>
    <n v="35"/>
    <s v="No"/>
    <s v="Travel_Rarely"/>
    <x v="0"/>
    <n v="1"/>
    <x v="0"/>
    <n v="2"/>
    <n v="1"/>
    <x v="0"/>
    <n v="3"/>
    <s v="Married"/>
    <n v="2258"/>
    <n v="6"/>
    <s v="No"/>
    <n v="12"/>
    <n v="3"/>
    <n v="1"/>
    <n v="10"/>
    <n v="2"/>
    <n v="8"/>
    <n v="1"/>
    <n v="7"/>
    <s v="Post-Graduation"/>
    <d v="2013-04-20T00:00:00"/>
    <m/>
    <s v="Work Accident"/>
    <x v="1"/>
    <n v="0"/>
    <n v="3"/>
    <s v="Yes"/>
    <s v="Walk-in"/>
    <s v="Contract"/>
    <n v="0"/>
    <s v="Active"/>
    <x v="2"/>
    <x v="0"/>
    <x v="0"/>
  </r>
  <r>
    <n v="26"/>
    <s v="No"/>
    <s v="Travel_Rarely"/>
    <x v="0"/>
    <n v="3"/>
    <x v="0"/>
    <n v="4"/>
    <n v="1"/>
    <x v="0"/>
    <n v="4"/>
    <s v="Married"/>
    <n v="4420"/>
    <n v="1"/>
    <s v="No"/>
    <n v="22"/>
    <n v="4"/>
    <n v="1"/>
    <n v="8"/>
    <n v="2"/>
    <n v="8"/>
    <n v="0"/>
    <n v="7"/>
    <s v="PHD"/>
    <d v="2013-01-15T00:00:00"/>
    <m/>
    <s v="Work Environment"/>
    <x v="0"/>
    <n v="0"/>
    <n v="0"/>
    <s v="Yes"/>
    <s v="Recruiter"/>
    <s v="Contract"/>
    <n v="0"/>
    <s v="Active"/>
    <x v="2"/>
    <x v="0"/>
    <x v="0"/>
  </r>
  <r>
    <n v="32"/>
    <s v="No"/>
    <s v="Travel_Frequently"/>
    <x v="0"/>
    <n v="2"/>
    <x v="1"/>
    <n v="3"/>
    <n v="2"/>
    <x v="1"/>
    <n v="3"/>
    <s v="Single"/>
    <n v="4998"/>
    <n v="4"/>
    <s v="Yes"/>
    <n v="14"/>
    <n v="3"/>
    <n v="0"/>
    <n v="10"/>
    <n v="2"/>
    <n v="8"/>
    <n v="0"/>
    <n v="7"/>
    <s v="Post-Graduation"/>
    <d v="2013-05-09T00:00:00"/>
    <m/>
    <s v="Salary"/>
    <x v="0"/>
    <n v="1"/>
    <n v="3"/>
    <s v="Yes"/>
    <s v="Recruiter"/>
    <s v="Contract"/>
    <n v="0"/>
    <s v="Active"/>
    <x v="2"/>
    <x v="0"/>
    <x v="0"/>
  </r>
  <r>
    <n v="43"/>
    <s v="No"/>
    <s v="Travel_Rarely"/>
    <x v="0"/>
    <n v="3"/>
    <x v="0"/>
    <n v="1"/>
    <n v="5"/>
    <x v="2"/>
    <n v="4"/>
    <s v="Married"/>
    <n v="19740"/>
    <n v="3"/>
    <s v="No"/>
    <n v="14"/>
    <n v="3"/>
    <n v="1"/>
    <n v="25"/>
    <n v="2"/>
    <n v="8"/>
    <n v="0"/>
    <n v="7"/>
    <s v="Post-Graduation"/>
    <d v="2013-03-10T00:00:00"/>
    <m/>
    <s v="Better Opportunity"/>
    <x v="0"/>
    <n v="2"/>
    <n v="0"/>
    <s v="Yes"/>
    <s v="Recruiter"/>
    <s v="Part Time"/>
    <n v="0"/>
    <s v="Active"/>
    <x v="2"/>
    <x v="1"/>
    <x v="1"/>
  </r>
  <r>
    <n v="26"/>
    <s v="No"/>
    <s v="Travel_Rarely"/>
    <x v="0"/>
    <n v="4"/>
    <x v="0"/>
    <n v="3"/>
    <n v="1"/>
    <x v="1"/>
    <n v="4"/>
    <s v="Single"/>
    <n v="2875"/>
    <n v="1"/>
    <s v="Yes"/>
    <n v="20"/>
    <n v="4"/>
    <n v="0"/>
    <n v="8"/>
    <n v="2"/>
    <n v="8"/>
    <n v="2"/>
    <n v="2"/>
    <s v="Graduation"/>
    <d v="2013-06-15T00:00:00"/>
    <m/>
    <s v="Better Opportunity"/>
    <x v="1"/>
    <n v="0"/>
    <n v="3"/>
    <s v="Yes"/>
    <s v="Recruiter"/>
    <s v="Contract"/>
    <n v="0"/>
    <s v="Active"/>
    <x v="2"/>
    <x v="0"/>
    <x v="0"/>
  </r>
  <r>
    <n v="30"/>
    <s v="No"/>
    <s v="Non-Travel"/>
    <x v="0"/>
    <n v="9"/>
    <x v="1"/>
    <n v="3"/>
    <n v="2"/>
    <x v="6"/>
    <n v="3"/>
    <s v="Single"/>
    <n v="4695"/>
    <n v="7"/>
    <s v="Yes"/>
    <n v="18"/>
    <n v="3"/>
    <n v="0"/>
    <n v="10"/>
    <n v="3"/>
    <n v="8"/>
    <n v="1"/>
    <n v="7"/>
    <s v="PHD"/>
    <d v="2013-05-09T00:00:00"/>
    <m/>
    <s v="Work Accident"/>
    <x v="0"/>
    <n v="4"/>
    <n v="1"/>
    <s v="No"/>
    <s v="Job Event"/>
    <s v="FullTime"/>
    <n v="0"/>
    <s v="Active"/>
    <x v="2"/>
    <x v="0"/>
    <x v="3"/>
  </r>
  <r>
    <n v="52"/>
    <s v="Yes"/>
    <s v="Travel_Rarely"/>
    <x v="1"/>
    <n v="5"/>
    <x v="0"/>
    <n v="3"/>
    <n v="3"/>
    <x v="4"/>
    <n v="2"/>
    <s v="Single"/>
    <n v="8446"/>
    <n v="9"/>
    <s v="Yes"/>
    <n v="19"/>
    <n v="3"/>
    <n v="0"/>
    <n v="10"/>
    <n v="2"/>
    <n v="8"/>
    <n v="7"/>
    <n v="7"/>
    <s v="PHD"/>
    <d v="2013-02-13T00:00:00"/>
    <m/>
    <s v="Salary"/>
    <x v="0"/>
    <n v="4"/>
    <n v="0"/>
    <s v="Yes"/>
    <s v="Job Event"/>
    <s v="FullTime"/>
    <n v="1"/>
    <s v="Active"/>
    <x v="2"/>
    <x v="1"/>
    <x v="2"/>
  </r>
  <r>
    <n v="39"/>
    <s v="No"/>
    <s v="Travel_Rarely"/>
    <x v="0"/>
    <n v="18"/>
    <x v="0"/>
    <n v="3"/>
    <n v="2"/>
    <x v="6"/>
    <n v="3"/>
    <s v="Single"/>
    <n v="4534"/>
    <n v="0"/>
    <s v="No"/>
    <n v="11"/>
    <n v="3"/>
    <n v="0"/>
    <n v="9"/>
    <n v="6"/>
    <n v="8"/>
    <n v="1"/>
    <n v="7"/>
    <s v="Graduation"/>
    <d v="2013-01-03T00:00:00"/>
    <m/>
    <s v="Dept.Head"/>
    <x v="0"/>
    <n v="3"/>
    <n v="0"/>
    <s v="Yes"/>
    <s v="Job Event"/>
    <s v="Contract"/>
    <n v="0"/>
    <s v="Active"/>
    <x v="2"/>
    <x v="0"/>
    <x v="3"/>
  </r>
  <r>
    <n v="34"/>
    <s v="No"/>
    <s v="Travel_Rarely"/>
    <x v="0"/>
    <n v="29"/>
    <x v="0"/>
    <n v="3"/>
    <n v="2"/>
    <x v="0"/>
    <n v="3"/>
    <s v="Married"/>
    <n v="5429"/>
    <n v="4"/>
    <s v="No"/>
    <n v="13"/>
    <n v="3"/>
    <n v="2"/>
    <n v="10"/>
    <n v="1"/>
    <n v="8"/>
    <n v="7"/>
    <n v="7"/>
    <s v="Graduation"/>
    <d v="2013-05-01T00:00:00"/>
    <m/>
    <s v="Better Opportunity"/>
    <x v="0"/>
    <n v="3"/>
    <n v="1"/>
    <s v="No"/>
    <s v="Recruiter"/>
    <s v="FullTime"/>
    <n v="0"/>
    <s v="Active"/>
    <x v="2"/>
    <x v="0"/>
    <x v="0"/>
  </r>
  <r>
    <n v="27"/>
    <s v="Yes"/>
    <s v="Travel_Rarely"/>
    <x v="0"/>
    <n v="17"/>
    <x v="1"/>
    <n v="3"/>
    <n v="1"/>
    <x v="1"/>
    <n v="3"/>
    <s v="Single"/>
    <n v="2394"/>
    <n v="1"/>
    <s v="Yes"/>
    <n v="13"/>
    <n v="3"/>
    <n v="0"/>
    <n v="8"/>
    <n v="2"/>
    <n v="8"/>
    <n v="7"/>
    <n v="7"/>
    <s v="12th"/>
    <d v="2013-02-04T00:00:00"/>
    <m/>
    <s v="Better Opportunity"/>
    <x v="1"/>
    <n v="1"/>
    <n v="0"/>
    <s v="Yes"/>
    <s v="Walk-in"/>
    <s v="Contract"/>
    <n v="1"/>
    <s v="Active"/>
    <x v="2"/>
    <x v="0"/>
    <x v="0"/>
  </r>
  <r>
    <n v="29"/>
    <s v="Yes"/>
    <s v="Travel_Frequently"/>
    <x v="0"/>
    <n v="14"/>
    <x v="1"/>
    <n v="3"/>
    <n v="3"/>
    <x v="7"/>
    <n v="4"/>
    <s v="Single"/>
    <n v="7553"/>
    <n v="0"/>
    <s v="Yes"/>
    <n v="12"/>
    <n v="3"/>
    <n v="0"/>
    <n v="9"/>
    <n v="1"/>
    <n v="8"/>
    <n v="7"/>
    <n v="7"/>
    <s v="Post-Graduation"/>
    <d v="2013-01-24T00:00:00"/>
    <m/>
    <s v="Work Accident"/>
    <x v="1"/>
    <n v="1"/>
    <n v="2"/>
    <s v="Yes"/>
    <s v="Walk-in"/>
    <s v="FullTime"/>
    <n v="1"/>
    <s v="Active"/>
    <x v="2"/>
    <x v="1"/>
    <x v="3"/>
  </r>
  <r>
    <n v="40"/>
    <s v="No"/>
    <s v="Non-Travel"/>
    <x v="0"/>
    <n v="9"/>
    <x v="0"/>
    <n v="3"/>
    <n v="2"/>
    <x v="0"/>
    <n v="3"/>
    <s v="Divorced"/>
    <n v="3975"/>
    <n v="3"/>
    <s v="No"/>
    <n v="11"/>
    <n v="3"/>
    <n v="2"/>
    <n v="11"/>
    <n v="2"/>
    <n v="8"/>
    <n v="0"/>
    <n v="7"/>
    <s v="PHD"/>
    <d v="2013-04-07T00:00:00"/>
    <m/>
    <s v="Work Accident"/>
    <x v="0"/>
    <n v="4"/>
    <n v="3"/>
    <s v="Yes"/>
    <s v="Walk-in"/>
    <s v="FullTime"/>
    <n v="0"/>
    <s v="Active"/>
    <x v="2"/>
    <x v="0"/>
    <x v="0"/>
  </r>
  <r>
    <n v="49"/>
    <s v="No"/>
    <s v="Travel_Rarely"/>
    <x v="0"/>
    <n v="7"/>
    <x v="0"/>
    <n v="3"/>
    <n v="3"/>
    <x v="7"/>
    <n v="2"/>
    <s v="Divorced"/>
    <n v="10466"/>
    <n v="3"/>
    <s v="No"/>
    <n v="14"/>
    <n v="3"/>
    <n v="2"/>
    <n v="29"/>
    <n v="3"/>
    <n v="8"/>
    <n v="0"/>
    <n v="7"/>
    <s v="PHD"/>
    <d v="2013-03-12T00:00:00"/>
    <m/>
    <s v="Work Accident"/>
    <x v="0"/>
    <n v="4"/>
    <n v="0"/>
    <s v="Yes"/>
    <s v="Recruiter"/>
    <s v="Contract"/>
    <n v="0"/>
    <s v="Active"/>
    <x v="2"/>
    <x v="1"/>
    <x v="3"/>
  </r>
  <r>
    <n v="28"/>
    <s v="No"/>
    <s v="Travel_Rarely"/>
    <x v="0"/>
    <n v="29"/>
    <x v="0"/>
    <n v="1"/>
    <n v="2"/>
    <x v="6"/>
    <n v="2"/>
    <s v="Married"/>
    <n v="6549"/>
    <n v="1"/>
    <s v="No"/>
    <n v="14"/>
    <n v="3"/>
    <n v="2"/>
    <n v="8"/>
    <n v="2"/>
    <n v="8"/>
    <n v="1"/>
    <n v="7"/>
    <s v="PHD"/>
    <d v="2013-06-12T00:00:00"/>
    <m/>
    <s v="Salary"/>
    <x v="0"/>
    <n v="3"/>
    <n v="2"/>
    <s v="Yes"/>
    <s v="Job Event"/>
    <s v="FullTime"/>
    <n v="0"/>
    <s v="Active"/>
    <x v="2"/>
    <x v="0"/>
    <x v="3"/>
  </r>
  <r>
    <n v="40"/>
    <s v="No"/>
    <s v="Travel_Rarely"/>
    <x v="1"/>
    <n v="9"/>
    <x v="0"/>
    <n v="3"/>
    <n v="2"/>
    <x v="4"/>
    <n v="1"/>
    <s v="Married"/>
    <n v="5473"/>
    <n v="0"/>
    <s v="No"/>
    <n v="12"/>
    <n v="3"/>
    <n v="0"/>
    <n v="9"/>
    <n v="5"/>
    <n v="8"/>
    <n v="7"/>
    <n v="1"/>
    <s v="Post-Graduation"/>
    <d v="2013-06-13T00:00:00"/>
    <m/>
    <s v="Dept.Head"/>
    <x v="1"/>
    <n v="4"/>
    <n v="0"/>
    <s v="Yes"/>
    <s v="Job Event"/>
    <s v="Part Time"/>
    <n v="0"/>
    <s v="Active"/>
    <x v="2"/>
    <x v="0"/>
    <x v="2"/>
  </r>
  <r>
    <n v="48"/>
    <s v="No"/>
    <s v="Travel_Rarely"/>
    <x v="1"/>
    <n v="16"/>
    <x v="1"/>
    <n v="3"/>
    <n v="2"/>
    <x v="4"/>
    <n v="3"/>
    <s v="Divorced"/>
    <n v="6439"/>
    <n v="8"/>
    <s v="No"/>
    <n v="14"/>
    <n v="3"/>
    <n v="1"/>
    <n v="18"/>
    <n v="2"/>
    <n v="8"/>
    <n v="7"/>
    <n v="7"/>
    <s v="PHD"/>
    <d v="2013-05-25T00:00:00"/>
    <m/>
    <s v="Work Environment"/>
    <x v="0"/>
    <n v="5"/>
    <n v="1"/>
    <s v="No"/>
    <s v="Job Portal"/>
    <s v="Part Time"/>
    <n v="0"/>
    <s v="Active"/>
    <x v="2"/>
    <x v="0"/>
    <x v="2"/>
  </r>
  <r>
    <n v="48"/>
    <s v="No"/>
    <s v="Travel_Rarely"/>
    <x v="0"/>
    <n v="15"/>
    <x v="1"/>
    <n v="3"/>
    <n v="1"/>
    <x v="1"/>
    <n v="1"/>
    <s v="Married"/>
    <n v="2367"/>
    <n v="8"/>
    <s v="No"/>
    <n v="12"/>
    <n v="3"/>
    <n v="1"/>
    <n v="10"/>
    <n v="3"/>
    <n v="8"/>
    <n v="7"/>
    <n v="6"/>
    <s v="12th"/>
    <d v="2013-02-16T00:00:00"/>
    <m/>
    <s v="Salary"/>
    <x v="0"/>
    <n v="0"/>
    <n v="1"/>
    <s v="Yes"/>
    <s v="Recruiter"/>
    <s v="Part Time"/>
    <n v="0"/>
    <s v="Active"/>
    <x v="2"/>
    <x v="0"/>
    <x v="0"/>
  </r>
  <r>
    <n v="34"/>
    <s v="No"/>
    <s v="Travel_Frequently"/>
    <x v="0"/>
    <n v="10"/>
    <x v="0"/>
    <n v="2"/>
    <n v="2"/>
    <x v="7"/>
    <n v="3"/>
    <s v="Married"/>
    <n v="5063"/>
    <n v="1"/>
    <s v="No"/>
    <n v="14"/>
    <n v="3"/>
    <n v="1"/>
    <n v="8"/>
    <n v="3"/>
    <n v="8"/>
    <n v="7"/>
    <n v="7"/>
    <s v="Post-Graduation"/>
    <d v="2013-02-03T00:00:00"/>
    <m/>
    <s v="Work Accident"/>
    <x v="0"/>
    <n v="5"/>
    <n v="0"/>
    <s v="No"/>
    <s v="Recruiter"/>
    <s v="FullTime"/>
    <n v="0"/>
    <s v="Active"/>
    <x v="2"/>
    <x v="0"/>
    <x v="3"/>
  </r>
  <r>
    <n v="37"/>
    <s v="No"/>
    <s v="Travel_Rarely"/>
    <x v="0"/>
    <n v="10"/>
    <x v="1"/>
    <n v="3"/>
    <n v="1"/>
    <x v="1"/>
    <n v="2"/>
    <s v="Married"/>
    <n v="3936"/>
    <n v="1"/>
    <s v="No"/>
    <n v="11"/>
    <n v="3"/>
    <n v="1"/>
    <n v="8"/>
    <n v="2"/>
    <n v="8"/>
    <n v="7"/>
    <n v="7"/>
    <s v="Post-Graduation"/>
    <d v="2013-03-30T00:00:00"/>
    <m/>
    <s v="Work Environment"/>
    <x v="1"/>
    <n v="1"/>
    <n v="1"/>
    <s v="No"/>
    <s v="Walk-in"/>
    <s v="FullTime"/>
    <n v="0"/>
    <s v="Active"/>
    <x v="2"/>
    <x v="0"/>
    <x v="0"/>
  </r>
  <r>
    <n v="49"/>
    <s v="No"/>
    <s v="Travel_Rarely"/>
    <x v="0"/>
    <n v="1"/>
    <x v="0"/>
    <n v="3"/>
    <n v="4"/>
    <x v="5"/>
    <n v="3"/>
    <s v="Single"/>
    <n v="15379"/>
    <n v="4"/>
    <s v="No"/>
    <n v="14"/>
    <n v="3"/>
    <n v="0"/>
    <n v="23"/>
    <n v="2"/>
    <n v="8"/>
    <n v="0"/>
    <n v="0"/>
    <s v="PHD"/>
    <d v="2013-06-12T00:00:00"/>
    <m/>
    <s v="Dept.Head"/>
    <x v="0"/>
    <n v="3"/>
    <n v="0"/>
    <s v="Yes"/>
    <s v="Recruiter"/>
    <s v="Contract"/>
    <n v="0"/>
    <s v="Active"/>
    <x v="2"/>
    <x v="1"/>
    <x v="1"/>
  </r>
  <r>
    <n v="44"/>
    <s v="No"/>
    <s v="Travel_Rarely"/>
    <x v="0"/>
    <n v="2"/>
    <x v="1"/>
    <n v="4"/>
    <n v="3"/>
    <x v="7"/>
    <n v="4"/>
    <s v="Married"/>
    <n v="7879"/>
    <n v="1"/>
    <s v="Yes"/>
    <n v="19"/>
    <n v="3"/>
    <n v="1"/>
    <n v="9"/>
    <n v="2"/>
    <n v="8"/>
    <n v="6"/>
    <n v="7"/>
    <s v="Graduation"/>
    <d v="2013-03-25T00:00:00"/>
    <m/>
    <s v="Better Opportunity"/>
    <x v="1"/>
    <n v="3"/>
    <n v="3"/>
    <s v="No"/>
    <s v="Job Event"/>
    <s v="Part Time"/>
    <n v="0"/>
    <s v="Active"/>
    <x v="2"/>
    <x v="1"/>
    <x v="3"/>
  </r>
  <r>
    <n v="45"/>
    <s v="No"/>
    <s v="Non-Travel"/>
    <x v="1"/>
    <n v="2"/>
    <x v="1"/>
    <n v="3"/>
    <n v="2"/>
    <x v="4"/>
    <n v="3"/>
    <s v="Married"/>
    <n v="5154"/>
    <n v="4"/>
    <s v="No"/>
    <n v="22"/>
    <n v="4"/>
    <n v="2"/>
    <n v="10"/>
    <n v="3"/>
    <n v="8"/>
    <n v="5"/>
    <n v="7"/>
    <s v="Post-Graduation"/>
    <d v="2013-02-18T00:00:00"/>
    <m/>
    <s v="Salary"/>
    <x v="0"/>
    <n v="4"/>
    <n v="2"/>
    <s v="Yes"/>
    <s v="Job Portal"/>
    <s v="Part Time"/>
    <n v="0"/>
    <s v="Active"/>
    <x v="2"/>
    <x v="0"/>
    <x v="2"/>
  </r>
  <r>
    <n v="46"/>
    <s v="Yes"/>
    <s v="Travel_Rarely"/>
    <x v="1"/>
    <n v="10"/>
    <x v="1"/>
    <n v="3"/>
    <n v="3"/>
    <x v="4"/>
    <n v="2"/>
    <s v="Married"/>
    <n v="7314"/>
    <n v="5"/>
    <s v="No"/>
    <n v="21"/>
    <n v="4"/>
    <n v="3"/>
    <n v="14"/>
    <n v="2"/>
    <n v="8"/>
    <n v="0"/>
    <n v="7"/>
    <s v="Post-Graduation"/>
    <d v="2013-06-22T00:00:00"/>
    <m/>
    <s v="Salary"/>
    <x v="0"/>
    <n v="5"/>
    <n v="0"/>
    <s v="Yes"/>
    <s v="Walk-in"/>
    <s v="Part Time"/>
    <n v="1"/>
    <s v="Active"/>
    <x v="2"/>
    <x v="1"/>
    <x v="2"/>
  </r>
  <r>
    <n v="27"/>
    <s v="No"/>
    <s v="Travel_Rarely"/>
    <x v="1"/>
    <n v="2"/>
    <x v="1"/>
    <n v="4"/>
    <n v="2"/>
    <x v="4"/>
    <n v="3"/>
    <s v="Single"/>
    <n v="6500"/>
    <n v="0"/>
    <s v="No"/>
    <n v="14"/>
    <n v="3"/>
    <n v="0"/>
    <n v="9"/>
    <n v="5"/>
    <n v="8"/>
    <n v="0"/>
    <n v="7"/>
    <s v="12th"/>
    <d v="2013-02-23T00:00:00"/>
    <m/>
    <s v="Dept.Head"/>
    <x v="1"/>
    <n v="1"/>
    <n v="0"/>
    <s v="Yes"/>
    <s v="Recruiter"/>
    <s v="Contract"/>
    <n v="0"/>
    <s v="Active"/>
    <x v="2"/>
    <x v="0"/>
    <x v="2"/>
  </r>
  <r>
    <n v="47"/>
    <s v="No"/>
    <s v="Non-Travel"/>
    <x v="0"/>
    <n v="14"/>
    <x v="0"/>
    <n v="3"/>
    <n v="2"/>
    <x v="1"/>
    <n v="2"/>
    <s v="Married"/>
    <n v="5467"/>
    <n v="8"/>
    <s v="No"/>
    <n v="18"/>
    <n v="3"/>
    <n v="1"/>
    <n v="16"/>
    <n v="4"/>
    <n v="8"/>
    <n v="1"/>
    <n v="7"/>
    <s v="Post-Graduation"/>
    <d v="2013-05-26T00:00:00"/>
    <m/>
    <s v="Work Environment"/>
    <x v="1"/>
    <n v="0"/>
    <n v="0"/>
    <s v="No"/>
    <s v="Job Portal"/>
    <s v="Part Time"/>
    <n v="0"/>
    <s v="Active"/>
    <x v="2"/>
    <x v="0"/>
    <x v="0"/>
  </r>
  <r>
    <n v="34"/>
    <s v="No"/>
    <s v="Travel_Rarely"/>
    <x v="1"/>
    <n v="13"/>
    <x v="0"/>
    <n v="3"/>
    <n v="3"/>
    <x v="4"/>
    <n v="3"/>
    <s v="Divorced"/>
    <n v="8628"/>
    <n v="1"/>
    <s v="No"/>
    <n v="18"/>
    <n v="3"/>
    <n v="1"/>
    <n v="9"/>
    <n v="2"/>
    <n v="8"/>
    <n v="1"/>
    <n v="1"/>
    <s v="Graduation"/>
    <d v="2013-06-02T00:00:00"/>
    <m/>
    <s v="Work Environment"/>
    <x v="0"/>
    <n v="3"/>
    <n v="1"/>
    <s v="Yes"/>
    <s v="Recruiter"/>
    <s v="Part Time"/>
    <n v="0"/>
    <s v="Active"/>
    <x v="2"/>
    <x v="1"/>
    <x v="2"/>
  </r>
  <r>
    <n v="38"/>
    <s v="No"/>
    <s v="Travel_Frequently"/>
    <x v="0"/>
    <n v="6"/>
    <x v="0"/>
    <n v="2"/>
    <n v="2"/>
    <x v="6"/>
    <n v="3"/>
    <s v="Married"/>
    <n v="5321"/>
    <n v="2"/>
    <s v="No"/>
    <n v="11"/>
    <n v="3"/>
    <n v="1"/>
    <n v="10"/>
    <n v="1"/>
    <n v="8"/>
    <n v="7"/>
    <n v="7"/>
    <s v="Post-Graduation"/>
    <d v="2013-01-15T00:00:00"/>
    <m/>
    <s v="Dept.Head"/>
    <x v="0"/>
    <n v="5"/>
    <n v="0"/>
    <s v="Yes"/>
    <s v="Walk-in"/>
    <s v="FullTime"/>
    <n v="0"/>
    <s v="Active"/>
    <x v="2"/>
    <x v="0"/>
    <x v="3"/>
  </r>
  <r>
    <n v="38"/>
    <s v="No"/>
    <s v="Travel_Frequently"/>
    <x v="0"/>
    <n v="23"/>
    <x v="0"/>
    <n v="2"/>
    <n v="3"/>
    <x v="6"/>
    <n v="3"/>
    <s v="Single"/>
    <n v="9526"/>
    <n v="0"/>
    <s v="No"/>
    <n v="21"/>
    <n v="4"/>
    <n v="0"/>
    <n v="10"/>
    <n v="2"/>
    <n v="9"/>
    <n v="1"/>
    <n v="8"/>
    <s v="Post-Graduation"/>
    <d v="2012-05-14T00:00:00"/>
    <m/>
    <s v="Work Accident"/>
    <x v="1"/>
    <n v="2"/>
    <n v="1"/>
    <s v="No"/>
    <s v="Job Portal"/>
    <s v="Contract"/>
    <n v="0"/>
    <s v="Active"/>
    <x v="2"/>
    <x v="1"/>
    <x v="3"/>
  </r>
  <r>
    <n v="29"/>
    <s v="No"/>
    <s v="Travel_Rarely"/>
    <x v="0"/>
    <n v="15"/>
    <x v="1"/>
    <n v="2"/>
    <n v="2"/>
    <x v="0"/>
    <n v="3"/>
    <s v="Single"/>
    <n v="4193"/>
    <n v="0"/>
    <s v="Yes"/>
    <n v="12"/>
    <n v="3"/>
    <n v="0"/>
    <n v="10"/>
    <n v="3"/>
    <n v="9"/>
    <n v="0"/>
    <n v="8"/>
    <s v="PHD"/>
    <d v="2012-04-24T00:00:00"/>
    <m/>
    <s v="Work Accident"/>
    <x v="1"/>
    <n v="5"/>
    <n v="1"/>
    <s v="Yes"/>
    <s v="Job Portal"/>
    <s v="FullTime"/>
    <n v="0"/>
    <s v="Active"/>
    <x v="2"/>
    <x v="0"/>
    <x v="0"/>
  </r>
  <r>
    <n v="42"/>
    <s v="No"/>
    <s v="Travel_Rarely"/>
    <x v="1"/>
    <n v="8"/>
    <x v="0"/>
    <n v="3"/>
    <n v="2"/>
    <x v="4"/>
    <n v="2"/>
    <s v="Married"/>
    <n v="6825"/>
    <n v="0"/>
    <s v="No"/>
    <n v="11"/>
    <n v="3"/>
    <n v="1"/>
    <n v="10"/>
    <n v="2"/>
    <n v="9"/>
    <n v="4"/>
    <n v="2"/>
    <s v="Graduation"/>
    <d v="2012-02-21T00:00:00"/>
    <m/>
    <s v="Work Environment"/>
    <x v="0"/>
    <n v="0"/>
    <n v="0"/>
    <s v="No"/>
    <s v="Job Portal"/>
    <s v="FullTime"/>
    <n v="0"/>
    <s v="Active"/>
    <x v="2"/>
    <x v="0"/>
    <x v="2"/>
  </r>
  <r>
    <n v="27"/>
    <s v="No"/>
    <s v="Travel_Frequently"/>
    <x v="1"/>
    <n v="8"/>
    <x v="0"/>
    <n v="3"/>
    <n v="3"/>
    <x v="4"/>
    <n v="3"/>
    <s v="Single"/>
    <n v="8726"/>
    <n v="1"/>
    <s v="No"/>
    <n v="15"/>
    <n v="3"/>
    <n v="0"/>
    <n v="9"/>
    <n v="0"/>
    <n v="9"/>
    <n v="1"/>
    <n v="7"/>
    <s v="Post-Graduation"/>
    <d v="2012-03-10T00:00:00"/>
    <m/>
    <s v="Dept.Head"/>
    <x v="1"/>
    <n v="5"/>
    <n v="1"/>
    <s v="No"/>
    <s v="Recruiter"/>
    <s v="FullTime"/>
    <n v="0"/>
    <s v="Active"/>
    <x v="2"/>
    <x v="1"/>
    <x v="2"/>
  </r>
  <r>
    <n v="34"/>
    <s v="No"/>
    <s v="Non-Travel"/>
    <x v="1"/>
    <n v="23"/>
    <x v="0"/>
    <n v="3"/>
    <n v="2"/>
    <x v="4"/>
    <n v="3"/>
    <s v="Single"/>
    <n v="4568"/>
    <n v="0"/>
    <s v="No"/>
    <n v="20"/>
    <n v="4"/>
    <n v="0"/>
    <n v="10"/>
    <n v="2"/>
    <n v="9"/>
    <n v="8"/>
    <n v="7"/>
    <s v="12th"/>
    <d v="2012-06-27T00:00:00"/>
    <m/>
    <s v="Dept.Head"/>
    <x v="1"/>
    <n v="5"/>
    <n v="3"/>
    <s v="Yes"/>
    <s v="Walk-in"/>
    <s v="Part Time"/>
    <n v="0"/>
    <s v="Active"/>
    <x v="2"/>
    <x v="0"/>
    <x v="2"/>
  </r>
  <r>
    <n v="46"/>
    <s v="No"/>
    <s v="Travel_Frequently"/>
    <x v="1"/>
    <n v="5"/>
    <x v="0"/>
    <n v="3"/>
    <n v="2"/>
    <x v="4"/>
    <n v="4"/>
    <s v="Single"/>
    <n v="5772"/>
    <n v="4"/>
    <s v="Yes"/>
    <n v="21"/>
    <n v="4"/>
    <n v="0"/>
    <n v="14"/>
    <n v="4"/>
    <n v="9"/>
    <n v="0"/>
    <n v="8"/>
    <s v="12th"/>
    <d v="2012-02-03T00:00:00"/>
    <m/>
    <s v="Dept.Head"/>
    <x v="0"/>
    <n v="4"/>
    <n v="1"/>
    <s v="Yes"/>
    <s v="Job Portal"/>
    <s v="Contract"/>
    <n v="0"/>
    <s v="Active"/>
    <x v="2"/>
    <x v="0"/>
    <x v="2"/>
  </r>
  <r>
    <n v="35"/>
    <s v="No"/>
    <s v="Travel_Frequently"/>
    <x v="1"/>
    <n v="18"/>
    <x v="0"/>
    <n v="3"/>
    <n v="3"/>
    <x v="4"/>
    <n v="1"/>
    <s v="Married"/>
    <n v="9069"/>
    <n v="1"/>
    <s v="No"/>
    <n v="22"/>
    <n v="4"/>
    <n v="1"/>
    <n v="9"/>
    <n v="3"/>
    <n v="9"/>
    <n v="1"/>
    <n v="8"/>
    <s v="Post-Graduation"/>
    <d v="2012-05-11T00:00:00"/>
    <m/>
    <s v="Dept.Head"/>
    <x v="0"/>
    <n v="4"/>
    <n v="0"/>
    <s v="No"/>
    <s v="Job Event"/>
    <s v="FullTime"/>
    <n v="0"/>
    <s v="Active"/>
    <x v="2"/>
    <x v="1"/>
    <x v="2"/>
  </r>
  <r>
    <n v="32"/>
    <s v="No"/>
    <s v="Travel_Rarely"/>
    <x v="0"/>
    <n v="1"/>
    <x v="0"/>
    <n v="3"/>
    <n v="2"/>
    <x v="6"/>
    <n v="4"/>
    <s v="Married"/>
    <n v="6162"/>
    <n v="1"/>
    <s v="Yes"/>
    <n v="22"/>
    <n v="4"/>
    <n v="1"/>
    <n v="9"/>
    <n v="3"/>
    <n v="9"/>
    <n v="7"/>
    <n v="8"/>
    <s v="Graduation"/>
    <d v="2012-06-05T00:00:00"/>
    <m/>
    <s v="Work Environment"/>
    <x v="1"/>
    <n v="0"/>
    <n v="0"/>
    <s v="Yes"/>
    <s v="Job Event"/>
    <s v="FullTime"/>
    <n v="0"/>
    <s v="Active"/>
    <x v="2"/>
    <x v="0"/>
    <x v="3"/>
  </r>
  <r>
    <n v="46"/>
    <s v="Yes"/>
    <s v="Travel_Rarely"/>
    <x v="1"/>
    <n v="9"/>
    <x v="0"/>
    <n v="2"/>
    <n v="3"/>
    <x v="4"/>
    <n v="4"/>
    <s v="Single"/>
    <n v="9619"/>
    <n v="1"/>
    <s v="No"/>
    <n v="16"/>
    <n v="3"/>
    <n v="0"/>
    <n v="9"/>
    <n v="3"/>
    <n v="9"/>
    <n v="4"/>
    <n v="7"/>
    <s v="Post-Graduation"/>
    <d v="2012-04-25T00:00:00"/>
    <m/>
    <s v="Better Opportunity"/>
    <x v="1"/>
    <n v="2"/>
    <n v="3"/>
    <s v="No"/>
    <s v="Job Portal"/>
    <s v="FullTime"/>
    <n v="1"/>
    <s v="Active"/>
    <x v="2"/>
    <x v="1"/>
    <x v="2"/>
  </r>
  <r>
    <n v="34"/>
    <s v="Yes"/>
    <s v="Travel_Frequently"/>
    <x v="0"/>
    <n v="7"/>
    <x v="0"/>
    <n v="1"/>
    <n v="2"/>
    <x v="0"/>
    <n v="3"/>
    <s v="Single"/>
    <n v="6074"/>
    <n v="1"/>
    <s v="Yes"/>
    <n v="24"/>
    <n v="4"/>
    <n v="0"/>
    <n v="9"/>
    <n v="3"/>
    <n v="9"/>
    <n v="0"/>
    <n v="6"/>
    <s v="Graduation"/>
    <d v="2012-06-05T00:00:00"/>
    <m/>
    <s v="Salary"/>
    <x v="0"/>
    <n v="4"/>
    <n v="1"/>
    <s v="Yes"/>
    <s v="Job Portal"/>
    <s v="Part Time"/>
    <n v="1"/>
    <s v="Active"/>
    <x v="2"/>
    <x v="0"/>
    <x v="0"/>
  </r>
  <r>
    <n v="36"/>
    <s v="No"/>
    <s v="Travel_Frequently"/>
    <x v="1"/>
    <n v="11"/>
    <x v="1"/>
    <n v="3"/>
    <n v="3"/>
    <x v="4"/>
    <n v="4"/>
    <s v="Married"/>
    <n v="9738"/>
    <n v="0"/>
    <s v="No"/>
    <n v="14"/>
    <n v="3"/>
    <n v="1"/>
    <n v="10"/>
    <n v="6"/>
    <n v="9"/>
    <n v="2"/>
    <n v="8"/>
    <s v="Post-Graduation"/>
    <d v="2012-02-01T00:00:00"/>
    <m/>
    <s v="Work Environment"/>
    <x v="1"/>
    <n v="2"/>
    <n v="0"/>
    <s v="No"/>
    <s v="Walk-in"/>
    <s v="Contract"/>
    <n v="0"/>
    <s v="Active"/>
    <x v="2"/>
    <x v="1"/>
    <x v="2"/>
  </r>
  <r>
    <n v="41"/>
    <s v="No"/>
    <s v="Travel_Rarely"/>
    <x v="1"/>
    <n v="9"/>
    <x v="0"/>
    <n v="3"/>
    <n v="3"/>
    <x v="4"/>
    <n v="3"/>
    <s v="Divorced"/>
    <n v="8189"/>
    <n v="3"/>
    <s v="Yes"/>
    <n v="13"/>
    <n v="3"/>
    <n v="1"/>
    <n v="12"/>
    <n v="2"/>
    <n v="9"/>
    <n v="0"/>
    <n v="7"/>
    <s v="Post-Graduation"/>
    <d v="2012-03-09T00:00:00"/>
    <m/>
    <s v="Work Accident"/>
    <x v="0"/>
    <n v="3"/>
    <n v="1"/>
    <s v="Yes"/>
    <s v="Walk-in"/>
    <s v="Part Time"/>
    <n v="0"/>
    <s v="Active"/>
    <x v="2"/>
    <x v="1"/>
    <x v="2"/>
  </r>
  <r>
    <n v="32"/>
    <s v="No"/>
    <s v="Travel_Frequently"/>
    <x v="1"/>
    <n v="8"/>
    <x v="1"/>
    <n v="3"/>
    <n v="3"/>
    <x v="4"/>
    <n v="4"/>
    <s v="Single"/>
    <n v="8998"/>
    <n v="1"/>
    <s v="No"/>
    <n v="14"/>
    <n v="3"/>
    <n v="0"/>
    <n v="9"/>
    <n v="2"/>
    <n v="9"/>
    <n v="3"/>
    <n v="7"/>
    <s v="Graduation"/>
    <d v="2012-04-03T00:00:00"/>
    <m/>
    <s v="Salary"/>
    <x v="0"/>
    <n v="5"/>
    <n v="2"/>
    <s v="Yes"/>
    <s v="Recruiter"/>
    <s v="FullTime"/>
    <n v="0"/>
    <s v="Active"/>
    <x v="2"/>
    <x v="1"/>
    <x v="2"/>
  </r>
  <r>
    <n v="41"/>
    <s v="No"/>
    <s v="Travel_Rarely"/>
    <x v="0"/>
    <n v="14"/>
    <x v="0"/>
    <n v="3"/>
    <n v="1"/>
    <x v="1"/>
    <n v="3"/>
    <s v="Divorced"/>
    <n v="2451"/>
    <n v="4"/>
    <s v="No"/>
    <n v="12"/>
    <n v="3"/>
    <n v="1"/>
    <n v="13"/>
    <n v="2"/>
    <n v="9"/>
    <n v="1"/>
    <n v="8"/>
    <s v="PHD"/>
    <d v="2012-05-19T00:00:00"/>
    <m/>
    <s v="Dept.Head"/>
    <x v="1"/>
    <n v="4"/>
    <n v="3"/>
    <s v="Yes"/>
    <s v="Walk-in"/>
    <s v="Contract"/>
    <n v="0"/>
    <s v="Active"/>
    <x v="2"/>
    <x v="0"/>
    <x v="0"/>
  </r>
  <r>
    <n v="37"/>
    <s v="No"/>
    <s v="Travel_Frequently"/>
    <x v="1"/>
    <n v="4"/>
    <x v="0"/>
    <n v="3"/>
    <n v="1"/>
    <x v="3"/>
    <n v="4"/>
    <s v="Divorced"/>
    <n v="2793"/>
    <n v="4"/>
    <s v="No"/>
    <n v="17"/>
    <n v="3"/>
    <n v="1"/>
    <n v="13"/>
    <n v="2"/>
    <n v="9"/>
    <n v="5"/>
    <n v="8"/>
    <s v="PHD"/>
    <d v="2012-04-26T00:00:00"/>
    <m/>
    <s v="Better Opportunity"/>
    <x v="0"/>
    <n v="2"/>
    <n v="1"/>
    <s v="Yes"/>
    <s v="Recruiter"/>
    <s v="Contract"/>
    <n v="0"/>
    <s v="Active"/>
    <x v="2"/>
    <x v="0"/>
    <x v="2"/>
  </r>
  <r>
    <n v="33"/>
    <s v="Yes"/>
    <s v="Travel_Rarely"/>
    <x v="0"/>
    <n v="2"/>
    <x v="1"/>
    <n v="3"/>
    <n v="1"/>
    <x v="0"/>
    <n v="1"/>
    <s v="Married"/>
    <n v="2707"/>
    <n v="7"/>
    <s v="No"/>
    <n v="20"/>
    <n v="4"/>
    <n v="0"/>
    <n v="13"/>
    <n v="3"/>
    <n v="9"/>
    <n v="1"/>
    <n v="7"/>
    <s v="Post-Graduation"/>
    <d v="2012-02-20T00:00:00"/>
    <m/>
    <s v="Work Accident"/>
    <x v="1"/>
    <n v="0"/>
    <n v="1"/>
    <s v="Yes"/>
    <s v="Recruiter"/>
    <s v="FullTime"/>
    <n v="1"/>
    <s v="Active"/>
    <x v="2"/>
    <x v="0"/>
    <x v="0"/>
  </r>
  <r>
    <n v="40"/>
    <s v="No"/>
    <s v="Travel_Rarely"/>
    <x v="0"/>
    <n v="24"/>
    <x v="0"/>
    <n v="3"/>
    <n v="2"/>
    <x v="1"/>
    <n v="4"/>
    <s v="Divorced"/>
    <n v="3319"/>
    <n v="1"/>
    <s v="No"/>
    <n v="17"/>
    <n v="3"/>
    <n v="2"/>
    <n v="9"/>
    <n v="3"/>
    <n v="9"/>
    <n v="4"/>
    <n v="7"/>
    <s v="Post-Graduation"/>
    <d v="2012-05-01T00:00:00"/>
    <m/>
    <s v="Salary"/>
    <x v="1"/>
    <n v="2"/>
    <n v="1"/>
    <s v="Yes"/>
    <s v="Job Portal"/>
    <s v="FullTime"/>
    <n v="0"/>
    <s v="Active"/>
    <x v="2"/>
    <x v="0"/>
    <x v="0"/>
  </r>
  <r>
    <n v="42"/>
    <s v="No"/>
    <s v="Travel_Rarely"/>
    <x v="0"/>
    <n v="2"/>
    <x v="1"/>
    <n v="2"/>
    <n v="1"/>
    <x v="0"/>
    <n v="1"/>
    <s v="Divorced"/>
    <n v="2593"/>
    <n v="0"/>
    <s v="Yes"/>
    <n v="11"/>
    <n v="3"/>
    <n v="1"/>
    <n v="10"/>
    <n v="4"/>
    <n v="9"/>
    <n v="7"/>
    <n v="8"/>
    <s v="12th"/>
    <d v="2012-04-04T00:00:00"/>
    <m/>
    <s v="Work Environment"/>
    <x v="0"/>
    <n v="4"/>
    <n v="2"/>
    <s v="No"/>
    <s v="Walk-in"/>
    <s v="Contract"/>
    <n v="0"/>
    <s v="Active"/>
    <x v="2"/>
    <x v="0"/>
    <x v="0"/>
  </r>
  <r>
    <n v="31"/>
    <s v="No"/>
    <s v="Travel_Rarely"/>
    <x v="0"/>
    <n v="23"/>
    <x v="0"/>
    <n v="2"/>
    <n v="2"/>
    <x v="7"/>
    <n v="4"/>
    <s v="Married"/>
    <n v="5582"/>
    <n v="0"/>
    <s v="No"/>
    <n v="21"/>
    <n v="4"/>
    <n v="1"/>
    <n v="10"/>
    <n v="2"/>
    <n v="9"/>
    <n v="7"/>
    <n v="8"/>
    <s v="Post-Graduation"/>
    <d v="2012-04-22T00:00:00"/>
    <m/>
    <s v="Work Accident"/>
    <x v="0"/>
    <n v="4"/>
    <n v="1"/>
    <s v="No"/>
    <s v="Job Event"/>
    <s v="FullTime"/>
    <n v="0"/>
    <s v="Active"/>
    <x v="2"/>
    <x v="0"/>
    <x v="3"/>
  </r>
  <r>
    <n v="36"/>
    <s v="No"/>
    <s v="Non-Travel"/>
    <x v="0"/>
    <n v="24"/>
    <x v="1"/>
    <n v="3"/>
    <n v="2"/>
    <x v="0"/>
    <n v="2"/>
    <s v="Married"/>
    <n v="5674"/>
    <n v="7"/>
    <s v="No"/>
    <n v="15"/>
    <n v="3"/>
    <n v="1"/>
    <n v="11"/>
    <n v="3"/>
    <n v="9"/>
    <n v="0"/>
    <n v="8"/>
    <s v="12th"/>
    <d v="2012-02-17T00:00:00"/>
    <m/>
    <s v="Work Accident"/>
    <x v="1"/>
    <n v="5"/>
    <n v="1"/>
    <s v="Yes"/>
    <s v="Recruiter"/>
    <s v="Contract"/>
    <n v="0"/>
    <s v="Active"/>
    <x v="2"/>
    <x v="0"/>
    <x v="0"/>
  </r>
  <r>
    <n v="43"/>
    <s v="No"/>
    <s v="Travel_Frequently"/>
    <x v="0"/>
    <n v="10"/>
    <x v="1"/>
    <n v="2"/>
    <n v="2"/>
    <x v="0"/>
    <n v="3"/>
    <s v="Divorced"/>
    <n v="5257"/>
    <n v="1"/>
    <s v="No"/>
    <n v="11"/>
    <n v="3"/>
    <n v="1"/>
    <n v="9"/>
    <n v="3"/>
    <n v="9"/>
    <n v="0"/>
    <n v="0"/>
    <s v="Graduation"/>
    <d v="2012-02-23T00:00:00"/>
    <m/>
    <s v="Better Opportunity"/>
    <x v="0"/>
    <n v="3"/>
    <n v="3"/>
    <s v="No"/>
    <s v="Recruiter"/>
    <s v="FullTime"/>
    <n v="0"/>
    <s v="Active"/>
    <x v="2"/>
    <x v="0"/>
    <x v="0"/>
  </r>
  <r>
    <n v="30"/>
    <s v="No"/>
    <s v="Non-Travel"/>
    <x v="1"/>
    <n v="22"/>
    <x v="1"/>
    <n v="3"/>
    <n v="3"/>
    <x v="4"/>
    <n v="1"/>
    <s v="Married"/>
    <n v="8412"/>
    <n v="0"/>
    <s v="No"/>
    <n v="11"/>
    <n v="3"/>
    <n v="0"/>
    <n v="10"/>
    <n v="3"/>
    <n v="9"/>
    <n v="7"/>
    <n v="8"/>
    <s v="Graduation"/>
    <d v="2012-04-13T00:00:00"/>
    <m/>
    <s v="Work Environment"/>
    <x v="1"/>
    <n v="4"/>
    <n v="2"/>
    <s v="Yes"/>
    <s v="Recruiter"/>
    <s v="Part Time"/>
    <n v="0"/>
    <s v="Active"/>
    <x v="2"/>
    <x v="1"/>
    <x v="2"/>
  </r>
  <r>
    <n v="48"/>
    <s v="No"/>
    <s v="Travel_Rarely"/>
    <x v="1"/>
    <n v="2"/>
    <x v="1"/>
    <n v="3"/>
    <n v="2"/>
    <x v="4"/>
    <n v="4"/>
    <s v="Married"/>
    <n v="4051"/>
    <n v="2"/>
    <s v="No"/>
    <n v="14"/>
    <n v="3"/>
    <n v="1"/>
    <n v="14"/>
    <n v="2"/>
    <n v="9"/>
    <n v="6"/>
    <n v="7"/>
    <s v="PHD"/>
    <d v="2012-02-15T00:00:00"/>
    <m/>
    <s v="Work Accident"/>
    <x v="0"/>
    <n v="2"/>
    <n v="0"/>
    <s v="Yes"/>
    <s v="Job Portal"/>
    <s v="Part Time"/>
    <n v="0"/>
    <s v="Active"/>
    <x v="2"/>
    <x v="0"/>
    <x v="2"/>
  </r>
  <r>
    <n v="37"/>
    <s v="No"/>
    <s v="Non-Travel"/>
    <x v="1"/>
    <n v="9"/>
    <x v="0"/>
    <n v="3"/>
    <n v="3"/>
    <x v="4"/>
    <n v="2"/>
    <s v="Divorced"/>
    <n v="8834"/>
    <n v="1"/>
    <s v="No"/>
    <n v="13"/>
    <n v="3"/>
    <n v="1"/>
    <n v="9"/>
    <n v="6"/>
    <n v="9"/>
    <n v="7"/>
    <n v="7"/>
    <s v="PHD"/>
    <d v="2012-01-15T00:00:00"/>
    <m/>
    <s v="Salary"/>
    <x v="1"/>
    <n v="3"/>
    <n v="2"/>
    <s v="No"/>
    <s v="Job Event"/>
    <s v="FullTime"/>
    <n v="0"/>
    <s v="Active"/>
    <x v="2"/>
    <x v="1"/>
    <x v="2"/>
  </r>
  <r>
    <n v="54"/>
    <s v="No"/>
    <s v="Travel_Rarely"/>
    <x v="2"/>
    <n v="19"/>
    <x v="0"/>
    <n v="3"/>
    <n v="3"/>
    <x v="8"/>
    <n v="2"/>
    <s v="Married"/>
    <n v="10725"/>
    <n v="2"/>
    <s v="No"/>
    <n v="15"/>
    <n v="3"/>
    <n v="1"/>
    <n v="16"/>
    <n v="1"/>
    <n v="9"/>
    <n v="7"/>
    <n v="1"/>
    <s v="Graduation"/>
    <d v="2012-01-07T00:00:00"/>
    <m/>
    <s v="Dept.Head"/>
    <x v="0"/>
    <n v="4"/>
    <n v="0"/>
    <s v="No"/>
    <s v="Job Portal"/>
    <s v="Part Time"/>
    <n v="0"/>
    <s v="Active"/>
    <x v="2"/>
    <x v="1"/>
    <x v="4"/>
  </r>
  <r>
    <n v="38"/>
    <s v="No"/>
    <s v="Travel_Rarely"/>
    <x v="0"/>
    <n v="1"/>
    <x v="1"/>
    <n v="4"/>
    <n v="2"/>
    <x v="7"/>
    <n v="4"/>
    <s v="Single"/>
    <n v="7625"/>
    <n v="0"/>
    <s v="No"/>
    <n v="13"/>
    <n v="3"/>
    <n v="0"/>
    <n v="10"/>
    <n v="4"/>
    <n v="9"/>
    <n v="1"/>
    <n v="8"/>
    <s v="12th"/>
    <d v="2012-04-02T00:00:00"/>
    <m/>
    <s v="Better Opportunity"/>
    <x v="0"/>
    <n v="3"/>
    <n v="3"/>
    <s v="No"/>
    <s v="Walk-in"/>
    <s v="Contract"/>
    <n v="0"/>
    <s v="Active"/>
    <x v="2"/>
    <x v="1"/>
    <x v="3"/>
  </r>
  <r>
    <n v="27"/>
    <s v="No"/>
    <s v="Travel_Rarely"/>
    <x v="0"/>
    <n v="1"/>
    <x v="1"/>
    <n v="3"/>
    <n v="3"/>
    <x v="6"/>
    <n v="1"/>
    <s v="Married"/>
    <n v="7412"/>
    <n v="1"/>
    <s v="No"/>
    <n v="11"/>
    <n v="3"/>
    <n v="0"/>
    <n v="9"/>
    <n v="3"/>
    <n v="9"/>
    <n v="0"/>
    <n v="7"/>
    <s v="Post-Graduation"/>
    <d v="2012-03-28T00:00:00"/>
    <m/>
    <s v="Better Opportunity"/>
    <x v="0"/>
    <n v="2"/>
    <n v="2"/>
    <s v="Yes"/>
    <s v="Recruiter"/>
    <s v="Contract"/>
    <n v="0"/>
    <s v="Active"/>
    <x v="2"/>
    <x v="1"/>
    <x v="3"/>
  </r>
  <r>
    <n v="27"/>
    <s v="No"/>
    <s v="Travel_Frequently"/>
    <x v="0"/>
    <n v="10"/>
    <x v="0"/>
    <n v="3"/>
    <n v="3"/>
    <x v="6"/>
    <n v="1"/>
    <s v="Divorced"/>
    <n v="8793"/>
    <n v="1"/>
    <s v="No"/>
    <n v="21"/>
    <n v="4"/>
    <n v="2"/>
    <n v="9"/>
    <n v="4"/>
    <n v="9"/>
    <n v="1"/>
    <n v="7"/>
    <s v="PHD"/>
    <d v="2012-01-11T00:00:00"/>
    <m/>
    <s v="Dept.Head"/>
    <x v="0"/>
    <n v="1"/>
    <n v="3"/>
    <s v="No"/>
    <s v="Recruiter"/>
    <s v="Contract"/>
    <n v="0"/>
    <s v="Active"/>
    <x v="2"/>
    <x v="1"/>
    <x v="3"/>
  </r>
  <r>
    <n v="36"/>
    <s v="No"/>
    <s v="Travel_Rarely"/>
    <x v="0"/>
    <n v="1"/>
    <x v="1"/>
    <n v="3"/>
    <n v="2"/>
    <x v="6"/>
    <n v="2"/>
    <s v="Married"/>
    <n v="5228"/>
    <n v="0"/>
    <s v="No"/>
    <n v="15"/>
    <n v="3"/>
    <n v="1"/>
    <n v="10"/>
    <n v="2"/>
    <n v="9"/>
    <n v="0"/>
    <n v="5"/>
    <s v="Post-Graduation"/>
    <d v="2012-05-15T00:00:00"/>
    <m/>
    <s v="Dept.Head"/>
    <x v="1"/>
    <n v="0"/>
    <n v="0"/>
    <s v="Yes"/>
    <s v="Job Portal"/>
    <s v="Contract"/>
    <n v="0"/>
    <s v="Active"/>
    <x v="2"/>
    <x v="0"/>
    <x v="3"/>
  </r>
  <r>
    <n v="42"/>
    <s v="No"/>
    <s v="Travel_Rarely"/>
    <x v="0"/>
    <n v="29"/>
    <x v="0"/>
    <n v="3"/>
    <n v="2"/>
    <x v="6"/>
    <n v="2"/>
    <s v="Married"/>
    <n v="4434"/>
    <n v="1"/>
    <s v="No"/>
    <n v="13"/>
    <n v="3"/>
    <n v="1"/>
    <n v="10"/>
    <n v="3"/>
    <n v="9"/>
    <n v="7"/>
    <n v="8"/>
    <s v="Graduation"/>
    <d v="2012-06-13T00:00:00"/>
    <m/>
    <s v="Work Environment"/>
    <x v="1"/>
    <n v="4"/>
    <n v="3"/>
    <s v="Yes"/>
    <s v="Recruiter"/>
    <s v="FullTime"/>
    <n v="0"/>
    <s v="Active"/>
    <x v="2"/>
    <x v="0"/>
    <x v="3"/>
  </r>
  <r>
    <n v="49"/>
    <s v="Yes"/>
    <s v="Travel_Rarely"/>
    <x v="1"/>
    <n v="11"/>
    <x v="1"/>
    <n v="3"/>
    <n v="3"/>
    <x v="4"/>
    <n v="4"/>
    <s v="Married"/>
    <n v="7654"/>
    <n v="1"/>
    <s v="No"/>
    <n v="18"/>
    <n v="3"/>
    <n v="2"/>
    <n v="9"/>
    <n v="3"/>
    <n v="9"/>
    <n v="7"/>
    <n v="7"/>
    <s v="12th"/>
    <d v="2012-01-15T00:00:00"/>
    <m/>
    <s v="Work Accident"/>
    <x v="0"/>
    <n v="4"/>
    <n v="0"/>
    <s v="Yes"/>
    <s v="Job Event"/>
    <s v="Contract"/>
    <n v="1"/>
    <s v="Active"/>
    <x v="2"/>
    <x v="1"/>
    <x v="2"/>
  </r>
  <r>
    <n v="55"/>
    <s v="Yes"/>
    <s v="Travel_Rarely"/>
    <x v="1"/>
    <n v="2"/>
    <x v="0"/>
    <n v="3"/>
    <n v="2"/>
    <x v="4"/>
    <n v="4"/>
    <s v="Single"/>
    <n v="5160"/>
    <n v="4"/>
    <s v="No"/>
    <n v="16"/>
    <n v="3"/>
    <n v="0"/>
    <n v="12"/>
    <n v="3"/>
    <n v="9"/>
    <n v="7"/>
    <n v="3"/>
    <s v="Post-Graduation"/>
    <d v="2012-02-18T00:00:00"/>
    <m/>
    <s v="Work Accident"/>
    <x v="1"/>
    <n v="0"/>
    <n v="2"/>
    <s v="No"/>
    <s v="Job Event"/>
    <s v="Part Time"/>
    <n v="1"/>
    <s v="Active"/>
    <x v="2"/>
    <x v="0"/>
    <x v="2"/>
  </r>
  <r>
    <n v="27"/>
    <s v="No"/>
    <s v="Travel_Rarely"/>
    <x v="0"/>
    <n v="5"/>
    <x v="0"/>
    <n v="2"/>
    <n v="3"/>
    <x v="2"/>
    <n v="4"/>
    <s v="Divorced"/>
    <n v="12808"/>
    <n v="1"/>
    <s v="Yes"/>
    <n v="16"/>
    <n v="3"/>
    <n v="1"/>
    <n v="9"/>
    <n v="3"/>
    <n v="9"/>
    <n v="0"/>
    <n v="8"/>
    <s v="12th"/>
    <d v="2012-06-19T00:00:00"/>
    <m/>
    <s v="Work Accident"/>
    <x v="1"/>
    <n v="4"/>
    <n v="0"/>
    <s v="Yes"/>
    <s v="Walk-in"/>
    <s v="FullTime"/>
    <n v="0"/>
    <s v="Active"/>
    <x v="2"/>
    <x v="1"/>
    <x v="1"/>
  </r>
  <r>
    <n v="33"/>
    <s v="No"/>
    <s v="Travel_Rarely"/>
    <x v="1"/>
    <n v="1"/>
    <x v="0"/>
    <n v="4"/>
    <n v="2"/>
    <x v="4"/>
    <n v="1"/>
    <s v="Divorced"/>
    <n v="4037"/>
    <n v="1"/>
    <s v="No"/>
    <n v="22"/>
    <n v="4"/>
    <n v="1"/>
    <n v="9"/>
    <n v="5"/>
    <n v="9"/>
    <n v="0"/>
    <n v="8"/>
    <s v="PHD"/>
    <d v="2012-01-03T00:00:00"/>
    <m/>
    <s v="Better Opportunity"/>
    <x v="0"/>
    <n v="2"/>
    <n v="3"/>
    <s v="Yes"/>
    <s v="Walk-in"/>
    <s v="FullTime"/>
    <n v="0"/>
    <s v="Active"/>
    <x v="2"/>
    <x v="0"/>
    <x v="2"/>
  </r>
  <r>
    <n v="52"/>
    <s v="No"/>
    <s v="Travel_Frequently"/>
    <x v="0"/>
    <n v="25"/>
    <x v="1"/>
    <n v="2"/>
    <n v="4"/>
    <x v="6"/>
    <n v="4"/>
    <s v="Married"/>
    <n v="13826"/>
    <n v="3"/>
    <s v="No"/>
    <n v="22"/>
    <n v="4"/>
    <n v="0"/>
    <n v="31"/>
    <n v="3"/>
    <n v="9"/>
    <n v="0"/>
    <n v="0"/>
    <s v="PHD"/>
    <d v="2012-04-30T00:00:00"/>
    <m/>
    <s v="Better Opportunity"/>
    <x v="0"/>
    <n v="2"/>
    <n v="3"/>
    <s v="No"/>
    <s v="Job Event"/>
    <s v="FullTime"/>
    <n v="0"/>
    <s v="Active"/>
    <x v="2"/>
    <x v="1"/>
    <x v="3"/>
  </r>
  <r>
    <n v="31"/>
    <s v="No"/>
    <s v="Non-Travel"/>
    <x v="1"/>
    <n v="20"/>
    <x v="1"/>
    <n v="3"/>
    <n v="2"/>
    <x v="4"/>
    <n v="3"/>
    <s v="Married"/>
    <n v="6932"/>
    <n v="1"/>
    <s v="No"/>
    <n v="13"/>
    <n v="3"/>
    <n v="1"/>
    <n v="9"/>
    <n v="2"/>
    <n v="9"/>
    <n v="0"/>
    <n v="0"/>
    <s v="PHD"/>
    <d v="2012-02-06T00:00:00"/>
    <m/>
    <s v="Dept.Head"/>
    <x v="1"/>
    <n v="3"/>
    <n v="1"/>
    <s v="Yes"/>
    <s v="Job Portal"/>
    <s v="Contract"/>
    <n v="0"/>
    <s v="Active"/>
    <x v="2"/>
    <x v="0"/>
    <x v="2"/>
  </r>
  <r>
    <n v="31"/>
    <s v="No"/>
    <s v="Travel_Rarely"/>
    <x v="0"/>
    <n v="12"/>
    <x v="1"/>
    <n v="3"/>
    <n v="2"/>
    <x v="7"/>
    <n v="4"/>
    <s v="Married"/>
    <n v="5855"/>
    <n v="0"/>
    <s v="Yes"/>
    <n v="11"/>
    <n v="3"/>
    <n v="2"/>
    <n v="10"/>
    <n v="2"/>
    <n v="9"/>
    <n v="8"/>
    <n v="5"/>
    <s v="Graduation"/>
    <d v="2012-04-12T00:00:00"/>
    <m/>
    <s v="Dept.Head"/>
    <x v="1"/>
    <n v="3"/>
    <n v="1"/>
    <s v="Yes"/>
    <s v="Job Event"/>
    <s v="Part Time"/>
    <n v="0"/>
    <s v="Active"/>
    <x v="2"/>
    <x v="0"/>
    <x v="3"/>
  </r>
  <r>
    <n v="45"/>
    <s v="No"/>
    <s v="Non-Travel"/>
    <x v="0"/>
    <n v="4"/>
    <x v="0"/>
    <n v="3"/>
    <n v="2"/>
    <x v="0"/>
    <n v="2"/>
    <s v="Married"/>
    <n v="4447"/>
    <n v="1"/>
    <s v="No"/>
    <n v="12"/>
    <n v="3"/>
    <n v="0"/>
    <n v="9"/>
    <n v="5"/>
    <n v="9"/>
    <n v="0"/>
    <n v="8"/>
    <s v="Graduation"/>
    <d v="2012-04-25T00:00:00"/>
    <m/>
    <s v="Salary"/>
    <x v="0"/>
    <n v="2"/>
    <n v="2"/>
    <s v="Yes"/>
    <s v="Job Portal"/>
    <s v="FullTime"/>
    <n v="0"/>
    <s v="Active"/>
    <x v="2"/>
    <x v="0"/>
    <x v="0"/>
  </r>
  <r>
    <n v="52"/>
    <s v="No"/>
    <s v="Travel_Rarely"/>
    <x v="0"/>
    <n v="1"/>
    <x v="0"/>
    <n v="3"/>
    <n v="4"/>
    <x v="5"/>
    <n v="4"/>
    <s v="Married"/>
    <n v="17099"/>
    <n v="2"/>
    <s v="No"/>
    <n v="15"/>
    <n v="3"/>
    <n v="1"/>
    <n v="26"/>
    <n v="2"/>
    <n v="9"/>
    <n v="7"/>
    <n v="8"/>
    <s v="PHD"/>
    <d v="2012-06-02T00:00:00"/>
    <m/>
    <s v="Salary"/>
    <x v="0"/>
    <n v="0"/>
    <n v="1"/>
    <s v="No"/>
    <s v="Walk-in"/>
    <s v="Part Time"/>
    <n v="0"/>
    <s v="Active"/>
    <x v="2"/>
    <x v="1"/>
    <x v="1"/>
  </r>
  <r>
    <n v="45"/>
    <s v="No"/>
    <s v="Non-Travel"/>
    <x v="0"/>
    <n v="23"/>
    <x v="0"/>
    <n v="3"/>
    <n v="2"/>
    <x v="0"/>
    <n v="1"/>
    <s v="Married"/>
    <n v="3633"/>
    <n v="1"/>
    <s v="Yes"/>
    <n v="15"/>
    <n v="3"/>
    <n v="1"/>
    <n v="9"/>
    <n v="2"/>
    <n v="9"/>
    <n v="0"/>
    <n v="8"/>
    <s v="Graduation"/>
    <d v="2012-03-24T00:00:00"/>
    <m/>
    <s v="Dept.Head"/>
    <x v="0"/>
    <n v="1"/>
    <n v="3"/>
    <s v="Yes"/>
    <s v="Walk-in"/>
    <s v="FullTime"/>
    <n v="0"/>
    <s v="Active"/>
    <x v="2"/>
    <x v="0"/>
    <x v="0"/>
  </r>
  <r>
    <n v="47"/>
    <s v="No"/>
    <s v="Travel_Rarely"/>
    <x v="1"/>
    <n v="4"/>
    <x v="1"/>
    <n v="3"/>
    <n v="2"/>
    <x v="4"/>
    <n v="4"/>
    <s v="Single"/>
    <n v="4163"/>
    <n v="1"/>
    <s v="Yes"/>
    <n v="17"/>
    <n v="3"/>
    <n v="0"/>
    <n v="9"/>
    <n v="0"/>
    <n v="9"/>
    <n v="0"/>
    <n v="7"/>
    <s v="Post-Graduation"/>
    <d v="2012-02-23T00:00:00"/>
    <m/>
    <s v="Salary"/>
    <x v="1"/>
    <n v="0"/>
    <n v="0"/>
    <s v="Yes"/>
    <s v="Walk-in"/>
    <s v="Part Time"/>
    <n v="0"/>
    <s v="Active"/>
    <x v="2"/>
    <x v="0"/>
    <x v="2"/>
  </r>
  <r>
    <n v="45"/>
    <s v="No"/>
    <s v="Travel_Rarely"/>
    <x v="1"/>
    <n v="11"/>
    <x v="1"/>
    <n v="3"/>
    <n v="4"/>
    <x v="5"/>
    <n v="4"/>
    <s v="Married"/>
    <n v="17650"/>
    <n v="3"/>
    <s v="No"/>
    <n v="13"/>
    <n v="3"/>
    <n v="1"/>
    <n v="26"/>
    <n v="4"/>
    <n v="9"/>
    <n v="1"/>
    <n v="1"/>
    <s v="PHD"/>
    <d v="2012-05-01T00:00:00"/>
    <m/>
    <s v="Dept.Head"/>
    <x v="1"/>
    <n v="5"/>
    <n v="2"/>
    <s v="No"/>
    <s v="Recruiter"/>
    <s v="Contract"/>
    <n v="0"/>
    <s v="Active"/>
    <x v="2"/>
    <x v="1"/>
    <x v="1"/>
  </r>
  <r>
    <n v="54"/>
    <s v="No"/>
    <s v="Travel_Rarely"/>
    <x v="1"/>
    <n v="2"/>
    <x v="1"/>
    <n v="2"/>
    <n v="3"/>
    <x v="4"/>
    <n v="3"/>
    <s v="Married"/>
    <n v="10686"/>
    <n v="6"/>
    <s v="No"/>
    <n v="11"/>
    <n v="3"/>
    <n v="1"/>
    <n v="13"/>
    <n v="4"/>
    <n v="9"/>
    <n v="7"/>
    <n v="0"/>
    <s v="PHD"/>
    <d v="2012-05-16T00:00:00"/>
    <m/>
    <s v="Dept.Head"/>
    <x v="0"/>
    <n v="3"/>
    <n v="3"/>
    <s v="No"/>
    <s v="Recruiter"/>
    <s v="FullTime"/>
    <n v="0"/>
    <s v="Active"/>
    <x v="2"/>
    <x v="1"/>
    <x v="2"/>
  </r>
  <r>
    <n v="55"/>
    <s v="No"/>
    <s v="Non-Travel"/>
    <x v="0"/>
    <n v="2"/>
    <x v="0"/>
    <n v="2"/>
    <n v="4"/>
    <x v="5"/>
    <n v="1"/>
    <s v="Single"/>
    <n v="16756"/>
    <n v="7"/>
    <s v="No"/>
    <n v="15"/>
    <n v="3"/>
    <n v="0"/>
    <n v="31"/>
    <n v="3"/>
    <n v="9"/>
    <n v="6"/>
    <n v="2"/>
    <s v="Post-Graduation"/>
    <d v="2012-06-14T00:00:00"/>
    <m/>
    <s v="Dept.Head"/>
    <x v="0"/>
    <n v="4"/>
    <n v="3"/>
    <s v="Yes"/>
    <s v="Recruiter"/>
    <s v="Contract"/>
    <n v="0"/>
    <s v="Active"/>
    <x v="2"/>
    <x v="1"/>
    <x v="1"/>
  </r>
  <r>
    <n v="28"/>
    <s v="No"/>
    <s v="Travel_Rarely"/>
    <x v="0"/>
    <n v="3"/>
    <x v="1"/>
    <n v="3"/>
    <n v="3"/>
    <x v="6"/>
    <n v="2"/>
    <s v="Divorced"/>
    <n v="7655"/>
    <n v="0"/>
    <s v="No"/>
    <n v="17"/>
    <n v="3"/>
    <n v="3"/>
    <n v="10"/>
    <n v="3"/>
    <n v="9"/>
    <n v="1"/>
    <n v="7"/>
    <s v="Post-Graduation"/>
    <d v="2012-01-10T00:00:00"/>
    <m/>
    <s v="Better Opportunity"/>
    <x v="0"/>
    <n v="3"/>
    <n v="2"/>
    <s v="No"/>
    <s v="Walk-in"/>
    <s v="FullTime"/>
    <n v="0"/>
    <s v="Active"/>
    <x v="2"/>
    <x v="1"/>
    <x v="3"/>
  </r>
  <r>
    <n v="49"/>
    <s v="No"/>
    <s v="Travel_Rarely"/>
    <x v="1"/>
    <n v="8"/>
    <x v="0"/>
    <n v="2"/>
    <n v="4"/>
    <x v="4"/>
    <n v="2"/>
    <s v="Married"/>
    <n v="13120"/>
    <n v="6"/>
    <s v="No"/>
    <n v="17"/>
    <n v="3"/>
    <n v="1"/>
    <n v="22"/>
    <n v="3"/>
    <n v="9"/>
    <n v="2"/>
    <n v="3"/>
    <s v="12th"/>
    <d v="2012-03-20T00:00:00"/>
    <m/>
    <s v="Work Accident"/>
    <x v="1"/>
    <n v="5"/>
    <n v="1"/>
    <s v="No"/>
    <s v="Recruiter"/>
    <s v="Part Time"/>
    <n v="0"/>
    <s v="Active"/>
    <x v="2"/>
    <x v="1"/>
    <x v="2"/>
  </r>
  <r>
    <n v="27"/>
    <s v="No"/>
    <s v="Travel_Rarely"/>
    <x v="0"/>
    <n v="14"/>
    <x v="0"/>
    <n v="3"/>
    <n v="1"/>
    <x v="1"/>
    <n v="1"/>
    <s v="Married"/>
    <n v="2235"/>
    <n v="1"/>
    <s v="Yes"/>
    <n v="14"/>
    <n v="3"/>
    <n v="2"/>
    <n v="9"/>
    <n v="3"/>
    <n v="9"/>
    <n v="6"/>
    <n v="8"/>
    <s v="Post-Graduation"/>
    <d v="2012-06-14T00:00:00"/>
    <m/>
    <s v="Work Accident"/>
    <x v="1"/>
    <n v="4"/>
    <n v="1"/>
    <s v="No"/>
    <s v="Job Portal"/>
    <s v="Part Time"/>
    <n v="0"/>
    <s v="Active"/>
    <x v="2"/>
    <x v="0"/>
    <x v="0"/>
  </r>
  <r>
    <n v="33"/>
    <s v="No"/>
    <s v="Travel_Rarely"/>
    <x v="1"/>
    <n v="10"/>
    <x v="0"/>
    <n v="4"/>
    <n v="3"/>
    <x v="4"/>
    <n v="3"/>
    <s v="Divorced"/>
    <n v="8380"/>
    <n v="0"/>
    <s v="Yes"/>
    <n v="14"/>
    <n v="3"/>
    <n v="2"/>
    <n v="10"/>
    <n v="3"/>
    <n v="9"/>
    <n v="0"/>
    <n v="8"/>
    <s v="Post-Graduation"/>
    <d v="2012-03-11T00:00:00"/>
    <m/>
    <s v="Better Opportunity"/>
    <x v="0"/>
    <n v="2"/>
    <n v="1"/>
    <s v="No"/>
    <s v="Recruiter"/>
    <s v="FullTime"/>
    <n v="0"/>
    <s v="Active"/>
    <x v="2"/>
    <x v="1"/>
    <x v="2"/>
  </r>
  <r>
    <n v="59"/>
    <s v="No"/>
    <s v="Travel_Rarely"/>
    <x v="0"/>
    <n v="18"/>
    <x v="0"/>
    <n v="3"/>
    <n v="3"/>
    <x v="6"/>
    <n v="4"/>
    <s v="Single"/>
    <n v="10512"/>
    <n v="6"/>
    <s v="No"/>
    <n v="12"/>
    <n v="3"/>
    <n v="0"/>
    <n v="25"/>
    <n v="6"/>
    <n v="9"/>
    <n v="5"/>
    <n v="4"/>
    <s v="Graduation"/>
    <d v="2012-06-14T00:00:00"/>
    <m/>
    <s v="Dept.Head"/>
    <x v="0"/>
    <n v="4"/>
    <n v="1"/>
    <s v="No"/>
    <s v="Recruiter"/>
    <s v="FullTime"/>
    <n v="0"/>
    <s v="Active"/>
    <x v="2"/>
    <x v="1"/>
    <x v="3"/>
  </r>
  <r>
    <n v="30"/>
    <s v="No"/>
    <s v="Travel_Rarely"/>
    <x v="0"/>
    <n v="6"/>
    <x v="1"/>
    <n v="2"/>
    <n v="2"/>
    <x v="0"/>
    <n v="4"/>
    <s v="Married"/>
    <n v="4627"/>
    <n v="0"/>
    <s v="No"/>
    <n v="12"/>
    <n v="3"/>
    <n v="1"/>
    <n v="10"/>
    <n v="6"/>
    <n v="9"/>
    <n v="6"/>
    <n v="7"/>
    <s v="Post-Graduation"/>
    <d v="2012-02-29T00:00:00"/>
    <m/>
    <s v="Work Accident"/>
    <x v="1"/>
    <n v="3"/>
    <n v="0"/>
    <s v="No"/>
    <s v="Job Event"/>
    <s v="Contract"/>
    <n v="0"/>
    <s v="Active"/>
    <x v="2"/>
    <x v="0"/>
    <x v="0"/>
  </r>
  <r>
    <n v="28"/>
    <s v="No"/>
    <s v="Non-Travel"/>
    <x v="0"/>
    <n v="1"/>
    <x v="1"/>
    <n v="1"/>
    <n v="2"/>
    <x v="0"/>
    <n v="4"/>
    <s v="Married"/>
    <n v="6674"/>
    <n v="0"/>
    <s v="No"/>
    <n v="11"/>
    <n v="3"/>
    <n v="3"/>
    <n v="10"/>
    <n v="6"/>
    <n v="9"/>
    <n v="7"/>
    <n v="5"/>
    <s v="Graduation"/>
    <d v="2012-04-18T00:00:00"/>
    <m/>
    <s v="Work Environment"/>
    <x v="0"/>
    <n v="2"/>
    <n v="2"/>
    <s v="No"/>
    <s v="Job Portal"/>
    <s v="Part Time"/>
    <n v="0"/>
    <s v="Active"/>
    <x v="2"/>
    <x v="0"/>
    <x v="0"/>
  </r>
  <r>
    <n v="30"/>
    <s v="No"/>
    <s v="Travel_Rarely"/>
    <x v="0"/>
    <n v="17"/>
    <x v="1"/>
    <n v="3"/>
    <n v="3"/>
    <x v="5"/>
    <n v="1"/>
    <s v="Married"/>
    <n v="11916"/>
    <n v="1"/>
    <s v="Yes"/>
    <n v="23"/>
    <n v="4"/>
    <n v="2"/>
    <n v="9"/>
    <n v="2"/>
    <n v="9"/>
    <n v="0"/>
    <n v="8"/>
    <s v="Graduation"/>
    <d v="2012-02-23T00:00:00"/>
    <m/>
    <s v="Better Opportunity"/>
    <x v="0"/>
    <n v="1"/>
    <n v="3"/>
    <s v="No"/>
    <s v="Job Event"/>
    <s v="Part Time"/>
    <n v="0"/>
    <s v="Active"/>
    <x v="2"/>
    <x v="1"/>
    <x v="1"/>
  </r>
  <r>
    <n v="34"/>
    <s v="No"/>
    <s v="Travel_Rarely"/>
    <x v="0"/>
    <n v="9"/>
    <x v="0"/>
    <n v="3"/>
    <n v="3"/>
    <x v="7"/>
    <n v="4"/>
    <s v="Divorced"/>
    <n v="8500"/>
    <n v="0"/>
    <s v="No"/>
    <n v="11"/>
    <n v="3"/>
    <n v="1"/>
    <n v="10"/>
    <n v="0"/>
    <n v="9"/>
    <n v="1"/>
    <n v="6"/>
    <s v="PHD"/>
    <d v="2012-03-03T00:00:00"/>
    <m/>
    <s v="Work Environment"/>
    <x v="0"/>
    <n v="0"/>
    <n v="1"/>
    <s v="No"/>
    <s v="Walk-in"/>
    <s v="FullTime"/>
    <n v="0"/>
    <s v="Active"/>
    <x v="2"/>
    <x v="1"/>
    <x v="3"/>
  </r>
  <r>
    <n v="40"/>
    <s v="No"/>
    <s v="Travel_Rarely"/>
    <x v="0"/>
    <n v="2"/>
    <x v="0"/>
    <n v="3"/>
    <n v="2"/>
    <x v="1"/>
    <n v="4"/>
    <s v="Single"/>
    <n v="4661"/>
    <n v="1"/>
    <s v="No"/>
    <n v="13"/>
    <n v="3"/>
    <n v="0"/>
    <n v="9"/>
    <n v="4"/>
    <n v="9"/>
    <n v="8"/>
    <n v="8"/>
    <s v="Post-Graduation"/>
    <d v="2012-03-15T00:00:00"/>
    <m/>
    <s v="Salary"/>
    <x v="1"/>
    <n v="0"/>
    <n v="2"/>
    <s v="Yes"/>
    <s v="Walk-in"/>
    <s v="Part Time"/>
    <n v="0"/>
    <s v="Active"/>
    <x v="2"/>
    <x v="0"/>
    <x v="0"/>
  </r>
  <r>
    <n v="41"/>
    <s v="No"/>
    <s v="Travel_Frequently"/>
    <x v="1"/>
    <n v="1"/>
    <x v="1"/>
    <n v="3"/>
    <n v="2"/>
    <x v="4"/>
    <n v="1"/>
    <s v="Divorced"/>
    <n v="4103"/>
    <n v="0"/>
    <s v="No"/>
    <n v="17"/>
    <n v="3"/>
    <n v="1"/>
    <n v="10"/>
    <n v="2"/>
    <n v="9"/>
    <n v="1"/>
    <n v="7"/>
    <s v="12th"/>
    <d v="2012-03-16T00:00:00"/>
    <m/>
    <s v="Work Environment"/>
    <x v="0"/>
    <n v="0"/>
    <n v="3"/>
    <s v="No"/>
    <s v="Recruiter"/>
    <s v="FullTime"/>
    <n v="0"/>
    <s v="Active"/>
    <x v="2"/>
    <x v="0"/>
    <x v="2"/>
  </r>
  <r>
    <n v="35"/>
    <s v="No"/>
    <s v="Travel_Frequently"/>
    <x v="0"/>
    <n v="4"/>
    <x v="0"/>
    <n v="3"/>
    <n v="2"/>
    <x v="1"/>
    <n v="3"/>
    <s v="Single"/>
    <n v="4249"/>
    <n v="1"/>
    <s v="Yes"/>
    <n v="11"/>
    <n v="3"/>
    <n v="0"/>
    <n v="9"/>
    <n v="3"/>
    <n v="9"/>
    <n v="1"/>
    <n v="1"/>
    <s v="Graduation"/>
    <d v="2012-05-08T00:00:00"/>
    <m/>
    <s v="Work Environment"/>
    <x v="1"/>
    <n v="1"/>
    <n v="3"/>
    <s v="No"/>
    <s v="Job Portal"/>
    <s v="FullTime"/>
    <n v="0"/>
    <s v="Active"/>
    <x v="2"/>
    <x v="0"/>
    <x v="0"/>
  </r>
  <r>
    <n v="35"/>
    <s v="No"/>
    <s v="Travel_Rarely"/>
    <x v="0"/>
    <n v="1"/>
    <x v="1"/>
    <n v="2"/>
    <n v="2"/>
    <x v="0"/>
    <n v="4"/>
    <s v="Married"/>
    <n v="5363"/>
    <n v="0"/>
    <s v="No"/>
    <n v="12"/>
    <n v="3"/>
    <n v="1"/>
    <n v="10"/>
    <n v="0"/>
    <n v="9"/>
    <n v="0"/>
    <n v="0"/>
    <s v="12th"/>
    <d v="2012-02-09T00:00:00"/>
    <m/>
    <s v="Better Opportunity"/>
    <x v="0"/>
    <n v="3"/>
    <n v="3"/>
    <s v="No"/>
    <s v="Recruiter"/>
    <s v="FullTime"/>
    <n v="0"/>
    <s v="Active"/>
    <x v="2"/>
    <x v="0"/>
    <x v="0"/>
  </r>
  <r>
    <n v="58"/>
    <s v="No"/>
    <s v="Travel_Rarely"/>
    <x v="0"/>
    <n v="1"/>
    <x v="1"/>
    <n v="3"/>
    <n v="5"/>
    <x v="2"/>
    <n v="1"/>
    <s v="Married"/>
    <n v="19701"/>
    <n v="3"/>
    <s v="Yes"/>
    <n v="21"/>
    <n v="4"/>
    <n v="1"/>
    <n v="32"/>
    <n v="3"/>
    <n v="9"/>
    <n v="1"/>
    <n v="5"/>
    <s v="PHD"/>
    <d v="2012-01-12T00:00:00"/>
    <m/>
    <s v="Dept.Head"/>
    <x v="0"/>
    <n v="4"/>
    <n v="0"/>
    <s v="Yes"/>
    <s v="Job Portal"/>
    <s v="Part Time"/>
    <n v="0"/>
    <s v="Active"/>
    <x v="2"/>
    <x v="1"/>
    <x v="1"/>
  </r>
  <r>
    <n v="40"/>
    <s v="No"/>
    <s v="Non-Travel"/>
    <x v="0"/>
    <n v="8"/>
    <x v="0"/>
    <n v="2"/>
    <n v="3"/>
    <x v="2"/>
    <n v="2"/>
    <s v="Divorced"/>
    <n v="13757"/>
    <n v="2"/>
    <s v="No"/>
    <n v="11"/>
    <n v="3"/>
    <n v="1"/>
    <n v="16"/>
    <n v="5"/>
    <n v="9"/>
    <n v="4"/>
    <n v="8"/>
    <s v="12th"/>
    <d v="2012-02-17T00:00:00"/>
    <m/>
    <s v="Dept.Head"/>
    <x v="0"/>
    <n v="0"/>
    <n v="2"/>
    <s v="Yes"/>
    <s v="Walk-in"/>
    <s v="Contract"/>
    <n v="0"/>
    <s v="Active"/>
    <x v="2"/>
    <x v="1"/>
    <x v="1"/>
  </r>
  <r>
    <n v="53"/>
    <s v="No"/>
    <s v="Travel_Rarely"/>
    <x v="0"/>
    <n v="2"/>
    <x v="0"/>
    <n v="4"/>
    <n v="4"/>
    <x v="2"/>
    <n v="2"/>
    <s v="Single"/>
    <n v="16598"/>
    <n v="4"/>
    <s v="No"/>
    <n v="12"/>
    <n v="3"/>
    <n v="0"/>
    <n v="35"/>
    <n v="2"/>
    <n v="9"/>
    <n v="8"/>
    <n v="8"/>
    <s v="Post-Graduation"/>
    <d v="2012-04-28T00:00:00"/>
    <m/>
    <s v="Work Environment"/>
    <x v="0"/>
    <n v="0"/>
    <n v="1"/>
    <s v="No"/>
    <s v="Recruiter"/>
    <s v="FullTime"/>
    <n v="0"/>
    <s v="Active"/>
    <x v="2"/>
    <x v="1"/>
    <x v="1"/>
  </r>
  <r>
    <n v="29"/>
    <s v="Yes"/>
    <s v="Travel_Rarely"/>
    <x v="0"/>
    <n v="1"/>
    <x v="0"/>
    <n v="2"/>
    <n v="1"/>
    <x v="1"/>
    <n v="1"/>
    <s v="Single"/>
    <n v="2362"/>
    <n v="6"/>
    <s v="No"/>
    <n v="13"/>
    <n v="3"/>
    <n v="0"/>
    <n v="11"/>
    <n v="2"/>
    <n v="9"/>
    <n v="0"/>
    <n v="7"/>
    <s v="PHD"/>
    <d v="2012-02-03T00:00:00"/>
    <m/>
    <s v="Salary"/>
    <x v="0"/>
    <n v="4"/>
    <n v="3"/>
    <s v="No"/>
    <s v="Recruiter"/>
    <s v="FullTime"/>
    <n v="1"/>
    <s v="Active"/>
    <x v="2"/>
    <x v="0"/>
    <x v="0"/>
  </r>
  <r>
    <n v="38"/>
    <s v="No"/>
    <s v="Travel_Rarely"/>
    <x v="1"/>
    <n v="14"/>
    <x v="0"/>
    <n v="3"/>
    <n v="2"/>
    <x v="4"/>
    <n v="2"/>
    <s v="Married"/>
    <n v="9924"/>
    <n v="0"/>
    <s v="No"/>
    <n v="11"/>
    <n v="3"/>
    <n v="1"/>
    <n v="10"/>
    <n v="3"/>
    <n v="9"/>
    <n v="7"/>
    <n v="7"/>
    <s v="Post-Graduation"/>
    <d v="2012-02-05T00:00:00"/>
    <m/>
    <s v="Better Opportunity"/>
    <x v="0"/>
    <n v="4"/>
    <n v="3"/>
    <s v="No"/>
    <s v="Job Portal"/>
    <s v="Contract"/>
    <n v="0"/>
    <s v="Active"/>
    <x v="2"/>
    <x v="1"/>
    <x v="2"/>
  </r>
  <r>
    <n v="34"/>
    <s v="No"/>
    <s v="Travel_Frequently"/>
    <x v="0"/>
    <n v="10"/>
    <x v="0"/>
    <n v="4"/>
    <n v="2"/>
    <x v="6"/>
    <n v="4"/>
    <s v="Divorced"/>
    <n v="4724"/>
    <n v="1"/>
    <s v="No"/>
    <n v="13"/>
    <n v="3"/>
    <n v="1"/>
    <n v="9"/>
    <n v="3"/>
    <n v="9"/>
    <n v="7"/>
    <n v="2"/>
    <s v="PHD"/>
    <d v="2012-01-28T00:00:00"/>
    <m/>
    <s v="Dept.Head"/>
    <x v="1"/>
    <n v="1"/>
    <n v="1"/>
    <s v="No"/>
    <s v="Job Event"/>
    <s v="Contract"/>
    <n v="0"/>
    <s v="Active"/>
    <x v="2"/>
    <x v="0"/>
    <x v="3"/>
  </r>
  <r>
    <n v="49"/>
    <s v="No"/>
    <s v="Travel_Rarely"/>
    <x v="0"/>
    <n v="25"/>
    <x v="1"/>
    <n v="3"/>
    <n v="1"/>
    <x v="0"/>
    <n v="1"/>
    <s v="Married"/>
    <n v="3211"/>
    <n v="1"/>
    <s v="No"/>
    <n v="14"/>
    <n v="3"/>
    <n v="1"/>
    <n v="10"/>
    <n v="3"/>
    <n v="9"/>
    <n v="1"/>
    <n v="4"/>
    <s v="Post-Graduation"/>
    <d v="2012-02-16T00:00:00"/>
    <m/>
    <s v="Work Environment"/>
    <x v="0"/>
    <n v="5"/>
    <n v="3"/>
    <s v="Yes"/>
    <s v="Job Event"/>
    <s v="Part Time"/>
    <n v="0"/>
    <s v="Active"/>
    <x v="2"/>
    <x v="0"/>
    <x v="0"/>
  </r>
  <r>
    <n v="39"/>
    <s v="No"/>
    <s v="Travel_Frequently"/>
    <x v="0"/>
    <n v="4"/>
    <x v="1"/>
    <n v="3"/>
    <n v="2"/>
    <x v="6"/>
    <n v="3"/>
    <s v="Single"/>
    <n v="5042"/>
    <n v="0"/>
    <s v="No"/>
    <n v="13"/>
    <n v="3"/>
    <n v="0"/>
    <n v="10"/>
    <n v="2"/>
    <n v="9"/>
    <n v="3"/>
    <n v="8"/>
    <s v="Graduation"/>
    <d v="2012-06-30T00:00:00"/>
    <m/>
    <s v="Work Accident"/>
    <x v="1"/>
    <n v="5"/>
    <n v="2"/>
    <s v="No"/>
    <s v="Job Portal"/>
    <s v="Part Time"/>
    <n v="0"/>
    <s v="Active"/>
    <x v="2"/>
    <x v="0"/>
    <x v="3"/>
  </r>
  <r>
    <n v="32"/>
    <s v="No"/>
    <s v="Travel_Rarely"/>
    <x v="0"/>
    <n v="2"/>
    <x v="0"/>
    <n v="3"/>
    <n v="2"/>
    <x v="1"/>
    <n v="2"/>
    <s v="Divorced"/>
    <n v="5470"/>
    <n v="0"/>
    <s v="No"/>
    <n v="13"/>
    <n v="3"/>
    <n v="2"/>
    <n v="10"/>
    <n v="4"/>
    <n v="9"/>
    <n v="1"/>
    <n v="6"/>
    <s v="Graduation"/>
    <d v="2012-02-19T00:00:00"/>
    <m/>
    <s v="Salary"/>
    <x v="0"/>
    <n v="5"/>
    <n v="1"/>
    <s v="No"/>
    <s v="Job Portal"/>
    <s v="Contract"/>
    <n v="0"/>
    <s v="Active"/>
    <x v="2"/>
    <x v="0"/>
    <x v="0"/>
  </r>
  <r>
    <n v="48"/>
    <s v="Yes"/>
    <s v="Travel_Frequently"/>
    <x v="1"/>
    <n v="7"/>
    <x v="1"/>
    <n v="3"/>
    <n v="1"/>
    <x v="3"/>
    <n v="3"/>
    <s v="Married"/>
    <n v="2655"/>
    <n v="2"/>
    <s v="Yes"/>
    <n v="11"/>
    <n v="3"/>
    <n v="2"/>
    <n v="19"/>
    <n v="3"/>
    <n v="9"/>
    <n v="7"/>
    <n v="7"/>
    <s v="12th"/>
    <d v="2012-05-28T00:00:00"/>
    <m/>
    <s v="Better Opportunity"/>
    <x v="1"/>
    <n v="3"/>
    <n v="0"/>
    <s v="No"/>
    <s v="Job Event"/>
    <s v="Contract"/>
    <n v="1"/>
    <s v="Active"/>
    <x v="2"/>
    <x v="0"/>
    <x v="2"/>
  </r>
  <r>
    <n v="39"/>
    <s v="No"/>
    <s v="Non-Travel"/>
    <x v="0"/>
    <n v="1"/>
    <x v="0"/>
    <n v="3"/>
    <n v="2"/>
    <x v="0"/>
    <n v="4"/>
    <s v="Married"/>
    <n v="6472"/>
    <n v="1"/>
    <s v="Yes"/>
    <n v="15"/>
    <n v="3"/>
    <n v="1"/>
    <n v="9"/>
    <n v="2"/>
    <n v="9"/>
    <n v="5"/>
    <n v="8"/>
    <s v="Graduation"/>
    <d v="2012-06-23T00:00:00"/>
    <m/>
    <s v="Dept.Head"/>
    <x v="0"/>
    <n v="4"/>
    <n v="2"/>
    <s v="Yes"/>
    <s v="Job Event"/>
    <s v="Contract"/>
    <n v="0"/>
    <s v="Active"/>
    <x v="2"/>
    <x v="0"/>
    <x v="0"/>
  </r>
  <r>
    <n v="30"/>
    <s v="No"/>
    <s v="Travel_Frequently"/>
    <x v="0"/>
    <n v="2"/>
    <x v="1"/>
    <n v="2"/>
    <n v="1"/>
    <x v="1"/>
    <n v="1"/>
    <s v="Single"/>
    <n v="4968"/>
    <n v="0"/>
    <s v="No"/>
    <n v="16"/>
    <n v="3"/>
    <n v="0"/>
    <n v="10"/>
    <n v="2"/>
    <n v="9"/>
    <n v="0"/>
    <n v="7"/>
    <s v="Post-Graduation"/>
    <d v="2012-01-02T00:00:00"/>
    <m/>
    <s v="Work Accident"/>
    <x v="1"/>
    <n v="0"/>
    <n v="2"/>
    <s v="No"/>
    <s v="Job Portal"/>
    <s v="Part Time"/>
    <n v="0"/>
    <s v="Active"/>
    <x v="2"/>
    <x v="0"/>
    <x v="0"/>
  </r>
  <r>
    <n v="33"/>
    <s v="No"/>
    <s v="Non-Travel"/>
    <x v="0"/>
    <n v="4"/>
    <x v="0"/>
    <n v="3"/>
    <n v="2"/>
    <x v="1"/>
    <n v="2"/>
    <s v="Divorced"/>
    <n v="3055"/>
    <n v="5"/>
    <s v="No"/>
    <n v="15"/>
    <n v="3"/>
    <n v="2"/>
    <n v="11"/>
    <n v="2"/>
    <n v="9"/>
    <n v="1"/>
    <n v="7"/>
    <s v="PHD"/>
    <d v="2012-01-08T00:00:00"/>
    <m/>
    <s v="Dept.Head"/>
    <x v="1"/>
    <n v="4"/>
    <n v="2"/>
    <s v="Yes"/>
    <s v="Job Event"/>
    <s v="Contract"/>
    <n v="0"/>
    <s v="Active"/>
    <x v="2"/>
    <x v="0"/>
    <x v="0"/>
  </r>
  <r>
    <n v="43"/>
    <s v="No"/>
    <s v="Travel_Rarely"/>
    <x v="2"/>
    <n v="2"/>
    <x v="0"/>
    <n v="3"/>
    <n v="1"/>
    <x v="8"/>
    <n v="4"/>
    <s v="Single"/>
    <n v="3539"/>
    <n v="0"/>
    <s v="No"/>
    <n v="13"/>
    <n v="3"/>
    <n v="0"/>
    <n v="10"/>
    <n v="5"/>
    <n v="9"/>
    <n v="1"/>
    <n v="8"/>
    <s v="PHD"/>
    <d v="2012-05-03T00:00:00"/>
    <m/>
    <s v="Work Environment"/>
    <x v="0"/>
    <n v="3"/>
    <n v="1"/>
    <s v="No"/>
    <s v="Recruiter"/>
    <s v="Contract"/>
    <n v="0"/>
    <s v="Active"/>
    <x v="2"/>
    <x v="0"/>
    <x v="4"/>
  </r>
  <r>
    <n v="46"/>
    <s v="Yes"/>
    <s v="Travel_Rarely"/>
    <x v="0"/>
    <n v="21"/>
    <x v="1"/>
    <n v="3"/>
    <n v="2"/>
    <x v="7"/>
    <n v="2"/>
    <s v="Married"/>
    <n v="8926"/>
    <n v="4"/>
    <s v="No"/>
    <n v="22"/>
    <n v="4"/>
    <n v="1"/>
    <n v="13"/>
    <n v="2"/>
    <n v="9"/>
    <n v="3"/>
    <n v="7"/>
    <s v="Graduation"/>
    <d v="2012-06-26T00:00:00"/>
    <m/>
    <s v="Better Opportunity"/>
    <x v="0"/>
    <n v="0"/>
    <n v="3"/>
    <s v="No"/>
    <s v="Walk-in"/>
    <s v="Part Time"/>
    <n v="1"/>
    <s v="Active"/>
    <x v="2"/>
    <x v="1"/>
    <x v="3"/>
  </r>
  <r>
    <n v="46"/>
    <s v="No"/>
    <s v="Travel_Rarely"/>
    <x v="0"/>
    <n v="2"/>
    <x v="0"/>
    <n v="3"/>
    <n v="3"/>
    <x v="6"/>
    <n v="4"/>
    <s v="Divorced"/>
    <n v="8578"/>
    <n v="3"/>
    <s v="No"/>
    <n v="14"/>
    <n v="3"/>
    <n v="1"/>
    <n v="12"/>
    <n v="4"/>
    <n v="9"/>
    <n v="4"/>
    <n v="7"/>
    <s v="12th"/>
    <d v="2012-01-28T00:00:00"/>
    <m/>
    <s v="Better Opportunity"/>
    <x v="0"/>
    <n v="2"/>
    <n v="3"/>
    <s v="Yes"/>
    <s v="Job Event"/>
    <s v="Contract"/>
    <n v="0"/>
    <s v="Active"/>
    <x v="2"/>
    <x v="1"/>
    <x v="3"/>
  </r>
  <r>
    <n v="27"/>
    <s v="No"/>
    <s v="Travel_Rarely"/>
    <x v="1"/>
    <n v="23"/>
    <x v="1"/>
    <n v="2"/>
    <n v="2"/>
    <x v="3"/>
    <n v="3"/>
    <s v="Married"/>
    <n v="3540"/>
    <n v="1"/>
    <s v="No"/>
    <n v="21"/>
    <n v="4"/>
    <n v="1"/>
    <n v="9"/>
    <n v="5"/>
    <n v="9"/>
    <n v="5"/>
    <n v="8"/>
    <s v="Post-Graduation"/>
    <d v="2012-05-09T00:00:00"/>
    <m/>
    <s v="Work Accident"/>
    <x v="1"/>
    <n v="3"/>
    <n v="2"/>
    <s v="No"/>
    <s v="Job Portal"/>
    <s v="Contract"/>
    <n v="0"/>
    <s v="Active"/>
    <x v="2"/>
    <x v="0"/>
    <x v="2"/>
  </r>
  <r>
    <n v="45"/>
    <s v="No"/>
    <s v="Travel_Rarely"/>
    <x v="0"/>
    <n v="25"/>
    <x v="1"/>
    <n v="2"/>
    <n v="2"/>
    <x v="6"/>
    <n v="4"/>
    <s v="Married"/>
    <n v="5906"/>
    <n v="0"/>
    <s v="No"/>
    <n v="13"/>
    <n v="3"/>
    <n v="2"/>
    <n v="10"/>
    <n v="2"/>
    <n v="9"/>
    <n v="3"/>
    <n v="8"/>
    <s v="Post-Graduation"/>
    <d v="2012-06-16T00:00:00"/>
    <m/>
    <s v="Better Opportunity"/>
    <x v="1"/>
    <n v="3"/>
    <n v="1"/>
    <s v="Yes"/>
    <s v="Job Portal"/>
    <s v="Contract"/>
    <n v="0"/>
    <s v="Active"/>
    <x v="2"/>
    <x v="0"/>
    <x v="3"/>
  </r>
  <r>
    <n v="33"/>
    <s v="No"/>
    <s v="Travel_Frequently"/>
    <x v="0"/>
    <n v="7"/>
    <x v="0"/>
    <n v="3"/>
    <n v="2"/>
    <x v="7"/>
    <n v="3"/>
    <s v="Divorced"/>
    <n v="5968"/>
    <n v="1"/>
    <s v="No"/>
    <n v="20"/>
    <n v="4"/>
    <n v="3"/>
    <n v="9"/>
    <n v="2"/>
    <n v="9"/>
    <n v="2"/>
    <n v="8"/>
    <s v="12th"/>
    <d v="2012-04-26T00:00:00"/>
    <m/>
    <s v="Work Environment"/>
    <x v="1"/>
    <n v="1"/>
    <n v="0"/>
    <s v="No"/>
    <s v="Job Event"/>
    <s v="Contract"/>
    <n v="0"/>
    <s v="Active"/>
    <x v="2"/>
    <x v="0"/>
    <x v="3"/>
  </r>
  <r>
    <n v="33"/>
    <s v="No"/>
    <s v="Travel_Rarely"/>
    <x v="0"/>
    <n v="15"/>
    <x v="1"/>
    <n v="3"/>
    <n v="2"/>
    <x v="7"/>
    <n v="4"/>
    <s v="Married"/>
    <n v="4878"/>
    <n v="0"/>
    <s v="Yes"/>
    <n v="13"/>
    <n v="3"/>
    <n v="1"/>
    <n v="10"/>
    <n v="6"/>
    <n v="9"/>
    <n v="8"/>
    <n v="1"/>
    <s v="Post-Graduation"/>
    <d v="2012-03-05T00:00:00"/>
    <m/>
    <s v="Work Environment"/>
    <x v="0"/>
    <n v="0"/>
    <n v="3"/>
    <s v="No"/>
    <s v="Job Portal"/>
    <s v="Part Time"/>
    <n v="0"/>
    <s v="Active"/>
    <x v="2"/>
    <x v="0"/>
    <x v="3"/>
  </r>
  <r>
    <n v="52"/>
    <s v="No"/>
    <s v="Non-Travel"/>
    <x v="1"/>
    <n v="29"/>
    <x v="0"/>
    <n v="3"/>
    <n v="1"/>
    <x v="3"/>
    <n v="4"/>
    <s v="Divorced"/>
    <n v="3482"/>
    <n v="2"/>
    <s v="No"/>
    <n v="15"/>
    <n v="3"/>
    <n v="2"/>
    <n v="16"/>
    <n v="3"/>
    <n v="9"/>
    <n v="0"/>
    <n v="0"/>
    <s v="PHD"/>
    <d v="2012-03-10T00:00:00"/>
    <m/>
    <s v="Salary"/>
    <x v="1"/>
    <n v="1"/>
    <n v="1"/>
    <s v="No"/>
    <s v="Job Event"/>
    <s v="Part Time"/>
    <n v="0"/>
    <s v="Active"/>
    <x v="2"/>
    <x v="0"/>
    <x v="2"/>
  </r>
  <r>
    <n v="36"/>
    <s v="No"/>
    <s v="Travel_Rarely"/>
    <x v="1"/>
    <n v="3"/>
    <x v="1"/>
    <n v="2"/>
    <n v="3"/>
    <x v="4"/>
    <n v="4"/>
    <s v="Married"/>
    <n v="7644"/>
    <n v="0"/>
    <s v="No"/>
    <n v="19"/>
    <n v="3"/>
    <n v="2"/>
    <n v="10"/>
    <n v="2"/>
    <n v="9"/>
    <n v="3"/>
    <n v="4"/>
    <s v="Graduation"/>
    <d v="2012-05-07T00:00:00"/>
    <m/>
    <s v="Salary"/>
    <x v="0"/>
    <n v="5"/>
    <n v="0"/>
    <s v="Yes"/>
    <s v="Recruiter"/>
    <s v="Part Time"/>
    <n v="0"/>
    <s v="Active"/>
    <x v="2"/>
    <x v="1"/>
    <x v="2"/>
  </r>
  <r>
    <n v="35"/>
    <s v="No"/>
    <s v="Travel_Rarely"/>
    <x v="2"/>
    <n v="26"/>
    <x v="1"/>
    <n v="3"/>
    <n v="3"/>
    <x v="8"/>
    <n v="4"/>
    <s v="Single"/>
    <n v="8837"/>
    <n v="1"/>
    <s v="Yes"/>
    <n v="16"/>
    <n v="3"/>
    <n v="0"/>
    <n v="9"/>
    <n v="2"/>
    <n v="9"/>
    <n v="1"/>
    <n v="7"/>
    <s v="Graduation"/>
    <d v="2012-06-14T00:00:00"/>
    <m/>
    <s v="Work Accident"/>
    <x v="1"/>
    <n v="4"/>
    <n v="1"/>
    <s v="Yes"/>
    <s v="Job Event"/>
    <s v="Part Time"/>
    <n v="0"/>
    <s v="Active"/>
    <x v="2"/>
    <x v="1"/>
    <x v="4"/>
  </r>
  <r>
    <n v="31"/>
    <s v="No"/>
    <s v="Non-Travel"/>
    <x v="0"/>
    <n v="5"/>
    <x v="0"/>
    <n v="3"/>
    <n v="2"/>
    <x v="6"/>
    <n v="1"/>
    <s v="Single"/>
    <n v="9936"/>
    <n v="0"/>
    <s v="No"/>
    <n v="19"/>
    <n v="3"/>
    <n v="0"/>
    <n v="10"/>
    <n v="2"/>
    <n v="9"/>
    <n v="1"/>
    <n v="7"/>
    <s v="PHD"/>
    <d v="2012-02-24T00:00:00"/>
    <m/>
    <s v="Better Opportunity"/>
    <x v="1"/>
    <n v="2"/>
    <n v="2"/>
    <s v="No"/>
    <s v="Job Portal"/>
    <s v="Contract"/>
    <n v="0"/>
    <s v="Active"/>
    <x v="2"/>
    <x v="1"/>
    <x v="3"/>
  </r>
  <r>
    <n v="49"/>
    <s v="No"/>
    <s v="Travel_Frequently"/>
    <x v="1"/>
    <n v="2"/>
    <x v="0"/>
    <n v="2"/>
    <n v="2"/>
    <x v="4"/>
    <n v="2"/>
    <s v="Married"/>
    <n v="5390"/>
    <n v="2"/>
    <s v="No"/>
    <n v="14"/>
    <n v="3"/>
    <n v="0"/>
    <n v="17"/>
    <n v="3"/>
    <n v="9"/>
    <n v="0"/>
    <n v="8"/>
    <s v="PHD"/>
    <d v="2012-03-17T00:00:00"/>
    <m/>
    <s v="Salary"/>
    <x v="1"/>
    <n v="3"/>
    <n v="0"/>
    <s v="No"/>
    <s v="Job Portal"/>
    <s v="Contract"/>
    <n v="0"/>
    <s v="Active"/>
    <x v="2"/>
    <x v="0"/>
    <x v="2"/>
  </r>
  <r>
    <n v="49"/>
    <s v="No"/>
    <s v="Travel_Frequently"/>
    <x v="0"/>
    <n v="8"/>
    <x v="0"/>
    <n v="2"/>
    <n v="2"/>
    <x v="1"/>
    <n v="2"/>
    <s v="Married"/>
    <n v="5130"/>
    <n v="1"/>
    <s v="No"/>
    <n v="23"/>
    <n v="4"/>
    <n v="1"/>
    <n v="10"/>
    <n v="3"/>
    <n v="10"/>
    <n v="1"/>
    <n v="7"/>
    <s v="Graduation"/>
    <d v="2011-03-06T00:00:00"/>
    <m/>
    <s v="Salary"/>
    <x v="0"/>
    <n v="2"/>
    <n v="0"/>
    <s v="No"/>
    <s v="Recruiter"/>
    <s v="FullTime"/>
    <n v="0"/>
    <s v="Active"/>
    <x v="2"/>
    <x v="0"/>
    <x v="0"/>
  </r>
  <r>
    <n v="29"/>
    <s v="No"/>
    <s v="Travel_Rarely"/>
    <x v="0"/>
    <n v="21"/>
    <x v="1"/>
    <n v="4"/>
    <n v="3"/>
    <x v="6"/>
    <n v="1"/>
    <s v="Divorced"/>
    <n v="9980"/>
    <n v="1"/>
    <s v="No"/>
    <n v="11"/>
    <n v="3"/>
    <n v="1"/>
    <n v="10"/>
    <n v="1"/>
    <n v="10"/>
    <n v="8"/>
    <n v="8"/>
    <s v="Graduation"/>
    <d v="2011-03-27T00:00:00"/>
    <m/>
    <s v="Work Environment"/>
    <x v="0"/>
    <n v="3"/>
    <n v="3"/>
    <s v="No"/>
    <s v="Recruiter"/>
    <s v="Part Time"/>
    <n v="0"/>
    <s v="Active"/>
    <x v="2"/>
    <x v="1"/>
    <x v="3"/>
  </r>
  <r>
    <n v="32"/>
    <s v="Yes"/>
    <s v="Travel_Frequently"/>
    <x v="0"/>
    <n v="16"/>
    <x v="1"/>
    <n v="1"/>
    <n v="1"/>
    <x v="1"/>
    <n v="1"/>
    <s v="Single"/>
    <n v="3919"/>
    <n v="1"/>
    <s v="Yes"/>
    <n v="22"/>
    <n v="4"/>
    <n v="0"/>
    <n v="10"/>
    <n v="5"/>
    <n v="10"/>
    <n v="6"/>
    <n v="7"/>
    <s v="12th"/>
    <d v="2011-06-20T00:00:00"/>
    <m/>
    <s v="Work Environment"/>
    <x v="0"/>
    <n v="1"/>
    <n v="2"/>
    <s v="No"/>
    <s v="Job Event"/>
    <s v="FullTime"/>
    <n v="1"/>
    <s v="Active"/>
    <x v="2"/>
    <x v="0"/>
    <x v="0"/>
  </r>
  <r>
    <n v="30"/>
    <s v="No"/>
    <s v="Travel_Rarely"/>
    <x v="0"/>
    <n v="9"/>
    <x v="0"/>
    <n v="2"/>
    <n v="1"/>
    <x v="0"/>
    <n v="3"/>
    <s v="Single"/>
    <n v="2206"/>
    <n v="1"/>
    <s v="No"/>
    <n v="13"/>
    <n v="3"/>
    <n v="0"/>
    <n v="10"/>
    <n v="5"/>
    <n v="10"/>
    <n v="1"/>
    <n v="8"/>
    <s v="Post-Graduation"/>
    <d v="2011-01-06T00:00:00"/>
    <m/>
    <s v="Work Environment"/>
    <x v="1"/>
    <n v="1"/>
    <n v="1"/>
    <s v="No"/>
    <s v="Recruiter"/>
    <s v="Contract"/>
    <n v="0"/>
    <s v="Active"/>
    <x v="2"/>
    <x v="0"/>
    <x v="0"/>
  </r>
  <r>
    <n v="38"/>
    <s v="No"/>
    <s v="Travel_Frequently"/>
    <x v="0"/>
    <n v="29"/>
    <x v="1"/>
    <n v="3"/>
    <n v="2"/>
    <x v="0"/>
    <n v="4"/>
    <s v="Single"/>
    <n v="2406"/>
    <n v="1"/>
    <s v="No"/>
    <n v="11"/>
    <n v="3"/>
    <n v="0"/>
    <n v="10"/>
    <n v="2"/>
    <n v="10"/>
    <n v="9"/>
    <n v="9"/>
    <s v="12th"/>
    <d v="2011-03-22T00:00:00"/>
    <m/>
    <s v="Salary"/>
    <x v="0"/>
    <n v="1"/>
    <n v="0"/>
    <s v="No"/>
    <s v="Job Portal"/>
    <s v="Part Time"/>
    <n v="0"/>
    <s v="Active"/>
    <x v="2"/>
    <x v="0"/>
    <x v="0"/>
  </r>
  <r>
    <n v="32"/>
    <s v="No"/>
    <s v="Travel_Rarely"/>
    <x v="0"/>
    <n v="1"/>
    <x v="0"/>
    <n v="3"/>
    <n v="2"/>
    <x v="1"/>
    <n v="2"/>
    <s v="Married"/>
    <n v="6220"/>
    <n v="1"/>
    <s v="No"/>
    <n v="17"/>
    <n v="3"/>
    <n v="2"/>
    <n v="10"/>
    <n v="3"/>
    <n v="10"/>
    <n v="0"/>
    <n v="9"/>
    <s v="Post-Graduation"/>
    <d v="2011-05-15T00:00:00"/>
    <m/>
    <s v="Better Opportunity"/>
    <x v="1"/>
    <n v="4"/>
    <n v="3"/>
    <s v="No"/>
    <s v="Recruiter"/>
    <s v="FullTime"/>
    <n v="0"/>
    <s v="Active"/>
    <x v="2"/>
    <x v="0"/>
    <x v="0"/>
  </r>
  <r>
    <n v="30"/>
    <s v="No"/>
    <s v="Travel_Rarely"/>
    <x v="0"/>
    <n v="1"/>
    <x v="0"/>
    <n v="2"/>
    <n v="2"/>
    <x v="0"/>
    <n v="4"/>
    <s v="Married"/>
    <n v="5126"/>
    <n v="1"/>
    <s v="Yes"/>
    <n v="12"/>
    <n v="3"/>
    <n v="2"/>
    <n v="10"/>
    <n v="1"/>
    <n v="10"/>
    <n v="3"/>
    <n v="0"/>
    <s v="Graduation"/>
    <d v="2011-06-30T00:00:00"/>
    <m/>
    <s v="Dept.Head"/>
    <x v="1"/>
    <n v="2"/>
    <n v="2"/>
    <s v="Yes"/>
    <s v="Job Portal"/>
    <s v="Part Time"/>
    <n v="0"/>
    <s v="Active"/>
    <x v="2"/>
    <x v="0"/>
    <x v="0"/>
  </r>
  <r>
    <n v="51"/>
    <s v="No"/>
    <s v="Travel_Rarely"/>
    <x v="1"/>
    <n v="21"/>
    <x v="0"/>
    <n v="3"/>
    <n v="2"/>
    <x v="4"/>
    <n v="4"/>
    <s v="Single"/>
    <n v="5441"/>
    <n v="0"/>
    <s v="Yes"/>
    <n v="22"/>
    <n v="4"/>
    <n v="0"/>
    <n v="11"/>
    <n v="2"/>
    <n v="10"/>
    <n v="1"/>
    <n v="0"/>
    <s v="Post-Graduation"/>
    <d v="2011-04-27T00:00:00"/>
    <m/>
    <s v="Dept.Head"/>
    <x v="0"/>
    <n v="5"/>
    <n v="3"/>
    <s v="Yes"/>
    <s v="Job Portal"/>
    <s v="Part Time"/>
    <n v="0"/>
    <s v="Active"/>
    <x v="2"/>
    <x v="0"/>
    <x v="2"/>
  </r>
  <r>
    <n v="46"/>
    <s v="No"/>
    <s v="Travel_Frequently"/>
    <x v="0"/>
    <n v="1"/>
    <x v="0"/>
    <n v="2"/>
    <n v="3"/>
    <x v="7"/>
    <n v="1"/>
    <s v="Married"/>
    <n v="10673"/>
    <n v="2"/>
    <s v="Yes"/>
    <n v="13"/>
    <n v="3"/>
    <n v="1"/>
    <n v="21"/>
    <n v="5"/>
    <n v="10"/>
    <n v="9"/>
    <n v="5"/>
    <s v="PHD"/>
    <d v="2011-06-21T00:00:00"/>
    <m/>
    <s v="Salary"/>
    <x v="1"/>
    <n v="4"/>
    <n v="3"/>
    <s v="No"/>
    <s v="Walk-in"/>
    <s v="Contract"/>
    <n v="0"/>
    <s v="Active"/>
    <x v="2"/>
    <x v="1"/>
    <x v="3"/>
  </r>
  <r>
    <n v="30"/>
    <s v="No"/>
    <s v="Travel_Frequently"/>
    <x v="0"/>
    <n v="23"/>
    <x v="0"/>
    <n v="1"/>
    <n v="1"/>
    <x v="1"/>
    <n v="3"/>
    <s v="Divorced"/>
    <n v="2613"/>
    <n v="1"/>
    <s v="No"/>
    <n v="25"/>
    <n v="4"/>
    <n v="3"/>
    <n v="10"/>
    <n v="2"/>
    <n v="10"/>
    <n v="0"/>
    <n v="9"/>
    <s v="Graduation"/>
    <d v="2011-04-21T00:00:00"/>
    <m/>
    <s v="Work Environment"/>
    <x v="0"/>
    <n v="5"/>
    <n v="0"/>
    <s v="Yes"/>
    <s v="Walk-in"/>
    <s v="FullTime"/>
    <n v="0"/>
    <s v="Active"/>
    <x v="2"/>
    <x v="0"/>
    <x v="0"/>
  </r>
  <r>
    <n v="35"/>
    <s v="No"/>
    <s v="Travel_Rarely"/>
    <x v="1"/>
    <n v="1"/>
    <x v="0"/>
    <n v="3"/>
    <n v="3"/>
    <x v="4"/>
    <n v="2"/>
    <s v="Married"/>
    <n v="7295"/>
    <n v="1"/>
    <s v="No"/>
    <n v="13"/>
    <n v="3"/>
    <n v="2"/>
    <n v="10"/>
    <n v="3"/>
    <n v="10"/>
    <n v="0"/>
    <n v="6"/>
    <s v="PHD"/>
    <d v="2011-02-18T00:00:00"/>
    <m/>
    <s v="Work Accident"/>
    <x v="0"/>
    <n v="0"/>
    <n v="0"/>
    <s v="Yes"/>
    <s v="Walk-in"/>
    <s v="Contract"/>
    <n v="0"/>
    <s v="Active"/>
    <x v="2"/>
    <x v="1"/>
    <x v="2"/>
  </r>
  <r>
    <n v="29"/>
    <s v="No"/>
    <s v="Non-Travel"/>
    <x v="0"/>
    <n v="1"/>
    <x v="0"/>
    <n v="3"/>
    <n v="2"/>
    <x v="6"/>
    <n v="3"/>
    <s v="Married"/>
    <n v="4319"/>
    <n v="1"/>
    <s v="No"/>
    <n v="13"/>
    <n v="3"/>
    <n v="1"/>
    <n v="10"/>
    <n v="1"/>
    <n v="10"/>
    <n v="0"/>
    <n v="9"/>
    <s v="PHD"/>
    <d v="2011-05-24T00:00:00"/>
    <m/>
    <s v="Work Accident"/>
    <x v="0"/>
    <n v="4"/>
    <n v="1"/>
    <s v="No"/>
    <s v="Walk-in"/>
    <s v="Part Time"/>
    <n v="0"/>
    <s v="Active"/>
    <x v="2"/>
    <x v="0"/>
    <x v="3"/>
  </r>
  <r>
    <n v="30"/>
    <s v="No"/>
    <s v="Travel_Rarely"/>
    <x v="1"/>
    <n v="5"/>
    <x v="1"/>
    <n v="3"/>
    <n v="3"/>
    <x v="4"/>
    <n v="4"/>
    <s v="Married"/>
    <n v="9419"/>
    <n v="2"/>
    <s v="No"/>
    <n v="12"/>
    <n v="3"/>
    <n v="1"/>
    <n v="12"/>
    <n v="2"/>
    <n v="10"/>
    <n v="7"/>
    <n v="4"/>
    <s v="PHD"/>
    <d v="2011-06-09T00:00:00"/>
    <m/>
    <s v="Better Opportunity"/>
    <x v="1"/>
    <n v="1"/>
    <n v="2"/>
    <s v="Yes"/>
    <s v="Recruiter"/>
    <s v="FullTime"/>
    <n v="0"/>
    <s v="Active"/>
    <x v="2"/>
    <x v="1"/>
    <x v="2"/>
  </r>
  <r>
    <n v="34"/>
    <s v="No"/>
    <s v="Travel_Frequently"/>
    <x v="0"/>
    <n v="2"/>
    <x v="0"/>
    <n v="2"/>
    <n v="2"/>
    <x v="6"/>
    <n v="3"/>
    <s v="Married"/>
    <n v="9547"/>
    <n v="1"/>
    <s v="No"/>
    <n v="17"/>
    <n v="3"/>
    <n v="0"/>
    <n v="10"/>
    <n v="2"/>
    <n v="10"/>
    <n v="1"/>
    <n v="9"/>
    <s v="Graduation"/>
    <d v="2011-04-20T00:00:00"/>
    <m/>
    <s v="Work Accident"/>
    <x v="1"/>
    <n v="2"/>
    <n v="1"/>
    <s v="No"/>
    <s v="Recruiter"/>
    <s v="Part Time"/>
    <n v="0"/>
    <s v="Active"/>
    <x v="2"/>
    <x v="1"/>
    <x v="3"/>
  </r>
  <r>
    <n v="29"/>
    <s v="Yes"/>
    <s v="Travel_Rarely"/>
    <x v="1"/>
    <n v="27"/>
    <x v="1"/>
    <n v="3"/>
    <n v="3"/>
    <x v="4"/>
    <n v="4"/>
    <s v="Married"/>
    <n v="7639"/>
    <n v="1"/>
    <s v="No"/>
    <n v="22"/>
    <n v="4"/>
    <n v="3"/>
    <n v="10"/>
    <n v="3"/>
    <n v="10"/>
    <n v="1"/>
    <n v="9"/>
    <s v="Post-Graduation"/>
    <d v="2011-04-17T00:00:00"/>
    <m/>
    <s v="Dept.Head"/>
    <x v="0"/>
    <n v="0"/>
    <n v="0"/>
    <s v="Yes"/>
    <s v="Job Event"/>
    <s v="Contract"/>
    <n v="1"/>
    <s v="Active"/>
    <x v="2"/>
    <x v="1"/>
    <x v="2"/>
  </r>
  <r>
    <n v="51"/>
    <s v="No"/>
    <s v="Travel_Rarely"/>
    <x v="0"/>
    <n v="8"/>
    <x v="0"/>
    <n v="2"/>
    <n v="3"/>
    <x v="2"/>
    <n v="2"/>
    <s v="Married"/>
    <n v="12490"/>
    <n v="5"/>
    <s v="No"/>
    <n v="16"/>
    <n v="3"/>
    <n v="2"/>
    <n v="16"/>
    <n v="5"/>
    <n v="10"/>
    <n v="4"/>
    <n v="7"/>
    <s v="Post-Graduation"/>
    <d v="2011-01-13T00:00:00"/>
    <m/>
    <s v="Better Opportunity"/>
    <x v="1"/>
    <n v="3"/>
    <n v="3"/>
    <s v="Yes"/>
    <s v="Job Event"/>
    <s v="Contract"/>
    <n v="0"/>
    <s v="Active"/>
    <x v="2"/>
    <x v="1"/>
    <x v="1"/>
  </r>
  <r>
    <n v="37"/>
    <s v="No"/>
    <s v="Travel_Frequently"/>
    <x v="0"/>
    <n v="11"/>
    <x v="0"/>
    <n v="3"/>
    <n v="3"/>
    <x v="2"/>
    <n v="4"/>
    <s v="Divorced"/>
    <n v="12185"/>
    <n v="1"/>
    <s v="Yes"/>
    <n v="14"/>
    <n v="3"/>
    <n v="3"/>
    <n v="10"/>
    <n v="1"/>
    <n v="10"/>
    <n v="0"/>
    <n v="7"/>
    <s v="12th"/>
    <d v="2011-05-05T00:00:00"/>
    <m/>
    <s v="Work Accident"/>
    <x v="0"/>
    <n v="5"/>
    <n v="0"/>
    <s v="No"/>
    <s v="Recruiter"/>
    <s v="FullTime"/>
    <n v="0"/>
    <s v="Active"/>
    <x v="2"/>
    <x v="1"/>
    <x v="1"/>
  </r>
  <r>
    <n v="35"/>
    <s v="No"/>
    <s v="Travel_Frequently"/>
    <x v="1"/>
    <n v="1"/>
    <x v="1"/>
    <n v="3"/>
    <n v="3"/>
    <x v="4"/>
    <n v="3"/>
    <s v="Single"/>
    <n v="8789"/>
    <n v="1"/>
    <s v="No"/>
    <n v="14"/>
    <n v="3"/>
    <n v="0"/>
    <n v="10"/>
    <n v="3"/>
    <n v="10"/>
    <n v="0"/>
    <n v="8"/>
    <s v="Post-Graduation"/>
    <d v="2011-03-03T00:00:00"/>
    <m/>
    <s v="Work Accident"/>
    <x v="1"/>
    <n v="5"/>
    <n v="1"/>
    <s v="No"/>
    <s v="Job Portal"/>
    <s v="Part Time"/>
    <n v="0"/>
    <s v="Active"/>
    <x v="2"/>
    <x v="1"/>
    <x v="2"/>
  </r>
  <r>
    <n v="47"/>
    <s v="Yes"/>
    <s v="Non-Travel"/>
    <x v="0"/>
    <n v="29"/>
    <x v="0"/>
    <n v="3"/>
    <n v="3"/>
    <x v="5"/>
    <n v="2"/>
    <s v="Married"/>
    <n v="11849"/>
    <n v="1"/>
    <s v="Yes"/>
    <n v="12"/>
    <n v="3"/>
    <n v="1"/>
    <n v="10"/>
    <n v="2"/>
    <n v="10"/>
    <n v="9"/>
    <n v="9"/>
    <s v="Post-Graduation"/>
    <d v="2011-04-06T00:00:00"/>
    <m/>
    <s v="Work Accident"/>
    <x v="1"/>
    <n v="3"/>
    <n v="1"/>
    <s v="No"/>
    <s v="Walk-in"/>
    <s v="Contract"/>
    <n v="1"/>
    <s v="Active"/>
    <x v="2"/>
    <x v="1"/>
    <x v="1"/>
  </r>
  <r>
    <n v="50"/>
    <s v="No"/>
    <s v="Travel_Rarely"/>
    <x v="0"/>
    <n v="4"/>
    <x v="0"/>
    <n v="3"/>
    <n v="5"/>
    <x v="2"/>
    <n v="2"/>
    <s v="Divorced"/>
    <n v="19144"/>
    <n v="3"/>
    <s v="No"/>
    <n v="14"/>
    <n v="3"/>
    <n v="2"/>
    <n v="28"/>
    <n v="4"/>
    <n v="10"/>
    <n v="1"/>
    <n v="6"/>
    <s v="PHD"/>
    <d v="2011-01-31T00:00:00"/>
    <m/>
    <s v="Dept.Head"/>
    <x v="0"/>
    <n v="2"/>
    <n v="1"/>
    <s v="No"/>
    <s v="Job Event"/>
    <s v="Contract"/>
    <n v="0"/>
    <s v="Active"/>
    <x v="2"/>
    <x v="1"/>
    <x v="1"/>
  </r>
  <r>
    <n v="29"/>
    <s v="No"/>
    <s v="Travel_Frequently"/>
    <x v="1"/>
    <n v="2"/>
    <x v="0"/>
    <n v="3"/>
    <n v="2"/>
    <x v="4"/>
    <n v="4"/>
    <s v="Single"/>
    <n v="4554"/>
    <n v="1"/>
    <s v="No"/>
    <n v="18"/>
    <n v="3"/>
    <n v="0"/>
    <n v="10"/>
    <n v="3"/>
    <n v="10"/>
    <n v="0"/>
    <n v="9"/>
    <s v="PHD"/>
    <d v="2011-06-17T00:00:00"/>
    <m/>
    <s v="Work Accident"/>
    <x v="0"/>
    <n v="2"/>
    <n v="2"/>
    <s v="Yes"/>
    <s v="Walk-in"/>
    <s v="Contract"/>
    <n v="0"/>
    <s v="Active"/>
    <x v="2"/>
    <x v="0"/>
    <x v="2"/>
  </r>
  <r>
    <n v="55"/>
    <s v="No"/>
    <s v="Travel_Rarely"/>
    <x v="0"/>
    <n v="20"/>
    <x v="0"/>
    <n v="3"/>
    <n v="2"/>
    <x v="0"/>
    <n v="4"/>
    <s v="Married"/>
    <n v="5415"/>
    <n v="3"/>
    <s v="Yes"/>
    <n v="19"/>
    <n v="3"/>
    <n v="1"/>
    <n v="12"/>
    <n v="4"/>
    <n v="10"/>
    <n v="0"/>
    <n v="8"/>
    <s v="Post-Graduation"/>
    <d v="2011-02-12T00:00:00"/>
    <m/>
    <s v="Work Accident"/>
    <x v="1"/>
    <n v="3"/>
    <n v="3"/>
    <s v="Yes"/>
    <s v="Job Event"/>
    <s v="FullTime"/>
    <n v="0"/>
    <s v="Active"/>
    <x v="2"/>
    <x v="0"/>
    <x v="0"/>
  </r>
  <r>
    <n v="38"/>
    <s v="No"/>
    <s v="Travel_Rarely"/>
    <x v="0"/>
    <n v="25"/>
    <x v="1"/>
    <n v="2"/>
    <n v="3"/>
    <x v="2"/>
    <n v="2"/>
    <s v="Married"/>
    <n v="12061"/>
    <n v="3"/>
    <s v="No"/>
    <n v="17"/>
    <n v="3"/>
    <n v="1"/>
    <n v="19"/>
    <n v="2"/>
    <n v="10"/>
    <n v="0"/>
    <n v="1"/>
    <s v="Graduation"/>
    <d v="2011-01-10T00:00:00"/>
    <m/>
    <s v="Work Environment"/>
    <x v="1"/>
    <n v="0"/>
    <n v="1"/>
    <s v="No"/>
    <s v="Job Event"/>
    <s v="Part Time"/>
    <n v="0"/>
    <s v="Active"/>
    <x v="2"/>
    <x v="1"/>
    <x v="1"/>
  </r>
  <r>
    <n v="33"/>
    <s v="No"/>
    <s v="Travel_Frequently"/>
    <x v="0"/>
    <n v="5"/>
    <x v="1"/>
    <n v="3"/>
    <n v="3"/>
    <x v="5"/>
    <n v="2"/>
    <s v="Married"/>
    <n v="11878"/>
    <n v="6"/>
    <s v="No"/>
    <n v="11"/>
    <n v="3"/>
    <n v="2"/>
    <n v="12"/>
    <n v="2"/>
    <n v="10"/>
    <n v="8"/>
    <n v="8"/>
    <s v="Graduation"/>
    <d v="2011-06-08T00:00:00"/>
    <m/>
    <s v="Better Opportunity"/>
    <x v="0"/>
    <n v="3"/>
    <n v="2"/>
    <s v="Yes"/>
    <s v="Walk-in"/>
    <s v="FullTime"/>
    <n v="0"/>
    <s v="Active"/>
    <x v="2"/>
    <x v="1"/>
    <x v="1"/>
  </r>
  <r>
    <n v="30"/>
    <s v="No"/>
    <s v="Travel_Rarely"/>
    <x v="0"/>
    <n v="28"/>
    <x v="1"/>
    <n v="3"/>
    <n v="2"/>
    <x v="1"/>
    <n v="4"/>
    <s v="Married"/>
    <n v="5775"/>
    <n v="1"/>
    <s v="No"/>
    <n v="13"/>
    <n v="3"/>
    <n v="2"/>
    <n v="11"/>
    <n v="2"/>
    <n v="10"/>
    <n v="1"/>
    <n v="9"/>
    <s v="PHD"/>
    <d v="2011-05-30T00:00:00"/>
    <m/>
    <s v="Salary"/>
    <x v="1"/>
    <n v="4"/>
    <n v="1"/>
    <s v="Yes"/>
    <s v="Job Event"/>
    <s v="Contract"/>
    <n v="0"/>
    <s v="Active"/>
    <x v="2"/>
    <x v="0"/>
    <x v="0"/>
  </r>
  <r>
    <n v="31"/>
    <s v="No"/>
    <s v="Travel_Frequently"/>
    <x v="0"/>
    <n v="7"/>
    <x v="1"/>
    <n v="2"/>
    <n v="3"/>
    <x v="6"/>
    <n v="3"/>
    <s v="Married"/>
    <n v="8943"/>
    <n v="1"/>
    <s v="No"/>
    <n v="24"/>
    <n v="4"/>
    <n v="1"/>
    <n v="10"/>
    <n v="2"/>
    <n v="10"/>
    <n v="8"/>
    <n v="9"/>
    <s v="PHD"/>
    <d v="2011-02-12T00:00:00"/>
    <m/>
    <s v="Dept.Head"/>
    <x v="0"/>
    <n v="1"/>
    <n v="0"/>
    <s v="No"/>
    <s v="Recruiter"/>
    <s v="Contract"/>
    <n v="0"/>
    <s v="Active"/>
    <x v="2"/>
    <x v="1"/>
    <x v="3"/>
  </r>
  <r>
    <n v="45"/>
    <s v="No"/>
    <s v="Travel_Rarely"/>
    <x v="0"/>
    <n v="8"/>
    <x v="0"/>
    <n v="3"/>
    <n v="2"/>
    <x v="1"/>
    <n v="4"/>
    <s v="Married"/>
    <n v="3697"/>
    <n v="9"/>
    <s v="No"/>
    <n v="14"/>
    <n v="3"/>
    <n v="2"/>
    <n v="12"/>
    <n v="3"/>
    <n v="10"/>
    <n v="9"/>
    <n v="8"/>
    <s v="Graduation"/>
    <d v="2011-01-17T00:00:00"/>
    <m/>
    <s v="Work Accident"/>
    <x v="1"/>
    <n v="4"/>
    <n v="0"/>
    <s v="Yes"/>
    <s v="Recruiter"/>
    <s v="FullTime"/>
    <n v="0"/>
    <s v="Active"/>
    <x v="2"/>
    <x v="0"/>
    <x v="0"/>
  </r>
  <r>
    <n v="30"/>
    <s v="No"/>
    <s v="Travel_Rarely"/>
    <x v="1"/>
    <n v="5"/>
    <x v="1"/>
    <n v="2"/>
    <n v="2"/>
    <x v="4"/>
    <n v="3"/>
    <s v="Divorced"/>
    <n v="6118"/>
    <n v="1"/>
    <s v="No"/>
    <n v="13"/>
    <n v="3"/>
    <n v="3"/>
    <n v="10"/>
    <n v="2"/>
    <n v="10"/>
    <n v="1"/>
    <n v="2"/>
    <s v="Post-Graduation"/>
    <d v="2011-05-23T00:00:00"/>
    <m/>
    <s v="Work Accident"/>
    <x v="1"/>
    <n v="2"/>
    <n v="2"/>
    <s v="Yes"/>
    <s v="Job Event"/>
    <s v="FullTime"/>
    <n v="0"/>
    <s v="Active"/>
    <x v="2"/>
    <x v="0"/>
    <x v="2"/>
  </r>
  <r>
    <n v="36"/>
    <s v="No"/>
    <s v="Travel_Rarely"/>
    <x v="1"/>
    <n v="2"/>
    <x v="0"/>
    <n v="2"/>
    <n v="3"/>
    <x v="4"/>
    <n v="3"/>
    <s v="Married"/>
    <n v="7596"/>
    <n v="1"/>
    <s v="No"/>
    <n v="13"/>
    <n v="3"/>
    <n v="2"/>
    <n v="10"/>
    <n v="2"/>
    <n v="10"/>
    <n v="9"/>
    <n v="0"/>
    <s v="12th"/>
    <d v="2011-03-21T00:00:00"/>
    <m/>
    <s v="Work Accident"/>
    <x v="0"/>
    <n v="1"/>
    <n v="2"/>
    <s v="No"/>
    <s v="Job Portal"/>
    <s v="Part Time"/>
    <n v="0"/>
    <s v="Active"/>
    <x v="2"/>
    <x v="1"/>
    <x v="2"/>
  </r>
  <r>
    <n v="41"/>
    <s v="No"/>
    <s v="Travel_Rarely"/>
    <x v="1"/>
    <n v="1"/>
    <x v="0"/>
    <n v="4"/>
    <n v="3"/>
    <x v="4"/>
    <n v="1"/>
    <s v="Married"/>
    <n v="8392"/>
    <n v="1"/>
    <s v="No"/>
    <n v="16"/>
    <n v="3"/>
    <n v="1"/>
    <n v="10"/>
    <n v="2"/>
    <n v="10"/>
    <n v="0"/>
    <n v="7"/>
    <s v="12th"/>
    <d v="2011-04-27T00:00:00"/>
    <m/>
    <s v="Work Accident"/>
    <x v="0"/>
    <n v="2"/>
    <n v="2"/>
    <s v="No"/>
    <s v="Recruiter"/>
    <s v="Part Time"/>
    <n v="0"/>
    <s v="Active"/>
    <x v="2"/>
    <x v="1"/>
    <x v="2"/>
  </r>
  <r>
    <n v="28"/>
    <s v="No"/>
    <s v="Travel_Rarely"/>
    <x v="0"/>
    <n v="17"/>
    <x v="0"/>
    <n v="3"/>
    <n v="2"/>
    <x v="0"/>
    <n v="1"/>
    <s v="Divorced"/>
    <n v="4558"/>
    <n v="1"/>
    <s v="No"/>
    <n v="12"/>
    <n v="3"/>
    <n v="1"/>
    <n v="10"/>
    <n v="2"/>
    <n v="10"/>
    <n v="1"/>
    <n v="8"/>
    <s v="Graduation"/>
    <d v="2011-03-04T00:00:00"/>
    <m/>
    <s v="Dept.Head"/>
    <x v="1"/>
    <n v="2"/>
    <n v="1"/>
    <s v="Yes"/>
    <s v="Job Portal"/>
    <s v="FullTime"/>
    <n v="0"/>
    <s v="Active"/>
    <x v="2"/>
    <x v="0"/>
    <x v="0"/>
  </r>
  <r>
    <n v="46"/>
    <s v="No"/>
    <s v="Travel_Rarely"/>
    <x v="0"/>
    <n v="18"/>
    <x v="1"/>
    <n v="3"/>
    <n v="2"/>
    <x v="6"/>
    <n v="3"/>
    <s v="Divorced"/>
    <n v="4810"/>
    <n v="2"/>
    <s v="No"/>
    <n v="14"/>
    <n v="3"/>
    <n v="1"/>
    <n v="19"/>
    <n v="5"/>
    <n v="10"/>
    <n v="0"/>
    <n v="8"/>
    <s v="PHD"/>
    <d v="2011-03-07T00:00:00"/>
    <m/>
    <s v="Work Environment"/>
    <x v="1"/>
    <n v="0"/>
    <n v="2"/>
    <s v="Yes"/>
    <s v="Job Portal"/>
    <s v="Contract"/>
    <n v="0"/>
    <s v="Active"/>
    <x v="2"/>
    <x v="0"/>
    <x v="3"/>
  </r>
  <r>
    <n v="29"/>
    <s v="No"/>
    <s v="Travel_Rarely"/>
    <x v="0"/>
    <n v="3"/>
    <x v="0"/>
    <n v="2"/>
    <n v="3"/>
    <x v="2"/>
    <n v="3"/>
    <s v="Married"/>
    <n v="11935"/>
    <n v="1"/>
    <s v="No"/>
    <n v="18"/>
    <n v="3"/>
    <n v="0"/>
    <n v="10"/>
    <n v="2"/>
    <n v="10"/>
    <n v="0"/>
    <n v="7"/>
    <s v="Post-Graduation"/>
    <d v="2011-01-23T00:00:00"/>
    <m/>
    <s v="Dept.Head"/>
    <x v="1"/>
    <n v="0"/>
    <n v="1"/>
    <s v="No"/>
    <s v="Job Event"/>
    <s v="FullTime"/>
    <n v="0"/>
    <s v="Active"/>
    <x v="2"/>
    <x v="1"/>
    <x v="1"/>
  </r>
  <r>
    <n v="36"/>
    <s v="No"/>
    <s v="Non-Travel"/>
    <x v="1"/>
    <n v="10"/>
    <x v="0"/>
    <n v="3"/>
    <n v="3"/>
    <x v="4"/>
    <n v="4"/>
    <s v="Single"/>
    <n v="9980"/>
    <n v="1"/>
    <s v="No"/>
    <n v="14"/>
    <n v="3"/>
    <n v="0"/>
    <n v="10"/>
    <n v="3"/>
    <n v="10"/>
    <n v="9"/>
    <n v="7"/>
    <s v="PHD"/>
    <d v="2011-05-12T00:00:00"/>
    <m/>
    <s v="Work Accident"/>
    <x v="1"/>
    <n v="3"/>
    <n v="3"/>
    <s v="No"/>
    <s v="Recruiter"/>
    <s v="Contract"/>
    <n v="0"/>
    <s v="Active"/>
    <x v="2"/>
    <x v="1"/>
    <x v="2"/>
  </r>
  <r>
    <n v="55"/>
    <s v="No"/>
    <s v="Travel_Rarely"/>
    <x v="1"/>
    <n v="18"/>
    <x v="1"/>
    <n v="3"/>
    <n v="4"/>
    <x v="5"/>
    <n v="2"/>
    <s v="Single"/>
    <n v="16835"/>
    <n v="3"/>
    <s v="No"/>
    <n v="23"/>
    <n v="4"/>
    <n v="0"/>
    <n v="37"/>
    <n v="2"/>
    <n v="10"/>
    <n v="7"/>
    <n v="7"/>
    <s v="Graduation"/>
    <d v="2011-03-08T00:00:00"/>
    <m/>
    <s v="Work Accident"/>
    <x v="1"/>
    <n v="2"/>
    <n v="0"/>
    <s v="Yes"/>
    <s v="Job Event"/>
    <s v="FullTime"/>
    <n v="0"/>
    <s v="Active"/>
    <x v="2"/>
    <x v="1"/>
    <x v="1"/>
  </r>
  <r>
    <n v="42"/>
    <s v="No"/>
    <s v="Travel_Rarely"/>
    <x v="0"/>
    <n v="24"/>
    <x v="0"/>
    <n v="3"/>
    <n v="3"/>
    <x v="6"/>
    <n v="1"/>
    <s v="Married"/>
    <n v="7406"/>
    <n v="1"/>
    <s v="Yes"/>
    <n v="21"/>
    <n v="4"/>
    <n v="1"/>
    <n v="10"/>
    <n v="5"/>
    <n v="10"/>
    <n v="5"/>
    <n v="8"/>
    <s v="Post-Graduation"/>
    <d v="2011-05-15T00:00:00"/>
    <m/>
    <s v="Salary"/>
    <x v="1"/>
    <n v="3"/>
    <n v="1"/>
    <s v="No"/>
    <s v="Recruiter"/>
    <s v="Part Time"/>
    <n v="0"/>
    <s v="Active"/>
    <x v="2"/>
    <x v="1"/>
    <x v="3"/>
  </r>
  <r>
    <n v="34"/>
    <s v="No"/>
    <s v="Travel_Rarely"/>
    <x v="1"/>
    <n v="21"/>
    <x v="0"/>
    <n v="4"/>
    <n v="2"/>
    <x v="4"/>
    <n v="4"/>
    <s v="Single"/>
    <n v="5337"/>
    <n v="1"/>
    <s v="No"/>
    <n v="12"/>
    <n v="3"/>
    <n v="0"/>
    <n v="10"/>
    <n v="3"/>
    <n v="10"/>
    <n v="5"/>
    <n v="7"/>
    <s v="Graduation"/>
    <d v="2011-04-02T00:00:00"/>
    <m/>
    <s v="Salary"/>
    <x v="0"/>
    <n v="2"/>
    <n v="3"/>
    <s v="No"/>
    <s v="Job Portal"/>
    <s v="Part Time"/>
    <n v="0"/>
    <s v="Active"/>
    <x v="2"/>
    <x v="0"/>
    <x v="2"/>
  </r>
  <r>
    <n v="52"/>
    <s v="No"/>
    <s v="Travel_Rarely"/>
    <x v="0"/>
    <n v="6"/>
    <x v="0"/>
    <n v="3"/>
    <n v="2"/>
    <x v="1"/>
    <n v="1"/>
    <s v="Divorced"/>
    <n v="5577"/>
    <n v="3"/>
    <s v="Yes"/>
    <n v="12"/>
    <n v="3"/>
    <n v="2"/>
    <n v="18"/>
    <n v="3"/>
    <n v="10"/>
    <n v="6"/>
    <n v="9"/>
    <s v="12th"/>
    <d v="2011-02-27T00:00:00"/>
    <m/>
    <s v="Dept.Head"/>
    <x v="0"/>
    <n v="3"/>
    <n v="2"/>
    <s v="No"/>
    <s v="Recruiter"/>
    <s v="Contract"/>
    <n v="0"/>
    <s v="Active"/>
    <x v="2"/>
    <x v="0"/>
    <x v="0"/>
  </r>
  <r>
    <n v="42"/>
    <s v="No"/>
    <s v="Travel_Rarely"/>
    <x v="0"/>
    <n v="2"/>
    <x v="1"/>
    <n v="3"/>
    <n v="2"/>
    <x v="7"/>
    <n v="4"/>
    <s v="Married"/>
    <n v="4089"/>
    <n v="1"/>
    <s v="No"/>
    <n v="13"/>
    <n v="3"/>
    <n v="2"/>
    <n v="10"/>
    <n v="4"/>
    <n v="10"/>
    <n v="2"/>
    <n v="2"/>
    <s v="12th"/>
    <d v="2011-02-10T00:00:00"/>
    <m/>
    <s v="Salary"/>
    <x v="1"/>
    <n v="5"/>
    <n v="0"/>
    <s v="No"/>
    <s v="Job Portal"/>
    <s v="FullTime"/>
    <n v="0"/>
    <s v="Active"/>
    <x v="2"/>
    <x v="0"/>
    <x v="3"/>
  </r>
  <r>
    <n v="34"/>
    <s v="No"/>
    <s v="Travel_Rarely"/>
    <x v="0"/>
    <n v="1"/>
    <x v="0"/>
    <n v="3"/>
    <n v="1"/>
    <x v="1"/>
    <n v="4"/>
    <s v="Married"/>
    <n v="2691"/>
    <n v="1"/>
    <s v="No"/>
    <n v="12"/>
    <n v="3"/>
    <n v="1"/>
    <n v="10"/>
    <n v="4"/>
    <n v="10"/>
    <n v="8"/>
    <n v="8"/>
    <s v="PHD"/>
    <d v="2011-05-15T00:00:00"/>
    <m/>
    <s v="Better Opportunity"/>
    <x v="1"/>
    <n v="5"/>
    <n v="2"/>
    <s v="Yes"/>
    <s v="Job Event"/>
    <s v="Part Time"/>
    <n v="0"/>
    <s v="Active"/>
    <x v="2"/>
    <x v="0"/>
    <x v="0"/>
  </r>
  <r>
    <n v="37"/>
    <s v="No"/>
    <s v="Travel_Rarely"/>
    <x v="0"/>
    <n v="3"/>
    <x v="0"/>
    <n v="3"/>
    <n v="3"/>
    <x v="6"/>
    <n v="3"/>
    <s v="Married"/>
    <n v="9434"/>
    <n v="1"/>
    <s v="No"/>
    <n v="15"/>
    <n v="3"/>
    <n v="1"/>
    <n v="10"/>
    <n v="2"/>
    <n v="10"/>
    <n v="7"/>
    <n v="8"/>
    <s v="Post-Graduation"/>
    <d v="2011-01-16T00:00:00"/>
    <m/>
    <s v="Better Opportunity"/>
    <x v="1"/>
    <n v="0"/>
    <n v="1"/>
    <s v="No"/>
    <s v="Job Event"/>
    <s v="Part Time"/>
    <n v="0"/>
    <s v="Active"/>
    <x v="2"/>
    <x v="1"/>
    <x v="3"/>
  </r>
  <r>
    <n v="33"/>
    <s v="Yes"/>
    <s v="Travel_Frequently"/>
    <x v="0"/>
    <n v="3"/>
    <x v="0"/>
    <n v="3"/>
    <n v="1"/>
    <x v="1"/>
    <n v="1"/>
    <s v="Single"/>
    <n v="3348"/>
    <n v="1"/>
    <s v="Yes"/>
    <n v="11"/>
    <n v="3"/>
    <n v="0"/>
    <n v="10"/>
    <n v="3"/>
    <n v="10"/>
    <n v="9"/>
    <n v="7"/>
    <s v="Post-Graduation"/>
    <d v="2011-03-03T00:00:00"/>
    <m/>
    <s v="Work Environment"/>
    <x v="1"/>
    <n v="1"/>
    <n v="3"/>
    <s v="No"/>
    <s v="Job Portal"/>
    <s v="FullTime"/>
    <n v="1"/>
    <s v="Active"/>
    <x v="2"/>
    <x v="0"/>
    <x v="0"/>
  </r>
  <r>
    <n v="29"/>
    <s v="No"/>
    <s v="Travel_Frequently"/>
    <x v="0"/>
    <n v="1"/>
    <x v="0"/>
    <n v="1"/>
    <n v="1"/>
    <x v="1"/>
    <n v="4"/>
    <s v="Divorced"/>
    <n v="2720"/>
    <n v="1"/>
    <s v="No"/>
    <n v="18"/>
    <n v="3"/>
    <n v="1"/>
    <n v="10"/>
    <n v="5"/>
    <n v="10"/>
    <n v="2"/>
    <n v="8"/>
    <s v="Graduation"/>
    <d v="2011-06-17T00:00:00"/>
    <m/>
    <s v="Dept.Head"/>
    <x v="1"/>
    <n v="4"/>
    <n v="0"/>
    <s v="No"/>
    <s v="Job Portal"/>
    <s v="FullTime"/>
    <n v="0"/>
    <s v="Active"/>
    <x v="2"/>
    <x v="0"/>
    <x v="0"/>
  </r>
  <r>
    <n v="32"/>
    <s v="No"/>
    <s v="Travel_Rarely"/>
    <x v="1"/>
    <n v="10"/>
    <x v="0"/>
    <n v="3"/>
    <n v="2"/>
    <x v="4"/>
    <n v="4"/>
    <s v="Single"/>
    <n v="5396"/>
    <n v="1"/>
    <s v="No"/>
    <n v="12"/>
    <n v="3"/>
    <n v="0"/>
    <n v="10"/>
    <n v="2"/>
    <n v="10"/>
    <n v="0"/>
    <n v="8"/>
    <s v="Graduation"/>
    <d v="2011-01-02T00:00:00"/>
    <m/>
    <s v="Salary"/>
    <x v="1"/>
    <n v="1"/>
    <n v="1"/>
    <s v="Yes"/>
    <s v="Job Portal"/>
    <s v="FullTime"/>
    <n v="0"/>
    <s v="Active"/>
    <x v="2"/>
    <x v="0"/>
    <x v="2"/>
  </r>
  <r>
    <n v="56"/>
    <s v="No"/>
    <s v="Travel_Rarely"/>
    <x v="0"/>
    <n v="9"/>
    <x v="0"/>
    <n v="3"/>
    <n v="4"/>
    <x v="7"/>
    <n v="4"/>
    <s v="Married"/>
    <n v="11103"/>
    <n v="7"/>
    <s v="No"/>
    <n v="11"/>
    <n v="3"/>
    <n v="0"/>
    <n v="30"/>
    <n v="1"/>
    <n v="10"/>
    <n v="1"/>
    <n v="1"/>
    <s v="12th"/>
    <d v="2011-01-04T00:00:00"/>
    <m/>
    <s v="Dept.Head"/>
    <x v="0"/>
    <n v="4"/>
    <n v="1"/>
    <s v="Yes"/>
    <s v="Recruiter"/>
    <s v="FullTime"/>
    <n v="0"/>
    <s v="Active"/>
    <x v="2"/>
    <x v="1"/>
    <x v="3"/>
  </r>
  <r>
    <n v="32"/>
    <s v="No"/>
    <s v="Travel_Frequently"/>
    <x v="0"/>
    <n v="24"/>
    <x v="0"/>
    <n v="3"/>
    <n v="2"/>
    <x v="0"/>
    <n v="4"/>
    <s v="Married"/>
    <n v="5309"/>
    <n v="1"/>
    <s v="No"/>
    <n v="15"/>
    <n v="3"/>
    <n v="2"/>
    <n v="10"/>
    <n v="2"/>
    <n v="10"/>
    <n v="4"/>
    <n v="7"/>
    <s v="12th"/>
    <d v="2011-04-02T00:00:00"/>
    <m/>
    <s v="Salary"/>
    <x v="0"/>
    <n v="2"/>
    <n v="2"/>
    <s v="No"/>
    <s v="Job Event"/>
    <s v="Contract"/>
    <n v="0"/>
    <s v="Active"/>
    <x v="2"/>
    <x v="0"/>
    <x v="0"/>
  </r>
  <r>
    <n v="33"/>
    <s v="Yes"/>
    <s v="Travel_Rarely"/>
    <x v="0"/>
    <n v="1"/>
    <x v="0"/>
    <n v="3"/>
    <n v="1"/>
    <x v="1"/>
    <n v="4"/>
    <s v="Single"/>
    <n v="2686"/>
    <n v="1"/>
    <s v="Yes"/>
    <n v="13"/>
    <n v="3"/>
    <n v="0"/>
    <n v="10"/>
    <n v="2"/>
    <n v="10"/>
    <n v="7"/>
    <n v="8"/>
    <s v="Graduation"/>
    <d v="2011-04-12T00:00:00"/>
    <m/>
    <s v="Salary"/>
    <x v="1"/>
    <n v="2"/>
    <n v="0"/>
    <s v="No"/>
    <s v="Walk-in"/>
    <s v="Contract"/>
    <n v="1"/>
    <s v="Active"/>
    <x v="2"/>
    <x v="0"/>
    <x v="0"/>
  </r>
  <r>
    <n v="36"/>
    <s v="No"/>
    <s v="Non-Travel"/>
    <x v="1"/>
    <n v="8"/>
    <x v="0"/>
    <n v="2"/>
    <n v="3"/>
    <x v="4"/>
    <n v="1"/>
    <s v="Single"/>
    <n v="7587"/>
    <n v="1"/>
    <s v="No"/>
    <n v="15"/>
    <n v="3"/>
    <n v="0"/>
    <n v="10"/>
    <n v="1"/>
    <n v="10"/>
    <n v="0"/>
    <n v="9"/>
    <s v="Graduation"/>
    <d v="2011-04-22T00:00:00"/>
    <m/>
    <s v="Better Opportunity"/>
    <x v="0"/>
    <n v="1"/>
    <n v="1"/>
    <s v="No"/>
    <s v="Job Event"/>
    <s v="Part Time"/>
    <n v="0"/>
    <s v="Active"/>
    <x v="2"/>
    <x v="1"/>
    <x v="2"/>
  </r>
  <r>
    <n v="29"/>
    <s v="No"/>
    <s v="Travel_Rarely"/>
    <x v="0"/>
    <n v="23"/>
    <x v="0"/>
    <n v="4"/>
    <n v="1"/>
    <x v="1"/>
    <n v="3"/>
    <s v="Married"/>
    <n v="2700"/>
    <n v="1"/>
    <s v="No"/>
    <n v="24"/>
    <n v="4"/>
    <n v="1"/>
    <n v="10"/>
    <n v="3"/>
    <n v="10"/>
    <n v="0"/>
    <n v="7"/>
    <s v="PHD"/>
    <d v="2011-01-29T00:00:00"/>
    <m/>
    <s v="Dept.Head"/>
    <x v="0"/>
    <n v="0"/>
    <n v="2"/>
    <s v="No"/>
    <s v="Recruiter"/>
    <s v="Part Time"/>
    <n v="0"/>
    <s v="Active"/>
    <x v="2"/>
    <x v="0"/>
    <x v="0"/>
  </r>
  <r>
    <n v="35"/>
    <s v="Yes"/>
    <s v="Travel_Frequently"/>
    <x v="0"/>
    <n v="25"/>
    <x v="1"/>
    <n v="3"/>
    <n v="1"/>
    <x v="1"/>
    <n v="2"/>
    <s v="Divorced"/>
    <n v="2022"/>
    <n v="1"/>
    <s v="Yes"/>
    <n v="19"/>
    <n v="3"/>
    <n v="1"/>
    <n v="10"/>
    <n v="3"/>
    <n v="10"/>
    <n v="7"/>
    <n v="8"/>
    <s v="12th"/>
    <d v="2011-05-12T00:00:00"/>
    <m/>
    <s v="Better Opportunity"/>
    <x v="1"/>
    <n v="5"/>
    <n v="0"/>
    <s v="No"/>
    <s v="Recruiter"/>
    <s v="FullTime"/>
    <n v="1"/>
    <s v="Active"/>
    <x v="2"/>
    <x v="0"/>
    <x v="0"/>
  </r>
  <r>
    <n v="32"/>
    <s v="No"/>
    <s v="Travel_Frequently"/>
    <x v="1"/>
    <n v="5"/>
    <x v="0"/>
    <n v="3"/>
    <n v="2"/>
    <x v="4"/>
    <n v="2"/>
    <s v="Married"/>
    <n v="6524"/>
    <n v="1"/>
    <s v="No"/>
    <n v="14"/>
    <n v="3"/>
    <n v="1"/>
    <n v="10"/>
    <n v="3"/>
    <n v="10"/>
    <n v="5"/>
    <n v="3"/>
    <s v="Post-Graduation"/>
    <d v="2011-04-13T00:00:00"/>
    <m/>
    <s v="Dept.Head"/>
    <x v="1"/>
    <n v="5"/>
    <n v="3"/>
    <s v="No"/>
    <s v="Recruiter"/>
    <s v="FullTime"/>
    <n v="0"/>
    <s v="Active"/>
    <x v="2"/>
    <x v="0"/>
    <x v="2"/>
  </r>
  <r>
    <n v="37"/>
    <s v="No"/>
    <s v="Non-Travel"/>
    <x v="1"/>
    <n v="19"/>
    <x v="0"/>
    <n v="3"/>
    <n v="3"/>
    <x v="4"/>
    <n v="2"/>
    <s v="Single"/>
    <n v="7642"/>
    <n v="1"/>
    <s v="Yes"/>
    <n v="13"/>
    <n v="3"/>
    <n v="0"/>
    <n v="10"/>
    <n v="2"/>
    <n v="10"/>
    <n v="0"/>
    <n v="9"/>
    <s v="PHD"/>
    <d v="2011-06-27T00:00:00"/>
    <m/>
    <s v="Work Environment"/>
    <x v="0"/>
    <n v="4"/>
    <n v="3"/>
    <s v="Yes"/>
    <s v="Job Portal"/>
    <s v="Part Time"/>
    <n v="0"/>
    <s v="Active"/>
    <x v="2"/>
    <x v="1"/>
    <x v="2"/>
  </r>
  <r>
    <n v="35"/>
    <s v="No"/>
    <s v="Travel_Rarely"/>
    <x v="0"/>
    <n v="21"/>
    <x v="1"/>
    <n v="3"/>
    <n v="2"/>
    <x v="7"/>
    <n v="4"/>
    <s v="Married"/>
    <n v="4014"/>
    <n v="1"/>
    <s v="Yes"/>
    <n v="25"/>
    <n v="4"/>
    <n v="1"/>
    <n v="10"/>
    <n v="2"/>
    <n v="10"/>
    <n v="0"/>
    <n v="7"/>
    <s v="Graduation"/>
    <d v="2011-02-19T00:00:00"/>
    <m/>
    <s v="Better Opportunity"/>
    <x v="1"/>
    <n v="2"/>
    <n v="2"/>
    <s v="No"/>
    <s v="Job Portal"/>
    <s v="Contract"/>
    <n v="0"/>
    <s v="Active"/>
    <x v="2"/>
    <x v="0"/>
    <x v="3"/>
  </r>
  <r>
    <n v="35"/>
    <s v="No"/>
    <s v="Travel_Rarely"/>
    <x v="1"/>
    <n v="3"/>
    <x v="0"/>
    <n v="3"/>
    <n v="3"/>
    <x v="4"/>
    <n v="4"/>
    <s v="Divorced"/>
    <n v="7823"/>
    <n v="6"/>
    <s v="No"/>
    <n v="13"/>
    <n v="3"/>
    <n v="1"/>
    <n v="12"/>
    <n v="2"/>
    <n v="10"/>
    <n v="0"/>
    <n v="8"/>
    <s v="Post-Graduation"/>
    <d v="2011-05-08T00:00:00"/>
    <m/>
    <s v="Work Environment"/>
    <x v="0"/>
    <n v="5"/>
    <n v="1"/>
    <s v="Yes"/>
    <s v="Recruiter"/>
    <s v="Part Time"/>
    <n v="0"/>
    <s v="Active"/>
    <x v="2"/>
    <x v="1"/>
    <x v="2"/>
  </r>
  <r>
    <n v="33"/>
    <s v="No"/>
    <s v="Non-Travel"/>
    <x v="1"/>
    <n v="17"/>
    <x v="0"/>
    <n v="3"/>
    <n v="4"/>
    <x v="5"/>
    <n v="3"/>
    <s v="Single"/>
    <n v="17444"/>
    <n v="1"/>
    <s v="No"/>
    <n v="11"/>
    <n v="3"/>
    <n v="0"/>
    <n v="10"/>
    <n v="2"/>
    <n v="10"/>
    <n v="6"/>
    <n v="0"/>
    <s v="PHD"/>
    <d v="2011-06-01T00:00:00"/>
    <m/>
    <s v="Better Opportunity"/>
    <x v="0"/>
    <n v="0"/>
    <n v="2"/>
    <s v="Yes"/>
    <s v="Job Event"/>
    <s v="Contract"/>
    <n v="0"/>
    <s v="Active"/>
    <x v="2"/>
    <x v="1"/>
    <x v="1"/>
  </r>
  <r>
    <n v="54"/>
    <s v="No"/>
    <s v="Travel_Rarely"/>
    <x v="0"/>
    <n v="17"/>
    <x v="1"/>
    <n v="3"/>
    <n v="3"/>
    <x v="6"/>
    <n v="3"/>
    <s v="Married"/>
    <n v="10739"/>
    <n v="8"/>
    <s v="No"/>
    <n v="11"/>
    <n v="3"/>
    <n v="1"/>
    <n v="22"/>
    <n v="2"/>
    <n v="10"/>
    <n v="0"/>
    <n v="8"/>
    <s v="Post-Graduation"/>
    <d v="2011-03-06T00:00:00"/>
    <m/>
    <s v="Dept.Head"/>
    <x v="1"/>
    <n v="5"/>
    <n v="0"/>
    <s v="No"/>
    <s v="Walk-in"/>
    <s v="Part Time"/>
    <n v="0"/>
    <s v="Active"/>
    <x v="2"/>
    <x v="1"/>
    <x v="3"/>
  </r>
  <r>
    <n v="51"/>
    <s v="Yes"/>
    <s v="Travel_Rarely"/>
    <x v="0"/>
    <n v="4"/>
    <x v="0"/>
    <n v="3"/>
    <n v="1"/>
    <x v="1"/>
    <n v="3"/>
    <s v="Married"/>
    <n v="2461"/>
    <n v="9"/>
    <s v="Yes"/>
    <n v="12"/>
    <n v="3"/>
    <n v="3"/>
    <n v="18"/>
    <n v="2"/>
    <n v="10"/>
    <n v="2"/>
    <n v="7"/>
    <s v="Graduation"/>
    <d v="2011-04-01T00:00:00"/>
    <m/>
    <s v="Work Environment"/>
    <x v="1"/>
    <n v="1"/>
    <n v="1"/>
    <s v="No"/>
    <s v="Job Portal"/>
    <s v="Part Time"/>
    <n v="1"/>
    <s v="Active"/>
    <x v="2"/>
    <x v="0"/>
    <x v="0"/>
  </r>
  <r>
    <n v="28"/>
    <s v="Yes"/>
    <s v="Non-Travel"/>
    <x v="0"/>
    <n v="24"/>
    <x v="0"/>
    <n v="2"/>
    <n v="3"/>
    <x v="7"/>
    <n v="1"/>
    <s v="Single"/>
    <n v="8722"/>
    <n v="1"/>
    <s v="No"/>
    <n v="12"/>
    <n v="3"/>
    <n v="0"/>
    <n v="10"/>
    <n v="2"/>
    <n v="10"/>
    <n v="1"/>
    <n v="9"/>
    <s v="12th"/>
    <d v="2011-02-08T00:00:00"/>
    <m/>
    <s v="Work Accident"/>
    <x v="0"/>
    <n v="3"/>
    <n v="1"/>
    <s v="No"/>
    <s v="Recruiter"/>
    <s v="FullTime"/>
    <n v="1"/>
    <s v="Active"/>
    <x v="2"/>
    <x v="1"/>
    <x v="3"/>
  </r>
  <r>
    <n v="41"/>
    <s v="No"/>
    <s v="Travel_Rarely"/>
    <x v="0"/>
    <n v="7"/>
    <x v="1"/>
    <n v="4"/>
    <n v="1"/>
    <x v="1"/>
    <n v="3"/>
    <s v="Married"/>
    <n v="3376"/>
    <n v="1"/>
    <s v="No"/>
    <n v="13"/>
    <n v="3"/>
    <n v="0"/>
    <n v="10"/>
    <n v="3"/>
    <n v="10"/>
    <n v="0"/>
    <n v="8"/>
    <s v="PHD"/>
    <d v="2011-05-18T00:00:00"/>
    <m/>
    <s v="Work Accident"/>
    <x v="0"/>
    <n v="2"/>
    <n v="1"/>
    <s v="No"/>
    <s v="Job Portal"/>
    <s v="FullTime"/>
    <n v="0"/>
    <s v="Active"/>
    <x v="2"/>
    <x v="0"/>
    <x v="0"/>
  </r>
  <r>
    <n v="29"/>
    <s v="No"/>
    <s v="Travel_Rarely"/>
    <x v="0"/>
    <n v="8"/>
    <x v="0"/>
    <n v="2"/>
    <n v="2"/>
    <x v="6"/>
    <n v="4"/>
    <s v="Married"/>
    <n v="5056"/>
    <n v="1"/>
    <s v="Yes"/>
    <n v="15"/>
    <n v="3"/>
    <n v="1"/>
    <n v="10"/>
    <n v="2"/>
    <n v="10"/>
    <n v="1"/>
    <n v="2"/>
    <s v="Graduation"/>
    <d v="2011-04-03T00:00:00"/>
    <m/>
    <s v="Work Accident"/>
    <x v="1"/>
    <n v="1"/>
    <n v="2"/>
    <s v="No"/>
    <s v="Walk-in"/>
    <s v="Part Time"/>
    <n v="0"/>
    <s v="Active"/>
    <x v="2"/>
    <x v="0"/>
    <x v="3"/>
  </r>
  <r>
    <n v="30"/>
    <s v="No"/>
    <s v="Travel_Rarely"/>
    <x v="1"/>
    <n v="10"/>
    <x v="0"/>
    <n v="2"/>
    <n v="2"/>
    <x v="4"/>
    <n v="3"/>
    <s v="Married"/>
    <n v="6578"/>
    <n v="1"/>
    <s v="No"/>
    <n v="18"/>
    <n v="3"/>
    <n v="1"/>
    <n v="10"/>
    <n v="3"/>
    <n v="10"/>
    <n v="1"/>
    <n v="4"/>
    <s v="PHD"/>
    <d v="2011-05-27T00:00:00"/>
    <m/>
    <s v="Dept.Head"/>
    <x v="1"/>
    <n v="4"/>
    <n v="3"/>
    <s v="Yes"/>
    <s v="Recruiter"/>
    <s v="Part Time"/>
    <n v="0"/>
    <s v="Active"/>
    <x v="2"/>
    <x v="0"/>
    <x v="2"/>
  </r>
  <r>
    <n v="29"/>
    <s v="No"/>
    <s v="Travel_Rarely"/>
    <x v="0"/>
    <n v="6"/>
    <x v="1"/>
    <n v="3"/>
    <n v="1"/>
    <x v="0"/>
    <n v="4"/>
    <s v="Married"/>
    <n v="3131"/>
    <n v="1"/>
    <s v="No"/>
    <n v="13"/>
    <n v="3"/>
    <n v="1"/>
    <n v="10"/>
    <n v="5"/>
    <n v="10"/>
    <n v="0"/>
    <n v="8"/>
    <s v="Post-Graduation"/>
    <d v="2011-03-23T00:00:00"/>
    <m/>
    <s v="Work Accident"/>
    <x v="1"/>
    <n v="0"/>
    <n v="2"/>
    <s v="Yes"/>
    <s v="Job Portal"/>
    <s v="FullTime"/>
    <n v="0"/>
    <s v="Active"/>
    <x v="2"/>
    <x v="0"/>
    <x v="0"/>
  </r>
  <r>
    <n v="33"/>
    <s v="No"/>
    <s v="Travel_Frequently"/>
    <x v="1"/>
    <n v="25"/>
    <x v="1"/>
    <n v="3"/>
    <n v="2"/>
    <x v="4"/>
    <n v="3"/>
    <s v="Married"/>
    <n v="4539"/>
    <n v="1"/>
    <s v="No"/>
    <n v="12"/>
    <n v="3"/>
    <n v="1"/>
    <n v="10"/>
    <n v="3"/>
    <n v="10"/>
    <n v="0"/>
    <n v="1"/>
    <s v="Post-Graduation"/>
    <d v="2011-01-06T00:00:00"/>
    <m/>
    <s v="Work Accident"/>
    <x v="0"/>
    <n v="5"/>
    <n v="2"/>
    <s v="No"/>
    <s v="Recruiter"/>
    <s v="FullTime"/>
    <n v="0"/>
    <s v="Active"/>
    <x v="2"/>
    <x v="0"/>
    <x v="2"/>
  </r>
  <r>
    <n v="30"/>
    <s v="No"/>
    <s v="Travel_Rarely"/>
    <x v="0"/>
    <n v="7"/>
    <x v="0"/>
    <n v="3"/>
    <n v="2"/>
    <x v="0"/>
    <n v="3"/>
    <s v="Divorced"/>
    <n v="3491"/>
    <n v="1"/>
    <s v="No"/>
    <n v="13"/>
    <n v="3"/>
    <n v="3"/>
    <n v="10"/>
    <n v="4"/>
    <n v="10"/>
    <n v="8"/>
    <n v="9"/>
    <s v="Graduation"/>
    <d v="2011-05-26T00:00:00"/>
    <m/>
    <s v="Better Opportunity"/>
    <x v="0"/>
    <n v="3"/>
    <n v="3"/>
    <s v="No"/>
    <s v="Job Event"/>
    <s v="Part Time"/>
    <n v="0"/>
    <s v="Active"/>
    <x v="2"/>
    <x v="0"/>
    <x v="0"/>
  </r>
  <r>
    <n v="44"/>
    <s v="No"/>
    <s v="Travel_Rarely"/>
    <x v="0"/>
    <n v="2"/>
    <x v="1"/>
    <n v="4"/>
    <n v="1"/>
    <x v="1"/>
    <n v="4"/>
    <s v="Married"/>
    <n v="2011"/>
    <n v="1"/>
    <s v="No"/>
    <n v="13"/>
    <n v="3"/>
    <n v="1"/>
    <n v="10"/>
    <n v="5"/>
    <n v="10"/>
    <n v="7"/>
    <n v="7"/>
    <s v="Graduation"/>
    <d v="2011-02-19T00:00:00"/>
    <m/>
    <s v="Salary"/>
    <x v="0"/>
    <n v="1"/>
    <n v="3"/>
    <s v="Yes"/>
    <s v="Walk-in"/>
    <s v="Contract"/>
    <n v="0"/>
    <s v="Active"/>
    <x v="2"/>
    <x v="0"/>
    <x v="0"/>
  </r>
  <r>
    <n v="54"/>
    <s v="No"/>
    <s v="Travel_Rarely"/>
    <x v="0"/>
    <n v="3"/>
    <x v="0"/>
    <n v="3"/>
    <n v="4"/>
    <x v="2"/>
    <n v="4"/>
    <s v="Married"/>
    <n v="17779"/>
    <n v="3"/>
    <s v="No"/>
    <n v="14"/>
    <n v="3"/>
    <n v="0"/>
    <n v="36"/>
    <n v="2"/>
    <n v="10"/>
    <n v="0"/>
    <n v="9"/>
    <s v="12th"/>
    <d v="2011-04-25T00:00:00"/>
    <m/>
    <s v="Salary"/>
    <x v="1"/>
    <n v="0"/>
    <n v="0"/>
    <s v="Yes"/>
    <s v="Job Event"/>
    <s v="Part Time"/>
    <n v="0"/>
    <s v="Active"/>
    <x v="2"/>
    <x v="1"/>
    <x v="1"/>
  </r>
  <r>
    <n v="31"/>
    <s v="No"/>
    <s v="Travel_Rarely"/>
    <x v="0"/>
    <n v="24"/>
    <x v="1"/>
    <n v="2"/>
    <n v="2"/>
    <x v="7"/>
    <n v="1"/>
    <s v="Single"/>
    <n v="6812"/>
    <n v="1"/>
    <s v="No"/>
    <n v="19"/>
    <n v="3"/>
    <n v="0"/>
    <n v="10"/>
    <n v="2"/>
    <n v="10"/>
    <n v="1"/>
    <n v="8"/>
    <s v="12th"/>
    <d v="2011-04-11T00:00:00"/>
    <m/>
    <s v="Dept.Head"/>
    <x v="0"/>
    <n v="5"/>
    <n v="0"/>
    <s v="No"/>
    <s v="Walk-in"/>
    <s v="Part Time"/>
    <n v="0"/>
    <s v="Active"/>
    <x v="2"/>
    <x v="0"/>
    <x v="3"/>
  </r>
  <r>
    <n v="34"/>
    <s v="No"/>
    <s v="Travel_Frequently"/>
    <x v="2"/>
    <n v="11"/>
    <x v="0"/>
    <n v="2"/>
    <n v="2"/>
    <x v="8"/>
    <n v="2"/>
    <s v="Married"/>
    <n v="4490"/>
    <n v="4"/>
    <s v="No"/>
    <n v="11"/>
    <n v="3"/>
    <n v="2"/>
    <n v="14"/>
    <n v="5"/>
    <n v="10"/>
    <n v="1"/>
    <n v="8"/>
    <s v="12th"/>
    <d v="2011-03-27T00:00:00"/>
    <m/>
    <s v="Salary"/>
    <x v="1"/>
    <n v="2"/>
    <n v="3"/>
    <s v="Yes"/>
    <s v="Job Portal"/>
    <s v="FullTime"/>
    <n v="0"/>
    <s v="Active"/>
    <x v="2"/>
    <x v="0"/>
    <x v="4"/>
  </r>
  <r>
    <n v="44"/>
    <s v="Yes"/>
    <s v="Travel_Rarely"/>
    <x v="0"/>
    <n v="15"/>
    <x v="1"/>
    <n v="3"/>
    <n v="3"/>
    <x v="7"/>
    <n v="4"/>
    <s v="Married"/>
    <n v="7978"/>
    <n v="1"/>
    <s v="No"/>
    <n v="11"/>
    <n v="3"/>
    <n v="1"/>
    <n v="10"/>
    <n v="2"/>
    <n v="10"/>
    <n v="0"/>
    <n v="5"/>
    <s v="PHD"/>
    <d v="2011-04-17T00:00:00"/>
    <m/>
    <s v="Work Environment"/>
    <x v="0"/>
    <n v="5"/>
    <n v="1"/>
    <s v="No"/>
    <s v="Job Event"/>
    <s v="Contract"/>
    <n v="1"/>
    <s v="Active"/>
    <x v="2"/>
    <x v="1"/>
    <x v="3"/>
  </r>
  <r>
    <n v="32"/>
    <s v="No"/>
    <s v="Travel_Rarely"/>
    <x v="1"/>
    <n v="8"/>
    <x v="0"/>
    <n v="4"/>
    <n v="2"/>
    <x v="4"/>
    <n v="4"/>
    <s v="Married"/>
    <n v="6209"/>
    <n v="1"/>
    <s v="No"/>
    <n v="15"/>
    <n v="3"/>
    <n v="2"/>
    <n v="10"/>
    <n v="4"/>
    <n v="10"/>
    <n v="0"/>
    <n v="8"/>
    <s v="Post-Graduation"/>
    <d v="2011-01-21T00:00:00"/>
    <m/>
    <s v="Dept.Head"/>
    <x v="1"/>
    <n v="0"/>
    <n v="3"/>
    <s v="No"/>
    <s v="Job Event"/>
    <s v="Part Time"/>
    <n v="0"/>
    <s v="Active"/>
    <x v="2"/>
    <x v="0"/>
    <x v="2"/>
  </r>
  <r>
    <n v="32"/>
    <s v="Yes"/>
    <s v="Travel_Rarely"/>
    <x v="0"/>
    <n v="7"/>
    <x v="0"/>
    <n v="3"/>
    <n v="2"/>
    <x v="0"/>
    <n v="3"/>
    <s v="Married"/>
    <n v="4883"/>
    <n v="1"/>
    <s v="No"/>
    <n v="18"/>
    <n v="3"/>
    <n v="1"/>
    <n v="10"/>
    <n v="3"/>
    <n v="10"/>
    <n v="1"/>
    <n v="1"/>
    <s v="Graduation"/>
    <d v="2011-05-25T00:00:00"/>
    <m/>
    <s v="Work Accident"/>
    <x v="1"/>
    <n v="0"/>
    <n v="2"/>
    <s v="Yes"/>
    <s v="Recruiter"/>
    <s v="FullTime"/>
    <n v="1"/>
    <s v="Active"/>
    <x v="2"/>
    <x v="0"/>
    <x v="0"/>
  </r>
  <r>
    <n v="31"/>
    <s v="No"/>
    <s v="Non-Travel"/>
    <x v="1"/>
    <n v="2"/>
    <x v="1"/>
    <n v="3"/>
    <n v="3"/>
    <x v="4"/>
    <n v="3"/>
    <s v="Divorced"/>
    <n v="9852"/>
    <n v="1"/>
    <s v="Yes"/>
    <n v="19"/>
    <n v="3"/>
    <n v="1"/>
    <n v="10"/>
    <n v="5"/>
    <n v="10"/>
    <n v="9"/>
    <n v="6"/>
    <s v="PHD"/>
    <d v="2011-05-16T00:00:00"/>
    <m/>
    <s v="Work Accident"/>
    <x v="0"/>
    <n v="5"/>
    <n v="0"/>
    <s v="Yes"/>
    <s v="Walk-in"/>
    <s v="FullTime"/>
    <n v="0"/>
    <s v="Active"/>
    <x v="2"/>
    <x v="1"/>
    <x v="2"/>
  </r>
  <r>
    <n v="34"/>
    <s v="No"/>
    <s v="Travel_Rarely"/>
    <x v="1"/>
    <n v="15"/>
    <x v="1"/>
    <n v="3"/>
    <n v="2"/>
    <x v="4"/>
    <n v="1"/>
    <s v="Single"/>
    <n v="6125"/>
    <n v="1"/>
    <s v="No"/>
    <n v="12"/>
    <n v="3"/>
    <n v="0"/>
    <n v="10"/>
    <n v="6"/>
    <n v="10"/>
    <n v="9"/>
    <n v="6"/>
    <s v="PHD"/>
    <d v="2011-04-20T00:00:00"/>
    <m/>
    <s v="Salary"/>
    <x v="1"/>
    <n v="4"/>
    <n v="1"/>
    <s v="Yes"/>
    <s v="Walk-in"/>
    <s v="FullTime"/>
    <n v="0"/>
    <s v="Active"/>
    <x v="2"/>
    <x v="0"/>
    <x v="2"/>
  </r>
  <r>
    <n v="58"/>
    <s v="Yes"/>
    <s v="Travel_Rarely"/>
    <x v="0"/>
    <n v="7"/>
    <x v="1"/>
    <n v="2"/>
    <n v="3"/>
    <x v="6"/>
    <n v="1"/>
    <s v="Married"/>
    <n v="10008"/>
    <n v="7"/>
    <s v="Yes"/>
    <n v="14"/>
    <n v="3"/>
    <n v="0"/>
    <n v="31"/>
    <n v="0"/>
    <n v="10"/>
    <n v="5"/>
    <n v="9"/>
    <s v="Graduation"/>
    <d v="2011-04-07T00:00:00"/>
    <m/>
    <s v="Work Accident"/>
    <x v="1"/>
    <n v="3"/>
    <n v="2"/>
    <s v="No"/>
    <s v="Job Portal"/>
    <s v="Part Time"/>
    <n v="1"/>
    <s v="Active"/>
    <x v="2"/>
    <x v="1"/>
    <x v="3"/>
  </r>
  <r>
    <n v="48"/>
    <s v="No"/>
    <s v="Travel_Rarely"/>
    <x v="0"/>
    <n v="4"/>
    <x v="0"/>
    <n v="3"/>
    <n v="3"/>
    <x v="6"/>
    <n v="4"/>
    <s v="Single"/>
    <n v="7898"/>
    <n v="1"/>
    <s v="No"/>
    <n v="11"/>
    <n v="3"/>
    <n v="0"/>
    <n v="11"/>
    <n v="2"/>
    <n v="10"/>
    <n v="0"/>
    <n v="8"/>
    <s v="PHD"/>
    <d v="2011-06-28T00:00:00"/>
    <m/>
    <s v="Work Accident"/>
    <x v="0"/>
    <n v="0"/>
    <n v="2"/>
    <s v="Yes"/>
    <s v="Walk-in"/>
    <s v="Contract"/>
    <n v="0"/>
    <s v="Active"/>
    <x v="2"/>
    <x v="1"/>
    <x v="3"/>
  </r>
  <r>
    <n v="31"/>
    <s v="Yes"/>
    <s v="Travel_Rarely"/>
    <x v="0"/>
    <n v="22"/>
    <x v="0"/>
    <n v="3"/>
    <n v="2"/>
    <x v="6"/>
    <n v="3"/>
    <s v="Married"/>
    <n v="6179"/>
    <n v="1"/>
    <s v="Yes"/>
    <n v="15"/>
    <n v="3"/>
    <n v="2"/>
    <n v="10"/>
    <n v="3"/>
    <n v="10"/>
    <n v="6"/>
    <n v="7"/>
    <s v="12th"/>
    <d v="2011-05-03T00:00:00"/>
    <m/>
    <s v="Better Opportunity"/>
    <x v="1"/>
    <n v="5"/>
    <n v="1"/>
    <s v="No"/>
    <s v="Job Event"/>
    <s v="Contract"/>
    <n v="1"/>
    <s v="Active"/>
    <x v="2"/>
    <x v="0"/>
    <x v="3"/>
  </r>
  <r>
    <n v="29"/>
    <s v="No"/>
    <s v="Travel_Rarely"/>
    <x v="2"/>
    <n v="17"/>
    <x v="0"/>
    <n v="2"/>
    <n v="3"/>
    <x v="8"/>
    <n v="1"/>
    <s v="Single"/>
    <n v="7988"/>
    <n v="1"/>
    <s v="No"/>
    <n v="13"/>
    <n v="3"/>
    <n v="0"/>
    <n v="10"/>
    <n v="3"/>
    <n v="10"/>
    <n v="0"/>
    <n v="9"/>
    <s v="PHD"/>
    <d v="2011-03-27T00:00:00"/>
    <m/>
    <s v="Dept.Head"/>
    <x v="0"/>
    <n v="2"/>
    <n v="2"/>
    <s v="Yes"/>
    <s v="Recruiter"/>
    <s v="Contract"/>
    <n v="0"/>
    <s v="Active"/>
    <x v="2"/>
    <x v="1"/>
    <x v="4"/>
  </r>
  <r>
    <n v="36"/>
    <s v="No"/>
    <s v="Travel_Rarely"/>
    <x v="0"/>
    <n v="4"/>
    <x v="0"/>
    <n v="2"/>
    <n v="2"/>
    <x v="0"/>
    <n v="4"/>
    <s v="Single"/>
    <n v="5810"/>
    <n v="1"/>
    <s v="No"/>
    <n v="16"/>
    <n v="3"/>
    <n v="0"/>
    <n v="10"/>
    <n v="2"/>
    <n v="10"/>
    <n v="1"/>
    <n v="8"/>
    <s v="12th"/>
    <d v="2011-05-22T00:00:00"/>
    <m/>
    <s v="Better Opportunity"/>
    <x v="1"/>
    <n v="4"/>
    <n v="2"/>
    <s v="No"/>
    <s v="Job Event"/>
    <s v="Part Time"/>
    <n v="0"/>
    <s v="Active"/>
    <x v="2"/>
    <x v="0"/>
    <x v="0"/>
  </r>
  <r>
    <n v="31"/>
    <s v="Yes"/>
    <s v="Travel_Frequently"/>
    <x v="0"/>
    <n v="1"/>
    <x v="1"/>
    <n v="4"/>
    <n v="3"/>
    <x v="6"/>
    <n v="2"/>
    <s v="Single"/>
    <n v="7446"/>
    <n v="1"/>
    <s v="No"/>
    <n v="11"/>
    <n v="3"/>
    <n v="0"/>
    <n v="10"/>
    <n v="2"/>
    <n v="10"/>
    <n v="4"/>
    <n v="7"/>
    <s v="Post-Graduation"/>
    <d v="2011-04-05T00:00:00"/>
    <m/>
    <s v="Salary"/>
    <x v="1"/>
    <n v="2"/>
    <n v="2"/>
    <s v="Yes"/>
    <s v="Job Portal"/>
    <s v="Contract"/>
    <n v="1"/>
    <s v="Active"/>
    <x v="2"/>
    <x v="1"/>
    <x v="3"/>
  </r>
  <r>
    <n v="29"/>
    <s v="No"/>
    <s v="Travel_Rarely"/>
    <x v="1"/>
    <n v="19"/>
    <x v="0"/>
    <n v="2"/>
    <n v="2"/>
    <x v="4"/>
    <n v="3"/>
    <s v="Divorced"/>
    <n v="8620"/>
    <n v="1"/>
    <s v="No"/>
    <n v="14"/>
    <n v="3"/>
    <n v="2"/>
    <n v="10"/>
    <n v="3"/>
    <n v="10"/>
    <n v="0"/>
    <n v="4"/>
    <s v="12th"/>
    <d v="2011-03-19T00:00:00"/>
    <m/>
    <s v="Salary"/>
    <x v="1"/>
    <n v="0"/>
    <n v="0"/>
    <s v="No"/>
    <s v="Walk-in"/>
    <s v="FullTime"/>
    <n v="0"/>
    <s v="Active"/>
    <x v="2"/>
    <x v="1"/>
    <x v="2"/>
  </r>
  <r>
    <n v="34"/>
    <s v="No"/>
    <s v="Travel_Rarely"/>
    <x v="1"/>
    <n v="1"/>
    <x v="0"/>
    <n v="2"/>
    <n v="3"/>
    <x v="4"/>
    <n v="3"/>
    <s v="Married"/>
    <n v="7083"/>
    <n v="1"/>
    <s v="Yes"/>
    <n v="14"/>
    <n v="3"/>
    <n v="0"/>
    <n v="10"/>
    <n v="3"/>
    <n v="10"/>
    <n v="8"/>
    <n v="6"/>
    <s v="Graduation"/>
    <d v="2011-03-01T00:00:00"/>
    <m/>
    <s v="Better Opportunity"/>
    <x v="1"/>
    <n v="3"/>
    <n v="2"/>
    <s v="Yes"/>
    <s v="Job Portal"/>
    <s v="Contract"/>
    <n v="0"/>
    <s v="Active"/>
    <x v="2"/>
    <x v="1"/>
    <x v="2"/>
  </r>
  <r>
    <n v="37"/>
    <s v="No"/>
    <s v="Travel_Rarely"/>
    <x v="0"/>
    <n v="13"/>
    <x v="0"/>
    <n v="3"/>
    <n v="2"/>
    <x v="1"/>
    <n v="4"/>
    <s v="Married"/>
    <n v="4285"/>
    <n v="1"/>
    <s v="No"/>
    <n v="17"/>
    <n v="3"/>
    <n v="0"/>
    <n v="10"/>
    <n v="2"/>
    <n v="10"/>
    <n v="3"/>
    <n v="7"/>
    <s v="PHD"/>
    <d v="2011-03-11T00:00:00"/>
    <m/>
    <s v="Work Environment"/>
    <x v="0"/>
    <n v="1"/>
    <n v="3"/>
    <s v="No"/>
    <s v="Job Portal"/>
    <s v="FullTime"/>
    <n v="0"/>
    <s v="Active"/>
    <x v="2"/>
    <x v="0"/>
    <x v="0"/>
  </r>
  <r>
    <n v="45"/>
    <s v="No"/>
    <s v="Travel_Rarely"/>
    <x v="0"/>
    <n v="1"/>
    <x v="0"/>
    <n v="3"/>
    <n v="3"/>
    <x v="7"/>
    <n v="2"/>
    <s v="Divorced"/>
    <n v="7441"/>
    <n v="1"/>
    <s v="No"/>
    <n v="12"/>
    <n v="3"/>
    <n v="3"/>
    <n v="10"/>
    <n v="4"/>
    <n v="10"/>
    <n v="7"/>
    <n v="7"/>
    <s v="PHD"/>
    <d v="2011-05-06T00:00:00"/>
    <m/>
    <s v="Better Opportunity"/>
    <x v="0"/>
    <n v="4"/>
    <n v="0"/>
    <s v="No"/>
    <s v="Job Event"/>
    <s v="Part Time"/>
    <n v="0"/>
    <s v="Active"/>
    <x v="2"/>
    <x v="1"/>
    <x v="3"/>
  </r>
  <r>
    <n v="30"/>
    <s v="Yes"/>
    <s v="Travel_Rarely"/>
    <x v="1"/>
    <n v="1"/>
    <x v="0"/>
    <n v="2"/>
    <n v="2"/>
    <x v="4"/>
    <n v="1"/>
    <s v="Married"/>
    <n v="9714"/>
    <n v="1"/>
    <s v="No"/>
    <n v="11"/>
    <n v="3"/>
    <n v="1"/>
    <n v="10"/>
    <n v="4"/>
    <n v="10"/>
    <n v="6"/>
    <n v="7"/>
    <s v="Post-Graduation"/>
    <d v="2011-01-02T00:00:00"/>
    <m/>
    <s v="Dept.Head"/>
    <x v="1"/>
    <n v="5"/>
    <n v="1"/>
    <s v="No"/>
    <s v="Job Event"/>
    <s v="Part Time"/>
    <n v="1"/>
    <s v="Active"/>
    <x v="2"/>
    <x v="1"/>
    <x v="2"/>
  </r>
  <r>
    <n v="29"/>
    <s v="No"/>
    <s v="Travel_Rarely"/>
    <x v="0"/>
    <n v="3"/>
    <x v="0"/>
    <n v="3"/>
    <n v="1"/>
    <x v="0"/>
    <n v="1"/>
    <s v="Single"/>
    <n v="4723"/>
    <n v="1"/>
    <s v="Yes"/>
    <n v="18"/>
    <n v="3"/>
    <n v="0"/>
    <n v="10"/>
    <n v="3"/>
    <n v="10"/>
    <n v="1"/>
    <n v="5"/>
    <s v="PHD"/>
    <d v="2011-02-06T00:00:00"/>
    <m/>
    <s v="Salary"/>
    <x v="1"/>
    <n v="3"/>
    <n v="1"/>
    <s v="Yes"/>
    <s v="Walk-in"/>
    <s v="FullTime"/>
    <n v="0"/>
    <s v="Active"/>
    <x v="2"/>
    <x v="0"/>
    <x v="0"/>
  </r>
  <r>
    <n v="35"/>
    <s v="No"/>
    <s v="Travel_Rarely"/>
    <x v="0"/>
    <n v="28"/>
    <x v="0"/>
    <n v="4"/>
    <n v="2"/>
    <x v="0"/>
    <n v="3"/>
    <s v="Married"/>
    <n v="3407"/>
    <n v="1"/>
    <s v="No"/>
    <n v="17"/>
    <n v="3"/>
    <n v="2"/>
    <n v="10"/>
    <n v="3"/>
    <n v="10"/>
    <n v="6"/>
    <n v="8"/>
    <s v="PHD"/>
    <d v="2011-04-22T00:00:00"/>
    <m/>
    <s v="Work Accident"/>
    <x v="0"/>
    <n v="3"/>
    <n v="3"/>
    <s v="Yes"/>
    <s v="Recruiter"/>
    <s v="Contract"/>
    <n v="0"/>
    <s v="Active"/>
    <x v="2"/>
    <x v="0"/>
    <x v="0"/>
  </r>
  <r>
    <n v="45"/>
    <s v="No"/>
    <s v="Travel_Rarely"/>
    <x v="0"/>
    <n v="5"/>
    <x v="1"/>
    <n v="1"/>
    <n v="2"/>
    <x v="0"/>
    <n v="1"/>
    <s v="Single"/>
    <n v="5769"/>
    <n v="1"/>
    <s v="Yes"/>
    <n v="14"/>
    <n v="3"/>
    <n v="0"/>
    <n v="10"/>
    <n v="3"/>
    <n v="10"/>
    <n v="1"/>
    <n v="4"/>
    <s v="PHD"/>
    <d v="2011-03-30T00:00:00"/>
    <m/>
    <s v="Work Environment"/>
    <x v="1"/>
    <n v="4"/>
    <n v="3"/>
    <s v="Yes"/>
    <s v="Walk-in"/>
    <s v="Part Time"/>
    <n v="0"/>
    <s v="Active"/>
    <x v="2"/>
    <x v="0"/>
    <x v="0"/>
  </r>
  <r>
    <n v="45"/>
    <s v="No"/>
    <s v="Non-Travel"/>
    <x v="1"/>
    <n v="26"/>
    <x v="0"/>
    <n v="2"/>
    <n v="2"/>
    <x v="4"/>
    <n v="1"/>
    <s v="Married"/>
    <n v="4385"/>
    <n v="1"/>
    <s v="No"/>
    <n v="15"/>
    <n v="3"/>
    <n v="1"/>
    <n v="10"/>
    <n v="2"/>
    <n v="10"/>
    <n v="4"/>
    <n v="5"/>
    <s v="Graduation"/>
    <d v="2011-04-01T00:00:00"/>
    <m/>
    <s v="Dept.Head"/>
    <x v="0"/>
    <n v="3"/>
    <n v="3"/>
    <s v="Yes"/>
    <s v="Job Portal"/>
    <s v="FullTime"/>
    <n v="0"/>
    <s v="Active"/>
    <x v="2"/>
    <x v="0"/>
    <x v="2"/>
  </r>
  <r>
    <n v="39"/>
    <s v="No"/>
    <s v="Travel_Rarely"/>
    <x v="0"/>
    <n v="3"/>
    <x v="0"/>
    <n v="2"/>
    <n v="2"/>
    <x v="0"/>
    <n v="3"/>
    <s v="Divorced"/>
    <n v="3069"/>
    <n v="0"/>
    <s v="No"/>
    <n v="15"/>
    <n v="3"/>
    <n v="1"/>
    <n v="11"/>
    <n v="3"/>
    <n v="10"/>
    <n v="0"/>
    <n v="7"/>
    <s v="Graduation"/>
    <d v="2011-04-03T00:00:00"/>
    <m/>
    <s v="Dept.Head"/>
    <x v="1"/>
    <n v="5"/>
    <n v="0"/>
    <s v="Yes"/>
    <s v="Job Event"/>
    <s v="Contract"/>
    <n v="0"/>
    <s v="Active"/>
    <x v="2"/>
    <x v="0"/>
    <x v="0"/>
  </r>
  <r>
    <n v="45"/>
    <s v="No"/>
    <s v="Travel_Rarely"/>
    <x v="0"/>
    <n v="2"/>
    <x v="1"/>
    <n v="2"/>
    <n v="2"/>
    <x v="6"/>
    <n v="4"/>
    <s v="Divorced"/>
    <n v="5770"/>
    <n v="1"/>
    <s v="No"/>
    <n v="19"/>
    <n v="3"/>
    <n v="2"/>
    <n v="10"/>
    <n v="3"/>
    <n v="10"/>
    <n v="3"/>
    <n v="9"/>
    <s v="12th"/>
    <d v="2011-02-26T00:00:00"/>
    <m/>
    <s v="Work Environment"/>
    <x v="1"/>
    <n v="1"/>
    <n v="3"/>
    <s v="Yes"/>
    <s v="Recruiter"/>
    <s v="Part Time"/>
    <n v="0"/>
    <s v="Active"/>
    <x v="2"/>
    <x v="0"/>
    <x v="3"/>
  </r>
  <r>
    <n v="44"/>
    <s v="No"/>
    <s v="Travel_Frequently"/>
    <x v="2"/>
    <n v="1"/>
    <x v="0"/>
    <n v="3"/>
    <n v="2"/>
    <x v="8"/>
    <n v="4"/>
    <s v="Married"/>
    <n v="5743"/>
    <n v="4"/>
    <s v="Yes"/>
    <n v="11"/>
    <n v="3"/>
    <n v="0"/>
    <n v="14"/>
    <n v="3"/>
    <n v="10"/>
    <n v="0"/>
    <n v="2"/>
    <s v="Post-Graduation"/>
    <d v="2011-06-28T00:00:00"/>
    <m/>
    <s v="Better Opportunity"/>
    <x v="0"/>
    <n v="3"/>
    <n v="2"/>
    <s v="Yes"/>
    <s v="Recruiter"/>
    <s v="Part Time"/>
    <n v="0"/>
    <s v="Active"/>
    <x v="2"/>
    <x v="0"/>
    <x v="4"/>
  </r>
  <r>
    <n v="54"/>
    <s v="No"/>
    <s v="Travel_Rarely"/>
    <x v="0"/>
    <n v="22"/>
    <x v="1"/>
    <n v="3"/>
    <n v="4"/>
    <x v="5"/>
    <n v="3"/>
    <s v="Married"/>
    <n v="17426"/>
    <n v="3"/>
    <s v="No"/>
    <n v="25"/>
    <n v="4"/>
    <n v="1"/>
    <n v="36"/>
    <n v="6"/>
    <n v="10"/>
    <n v="4"/>
    <n v="7"/>
    <s v="12th"/>
    <d v="2011-02-28T00:00:00"/>
    <m/>
    <s v="Work Accident"/>
    <x v="1"/>
    <n v="1"/>
    <n v="0"/>
    <s v="No"/>
    <s v="Recruiter"/>
    <s v="Contract"/>
    <n v="0"/>
    <s v="Active"/>
    <x v="2"/>
    <x v="1"/>
    <x v="1"/>
  </r>
  <r>
    <n v="29"/>
    <s v="No"/>
    <s v="Travel_Rarely"/>
    <x v="1"/>
    <n v="5"/>
    <x v="0"/>
    <n v="2"/>
    <n v="2"/>
    <x v="4"/>
    <n v="2"/>
    <s v="Divorced"/>
    <n v="4187"/>
    <n v="1"/>
    <s v="Yes"/>
    <n v="13"/>
    <n v="3"/>
    <n v="1"/>
    <n v="10"/>
    <n v="3"/>
    <n v="10"/>
    <n v="0"/>
    <n v="9"/>
    <s v="Post-Graduation"/>
    <d v="2011-05-06T00:00:00"/>
    <m/>
    <s v="Work Accident"/>
    <x v="1"/>
    <n v="4"/>
    <n v="3"/>
    <s v="No"/>
    <s v="Job Portal"/>
    <s v="Contract"/>
    <n v="0"/>
    <s v="Active"/>
    <x v="2"/>
    <x v="0"/>
    <x v="2"/>
  </r>
  <r>
    <n v="31"/>
    <s v="No"/>
    <s v="Travel_Rarely"/>
    <x v="1"/>
    <n v="5"/>
    <x v="1"/>
    <n v="3"/>
    <n v="2"/>
    <x v="4"/>
    <n v="4"/>
    <s v="Married"/>
    <n v="5476"/>
    <n v="1"/>
    <s v="No"/>
    <n v="11"/>
    <n v="3"/>
    <n v="2"/>
    <n v="10"/>
    <n v="2"/>
    <n v="10"/>
    <n v="0"/>
    <n v="2"/>
    <s v="Post-Graduation"/>
    <d v="2011-02-24T00:00:00"/>
    <m/>
    <s v="Salary"/>
    <x v="1"/>
    <n v="5"/>
    <n v="2"/>
    <s v="No"/>
    <s v="Recruiter"/>
    <s v="Contract"/>
    <n v="0"/>
    <s v="Active"/>
    <x v="2"/>
    <x v="0"/>
    <x v="2"/>
  </r>
  <r>
    <n v="34"/>
    <s v="No"/>
    <s v="Travel_Rarely"/>
    <x v="0"/>
    <n v="19"/>
    <x v="1"/>
    <n v="2"/>
    <n v="1"/>
    <x v="1"/>
    <n v="4"/>
    <s v="Married"/>
    <n v="2929"/>
    <n v="1"/>
    <s v="No"/>
    <n v="12"/>
    <n v="3"/>
    <n v="0"/>
    <n v="10"/>
    <n v="3"/>
    <n v="10"/>
    <n v="8"/>
    <n v="7"/>
    <s v="12th"/>
    <d v="2011-03-26T00:00:00"/>
    <m/>
    <s v="Better Opportunity"/>
    <x v="1"/>
    <n v="0"/>
    <n v="2"/>
    <s v="No"/>
    <s v="Job Event"/>
    <s v="FullTime"/>
    <n v="0"/>
    <s v="Active"/>
    <x v="2"/>
    <x v="0"/>
    <x v="0"/>
  </r>
  <r>
    <n v="43"/>
    <s v="No"/>
    <s v="Travel_Rarely"/>
    <x v="1"/>
    <n v="2"/>
    <x v="0"/>
    <n v="3"/>
    <n v="2"/>
    <x v="4"/>
    <n v="4"/>
    <s v="Married"/>
    <n v="7847"/>
    <n v="1"/>
    <s v="Yes"/>
    <n v="17"/>
    <n v="3"/>
    <n v="1"/>
    <n v="10"/>
    <n v="3"/>
    <n v="10"/>
    <n v="8"/>
    <n v="8"/>
    <s v="Graduation"/>
    <d v="2011-06-01T00:00:00"/>
    <m/>
    <s v="Better Opportunity"/>
    <x v="0"/>
    <n v="5"/>
    <n v="0"/>
    <s v="Yes"/>
    <s v="Job Event"/>
    <s v="Contract"/>
    <n v="0"/>
    <s v="Active"/>
    <x v="2"/>
    <x v="1"/>
    <x v="2"/>
  </r>
  <r>
    <n v="41"/>
    <s v="No"/>
    <s v="Travel_Rarely"/>
    <x v="1"/>
    <n v="6"/>
    <x v="0"/>
    <n v="3"/>
    <n v="3"/>
    <x v="4"/>
    <n v="3"/>
    <s v="Single"/>
    <n v="9241"/>
    <n v="1"/>
    <s v="No"/>
    <n v="12"/>
    <n v="3"/>
    <n v="0"/>
    <n v="10"/>
    <n v="3"/>
    <n v="10"/>
    <n v="8"/>
    <n v="7"/>
    <s v="Post-Graduation"/>
    <d v="2011-06-09T00:00:00"/>
    <m/>
    <s v="Work Accident"/>
    <x v="1"/>
    <n v="5"/>
    <n v="3"/>
    <s v="Yes"/>
    <s v="Walk-in"/>
    <s v="Part Time"/>
    <n v="0"/>
    <s v="Active"/>
    <x v="2"/>
    <x v="1"/>
    <x v="2"/>
  </r>
  <r>
    <n v="46"/>
    <s v="No"/>
    <s v="Travel_Rarely"/>
    <x v="0"/>
    <n v="13"/>
    <x v="0"/>
    <n v="3"/>
    <n v="2"/>
    <x v="7"/>
    <n v="2"/>
    <s v="Single"/>
    <n v="5562"/>
    <n v="6"/>
    <s v="No"/>
    <n v="14"/>
    <n v="3"/>
    <n v="0"/>
    <n v="19"/>
    <n v="3"/>
    <n v="10"/>
    <n v="0"/>
    <n v="9"/>
    <s v="12th"/>
    <d v="2011-03-16T00:00:00"/>
    <m/>
    <s v="Salary"/>
    <x v="1"/>
    <n v="4"/>
    <n v="2"/>
    <s v="No"/>
    <s v="Job Event"/>
    <s v="Contract"/>
    <n v="0"/>
    <s v="Active"/>
    <x v="2"/>
    <x v="0"/>
    <x v="3"/>
  </r>
  <r>
    <n v="30"/>
    <s v="No"/>
    <s v="Travel_Rarely"/>
    <x v="0"/>
    <n v="16"/>
    <x v="0"/>
    <n v="3"/>
    <n v="1"/>
    <x v="1"/>
    <n v="4"/>
    <s v="Married"/>
    <n v="2862"/>
    <n v="1"/>
    <s v="No"/>
    <n v="12"/>
    <n v="3"/>
    <n v="1"/>
    <n v="10"/>
    <n v="2"/>
    <n v="10"/>
    <n v="0"/>
    <n v="8"/>
    <s v="Graduation"/>
    <d v="2011-03-04T00:00:00"/>
    <m/>
    <s v="Work Accident"/>
    <x v="1"/>
    <n v="3"/>
    <n v="3"/>
    <s v="Yes"/>
    <s v="Job Event"/>
    <s v="Part Time"/>
    <n v="0"/>
    <s v="Active"/>
    <x v="2"/>
    <x v="0"/>
    <x v="0"/>
  </r>
  <r>
    <n v="46"/>
    <s v="No"/>
    <s v="Travel_Rarely"/>
    <x v="1"/>
    <n v="2"/>
    <x v="0"/>
    <n v="3"/>
    <n v="3"/>
    <x v="4"/>
    <n v="4"/>
    <s v="Divorced"/>
    <n v="10368"/>
    <n v="4"/>
    <s v="Yes"/>
    <n v="12"/>
    <n v="3"/>
    <n v="1"/>
    <n v="13"/>
    <n v="5"/>
    <n v="10"/>
    <n v="0"/>
    <n v="3"/>
    <s v="PHD"/>
    <d v="2011-04-20T00:00:00"/>
    <m/>
    <s v="Work Accident"/>
    <x v="1"/>
    <n v="0"/>
    <n v="1"/>
    <s v="Yes"/>
    <s v="Job Portal"/>
    <s v="Contract"/>
    <n v="0"/>
    <s v="Active"/>
    <x v="2"/>
    <x v="1"/>
    <x v="2"/>
  </r>
  <r>
    <n v="37"/>
    <s v="No"/>
    <s v="Travel_Rarely"/>
    <x v="2"/>
    <n v="8"/>
    <x v="0"/>
    <n v="3"/>
    <n v="2"/>
    <x v="8"/>
    <n v="2"/>
    <s v="Divorced"/>
    <n v="4071"/>
    <n v="2"/>
    <s v="No"/>
    <n v="13"/>
    <n v="3"/>
    <n v="0"/>
    <n v="19"/>
    <n v="4"/>
    <n v="10"/>
    <n v="4"/>
    <n v="7"/>
    <s v="Post-Graduation"/>
    <d v="2011-04-13T00:00:00"/>
    <m/>
    <s v="Dept.Head"/>
    <x v="0"/>
    <n v="2"/>
    <n v="1"/>
    <s v="No"/>
    <s v="Recruiter"/>
    <s v="Contract"/>
    <n v="0"/>
    <s v="Active"/>
    <x v="2"/>
    <x v="0"/>
    <x v="4"/>
  </r>
  <r>
    <n v="35"/>
    <s v="Yes"/>
    <s v="Travel_Rarely"/>
    <x v="1"/>
    <n v="27"/>
    <x v="0"/>
    <n v="3"/>
    <n v="2"/>
    <x v="4"/>
    <n v="4"/>
    <s v="Single"/>
    <n v="5813"/>
    <n v="1"/>
    <s v="Yes"/>
    <n v="18"/>
    <n v="3"/>
    <n v="0"/>
    <n v="10"/>
    <n v="2"/>
    <n v="10"/>
    <n v="7"/>
    <n v="7"/>
    <s v="Graduation"/>
    <d v="2011-03-20T00:00:00"/>
    <m/>
    <s v="Work Environment"/>
    <x v="0"/>
    <n v="4"/>
    <n v="1"/>
    <s v="Yes"/>
    <s v="Job Event"/>
    <s v="Contract"/>
    <n v="1"/>
    <s v="Active"/>
    <x v="2"/>
    <x v="0"/>
    <x v="2"/>
  </r>
  <r>
    <n v="33"/>
    <s v="No"/>
    <s v="Travel_Rarely"/>
    <x v="0"/>
    <n v="8"/>
    <x v="0"/>
    <n v="4"/>
    <n v="1"/>
    <x v="1"/>
    <n v="1"/>
    <s v="Married"/>
    <n v="3143"/>
    <n v="6"/>
    <s v="No"/>
    <n v="19"/>
    <n v="3"/>
    <n v="1"/>
    <n v="14"/>
    <n v="1"/>
    <n v="10"/>
    <n v="7"/>
    <n v="6"/>
    <s v="PHD"/>
    <d v="2011-05-03T00:00:00"/>
    <m/>
    <s v="Work Accident"/>
    <x v="0"/>
    <n v="0"/>
    <n v="0"/>
    <s v="No"/>
    <s v="Walk-in"/>
    <s v="Part Time"/>
    <n v="0"/>
    <s v="Active"/>
    <x v="2"/>
    <x v="0"/>
    <x v="0"/>
  </r>
  <r>
    <n v="37"/>
    <s v="Yes"/>
    <s v="Travel_Rarely"/>
    <x v="0"/>
    <n v="10"/>
    <x v="0"/>
    <n v="3"/>
    <n v="2"/>
    <x v="6"/>
    <n v="1"/>
    <s v="Single"/>
    <n v="4213"/>
    <n v="1"/>
    <s v="No"/>
    <n v="15"/>
    <n v="3"/>
    <n v="0"/>
    <n v="10"/>
    <n v="4"/>
    <n v="10"/>
    <n v="0"/>
    <n v="8"/>
    <s v="PHD"/>
    <d v="2011-02-01T00:00:00"/>
    <m/>
    <s v="Salary"/>
    <x v="0"/>
    <n v="4"/>
    <n v="2"/>
    <s v="Yes"/>
    <s v="Job Portal"/>
    <s v="FullTime"/>
    <n v="1"/>
    <s v="Active"/>
    <x v="2"/>
    <x v="0"/>
    <x v="3"/>
  </r>
  <r>
    <n v="34"/>
    <s v="No"/>
    <s v="Travel_Rarely"/>
    <x v="1"/>
    <n v="8"/>
    <x v="0"/>
    <n v="4"/>
    <n v="2"/>
    <x v="4"/>
    <n v="3"/>
    <s v="Married"/>
    <n v="6799"/>
    <n v="1"/>
    <s v="No"/>
    <n v="21"/>
    <n v="4"/>
    <n v="2"/>
    <n v="10"/>
    <n v="5"/>
    <n v="10"/>
    <n v="4"/>
    <n v="8"/>
    <s v="Graduation"/>
    <d v="2011-06-12T00:00:00"/>
    <m/>
    <s v="Better Opportunity"/>
    <x v="0"/>
    <n v="0"/>
    <n v="3"/>
    <s v="Yes"/>
    <s v="Recruiter"/>
    <s v="FullTime"/>
    <n v="0"/>
    <s v="Active"/>
    <x v="2"/>
    <x v="0"/>
    <x v="2"/>
  </r>
  <r>
    <n v="31"/>
    <s v="No"/>
    <s v="Travel_Rarely"/>
    <x v="0"/>
    <n v="20"/>
    <x v="0"/>
    <n v="3"/>
    <n v="2"/>
    <x v="0"/>
    <n v="3"/>
    <s v="Divorced"/>
    <n v="4197"/>
    <n v="1"/>
    <s v="No"/>
    <n v="11"/>
    <n v="3"/>
    <n v="1"/>
    <n v="10"/>
    <n v="2"/>
    <n v="10"/>
    <n v="0"/>
    <n v="2"/>
    <s v="PHD"/>
    <d v="2011-06-27T00:00:00"/>
    <m/>
    <s v="Work Environment"/>
    <x v="1"/>
    <n v="4"/>
    <n v="1"/>
    <s v="No"/>
    <s v="Walk-in"/>
    <s v="Contract"/>
    <n v="0"/>
    <s v="Active"/>
    <x v="2"/>
    <x v="0"/>
    <x v="0"/>
  </r>
  <r>
    <n v="36"/>
    <s v="No"/>
    <s v="Travel_Frequently"/>
    <x v="2"/>
    <n v="2"/>
    <x v="0"/>
    <n v="2"/>
    <n v="2"/>
    <x v="8"/>
    <n v="4"/>
    <s v="Single"/>
    <n v="3886"/>
    <n v="1"/>
    <s v="No"/>
    <n v="21"/>
    <n v="4"/>
    <n v="0"/>
    <n v="10"/>
    <n v="2"/>
    <n v="10"/>
    <n v="0"/>
    <n v="8"/>
    <s v="PHD"/>
    <d v="2011-03-21T00:00:00"/>
    <m/>
    <s v="Work Environment"/>
    <x v="1"/>
    <n v="1"/>
    <n v="3"/>
    <s v="No"/>
    <s v="Recruiter"/>
    <s v="Part Time"/>
    <n v="0"/>
    <s v="Active"/>
    <x v="2"/>
    <x v="0"/>
    <x v="4"/>
  </r>
  <r>
    <n v="33"/>
    <s v="No"/>
    <s v="Travel_Rarely"/>
    <x v="1"/>
    <n v="10"/>
    <x v="0"/>
    <n v="3"/>
    <n v="2"/>
    <x v="4"/>
    <n v="3"/>
    <s v="Single"/>
    <n v="5487"/>
    <n v="1"/>
    <s v="No"/>
    <n v="14"/>
    <n v="3"/>
    <n v="0"/>
    <n v="10"/>
    <n v="2"/>
    <n v="10"/>
    <n v="0"/>
    <n v="9"/>
    <s v="PHD"/>
    <d v="2011-03-01T00:00:00"/>
    <m/>
    <s v="Better Opportunity"/>
    <x v="0"/>
    <n v="0"/>
    <n v="1"/>
    <s v="Yes"/>
    <s v="Walk-in"/>
    <s v="FullTime"/>
    <n v="0"/>
    <s v="Active"/>
    <x v="2"/>
    <x v="0"/>
    <x v="2"/>
  </r>
  <r>
    <n v="39"/>
    <s v="No"/>
    <s v="Travel_Rarely"/>
    <x v="0"/>
    <n v="9"/>
    <x v="0"/>
    <n v="3"/>
    <n v="2"/>
    <x v="6"/>
    <n v="1"/>
    <s v="Married"/>
    <n v="5151"/>
    <n v="1"/>
    <s v="No"/>
    <n v="25"/>
    <n v="4"/>
    <n v="1"/>
    <n v="10"/>
    <n v="3"/>
    <n v="10"/>
    <n v="7"/>
    <n v="9"/>
    <s v="Post-Graduation"/>
    <d v="2011-02-02T00:00:00"/>
    <m/>
    <s v="Work Accident"/>
    <x v="1"/>
    <n v="5"/>
    <n v="2"/>
    <s v="Yes"/>
    <s v="Job Event"/>
    <s v="Contract"/>
    <n v="0"/>
    <s v="Active"/>
    <x v="2"/>
    <x v="0"/>
    <x v="3"/>
  </r>
  <r>
    <n v="31"/>
    <s v="No"/>
    <s v="Travel_Frequently"/>
    <x v="0"/>
    <n v="1"/>
    <x v="0"/>
    <n v="1"/>
    <n v="2"/>
    <x v="1"/>
    <n v="1"/>
    <s v="Married"/>
    <n v="5003"/>
    <n v="1"/>
    <s v="No"/>
    <n v="21"/>
    <n v="4"/>
    <n v="0"/>
    <n v="10"/>
    <n v="6"/>
    <n v="10"/>
    <n v="8"/>
    <n v="7"/>
    <s v="Graduation"/>
    <d v="2011-04-25T00:00:00"/>
    <m/>
    <s v="Work Environment"/>
    <x v="0"/>
    <n v="3"/>
    <n v="3"/>
    <s v="Yes"/>
    <s v="Walk-in"/>
    <s v="FullTime"/>
    <n v="0"/>
    <s v="Active"/>
    <x v="2"/>
    <x v="0"/>
    <x v="0"/>
  </r>
  <r>
    <n v="35"/>
    <s v="No"/>
    <s v="Travel_Rarely"/>
    <x v="1"/>
    <n v="7"/>
    <x v="1"/>
    <n v="3"/>
    <n v="2"/>
    <x v="4"/>
    <n v="4"/>
    <s v="Married"/>
    <n v="5204"/>
    <n v="1"/>
    <s v="Yes"/>
    <n v="11"/>
    <n v="3"/>
    <n v="0"/>
    <n v="10"/>
    <n v="2"/>
    <n v="10"/>
    <n v="0"/>
    <n v="9"/>
    <s v="12th"/>
    <d v="2011-05-02T00:00:00"/>
    <m/>
    <s v="Work Environment"/>
    <x v="0"/>
    <n v="0"/>
    <n v="2"/>
    <s v="No"/>
    <s v="Walk-in"/>
    <s v="Part Time"/>
    <n v="0"/>
    <s v="Active"/>
    <x v="2"/>
    <x v="0"/>
    <x v="2"/>
  </r>
  <r>
    <n v="31"/>
    <s v="Yes"/>
    <s v="Travel_Frequently"/>
    <x v="1"/>
    <n v="26"/>
    <x v="0"/>
    <n v="3"/>
    <n v="2"/>
    <x v="4"/>
    <n v="4"/>
    <s v="Married"/>
    <n v="5617"/>
    <n v="1"/>
    <s v="Yes"/>
    <n v="11"/>
    <n v="3"/>
    <n v="0"/>
    <n v="10"/>
    <n v="4"/>
    <n v="10"/>
    <n v="0"/>
    <n v="8"/>
    <s v="12th"/>
    <d v="2011-01-18T00:00:00"/>
    <m/>
    <s v="Better Opportunity"/>
    <x v="0"/>
    <n v="1"/>
    <n v="0"/>
    <s v="No"/>
    <s v="Job Event"/>
    <s v="Contract"/>
    <n v="1"/>
    <s v="Active"/>
    <x v="2"/>
    <x v="0"/>
    <x v="2"/>
  </r>
  <r>
    <n v="43"/>
    <s v="No"/>
    <s v="Travel_Rarely"/>
    <x v="0"/>
    <n v="11"/>
    <x v="0"/>
    <n v="3"/>
    <n v="3"/>
    <x v="7"/>
    <n v="3"/>
    <s v="Married"/>
    <n v="7510"/>
    <n v="1"/>
    <s v="No"/>
    <n v="17"/>
    <n v="3"/>
    <n v="1"/>
    <n v="10"/>
    <n v="1"/>
    <n v="10"/>
    <n v="0"/>
    <n v="9"/>
    <s v="12th"/>
    <d v="2011-04-18T00:00:00"/>
    <m/>
    <s v="Dept.Head"/>
    <x v="1"/>
    <n v="1"/>
    <n v="1"/>
    <s v="No"/>
    <s v="Job Event"/>
    <s v="Contract"/>
    <n v="0"/>
    <s v="Active"/>
    <x v="2"/>
    <x v="1"/>
    <x v="3"/>
  </r>
  <r>
    <n v="55"/>
    <s v="No"/>
    <s v="Travel_Rarely"/>
    <x v="2"/>
    <n v="26"/>
    <x v="0"/>
    <n v="4"/>
    <n v="5"/>
    <x v="5"/>
    <n v="2"/>
    <s v="Married"/>
    <n v="19636"/>
    <n v="4"/>
    <s v="Yes"/>
    <n v="18"/>
    <n v="3"/>
    <n v="1"/>
    <n v="35"/>
    <n v="0"/>
    <n v="10"/>
    <n v="1"/>
    <n v="4"/>
    <s v="12th"/>
    <d v="2011-04-11T00:00:00"/>
    <m/>
    <s v="Dept.Head"/>
    <x v="0"/>
    <n v="1"/>
    <n v="3"/>
    <s v="No"/>
    <s v="Walk-in"/>
    <s v="FullTime"/>
    <n v="0"/>
    <s v="Active"/>
    <x v="2"/>
    <x v="1"/>
    <x v="1"/>
  </r>
  <r>
    <n v="40"/>
    <s v="No"/>
    <s v="Travel_Frequently"/>
    <x v="0"/>
    <n v="11"/>
    <x v="1"/>
    <n v="3"/>
    <n v="2"/>
    <x v="0"/>
    <n v="3"/>
    <s v="Married"/>
    <n v="6323"/>
    <n v="1"/>
    <s v="No"/>
    <n v="11"/>
    <n v="3"/>
    <n v="1"/>
    <n v="10"/>
    <n v="2"/>
    <n v="10"/>
    <n v="9"/>
    <n v="4"/>
    <s v="Graduation"/>
    <d v="2011-06-21T00:00:00"/>
    <m/>
    <s v="Better Opportunity"/>
    <x v="0"/>
    <n v="5"/>
    <n v="3"/>
    <s v="Yes"/>
    <s v="Recruiter"/>
    <s v="Contract"/>
    <n v="0"/>
    <s v="Active"/>
    <x v="2"/>
    <x v="0"/>
    <x v="0"/>
  </r>
  <r>
    <n v="35"/>
    <s v="No"/>
    <s v="Travel_Rarely"/>
    <x v="0"/>
    <n v="9"/>
    <x v="0"/>
    <n v="3"/>
    <n v="2"/>
    <x v="1"/>
    <n v="3"/>
    <s v="Single"/>
    <n v="5098"/>
    <n v="1"/>
    <s v="No"/>
    <n v="19"/>
    <n v="3"/>
    <n v="0"/>
    <n v="10"/>
    <n v="5"/>
    <n v="10"/>
    <n v="0"/>
    <n v="8"/>
    <s v="Graduation"/>
    <d v="2011-02-23T00:00:00"/>
    <m/>
    <s v="Dept.Head"/>
    <x v="0"/>
    <n v="2"/>
    <n v="0"/>
    <s v="Yes"/>
    <s v="Recruiter"/>
    <s v="FullTime"/>
    <n v="0"/>
    <s v="Active"/>
    <x v="2"/>
    <x v="0"/>
    <x v="0"/>
  </r>
  <r>
    <n v="56"/>
    <s v="Yes"/>
    <s v="Travel_Rarely"/>
    <x v="0"/>
    <n v="7"/>
    <x v="0"/>
    <n v="3"/>
    <n v="1"/>
    <x v="0"/>
    <n v="3"/>
    <s v="Married"/>
    <n v="2339"/>
    <n v="8"/>
    <s v="No"/>
    <n v="11"/>
    <n v="3"/>
    <n v="1"/>
    <n v="14"/>
    <n v="4"/>
    <n v="10"/>
    <n v="9"/>
    <n v="8"/>
    <s v="Post-Graduation"/>
    <d v="2011-04-19T00:00:00"/>
    <m/>
    <s v="Work Accident"/>
    <x v="1"/>
    <n v="5"/>
    <n v="3"/>
    <s v="No"/>
    <s v="Job Portal"/>
    <s v="Contract"/>
    <n v="1"/>
    <s v="Active"/>
    <x v="2"/>
    <x v="0"/>
    <x v="0"/>
  </r>
  <r>
    <n v="38"/>
    <s v="No"/>
    <s v="Travel_Rarely"/>
    <x v="1"/>
    <n v="10"/>
    <x v="1"/>
    <n v="3"/>
    <n v="2"/>
    <x v="4"/>
    <n v="4"/>
    <s v="Married"/>
    <n v="5343"/>
    <n v="1"/>
    <s v="No"/>
    <n v="11"/>
    <n v="3"/>
    <n v="1"/>
    <n v="10"/>
    <n v="1"/>
    <n v="10"/>
    <n v="1"/>
    <n v="9"/>
    <s v="Graduation"/>
    <d v="2011-03-26T00:00:00"/>
    <m/>
    <s v="Dept.Head"/>
    <x v="1"/>
    <n v="2"/>
    <n v="1"/>
    <s v="No"/>
    <s v="Job Event"/>
    <s v="Part Time"/>
    <n v="0"/>
    <s v="Active"/>
    <x v="2"/>
    <x v="0"/>
    <x v="2"/>
  </r>
  <r>
    <n v="35"/>
    <s v="No"/>
    <s v="Travel_Frequently"/>
    <x v="0"/>
    <n v="18"/>
    <x v="0"/>
    <n v="3"/>
    <n v="2"/>
    <x v="7"/>
    <n v="3"/>
    <s v="Married"/>
    <n v="5689"/>
    <n v="1"/>
    <s v="Yes"/>
    <n v="14"/>
    <n v="3"/>
    <n v="2"/>
    <n v="10"/>
    <n v="2"/>
    <n v="10"/>
    <n v="0"/>
    <n v="2"/>
    <s v="Post-Graduation"/>
    <d v="2011-02-23T00:00:00"/>
    <m/>
    <s v="Salary"/>
    <x v="1"/>
    <n v="5"/>
    <n v="1"/>
    <s v="Yes"/>
    <s v="Walk-in"/>
    <s v="Contract"/>
    <n v="0"/>
    <s v="Active"/>
    <x v="2"/>
    <x v="0"/>
    <x v="3"/>
  </r>
  <r>
    <n v="31"/>
    <s v="No"/>
    <s v="Travel_Rarely"/>
    <x v="0"/>
    <n v="8"/>
    <x v="1"/>
    <n v="3"/>
    <n v="2"/>
    <x v="6"/>
    <n v="4"/>
    <s v="Single"/>
    <n v="4424"/>
    <n v="1"/>
    <s v="No"/>
    <n v="23"/>
    <n v="4"/>
    <n v="0"/>
    <n v="11"/>
    <n v="2"/>
    <n v="11"/>
    <n v="1"/>
    <n v="8"/>
    <s v="12th"/>
    <d v="2010-03-23T00:00:00"/>
    <m/>
    <s v="Work Environment"/>
    <x v="1"/>
    <n v="2"/>
    <n v="0"/>
    <s v="No"/>
    <s v="Walk-in"/>
    <s v="FullTime"/>
    <n v="0"/>
    <s v="Active"/>
    <x v="3"/>
    <x v="0"/>
    <x v="3"/>
  </r>
  <r>
    <n v="30"/>
    <s v="No"/>
    <s v="Travel_Rarely"/>
    <x v="0"/>
    <n v="2"/>
    <x v="0"/>
    <n v="2"/>
    <n v="2"/>
    <x v="7"/>
    <n v="4"/>
    <s v="Married"/>
    <n v="4152"/>
    <n v="1"/>
    <s v="No"/>
    <n v="19"/>
    <n v="3"/>
    <n v="3"/>
    <n v="11"/>
    <n v="3"/>
    <n v="11"/>
    <n v="10"/>
    <n v="8"/>
    <s v="PHD"/>
    <d v="2010-06-06T00:00:00"/>
    <m/>
    <s v="Dept.Head"/>
    <x v="0"/>
    <n v="4"/>
    <n v="1"/>
    <s v="Yes"/>
    <s v="Job Portal"/>
    <s v="FullTime"/>
    <n v="0"/>
    <s v="Active"/>
    <x v="3"/>
    <x v="0"/>
    <x v="3"/>
  </r>
  <r>
    <n v="30"/>
    <s v="No"/>
    <s v="Travel_Rarely"/>
    <x v="1"/>
    <n v="4"/>
    <x v="1"/>
    <n v="2"/>
    <n v="2"/>
    <x v="4"/>
    <n v="2"/>
    <s v="Divorced"/>
    <n v="5209"/>
    <n v="1"/>
    <s v="Yes"/>
    <n v="12"/>
    <n v="3"/>
    <n v="3"/>
    <n v="11"/>
    <n v="4"/>
    <n v="11"/>
    <n v="2"/>
    <n v="7"/>
    <s v="Graduation"/>
    <d v="2010-05-28T00:00:00"/>
    <m/>
    <s v="Salary"/>
    <x v="1"/>
    <n v="1"/>
    <n v="1"/>
    <s v="Yes"/>
    <s v="Job Event"/>
    <s v="FullTime"/>
    <n v="0"/>
    <s v="Active"/>
    <x v="3"/>
    <x v="0"/>
    <x v="2"/>
  </r>
  <r>
    <n v="32"/>
    <s v="No"/>
    <s v="Travel_Rarely"/>
    <x v="1"/>
    <n v="6"/>
    <x v="0"/>
    <n v="3"/>
    <n v="2"/>
    <x v="4"/>
    <n v="3"/>
    <s v="Single"/>
    <n v="5010"/>
    <n v="1"/>
    <s v="No"/>
    <n v="16"/>
    <n v="3"/>
    <n v="0"/>
    <n v="12"/>
    <n v="0"/>
    <n v="11"/>
    <n v="5"/>
    <n v="7"/>
    <s v="12th"/>
    <d v="2010-06-21T00:00:00"/>
    <m/>
    <s v="Work Environment"/>
    <x v="1"/>
    <n v="2"/>
    <n v="1"/>
    <s v="No"/>
    <s v="Job Event"/>
    <s v="Contract"/>
    <n v="0"/>
    <s v="Active"/>
    <x v="3"/>
    <x v="0"/>
    <x v="2"/>
  </r>
  <r>
    <n v="34"/>
    <s v="No"/>
    <s v="Travel_Rarely"/>
    <x v="0"/>
    <n v="5"/>
    <x v="1"/>
    <n v="2"/>
    <n v="3"/>
    <x v="5"/>
    <n v="1"/>
    <s v="Single"/>
    <n v="11631"/>
    <n v="2"/>
    <s v="No"/>
    <n v="12"/>
    <n v="3"/>
    <n v="0"/>
    <n v="14"/>
    <n v="6"/>
    <n v="11"/>
    <n v="5"/>
    <n v="8"/>
    <s v="12th"/>
    <d v="2010-01-05T00:00:00"/>
    <m/>
    <s v="Work Accident"/>
    <x v="0"/>
    <n v="0"/>
    <n v="1"/>
    <s v="No"/>
    <s v="Job Event"/>
    <s v="Contract"/>
    <n v="0"/>
    <s v="Active"/>
    <x v="3"/>
    <x v="1"/>
    <x v="1"/>
  </r>
  <r>
    <n v="30"/>
    <s v="No"/>
    <s v="Travel_Rarely"/>
    <x v="2"/>
    <n v="9"/>
    <x v="0"/>
    <n v="3"/>
    <n v="2"/>
    <x v="8"/>
    <n v="4"/>
    <s v="Married"/>
    <n v="6347"/>
    <n v="0"/>
    <s v="Yes"/>
    <n v="19"/>
    <n v="3"/>
    <n v="0"/>
    <n v="12"/>
    <n v="2"/>
    <n v="11"/>
    <n v="4"/>
    <n v="7"/>
    <s v="Post-Graduation"/>
    <d v="2010-02-03T00:00:00"/>
    <m/>
    <s v="Work Accident"/>
    <x v="1"/>
    <n v="5"/>
    <n v="2"/>
    <s v="No"/>
    <s v="Job Event"/>
    <s v="FullTime"/>
    <n v="0"/>
    <s v="Active"/>
    <x v="3"/>
    <x v="0"/>
    <x v="4"/>
  </r>
  <r>
    <n v="30"/>
    <s v="No"/>
    <s v="Non-Travel"/>
    <x v="0"/>
    <n v="1"/>
    <x v="0"/>
    <n v="2"/>
    <n v="3"/>
    <x v="6"/>
    <n v="3"/>
    <s v="Single"/>
    <n v="8474"/>
    <n v="1"/>
    <s v="No"/>
    <n v="22"/>
    <n v="4"/>
    <n v="0"/>
    <n v="12"/>
    <n v="2"/>
    <n v="11"/>
    <n v="5"/>
    <n v="8"/>
    <s v="Graduation"/>
    <d v="2010-01-17T00:00:00"/>
    <m/>
    <s v="Work Accident"/>
    <x v="0"/>
    <n v="4"/>
    <n v="2"/>
    <s v="No"/>
    <s v="Recruiter"/>
    <s v="FullTime"/>
    <n v="0"/>
    <s v="Active"/>
    <x v="3"/>
    <x v="1"/>
    <x v="3"/>
  </r>
  <r>
    <n v="29"/>
    <s v="No"/>
    <s v="Travel_Frequently"/>
    <x v="1"/>
    <n v="1"/>
    <x v="1"/>
    <n v="3"/>
    <n v="3"/>
    <x v="4"/>
    <n v="4"/>
    <s v="Married"/>
    <n v="7918"/>
    <n v="1"/>
    <s v="No"/>
    <n v="14"/>
    <n v="3"/>
    <n v="1"/>
    <n v="11"/>
    <n v="5"/>
    <n v="11"/>
    <n v="4"/>
    <n v="1"/>
    <s v="Post-Graduation"/>
    <d v="2010-06-29T00:00:00"/>
    <m/>
    <s v="Dept.Head"/>
    <x v="0"/>
    <n v="3"/>
    <n v="3"/>
    <s v="Yes"/>
    <s v="Recruiter"/>
    <s v="Part Time"/>
    <n v="0"/>
    <s v="Active"/>
    <x v="3"/>
    <x v="1"/>
    <x v="2"/>
  </r>
  <r>
    <n v="34"/>
    <s v="No"/>
    <s v="Travel_Rarely"/>
    <x v="0"/>
    <n v="2"/>
    <x v="0"/>
    <n v="2"/>
    <n v="2"/>
    <x v="6"/>
    <n v="1"/>
    <s v="Married"/>
    <n v="5957"/>
    <n v="6"/>
    <s v="No"/>
    <n v="13"/>
    <n v="3"/>
    <n v="1"/>
    <n v="13"/>
    <n v="3"/>
    <n v="11"/>
    <n v="5"/>
    <n v="9"/>
    <s v="12th"/>
    <d v="2010-01-14T00:00:00"/>
    <m/>
    <s v="Work Accident"/>
    <x v="0"/>
    <n v="3"/>
    <n v="2"/>
    <s v="Yes"/>
    <s v="Recruiter"/>
    <s v="FullTime"/>
    <n v="0"/>
    <s v="Active"/>
    <x v="3"/>
    <x v="0"/>
    <x v="3"/>
  </r>
  <r>
    <n v="35"/>
    <s v="No"/>
    <s v="Travel_Rarely"/>
    <x v="1"/>
    <n v="16"/>
    <x v="0"/>
    <n v="3"/>
    <n v="3"/>
    <x v="4"/>
    <n v="2"/>
    <s v="Married"/>
    <n v="8020"/>
    <n v="0"/>
    <s v="No"/>
    <n v="15"/>
    <n v="3"/>
    <n v="2"/>
    <n v="12"/>
    <n v="3"/>
    <n v="11"/>
    <n v="6"/>
    <n v="9"/>
    <s v="Post-Graduation"/>
    <d v="2010-03-29T00:00:00"/>
    <m/>
    <s v="Better Opportunity"/>
    <x v="1"/>
    <n v="1"/>
    <n v="3"/>
    <s v="Yes"/>
    <s v="Walk-in"/>
    <s v="Part Time"/>
    <n v="0"/>
    <s v="Active"/>
    <x v="3"/>
    <x v="1"/>
    <x v="2"/>
  </r>
  <r>
    <n v="38"/>
    <s v="No"/>
    <s v="Travel_Rarely"/>
    <x v="0"/>
    <n v="15"/>
    <x v="0"/>
    <n v="2"/>
    <n v="3"/>
    <x v="2"/>
    <n v="4"/>
    <s v="Divorced"/>
    <n v="11510"/>
    <n v="0"/>
    <s v="Yes"/>
    <n v="14"/>
    <n v="3"/>
    <n v="1"/>
    <n v="12"/>
    <n v="3"/>
    <n v="11"/>
    <n v="2"/>
    <n v="9"/>
    <s v="Graduation"/>
    <d v="2010-03-30T00:00:00"/>
    <m/>
    <s v="Better Opportunity"/>
    <x v="1"/>
    <n v="1"/>
    <n v="3"/>
    <s v="No"/>
    <s v="Job Event"/>
    <s v="FullTime"/>
    <n v="0"/>
    <s v="Active"/>
    <x v="3"/>
    <x v="1"/>
    <x v="1"/>
  </r>
  <r>
    <n v="31"/>
    <s v="No"/>
    <s v="Travel_Rarely"/>
    <x v="0"/>
    <n v="7"/>
    <x v="1"/>
    <n v="3"/>
    <n v="3"/>
    <x v="6"/>
    <n v="4"/>
    <s v="Single"/>
    <n v="7143"/>
    <n v="1"/>
    <s v="Yes"/>
    <n v="14"/>
    <n v="3"/>
    <n v="0"/>
    <n v="11"/>
    <n v="2"/>
    <n v="11"/>
    <n v="4"/>
    <n v="10"/>
    <s v="12th"/>
    <d v="2010-03-18T00:00:00"/>
    <m/>
    <s v="Work Accident"/>
    <x v="1"/>
    <n v="4"/>
    <n v="3"/>
    <s v="Yes"/>
    <s v="Job Portal"/>
    <s v="Part Time"/>
    <n v="0"/>
    <s v="Active"/>
    <x v="3"/>
    <x v="1"/>
    <x v="3"/>
  </r>
  <r>
    <n v="30"/>
    <s v="No"/>
    <s v="Non-Travel"/>
    <x v="0"/>
    <n v="2"/>
    <x v="1"/>
    <n v="3"/>
    <n v="1"/>
    <x v="0"/>
    <n v="4"/>
    <s v="Single"/>
    <n v="2564"/>
    <n v="0"/>
    <s v="No"/>
    <n v="14"/>
    <n v="3"/>
    <n v="0"/>
    <n v="12"/>
    <n v="2"/>
    <n v="11"/>
    <n v="6"/>
    <n v="7"/>
    <s v="Graduation"/>
    <d v="2010-06-22T00:00:00"/>
    <m/>
    <s v="Dept.Head"/>
    <x v="1"/>
    <n v="0"/>
    <n v="0"/>
    <s v="No"/>
    <s v="Walk-in"/>
    <s v="Contract"/>
    <n v="0"/>
    <s v="Active"/>
    <x v="3"/>
    <x v="0"/>
    <x v="0"/>
  </r>
  <r>
    <n v="35"/>
    <s v="No"/>
    <s v="Travel_Rarely"/>
    <x v="1"/>
    <n v="1"/>
    <x v="0"/>
    <n v="3"/>
    <n v="2"/>
    <x v="4"/>
    <n v="3"/>
    <s v="Married"/>
    <n v="4717"/>
    <n v="9"/>
    <s v="No"/>
    <n v="11"/>
    <n v="3"/>
    <n v="0"/>
    <n v="15"/>
    <n v="2"/>
    <n v="11"/>
    <n v="6"/>
    <n v="9"/>
    <s v="12th"/>
    <d v="2010-03-19T00:00:00"/>
    <m/>
    <s v="Work Environment"/>
    <x v="0"/>
    <n v="5"/>
    <n v="1"/>
    <s v="No"/>
    <s v="Job Event"/>
    <s v="Contract"/>
    <n v="0"/>
    <s v="Active"/>
    <x v="3"/>
    <x v="0"/>
    <x v="2"/>
  </r>
  <r>
    <n v="36"/>
    <s v="No"/>
    <s v="Travel_Rarely"/>
    <x v="0"/>
    <n v="2"/>
    <x v="0"/>
    <n v="3"/>
    <n v="1"/>
    <x v="0"/>
    <n v="3"/>
    <s v="Single"/>
    <n v="2519"/>
    <n v="4"/>
    <s v="No"/>
    <n v="21"/>
    <n v="4"/>
    <n v="0"/>
    <n v="16"/>
    <n v="6"/>
    <n v="11"/>
    <n v="3"/>
    <n v="9"/>
    <s v="Graduation"/>
    <d v="2010-06-19T00:00:00"/>
    <m/>
    <s v="Work Environment"/>
    <x v="0"/>
    <n v="0"/>
    <n v="3"/>
    <s v="No"/>
    <s v="Job Portal"/>
    <s v="Part Time"/>
    <n v="0"/>
    <s v="Active"/>
    <x v="3"/>
    <x v="0"/>
    <x v="0"/>
  </r>
  <r>
    <n v="40"/>
    <s v="No"/>
    <s v="Travel_Rarely"/>
    <x v="0"/>
    <n v="20"/>
    <x v="0"/>
    <n v="3"/>
    <n v="3"/>
    <x v="7"/>
    <n v="4"/>
    <s v="Married"/>
    <n v="10322"/>
    <n v="4"/>
    <s v="No"/>
    <n v="20"/>
    <n v="4"/>
    <n v="1"/>
    <n v="14"/>
    <n v="6"/>
    <n v="11"/>
    <n v="11"/>
    <n v="1"/>
    <s v="12th"/>
    <d v="2010-06-07T00:00:00"/>
    <m/>
    <s v="Salary"/>
    <x v="1"/>
    <n v="3"/>
    <n v="3"/>
    <s v="Yes"/>
    <s v="Walk-in"/>
    <s v="Contract"/>
    <n v="0"/>
    <s v="Active"/>
    <x v="3"/>
    <x v="1"/>
    <x v="3"/>
  </r>
  <r>
    <n v="36"/>
    <s v="No"/>
    <s v="Non-Travel"/>
    <x v="0"/>
    <n v="18"/>
    <x v="0"/>
    <n v="3"/>
    <n v="2"/>
    <x v="6"/>
    <n v="4"/>
    <s v="Single"/>
    <n v="7779"/>
    <n v="2"/>
    <s v="No"/>
    <n v="20"/>
    <n v="4"/>
    <n v="0"/>
    <n v="18"/>
    <n v="0"/>
    <n v="11"/>
    <n v="0"/>
    <n v="9"/>
    <s v="Post-Graduation"/>
    <d v="2010-04-15T00:00:00"/>
    <m/>
    <s v="Better Opportunity"/>
    <x v="1"/>
    <n v="4"/>
    <n v="3"/>
    <s v="No"/>
    <s v="Recruiter"/>
    <s v="FullTime"/>
    <n v="0"/>
    <s v="Active"/>
    <x v="3"/>
    <x v="1"/>
    <x v="3"/>
  </r>
  <r>
    <n v="29"/>
    <s v="Yes"/>
    <s v="Travel_Rarely"/>
    <x v="1"/>
    <n v="23"/>
    <x v="1"/>
    <n v="2"/>
    <n v="3"/>
    <x v="4"/>
    <n v="1"/>
    <s v="Married"/>
    <n v="7336"/>
    <n v="1"/>
    <s v="No"/>
    <n v="13"/>
    <n v="3"/>
    <n v="1"/>
    <n v="11"/>
    <n v="3"/>
    <n v="11"/>
    <n v="3"/>
    <n v="10"/>
    <s v="12th"/>
    <d v="2010-06-24T00:00:00"/>
    <m/>
    <s v="Work Accident"/>
    <x v="1"/>
    <n v="3"/>
    <n v="2"/>
    <s v="Yes"/>
    <s v="Walk-in"/>
    <s v="Part Time"/>
    <n v="1"/>
    <s v="Active"/>
    <x v="3"/>
    <x v="1"/>
    <x v="2"/>
  </r>
  <r>
    <n v="60"/>
    <s v="No"/>
    <s v="Travel_Rarely"/>
    <x v="1"/>
    <n v="7"/>
    <x v="0"/>
    <n v="4"/>
    <n v="2"/>
    <x v="4"/>
    <n v="4"/>
    <s v="Divorced"/>
    <n v="5220"/>
    <n v="0"/>
    <s v="Yes"/>
    <n v="18"/>
    <n v="3"/>
    <n v="1"/>
    <n v="12"/>
    <n v="3"/>
    <n v="11"/>
    <n v="1"/>
    <n v="9"/>
    <s v="Post-Graduation"/>
    <d v="2010-02-24T00:00:00"/>
    <m/>
    <s v="Better Opportunity"/>
    <x v="1"/>
    <n v="3"/>
    <n v="1"/>
    <s v="No"/>
    <s v="Walk-in"/>
    <s v="FullTime"/>
    <n v="0"/>
    <s v="Active"/>
    <x v="3"/>
    <x v="0"/>
    <x v="2"/>
  </r>
  <r>
    <n v="30"/>
    <s v="No"/>
    <s v="Travel_Rarely"/>
    <x v="0"/>
    <n v="1"/>
    <x v="0"/>
    <n v="3"/>
    <n v="1"/>
    <x v="1"/>
    <n v="2"/>
    <s v="Married"/>
    <n v="3579"/>
    <n v="0"/>
    <s v="Yes"/>
    <n v="21"/>
    <n v="4"/>
    <n v="1"/>
    <n v="12"/>
    <n v="2"/>
    <n v="11"/>
    <n v="5"/>
    <n v="7"/>
    <s v="12th"/>
    <d v="2010-01-12T00:00:00"/>
    <m/>
    <s v="Dept.Head"/>
    <x v="0"/>
    <n v="0"/>
    <n v="1"/>
    <s v="No"/>
    <s v="Job Event"/>
    <s v="Part Time"/>
    <n v="0"/>
    <s v="Active"/>
    <x v="3"/>
    <x v="0"/>
    <x v="0"/>
  </r>
  <r>
    <n v="36"/>
    <s v="No"/>
    <s v="Travel_Frequently"/>
    <x v="0"/>
    <n v="3"/>
    <x v="0"/>
    <n v="3"/>
    <n v="1"/>
    <x v="1"/>
    <n v="2"/>
    <s v="Married"/>
    <n v="3692"/>
    <n v="1"/>
    <s v="No"/>
    <n v="12"/>
    <n v="3"/>
    <n v="0"/>
    <n v="12"/>
    <n v="2"/>
    <n v="11"/>
    <n v="0"/>
    <n v="7"/>
    <s v="Post-Graduation"/>
    <d v="2010-06-15T00:00:00"/>
    <m/>
    <s v="Salary"/>
    <x v="1"/>
    <n v="4"/>
    <n v="3"/>
    <s v="Yes"/>
    <s v="Walk-in"/>
    <s v="Part Time"/>
    <n v="0"/>
    <s v="Active"/>
    <x v="3"/>
    <x v="0"/>
    <x v="0"/>
  </r>
  <r>
    <n v="46"/>
    <s v="No"/>
    <s v="Travel_Rarely"/>
    <x v="1"/>
    <n v="4"/>
    <x v="1"/>
    <n v="2"/>
    <n v="5"/>
    <x v="5"/>
    <n v="2"/>
    <s v="Married"/>
    <n v="18789"/>
    <n v="2"/>
    <s v="No"/>
    <n v="14"/>
    <n v="3"/>
    <n v="1"/>
    <n v="26"/>
    <n v="2"/>
    <n v="11"/>
    <n v="0"/>
    <n v="8"/>
    <s v="Post-Graduation"/>
    <d v="2010-06-28T00:00:00"/>
    <m/>
    <s v="Dept.Head"/>
    <x v="0"/>
    <n v="0"/>
    <n v="2"/>
    <s v="No"/>
    <s v="Job Portal"/>
    <s v="Part Time"/>
    <n v="0"/>
    <s v="Active"/>
    <x v="3"/>
    <x v="1"/>
    <x v="1"/>
  </r>
  <r>
    <n v="34"/>
    <s v="No"/>
    <s v="Travel_Frequently"/>
    <x v="0"/>
    <n v="19"/>
    <x v="1"/>
    <n v="3"/>
    <n v="2"/>
    <x v="0"/>
    <n v="2"/>
    <s v="Divorced"/>
    <n v="4444"/>
    <n v="4"/>
    <s v="No"/>
    <n v="13"/>
    <n v="3"/>
    <n v="2"/>
    <n v="15"/>
    <n v="2"/>
    <n v="11"/>
    <n v="5"/>
    <n v="10"/>
    <s v="Post-Graduation"/>
    <d v="2010-05-24T00:00:00"/>
    <m/>
    <s v="Salary"/>
    <x v="1"/>
    <n v="1"/>
    <n v="2"/>
    <s v="Yes"/>
    <s v="Job Event"/>
    <s v="FullTime"/>
    <n v="0"/>
    <s v="Active"/>
    <x v="3"/>
    <x v="0"/>
    <x v="0"/>
  </r>
  <r>
    <n v="35"/>
    <s v="No"/>
    <s v="Travel_Rarely"/>
    <x v="0"/>
    <n v="16"/>
    <x v="1"/>
    <n v="2"/>
    <n v="3"/>
    <x v="7"/>
    <n v="2"/>
    <s v="Single"/>
    <n v="8606"/>
    <n v="1"/>
    <s v="No"/>
    <n v="19"/>
    <n v="3"/>
    <n v="0"/>
    <n v="11"/>
    <n v="3"/>
    <n v="11"/>
    <n v="3"/>
    <n v="3"/>
    <s v="Graduation"/>
    <d v="2010-03-15T00:00:00"/>
    <m/>
    <s v="Work Accident"/>
    <x v="0"/>
    <n v="5"/>
    <n v="3"/>
    <s v="Yes"/>
    <s v="Walk-in"/>
    <s v="Contract"/>
    <n v="0"/>
    <s v="Active"/>
    <x v="3"/>
    <x v="1"/>
    <x v="3"/>
  </r>
  <r>
    <n v="34"/>
    <s v="No"/>
    <s v="Travel_Rarely"/>
    <x v="1"/>
    <n v="7"/>
    <x v="0"/>
    <n v="3"/>
    <n v="1"/>
    <x v="3"/>
    <n v="3"/>
    <s v="Married"/>
    <n v="2308"/>
    <n v="0"/>
    <s v="Yes"/>
    <n v="25"/>
    <n v="4"/>
    <n v="1"/>
    <n v="12"/>
    <n v="4"/>
    <n v="11"/>
    <n v="5"/>
    <n v="7"/>
    <s v="Post-Graduation"/>
    <d v="2010-06-26T00:00:00"/>
    <m/>
    <s v="Work Accident"/>
    <x v="1"/>
    <n v="1"/>
    <n v="2"/>
    <s v="Yes"/>
    <s v="Recruiter"/>
    <s v="FullTime"/>
    <n v="0"/>
    <s v="Active"/>
    <x v="3"/>
    <x v="0"/>
    <x v="2"/>
  </r>
  <r>
    <n v="34"/>
    <s v="No"/>
    <s v="Travel_Rarely"/>
    <x v="0"/>
    <n v="3"/>
    <x v="1"/>
    <n v="3"/>
    <n v="2"/>
    <x v="1"/>
    <n v="2"/>
    <s v="Divorced"/>
    <n v="5433"/>
    <n v="1"/>
    <s v="No"/>
    <n v="12"/>
    <n v="3"/>
    <n v="1"/>
    <n v="11"/>
    <n v="2"/>
    <n v="11"/>
    <n v="7"/>
    <n v="9"/>
    <s v="12th"/>
    <d v="2010-06-21T00:00:00"/>
    <m/>
    <s v="Salary"/>
    <x v="1"/>
    <n v="0"/>
    <n v="3"/>
    <s v="No"/>
    <s v="Job Event"/>
    <s v="Part Time"/>
    <n v="0"/>
    <s v="Active"/>
    <x v="3"/>
    <x v="0"/>
    <x v="0"/>
  </r>
  <r>
    <n v="35"/>
    <s v="Yes"/>
    <s v="Travel_Frequently"/>
    <x v="1"/>
    <n v="12"/>
    <x v="0"/>
    <n v="3"/>
    <n v="2"/>
    <x v="4"/>
    <n v="4"/>
    <s v="Single"/>
    <n v="4581"/>
    <n v="3"/>
    <s v="Yes"/>
    <n v="24"/>
    <n v="4"/>
    <n v="0"/>
    <n v="13"/>
    <n v="2"/>
    <n v="11"/>
    <n v="6"/>
    <n v="7"/>
    <s v="Post-Graduation"/>
    <d v="2010-04-16T00:00:00"/>
    <m/>
    <s v="Salary"/>
    <x v="0"/>
    <n v="4"/>
    <n v="0"/>
    <s v="Yes"/>
    <s v="Recruiter"/>
    <s v="FullTime"/>
    <n v="1"/>
    <s v="Active"/>
    <x v="3"/>
    <x v="0"/>
    <x v="2"/>
  </r>
  <r>
    <n v="33"/>
    <s v="No"/>
    <s v="Non-Travel"/>
    <x v="1"/>
    <n v="2"/>
    <x v="1"/>
    <n v="3"/>
    <n v="2"/>
    <x v="4"/>
    <n v="2"/>
    <s v="Single"/>
    <n v="5147"/>
    <n v="8"/>
    <s v="No"/>
    <n v="15"/>
    <n v="3"/>
    <n v="0"/>
    <n v="13"/>
    <n v="2"/>
    <n v="11"/>
    <n v="1"/>
    <n v="7"/>
    <s v="PHD"/>
    <d v="2010-03-12T00:00:00"/>
    <m/>
    <s v="Work Environment"/>
    <x v="0"/>
    <n v="5"/>
    <n v="2"/>
    <s v="No"/>
    <s v="Walk-in"/>
    <s v="Contract"/>
    <n v="0"/>
    <s v="Active"/>
    <x v="3"/>
    <x v="0"/>
    <x v="2"/>
  </r>
  <r>
    <n v="38"/>
    <s v="No"/>
    <s v="Non-Travel"/>
    <x v="2"/>
    <n v="2"/>
    <x v="0"/>
    <n v="3"/>
    <n v="1"/>
    <x v="8"/>
    <n v="2"/>
    <s v="Divorced"/>
    <n v="2592"/>
    <n v="5"/>
    <s v="No"/>
    <n v="13"/>
    <n v="3"/>
    <n v="3"/>
    <n v="13"/>
    <n v="3"/>
    <n v="11"/>
    <n v="3"/>
    <n v="8"/>
    <s v="12th"/>
    <d v="2010-04-18T00:00:00"/>
    <m/>
    <s v="Work Accident"/>
    <x v="0"/>
    <n v="5"/>
    <n v="3"/>
    <s v="Yes"/>
    <s v="Job Portal"/>
    <s v="Part Time"/>
    <n v="0"/>
    <s v="Active"/>
    <x v="3"/>
    <x v="0"/>
    <x v="4"/>
  </r>
  <r>
    <n v="29"/>
    <s v="No"/>
    <s v="Travel_Frequently"/>
    <x v="0"/>
    <n v="20"/>
    <x v="0"/>
    <n v="3"/>
    <n v="1"/>
    <x v="0"/>
    <n v="4"/>
    <s v="Married"/>
    <n v="3812"/>
    <n v="1"/>
    <s v="No"/>
    <n v="13"/>
    <n v="3"/>
    <n v="0"/>
    <n v="11"/>
    <n v="3"/>
    <n v="11"/>
    <n v="3"/>
    <n v="10"/>
    <s v="12th"/>
    <d v="2010-04-13T00:00:00"/>
    <m/>
    <s v="Work Environment"/>
    <x v="0"/>
    <n v="1"/>
    <n v="2"/>
    <s v="No"/>
    <s v="Job Portal"/>
    <s v="Part Time"/>
    <n v="0"/>
    <s v="Active"/>
    <x v="3"/>
    <x v="0"/>
    <x v="0"/>
  </r>
  <r>
    <n v="31"/>
    <s v="No"/>
    <s v="Non-Travel"/>
    <x v="0"/>
    <n v="10"/>
    <x v="1"/>
    <n v="3"/>
    <n v="3"/>
    <x v="2"/>
    <n v="3"/>
    <s v="Married"/>
    <n v="11031"/>
    <n v="4"/>
    <s v="No"/>
    <n v="20"/>
    <n v="4"/>
    <n v="1"/>
    <n v="13"/>
    <n v="2"/>
    <n v="11"/>
    <n v="4"/>
    <n v="8"/>
    <s v="12th"/>
    <d v="2010-04-28T00:00:00"/>
    <m/>
    <s v="Work Environment"/>
    <x v="1"/>
    <n v="1"/>
    <n v="2"/>
    <s v="Yes"/>
    <s v="Job Event"/>
    <s v="Part Time"/>
    <n v="0"/>
    <s v="Active"/>
    <x v="3"/>
    <x v="1"/>
    <x v="1"/>
  </r>
  <r>
    <n v="40"/>
    <s v="No"/>
    <s v="Travel_Rarely"/>
    <x v="1"/>
    <n v="2"/>
    <x v="1"/>
    <n v="3"/>
    <n v="2"/>
    <x v="4"/>
    <n v="2"/>
    <s v="Married"/>
    <n v="5677"/>
    <n v="3"/>
    <s v="No"/>
    <n v="14"/>
    <n v="3"/>
    <n v="1"/>
    <n v="15"/>
    <n v="4"/>
    <n v="11"/>
    <n v="5"/>
    <n v="10"/>
    <s v="PHD"/>
    <d v="2010-06-13T00:00:00"/>
    <m/>
    <s v="Work Environment"/>
    <x v="1"/>
    <n v="3"/>
    <n v="2"/>
    <s v="Yes"/>
    <s v="Walk-in"/>
    <s v="Part Time"/>
    <n v="0"/>
    <s v="Active"/>
    <x v="3"/>
    <x v="0"/>
    <x v="2"/>
  </r>
  <r>
    <n v="34"/>
    <s v="No"/>
    <s v="Travel_Rarely"/>
    <x v="0"/>
    <n v="7"/>
    <x v="1"/>
    <n v="3"/>
    <n v="3"/>
    <x v="2"/>
    <n v="2"/>
    <s v="Single"/>
    <n v="11994"/>
    <n v="0"/>
    <s v="No"/>
    <n v="11"/>
    <n v="3"/>
    <n v="0"/>
    <n v="13"/>
    <n v="4"/>
    <n v="12"/>
    <n v="2"/>
    <n v="11"/>
    <s v="PHD"/>
    <d v="2009-02-25T00:00:00"/>
    <m/>
    <s v="Dept.Head"/>
    <x v="1"/>
    <n v="3"/>
    <n v="2"/>
    <s v="Yes"/>
    <s v="Job Event"/>
    <s v="Contract"/>
    <n v="0"/>
    <s v="Active"/>
    <x v="3"/>
    <x v="1"/>
    <x v="1"/>
  </r>
  <r>
    <n v="30"/>
    <s v="No"/>
    <s v="Travel_Frequently"/>
    <x v="0"/>
    <n v="1"/>
    <x v="1"/>
    <n v="3"/>
    <n v="2"/>
    <x v="0"/>
    <n v="4"/>
    <s v="Single"/>
    <n v="4011"/>
    <n v="1"/>
    <s v="No"/>
    <n v="23"/>
    <n v="4"/>
    <n v="0"/>
    <n v="12"/>
    <n v="2"/>
    <n v="12"/>
    <n v="3"/>
    <n v="7"/>
    <s v="Graduation"/>
    <d v="2009-05-25T00:00:00"/>
    <m/>
    <s v="Better Opportunity"/>
    <x v="1"/>
    <n v="1"/>
    <n v="1"/>
    <s v="Yes"/>
    <s v="Recruiter"/>
    <s v="FullTime"/>
    <n v="0"/>
    <s v="Active"/>
    <x v="3"/>
    <x v="0"/>
    <x v="0"/>
  </r>
  <r>
    <n v="40"/>
    <s v="No"/>
    <s v="Travel_Rarely"/>
    <x v="1"/>
    <n v="4"/>
    <x v="0"/>
    <n v="2"/>
    <n v="3"/>
    <x v="4"/>
    <n v="4"/>
    <s v="Married"/>
    <n v="10855"/>
    <n v="7"/>
    <s v="No"/>
    <n v="11"/>
    <n v="3"/>
    <n v="1"/>
    <n v="15"/>
    <n v="2"/>
    <n v="12"/>
    <n v="2"/>
    <n v="11"/>
    <s v="Graduation"/>
    <d v="2009-03-31T00:00:00"/>
    <m/>
    <s v="Salary"/>
    <x v="0"/>
    <n v="1"/>
    <n v="1"/>
    <s v="No"/>
    <s v="Walk-in"/>
    <s v="Part Time"/>
    <n v="0"/>
    <s v="Active"/>
    <x v="3"/>
    <x v="1"/>
    <x v="2"/>
  </r>
  <r>
    <n v="30"/>
    <s v="No"/>
    <s v="Non-Travel"/>
    <x v="0"/>
    <n v="9"/>
    <x v="0"/>
    <n v="3"/>
    <n v="2"/>
    <x v="0"/>
    <n v="1"/>
    <s v="Divorced"/>
    <n v="3072"/>
    <n v="1"/>
    <s v="No"/>
    <n v="11"/>
    <n v="3"/>
    <n v="2"/>
    <n v="12"/>
    <n v="4"/>
    <n v="12"/>
    <n v="6"/>
    <n v="10"/>
    <s v="Graduation"/>
    <d v="2009-01-12T00:00:00"/>
    <m/>
    <s v="Salary"/>
    <x v="0"/>
    <n v="3"/>
    <n v="1"/>
    <s v="No"/>
    <s v="Job Portal"/>
    <s v="Part Time"/>
    <n v="0"/>
    <s v="Active"/>
    <x v="3"/>
    <x v="0"/>
    <x v="0"/>
  </r>
  <r>
    <n v="53"/>
    <s v="No"/>
    <s v="Travel_Rarely"/>
    <x v="0"/>
    <n v="23"/>
    <x v="1"/>
    <n v="3"/>
    <n v="4"/>
    <x v="2"/>
    <n v="4"/>
    <s v="Single"/>
    <n v="14275"/>
    <n v="6"/>
    <s v="No"/>
    <n v="18"/>
    <n v="3"/>
    <n v="0"/>
    <n v="33"/>
    <n v="0"/>
    <n v="12"/>
    <n v="3"/>
    <n v="8"/>
    <s v="12th"/>
    <d v="2009-01-19T00:00:00"/>
    <m/>
    <s v="Dept.Head"/>
    <x v="0"/>
    <n v="4"/>
    <n v="1"/>
    <s v="Yes"/>
    <s v="Walk-in"/>
    <s v="Contract"/>
    <n v="0"/>
    <s v="Active"/>
    <x v="3"/>
    <x v="1"/>
    <x v="1"/>
  </r>
  <r>
    <n v="50"/>
    <s v="No"/>
    <s v="Travel_Rarely"/>
    <x v="0"/>
    <n v="24"/>
    <x v="0"/>
    <n v="3"/>
    <n v="4"/>
    <x v="6"/>
    <n v="3"/>
    <s v="Married"/>
    <n v="13973"/>
    <n v="3"/>
    <s v="Yes"/>
    <n v="18"/>
    <n v="3"/>
    <n v="1"/>
    <n v="22"/>
    <n v="2"/>
    <n v="12"/>
    <n v="1"/>
    <n v="5"/>
    <s v="12th"/>
    <d v="2009-03-12T00:00:00"/>
    <m/>
    <s v="Work Environment"/>
    <x v="0"/>
    <n v="3"/>
    <n v="2"/>
    <s v="Yes"/>
    <s v="Job Portal"/>
    <s v="Contract"/>
    <n v="0"/>
    <s v="Active"/>
    <x v="3"/>
    <x v="1"/>
    <x v="3"/>
  </r>
  <r>
    <n v="44"/>
    <s v="No"/>
    <s v="Travel_Rarely"/>
    <x v="1"/>
    <n v="28"/>
    <x v="1"/>
    <n v="4"/>
    <n v="4"/>
    <x v="4"/>
    <n v="4"/>
    <s v="Married"/>
    <n v="13320"/>
    <n v="3"/>
    <s v="Yes"/>
    <n v="18"/>
    <n v="3"/>
    <n v="1"/>
    <n v="23"/>
    <n v="2"/>
    <n v="12"/>
    <n v="11"/>
    <n v="11"/>
    <s v="Graduation"/>
    <d v="2009-03-12T00:00:00"/>
    <m/>
    <s v="Dept.Head"/>
    <x v="0"/>
    <n v="4"/>
    <n v="2"/>
    <s v="No"/>
    <s v="Job Event"/>
    <s v="Contract"/>
    <n v="0"/>
    <s v="Active"/>
    <x v="3"/>
    <x v="1"/>
    <x v="2"/>
  </r>
  <r>
    <n v="46"/>
    <s v="No"/>
    <s v="Travel_Rarely"/>
    <x v="1"/>
    <n v="3"/>
    <x v="0"/>
    <n v="3"/>
    <n v="4"/>
    <x v="5"/>
    <n v="3"/>
    <s v="Married"/>
    <n v="17465"/>
    <n v="3"/>
    <s v="No"/>
    <n v="12"/>
    <n v="3"/>
    <n v="1"/>
    <n v="23"/>
    <n v="3"/>
    <n v="12"/>
    <n v="4"/>
    <n v="9"/>
    <s v="Graduation"/>
    <d v="2009-03-25T00:00:00"/>
    <m/>
    <s v="Work Environment"/>
    <x v="0"/>
    <n v="5"/>
    <n v="0"/>
    <s v="Yes"/>
    <s v="Recruiter"/>
    <s v="Contract"/>
    <n v="0"/>
    <s v="Active"/>
    <x v="3"/>
    <x v="1"/>
    <x v="1"/>
  </r>
  <r>
    <n v="40"/>
    <s v="No"/>
    <s v="Travel_Rarely"/>
    <x v="0"/>
    <n v="2"/>
    <x v="1"/>
    <n v="4"/>
    <n v="2"/>
    <x v="7"/>
    <n v="3"/>
    <s v="Divorced"/>
    <n v="6377"/>
    <n v="5"/>
    <s v="No"/>
    <n v="20"/>
    <n v="4"/>
    <n v="3"/>
    <n v="15"/>
    <n v="0"/>
    <n v="12"/>
    <n v="11"/>
    <n v="8"/>
    <s v="12th"/>
    <d v="2009-02-03T00:00:00"/>
    <m/>
    <s v="Work Environment"/>
    <x v="1"/>
    <n v="5"/>
    <n v="3"/>
    <s v="No"/>
    <s v="Job Event"/>
    <s v="Contract"/>
    <n v="0"/>
    <s v="Active"/>
    <x v="3"/>
    <x v="0"/>
    <x v="3"/>
  </r>
  <r>
    <n v="42"/>
    <s v="No"/>
    <s v="Travel_Frequently"/>
    <x v="0"/>
    <n v="9"/>
    <x v="1"/>
    <n v="3"/>
    <n v="1"/>
    <x v="0"/>
    <n v="4"/>
    <s v="Single"/>
    <n v="3673"/>
    <n v="1"/>
    <s v="No"/>
    <n v="13"/>
    <n v="3"/>
    <n v="0"/>
    <n v="12"/>
    <n v="3"/>
    <n v="12"/>
    <n v="5"/>
    <n v="8"/>
    <s v="PHD"/>
    <d v="2009-03-25T00:00:00"/>
    <m/>
    <s v="Dept.Head"/>
    <x v="1"/>
    <n v="3"/>
    <n v="2"/>
    <s v="No"/>
    <s v="Job Portal"/>
    <s v="Part Time"/>
    <n v="0"/>
    <s v="Active"/>
    <x v="3"/>
    <x v="0"/>
    <x v="0"/>
  </r>
  <r>
    <n v="57"/>
    <s v="No"/>
    <s v="Travel_Rarely"/>
    <x v="0"/>
    <n v="1"/>
    <x v="0"/>
    <n v="4"/>
    <n v="2"/>
    <x v="1"/>
    <n v="3"/>
    <s v="Married"/>
    <n v="4900"/>
    <n v="0"/>
    <s v="No"/>
    <n v="24"/>
    <n v="4"/>
    <n v="1"/>
    <n v="13"/>
    <n v="2"/>
    <n v="12"/>
    <n v="2"/>
    <n v="8"/>
    <s v="Graduation"/>
    <d v="2009-03-02T00:00:00"/>
    <m/>
    <s v="Work Accident"/>
    <x v="0"/>
    <n v="0"/>
    <n v="1"/>
    <s v="No"/>
    <s v="Walk-in"/>
    <s v="Part Time"/>
    <n v="0"/>
    <s v="Active"/>
    <x v="3"/>
    <x v="0"/>
    <x v="0"/>
  </r>
  <r>
    <n v="31"/>
    <s v="No"/>
    <s v="Travel_Rarely"/>
    <x v="1"/>
    <n v="29"/>
    <x v="1"/>
    <n v="2"/>
    <n v="2"/>
    <x v="4"/>
    <n v="4"/>
    <s v="Married"/>
    <n v="5468"/>
    <n v="1"/>
    <s v="No"/>
    <n v="14"/>
    <n v="3"/>
    <n v="2"/>
    <n v="13"/>
    <n v="3"/>
    <n v="12"/>
    <n v="5"/>
    <n v="7"/>
    <s v="12th"/>
    <d v="2009-03-16T00:00:00"/>
    <m/>
    <s v="Work Accident"/>
    <x v="0"/>
    <n v="2"/>
    <n v="0"/>
    <s v="No"/>
    <s v="Walk-in"/>
    <s v="FullTime"/>
    <n v="0"/>
    <s v="Active"/>
    <x v="3"/>
    <x v="0"/>
    <x v="2"/>
  </r>
  <r>
    <n v="36"/>
    <s v="No"/>
    <s v="Travel_Rarely"/>
    <x v="0"/>
    <n v="10"/>
    <x v="0"/>
    <n v="3"/>
    <n v="3"/>
    <x v="7"/>
    <n v="1"/>
    <s v="Married"/>
    <n v="8321"/>
    <n v="7"/>
    <s v="Yes"/>
    <n v="13"/>
    <n v="3"/>
    <n v="1"/>
    <n v="15"/>
    <n v="1"/>
    <n v="12"/>
    <n v="5"/>
    <n v="7"/>
    <s v="Post-Graduation"/>
    <d v="2009-04-30T00:00:00"/>
    <m/>
    <s v="Salary"/>
    <x v="1"/>
    <n v="1"/>
    <n v="0"/>
    <s v="No"/>
    <s v="Job Event"/>
    <s v="Part Time"/>
    <n v="0"/>
    <s v="Active"/>
    <x v="3"/>
    <x v="1"/>
    <x v="3"/>
  </r>
  <r>
    <n v="30"/>
    <s v="No"/>
    <s v="Travel_Rarely"/>
    <x v="0"/>
    <n v="1"/>
    <x v="0"/>
    <n v="3"/>
    <n v="1"/>
    <x v="0"/>
    <n v="2"/>
    <s v="Married"/>
    <n v="3748"/>
    <n v="1"/>
    <s v="No"/>
    <n v="13"/>
    <n v="3"/>
    <n v="0"/>
    <n v="12"/>
    <n v="6"/>
    <n v="12"/>
    <n v="1"/>
    <n v="7"/>
    <s v="Graduation"/>
    <d v="2009-06-01T00:00:00"/>
    <m/>
    <s v="Dept.Head"/>
    <x v="1"/>
    <n v="2"/>
    <n v="1"/>
    <s v="No"/>
    <s v="Recruiter"/>
    <s v="FullTime"/>
    <n v="0"/>
    <s v="Active"/>
    <x v="3"/>
    <x v="0"/>
    <x v="0"/>
  </r>
  <r>
    <n v="38"/>
    <s v="No"/>
    <s v="Non-Travel"/>
    <x v="0"/>
    <n v="6"/>
    <x v="1"/>
    <n v="1"/>
    <n v="2"/>
    <x v="1"/>
    <n v="4"/>
    <s v="Divorced"/>
    <n v="5329"/>
    <n v="7"/>
    <s v="Yes"/>
    <n v="12"/>
    <n v="3"/>
    <n v="3"/>
    <n v="17"/>
    <n v="3"/>
    <n v="13"/>
    <n v="1"/>
    <n v="9"/>
    <s v="PHD"/>
    <d v="2008-02-10T00:00:00"/>
    <m/>
    <s v="Salary"/>
    <x v="0"/>
    <n v="2"/>
    <n v="2"/>
    <s v="Yes"/>
    <s v="Job Portal"/>
    <s v="FullTime"/>
    <n v="0"/>
    <s v="Active"/>
    <x v="3"/>
    <x v="0"/>
    <x v="0"/>
  </r>
  <r>
    <n v="51"/>
    <s v="No"/>
    <s v="Travel_Frequently"/>
    <x v="0"/>
    <n v="1"/>
    <x v="1"/>
    <n v="2"/>
    <n v="3"/>
    <x v="7"/>
    <n v="1"/>
    <s v="Single"/>
    <n v="7484"/>
    <n v="3"/>
    <s v="No"/>
    <n v="20"/>
    <n v="4"/>
    <n v="0"/>
    <n v="23"/>
    <n v="1"/>
    <n v="13"/>
    <n v="12"/>
    <n v="8"/>
    <s v="12th"/>
    <d v="2008-03-10T00:00:00"/>
    <m/>
    <s v="Work Environment"/>
    <x v="0"/>
    <n v="2"/>
    <n v="3"/>
    <s v="No"/>
    <s v="Job Portal"/>
    <s v="Contract"/>
    <n v="0"/>
    <s v="Active"/>
    <x v="3"/>
    <x v="1"/>
    <x v="3"/>
  </r>
  <r>
    <n v="36"/>
    <s v="No"/>
    <s v="Travel_Rarely"/>
    <x v="0"/>
    <n v="5"/>
    <x v="0"/>
    <n v="3"/>
    <n v="2"/>
    <x v="0"/>
    <n v="2"/>
    <s v="Single"/>
    <n v="5914"/>
    <n v="8"/>
    <s v="No"/>
    <n v="16"/>
    <n v="3"/>
    <n v="0"/>
    <n v="16"/>
    <n v="3"/>
    <n v="13"/>
    <n v="3"/>
    <n v="7"/>
    <s v="Graduation"/>
    <d v="2008-03-07T00:00:00"/>
    <m/>
    <s v="Work Environment"/>
    <x v="1"/>
    <n v="0"/>
    <n v="2"/>
    <s v="Yes"/>
    <s v="Job Portal"/>
    <s v="Part Time"/>
    <n v="0"/>
    <s v="Active"/>
    <x v="3"/>
    <x v="0"/>
    <x v="0"/>
  </r>
  <r>
    <n v="32"/>
    <s v="No"/>
    <s v="Travel_Rarely"/>
    <x v="1"/>
    <n v="7"/>
    <x v="0"/>
    <n v="2"/>
    <n v="2"/>
    <x v="4"/>
    <n v="3"/>
    <s v="Married"/>
    <n v="5484"/>
    <n v="1"/>
    <s v="No"/>
    <n v="14"/>
    <n v="3"/>
    <n v="1"/>
    <n v="13"/>
    <n v="3"/>
    <n v="13"/>
    <n v="4"/>
    <n v="8"/>
    <s v="Post-Graduation"/>
    <d v="2008-06-09T00:00:00"/>
    <m/>
    <s v="Dept.Head"/>
    <x v="1"/>
    <n v="1"/>
    <n v="1"/>
    <s v="No"/>
    <s v="Job Event"/>
    <s v="FullTime"/>
    <n v="0"/>
    <s v="Active"/>
    <x v="3"/>
    <x v="0"/>
    <x v="2"/>
  </r>
  <r>
    <n v="32"/>
    <s v="No"/>
    <s v="Travel_Rarely"/>
    <x v="1"/>
    <n v="8"/>
    <x v="1"/>
    <n v="2"/>
    <n v="2"/>
    <x v="4"/>
    <n v="2"/>
    <s v="Married"/>
    <n v="5228"/>
    <n v="1"/>
    <s v="Yes"/>
    <n v="11"/>
    <n v="3"/>
    <n v="0"/>
    <n v="13"/>
    <n v="2"/>
    <n v="13"/>
    <n v="11"/>
    <n v="9"/>
    <s v="PHD"/>
    <d v="2008-04-09T00:00:00"/>
    <m/>
    <s v="Salary"/>
    <x v="1"/>
    <n v="2"/>
    <n v="0"/>
    <s v="No"/>
    <s v="Job Portal"/>
    <s v="Contract"/>
    <n v="0"/>
    <s v="Active"/>
    <x v="3"/>
    <x v="0"/>
    <x v="2"/>
  </r>
  <r>
    <n v="36"/>
    <s v="No"/>
    <s v="Travel_Frequently"/>
    <x v="1"/>
    <n v="3"/>
    <x v="0"/>
    <n v="2"/>
    <n v="3"/>
    <x v="4"/>
    <n v="4"/>
    <s v="Married"/>
    <n v="9699"/>
    <n v="4"/>
    <s v="No"/>
    <n v="11"/>
    <n v="3"/>
    <n v="1"/>
    <n v="16"/>
    <n v="2"/>
    <n v="13"/>
    <n v="1"/>
    <n v="12"/>
    <s v="12th"/>
    <d v="2008-05-05T00:00:00"/>
    <m/>
    <s v="Better Opportunity"/>
    <x v="1"/>
    <n v="2"/>
    <n v="0"/>
    <s v="Yes"/>
    <s v="Walk-in"/>
    <s v="Part Time"/>
    <n v="0"/>
    <s v="Active"/>
    <x v="3"/>
    <x v="1"/>
    <x v="2"/>
  </r>
  <r>
    <n v="31"/>
    <s v="No"/>
    <s v="Travel_Rarely"/>
    <x v="0"/>
    <n v="7"/>
    <x v="1"/>
    <n v="3"/>
    <n v="2"/>
    <x v="6"/>
    <n v="1"/>
    <s v="Married"/>
    <n v="4306"/>
    <n v="1"/>
    <s v="No"/>
    <n v="12"/>
    <n v="3"/>
    <n v="1"/>
    <n v="13"/>
    <n v="5"/>
    <n v="13"/>
    <n v="3"/>
    <n v="12"/>
    <s v="PHD"/>
    <d v="2008-02-23T00:00:00"/>
    <m/>
    <s v="Salary"/>
    <x v="1"/>
    <n v="4"/>
    <n v="0"/>
    <s v="Yes"/>
    <s v="Walk-in"/>
    <s v="Contract"/>
    <n v="0"/>
    <s v="Active"/>
    <x v="3"/>
    <x v="0"/>
    <x v="3"/>
  </r>
  <r>
    <n v="37"/>
    <s v="No"/>
    <s v="Non-Travel"/>
    <x v="0"/>
    <n v="25"/>
    <x v="1"/>
    <n v="3"/>
    <n v="2"/>
    <x v="1"/>
    <n v="3"/>
    <s v="Married"/>
    <n v="4449"/>
    <n v="3"/>
    <s v="Yes"/>
    <n v="15"/>
    <n v="3"/>
    <n v="2"/>
    <n v="15"/>
    <n v="2"/>
    <n v="13"/>
    <n v="10"/>
    <n v="7"/>
    <s v="Graduation"/>
    <d v="2008-02-22T00:00:00"/>
    <m/>
    <s v="Work Environment"/>
    <x v="0"/>
    <n v="3"/>
    <n v="1"/>
    <s v="No"/>
    <s v="Job Portal"/>
    <s v="Part Time"/>
    <n v="0"/>
    <s v="Active"/>
    <x v="3"/>
    <x v="0"/>
    <x v="0"/>
  </r>
  <r>
    <n v="31"/>
    <s v="No"/>
    <s v="Travel_Rarely"/>
    <x v="0"/>
    <n v="9"/>
    <x v="0"/>
    <n v="3"/>
    <n v="3"/>
    <x v="6"/>
    <n v="2"/>
    <s v="Divorced"/>
    <n v="10648"/>
    <n v="1"/>
    <s v="No"/>
    <n v="25"/>
    <n v="4"/>
    <n v="1"/>
    <n v="13"/>
    <n v="6"/>
    <n v="13"/>
    <n v="0"/>
    <n v="8"/>
    <s v="PHD"/>
    <d v="2008-05-18T00:00:00"/>
    <m/>
    <s v="Dept.Head"/>
    <x v="1"/>
    <n v="3"/>
    <n v="3"/>
    <s v="Yes"/>
    <s v="Job Portal"/>
    <s v="Contract"/>
    <n v="0"/>
    <s v="Active"/>
    <x v="3"/>
    <x v="1"/>
    <x v="3"/>
  </r>
  <r>
    <n v="33"/>
    <s v="No"/>
    <s v="Travel_Frequently"/>
    <x v="0"/>
    <n v="6"/>
    <x v="0"/>
    <n v="3"/>
    <n v="2"/>
    <x v="7"/>
    <n v="4"/>
    <s v="Divorced"/>
    <n v="7725"/>
    <n v="3"/>
    <s v="No"/>
    <n v="23"/>
    <n v="4"/>
    <n v="1"/>
    <n v="15"/>
    <n v="2"/>
    <n v="13"/>
    <n v="4"/>
    <n v="7"/>
    <s v="Graduation"/>
    <d v="2008-02-20T00:00:00"/>
    <m/>
    <s v="Work Environment"/>
    <x v="1"/>
    <n v="2"/>
    <n v="0"/>
    <s v="Yes"/>
    <s v="Job Event"/>
    <s v="Contract"/>
    <n v="0"/>
    <s v="Active"/>
    <x v="3"/>
    <x v="1"/>
    <x v="3"/>
  </r>
  <r>
    <n v="33"/>
    <s v="No"/>
    <s v="Travel_Rarely"/>
    <x v="0"/>
    <n v="7"/>
    <x v="0"/>
    <n v="3"/>
    <n v="3"/>
    <x v="2"/>
    <n v="3"/>
    <s v="Married"/>
    <n v="11691"/>
    <n v="0"/>
    <s v="No"/>
    <n v="11"/>
    <n v="3"/>
    <n v="0"/>
    <n v="14"/>
    <n v="3"/>
    <n v="13"/>
    <n v="3"/>
    <n v="7"/>
    <s v="Graduation"/>
    <d v="2008-05-29T00:00:00"/>
    <m/>
    <s v="Work Accident"/>
    <x v="1"/>
    <n v="2"/>
    <n v="3"/>
    <s v="Yes"/>
    <s v="Recruiter"/>
    <s v="FullTime"/>
    <n v="0"/>
    <s v="Active"/>
    <x v="3"/>
    <x v="1"/>
    <x v="1"/>
  </r>
  <r>
    <n v="35"/>
    <s v="No"/>
    <s v="Travel_Rarely"/>
    <x v="0"/>
    <n v="25"/>
    <x v="0"/>
    <n v="2"/>
    <n v="3"/>
    <x v="6"/>
    <n v="2"/>
    <s v="Married"/>
    <n v="10903"/>
    <n v="3"/>
    <s v="No"/>
    <n v="16"/>
    <n v="3"/>
    <n v="0"/>
    <n v="16"/>
    <n v="2"/>
    <n v="13"/>
    <n v="4"/>
    <n v="8"/>
    <s v="Post-Graduation"/>
    <d v="2008-01-22T00:00:00"/>
    <m/>
    <s v="Better Opportunity"/>
    <x v="0"/>
    <n v="4"/>
    <n v="1"/>
    <s v="Yes"/>
    <s v="Walk-in"/>
    <s v="Contract"/>
    <n v="0"/>
    <s v="Active"/>
    <x v="3"/>
    <x v="1"/>
    <x v="3"/>
  </r>
  <r>
    <n v="33"/>
    <s v="Yes"/>
    <s v="Travel_Frequently"/>
    <x v="0"/>
    <n v="29"/>
    <x v="1"/>
    <n v="2"/>
    <n v="2"/>
    <x v="1"/>
    <n v="3"/>
    <s v="Single"/>
    <n v="4508"/>
    <n v="1"/>
    <s v="No"/>
    <n v="22"/>
    <n v="4"/>
    <n v="0"/>
    <n v="14"/>
    <n v="4"/>
    <n v="13"/>
    <n v="3"/>
    <n v="8"/>
    <s v="Graduation"/>
    <d v="2008-01-21T00:00:00"/>
    <m/>
    <s v="Salary"/>
    <x v="0"/>
    <n v="1"/>
    <n v="3"/>
    <s v="Yes"/>
    <s v="Recruiter"/>
    <s v="FullTime"/>
    <n v="1"/>
    <s v="Active"/>
    <x v="3"/>
    <x v="0"/>
    <x v="0"/>
  </r>
  <r>
    <n v="34"/>
    <s v="No"/>
    <s v="Travel_Frequently"/>
    <x v="0"/>
    <n v="1"/>
    <x v="0"/>
    <n v="2"/>
    <n v="2"/>
    <x v="7"/>
    <n v="1"/>
    <s v="Single"/>
    <n v="5343"/>
    <n v="0"/>
    <s v="No"/>
    <n v="20"/>
    <n v="4"/>
    <n v="0"/>
    <n v="14"/>
    <n v="3"/>
    <n v="13"/>
    <n v="4"/>
    <n v="9"/>
    <s v="PHD"/>
    <d v="2008-01-22T00:00:00"/>
    <m/>
    <s v="Salary"/>
    <x v="0"/>
    <n v="5"/>
    <n v="1"/>
    <s v="No"/>
    <s v="Job Portal"/>
    <s v="Contract"/>
    <n v="0"/>
    <s v="Active"/>
    <x v="3"/>
    <x v="0"/>
    <x v="3"/>
  </r>
  <r>
    <n v="35"/>
    <s v="No"/>
    <s v="Non-Travel"/>
    <x v="1"/>
    <n v="8"/>
    <x v="1"/>
    <n v="2"/>
    <n v="3"/>
    <x v="4"/>
    <n v="4"/>
    <s v="Married"/>
    <n v="10377"/>
    <n v="4"/>
    <s v="Yes"/>
    <n v="11"/>
    <n v="3"/>
    <n v="1"/>
    <n v="16"/>
    <n v="6"/>
    <n v="13"/>
    <n v="4"/>
    <n v="12"/>
    <s v="PHD"/>
    <d v="2008-05-25T00:00:00"/>
    <m/>
    <s v="Work Environment"/>
    <x v="0"/>
    <n v="1"/>
    <n v="0"/>
    <s v="Yes"/>
    <s v="Job Event"/>
    <s v="Contract"/>
    <n v="0"/>
    <s v="Active"/>
    <x v="3"/>
    <x v="1"/>
    <x v="2"/>
  </r>
  <r>
    <n v="31"/>
    <s v="No"/>
    <s v="Travel_Rarely"/>
    <x v="1"/>
    <n v="8"/>
    <x v="0"/>
    <n v="3"/>
    <n v="3"/>
    <x v="4"/>
    <n v="4"/>
    <s v="Divorced"/>
    <n v="10793"/>
    <n v="1"/>
    <s v="No"/>
    <n v="18"/>
    <n v="3"/>
    <n v="1"/>
    <n v="13"/>
    <n v="5"/>
    <n v="13"/>
    <n v="9"/>
    <n v="9"/>
    <s v="PHD"/>
    <d v="2008-03-15T00:00:00"/>
    <m/>
    <s v="Better Opportunity"/>
    <x v="0"/>
    <n v="1"/>
    <n v="1"/>
    <s v="No"/>
    <s v="Job Portal"/>
    <s v="Part Time"/>
    <n v="0"/>
    <s v="Active"/>
    <x v="3"/>
    <x v="1"/>
    <x v="2"/>
  </r>
  <r>
    <n v="34"/>
    <s v="No"/>
    <s v="Travel_Rarely"/>
    <x v="1"/>
    <n v="3"/>
    <x v="0"/>
    <n v="1"/>
    <n v="2"/>
    <x v="4"/>
    <n v="1"/>
    <s v="Single"/>
    <n v="4759"/>
    <n v="3"/>
    <s v="No"/>
    <n v="18"/>
    <n v="3"/>
    <n v="0"/>
    <n v="15"/>
    <n v="2"/>
    <n v="13"/>
    <n v="3"/>
    <n v="12"/>
    <s v="12th"/>
    <d v="2008-03-24T00:00:00"/>
    <m/>
    <s v="Better Opportunity"/>
    <x v="0"/>
    <n v="3"/>
    <n v="3"/>
    <s v="No"/>
    <s v="Walk-in"/>
    <s v="Part Time"/>
    <n v="0"/>
    <s v="Active"/>
    <x v="3"/>
    <x v="0"/>
    <x v="2"/>
  </r>
  <r>
    <n v="46"/>
    <s v="No"/>
    <s v="Travel_Rarely"/>
    <x v="1"/>
    <n v="3"/>
    <x v="1"/>
    <n v="3"/>
    <n v="4"/>
    <x v="5"/>
    <n v="2"/>
    <s v="Married"/>
    <n v="16606"/>
    <n v="8"/>
    <s v="No"/>
    <n v="12"/>
    <n v="3"/>
    <n v="1"/>
    <n v="23"/>
    <n v="2"/>
    <n v="13"/>
    <n v="5"/>
    <n v="1"/>
    <s v="PHD"/>
    <d v="2008-04-07T00:00:00"/>
    <m/>
    <s v="Work Accident"/>
    <x v="1"/>
    <n v="5"/>
    <n v="3"/>
    <s v="Yes"/>
    <s v="Walk-in"/>
    <s v="FullTime"/>
    <n v="0"/>
    <s v="Active"/>
    <x v="3"/>
    <x v="1"/>
    <x v="1"/>
  </r>
  <r>
    <n v="35"/>
    <s v="Yes"/>
    <s v="Travel_Rarely"/>
    <x v="1"/>
    <n v="10"/>
    <x v="0"/>
    <n v="2"/>
    <n v="3"/>
    <x v="4"/>
    <n v="1"/>
    <s v="Married"/>
    <n v="10306"/>
    <n v="9"/>
    <s v="No"/>
    <n v="17"/>
    <n v="3"/>
    <n v="0"/>
    <n v="15"/>
    <n v="3"/>
    <n v="13"/>
    <n v="6"/>
    <n v="0"/>
    <s v="Graduation"/>
    <d v="2008-04-20T00:00:00"/>
    <m/>
    <s v="Work Accident"/>
    <x v="1"/>
    <n v="4"/>
    <n v="2"/>
    <s v="Yes"/>
    <s v="Walk-in"/>
    <s v="Part Time"/>
    <n v="1"/>
    <s v="Active"/>
    <x v="3"/>
    <x v="1"/>
    <x v="2"/>
  </r>
  <r>
    <n v="38"/>
    <s v="No"/>
    <s v="Travel_Frequently"/>
    <x v="0"/>
    <n v="1"/>
    <x v="0"/>
    <n v="3"/>
    <n v="2"/>
    <x v="1"/>
    <n v="4"/>
    <s v="Married"/>
    <n v="4735"/>
    <n v="7"/>
    <s v="No"/>
    <n v="15"/>
    <n v="3"/>
    <n v="2"/>
    <n v="19"/>
    <n v="4"/>
    <n v="13"/>
    <n v="2"/>
    <n v="9"/>
    <s v="Post-Graduation"/>
    <d v="2008-02-03T00:00:00"/>
    <m/>
    <s v="Salary"/>
    <x v="1"/>
    <n v="5"/>
    <n v="3"/>
    <s v="No"/>
    <s v="Job Portal"/>
    <s v="FullTime"/>
    <n v="0"/>
    <s v="Active"/>
    <x v="3"/>
    <x v="0"/>
    <x v="0"/>
  </r>
  <r>
    <n v="36"/>
    <s v="No"/>
    <s v="Travel_Rarely"/>
    <x v="1"/>
    <n v="2"/>
    <x v="1"/>
    <n v="3"/>
    <n v="2"/>
    <x v="3"/>
    <n v="4"/>
    <s v="Single"/>
    <n v="4502"/>
    <n v="3"/>
    <s v="No"/>
    <n v="15"/>
    <n v="3"/>
    <n v="0"/>
    <n v="17"/>
    <n v="2"/>
    <n v="13"/>
    <n v="6"/>
    <n v="7"/>
    <s v="PHD"/>
    <d v="2008-03-09T00:00:00"/>
    <m/>
    <s v="Work Accident"/>
    <x v="1"/>
    <n v="0"/>
    <n v="0"/>
    <s v="Yes"/>
    <s v="Job Portal"/>
    <s v="Contract"/>
    <n v="0"/>
    <s v="Active"/>
    <x v="3"/>
    <x v="0"/>
    <x v="2"/>
  </r>
  <r>
    <n v="42"/>
    <s v="No"/>
    <s v="Travel_Rarely"/>
    <x v="0"/>
    <n v="6"/>
    <x v="0"/>
    <n v="3"/>
    <n v="3"/>
    <x v="2"/>
    <n v="1"/>
    <s v="Married"/>
    <n v="13348"/>
    <n v="9"/>
    <s v="No"/>
    <n v="13"/>
    <n v="3"/>
    <n v="1"/>
    <n v="18"/>
    <n v="3"/>
    <n v="13"/>
    <n v="5"/>
    <n v="7"/>
    <s v="Graduation"/>
    <d v="2008-06-22T00:00:00"/>
    <m/>
    <s v="Better Opportunity"/>
    <x v="1"/>
    <n v="2"/>
    <n v="3"/>
    <s v="Yes"/>
    <s v="Job Portal"/>
    <s v="FullTime"/>
    <n v="0"/>
    <s v="Active"/>
    <x v="3"/>
    <x v="1"/>
    <x v="1"/>
  </r>
  <r>
    <n v="47"/>
    <s v="No"/>
    <s v="Non-Travel"/>
    <x v="0"/>
    <n v="1"/>
    <x v="1"/>
    <n v="3"/>
    <n v="3"/>
    <x v="2"/>
    <n v="2"/>
    <s v="Married"/>
    <n v="11957"/>
    <n v="0"/>
    <s v="No"/>
    <n v="18"/>
    <n v="3"/>
    <n v="2"/>
    <n v="14"/>
    <n v="3"/>
    <n v="13"/>
    <n v="5"/>
    <n v="12"/>
    <s v="PHD"/>
    <d v="2008-04-19T00:00:00"/>
    <m/>
    <s v="Dept.Head"/>
    <x v="0"/>
    <n v="3"/>
    <n v="1"/>
    <s v="Yes"/>
    <s v="Job Event"/>
    <s v="Part Time"/>
    <n v="0"/>
    <s v="Active"/>
    <x v="3"/>
    <x v="1"/>
    <x v="1"/>
  </r>
  <r>
    <n v="56"/>
    <s v="No"/>
    <s v="Non-Travel"/>
    <x v="0"/>
    <n v="1"/>
    <x v="0"/>
    <n v="3"/>
    <n v="2"/>
    <x v="7"/>
    <n v="3"/>
    <s v="Divorced"/>
    <n v="6306"/>
    <n v="1"/>
    <s v="No"/>
    <n v="21"/>
    <n v="4"/>
    <n v="1"/>
    <n v="13"/>
    <n v="2"/>
    <n v="13"/>
    <n v="1"/>
    <n v="9"/>
    <s v="PHD"/>
    <d v="2008-06-24T00:00:00"/>
    <m/>
    <s v="Better Opportunity"/>
    <x v="0"/>
    <n v="5"/>
    <n v="0"/>
    <s v="Yes"/>
    <s v="Job Portal"/>
    <s v="Part Time"/>
    <n v="0"/>
    <s v="Active"/>
    <x v="3"/>
    <x v="0"/>
    <x v="3"/>
  </r>
  <r>
    <n v="53"/>
    <s v="No"/>
    <s v="Travel_Rarely"/>
    <x v="0"/>
    <n v="5"/>
    <x v="1"/>
    <n v="3"/>
    <n v="5"/>
    <x v="5"/>
    <n v="3"/>
    <s v="Divorced"/>
    <n v="19094"/>
    <n v="4"/>
    <s v="No"/>
    <n v="11"/>
    <n v="3"/>
    <n v="1"/>
    <n v="26"/>
    <n v="3"/>
    <n v="14"/>
    <n v="4"/>
    <n v="8"/>
    <s v="Post-Graduation"/>
    <d v="2007-03-13T00:00:00"/>
    <m/>
    <s v="Work Environment"/>
    <x v="1"/>
    <n v="5"/>
    <n v="2"/>
    <s v="Yes"/>
    <s v="Walk-in"/>
    <s v="FullTime"/>
    <n v="0"/>
    <s v="Active"/>
    <x v="3"/>
    <x v="1"/>
    <x v="1"/>
  </r>
  <r>
    <n v="32"/>
    <s v="Yes"/>
    <s v="Travel_Rarely"/>
    <x v="1"/>
    <n v="4"/>
    <x v="0"/>
    <n v="1"/>
    <n v="3"/>
    <x v="4"/>
    <n v="4"/>
    <s v="Married"/>
    <n v="10400"/>
    <n v="1"/>
    <s v="No"/>
    <n v="11"/>
    <n v="3"/>
    <n v="0"/>
    <n v="14"/>
    <n v="2"/>
    <n v="14"/>
    <n v="9"/>
    <n v="8"/>
    <s v="PHD"/>
    <d v="2007-01-12T00:00:00"/>
    <m/>
    <s v="Salary"/>
    <x v="1"/>
    <n v="2"/>
    <n v="3"/>
    <s v="Yes"/>
    <s v="Job Event"/>
    <s v="Part Time"/>
    <n v="1"/>
    <s v="Active"/>
    <x v="3"/>
    <x v="1"/>
    <x v="2"/>
  </r>
  <r>
    <n v="41"/>
    <s v="No"/>
    <s v="Non-Travel"/>
    <x v="1"/>
    <n v="10"/>
    <x v="0"/>
    <n v="3"/>
    <n v="2"/>
    <x v="4"/>
    <n v="4"/>
    <s v="Single"/>
    <n v="6230"/>
    <n v="7"/>
    <s v="No"/>
    <n v="14"/>
    <n v="3"/>
    <n v="0"/>
    <n v="16"/>
    <n v="3"/>
    <n v="14"/>
    <n v="1"/>
    <n v="10"/>
    <s v="Post-Graduation"/>
    <d v="2007-03-25T00:00:00"/>
    <m/>
    <s v="Salary"/>
    <x v="0"/>
    <n v="5"/>
    <n v="1"/>
    <s v="No"/>
    <s v="Job Portal"/>
    <s v="FullTime"/>
    <n v="0"/>
    <s v="Active"/>
    <x v="3"/>
    <x v="0"/>
    <x v="2"/>
  </r>
  <r>
    <n v="53"/>
    <s v="No"/>
    <s v="Travel_Rarely"/>
    <x v="1"/>
    <n v="1"/>
    <x v="1"/>
    <n v="3"/>
    <n v="2"/>
    <x v="4"/>
    <n v="1"/>
    <s v="Single"/>
    <n v="8381"/>
    <n v="7"/>
    <s v="No"/>
    <n v="20"/>
    <n v="4"/>
    <n v="0"/>
    <n v="18"/>
    <n v="2"/>
    <n v="14"/>
    <n v="8"/>
    <n v="10"/>
    <s v="PHD"/>
    <d v="2007-05-27T00:00:00"/>
    <m/>
    <s v="Work Accident"/>
    <x v="1"/>
    <n v="4"/>
    <n v="1"/>
    <s v="No"/>
    <s v="Walk-in"/>
    <s v="Part Time"/>
    <n v="0"/>
    <s v="Active"/>
    <x v="3"/>
    <x v="1"/>
    <x v="2"/>
  </r>
  <r>
    <n v="32"/>
    <s v="No"/>
    <s v="Travel_Rarely"/>
    <x v="0"/>
    <n v="4"/>
    <x v="1"/>
    <n v="2"/>
    <n v="2"/>
    <x v="6"/>
    <n v="3"/>
    <s v="Married"/>
    <n v="6162"/>
    <n v="1"/>
    <s v="No"/>
    <n v="12"/>
    <n v="3"/>
    <n v="1"/>
    <n v="14"/>
    <n v="3"/>
    <n v="14"/>
    <n v="6"/>
    <n v="8"/>
    <s v="PHD"/>
    <d v="2007-02-03T00:00:00"/>
    <m/>
    <s v="Salary"/>
    <x v="0"/>
    <n v="3"/>
    <n v="0"/>
    <s v="No"/>
    <s v="Recruiter"/>
    <s v="Part Time"/>
    <n v="0"/>
    <s v="Active"/>
    <x v="3"/>
    <x v="0"/>
    <x v="3"/>
  </r>
  <r>
    <n v="37"/>
    <s v="Yes"/>
    <s v="Travel_Rarely"/>
    <x v="1"/>
    <n v="1"/>
    <x v="0"/>
    <n v="2"/>
    <n v="3"/>
    <x v="4"/>
    <n v="3"/>
    <s v="Married"/>
    <n v="10609"/>
    <n v="5"/>
    <s v="No"/>
    <n v="11"/>
    <n v="3"/>
    <n v="0"/>
    <n v="17"/>
    <n v="2"/>
    <n v="14"/>
    <n v="11"/>
    <n v="7"/>
    <s v="Post-Graduation"/>
    <d v="2007-02-16T00:00:00"/>
    <m/>
    <s v="Dept.Head"/>
    <x v="0"/>
    <n v="4"/>
    <n v="2"/>
    <s v="Yes"/>
    <s v="Job Event"/>
    <s v="Contract"/>
    <n v="1"/>
    <s v="Active"/>
    <x v="3"/>
    <x v="1"/>
    <x v="2"/>
  </r>
  <r>
    <n v="36"/>
    <s v="No"/>
    <s v="Travel_Rarely"/>
    <x v="0"/>
    <n v="12"/>
    <x v="1"/>
    <n v="2"/>
    <n v="3"/>
    <x v="6"/>
    <n v="4"/>
    <s v="Single"/>
    <n v="8858"/>
    <n v="0"/>
    <s v="No"/>
    <n v="11"/>
    <n v="3"/>
    <n v="0"/>
    <n v="15"/>
    <n v="2"/>
    <n v="14"/>
    <n v="7"/>
    <n v="8"/>
    <s v="PHD"/>
    <d v="2007-03-12T00:00:00"/>
    <m/>
    <s v="Work Accident"/>
    <x v="0"/>
    <n v="0"/>
    <n v="3"/>
    <s v="No"/>
    <s v="Recruiter"/>
    <s v="Part Time"/>
    <n v="0"/>
    <s v="Active"/>
    <x v="3"/>
    <x v="1"/>
    <x v="3"/>
  </r>
  <r>
    <n v="37"/>
    <s v="No"/>
    <s v="Travel_Rarely"/>
    <x v="0"/>
    <n v="1"/>
    <x v="1"/>
    <n v="2"/>
    <n v="2"/>
    <x v="6"/>
    <n v="4"/>
    <s v="Married"/>
    <n v="6474"/>
    <n v="1"/>
    <s v="No"/>
    <n v="13"/>
    <n v="3"/>
    <n v="1"/>
    <n v="14"/>
    <n v="2"/>
    <n v="14"/>
    <n v="3"/>
    <n v="11"/>
    <s v="PHD"/>
    <d v="2007-06-06T00:00:00"/>
    <m/>
    <s v="Dept.Head"/>
    <x v="1"/>
    <n v="1"/>
    <n v="3"/>
    <s v="Yes"/>
    <s v="Job Portal"/>
    <s v="Part Time"/>
    <n v="0"/>
    <s v="Active"/>
    <x v="3"/>
    <x v="0"/>
    <x v="3"/>
  </r>
  <r>
    <n v="33"/>
    <s v="No"/>
    <s v="Travel_Rarely"/>
    <x v="0"/>
    <n v="9"/>
    <x v="0"/>
    <n v="3"/>
    <n v="1"/>
    <x v="1"/>
    <n v="4"/>
    <s v="Married"/>
    <n v="2781"/>
    <n v="0"/>
    <s v="No"/>
    <n v="13"/>
    <n v="3"/>
    <n v="1"/>
    <n v="15"/>
    <n v="5"/>
    <n v="14"/>
    <n v="4"/>
    <n v="10"/>
    <s v="PHD"/>
    <d v="2007-04-02T00:00:00"/>
    <m/>
    <s v="Work Accident"/>
    <x v="0"/>
    <n v="3"/>
    <n v="3"/>
    <s v="Yes"/>
    <s v="Walk-in"/>
    <s v="Part Time"/>
    <n v="0"/>
    <s v="Active"/>
    <x v="3"/>
    <x v="0"/>
    <x v="0"/>
  </r>
  <r>
    <n v="34"/>
    <s v="No"/>
    <s v="Travel_Rarely"/>
    <x v="0"/>
    <n v="2"/>
    <x v="1"/>
    <n v="3"/>
    <n v="2"/>
    <x v="7"/>
    <n v="4"/>
    <s v="Single"/>
    <n v="6687"/>
    <n v="1"/>
    <s v="No"/>
    <n v="11"/>
    <n v="3"/>
    <n v="0"/>
    <n v="14"/>
    <n v="2"/>
    <n v="14"/>
    <n v="4"/>
    <n v="11"/>
    <s v="12th"/>
    <d v="2007-03-15T00:00:00"/>
    <m/>
    <s v="Work Environment"/>
    <x v="0"/>
    <n v="3"/>
    <n v="3"/>
    <s v="No"/>
    <s v="Job Portal"/>
    <s v="Contract"/>
    <n v="0"/>
    <s v="Active"/>
    <x v="3"/>
    <x v="0"/>
    <x v="3"/>
  </r>
  <r>
    <n v="34"/>
    <s v="No"/>
    <s v="Travel_Frequently"/>
    <x v="0"/>
    <n v="15"/>
    <x v="0"/>
    <n v="3"/>
    <n v="4"/>
    <x v="2"/>
    <n v="1"/>
    <s v="Divorced"/>
    <n v="17007"/>
    <n v="7"/>
    <s v="No"/>
    <n v="14"/>
    <n v="3"/>
    <n v="2"/>
    <n v="16"/>
    <n v="3"/>
    <n v="14"/>
    <n v="6"/>
    <n v="9"/>
    <s v="Post-Graduation"/>
    <d v="2007-06-27T00:00:00"/>
    <m/>
    <s v="Better Opportunity"/>
    <x v="0"/>
    <n v="4"/>
    <n v="3"/>
    <s v="Yes"/>
    <s v="Job Event"/>
    <s v="Part Time"/>
    <n v="0"/>
    <s v="Active"/>
    <x v="3"/>
    <x v="1"/>
    <x v="1"/>
  </r>
  <r>
    <n v="54"/>
    <s v="No"/>
    <s v="Travel_Frequently"/>
    <x v="0"/>
    <n v="11"/>
    <x v="1"/>
    <n v="3"/>
    <n v="4"/>
    <x v="5"/>
    <n v="4"/>
    <s v="Divorced"/>
    <n v="16032"/>
    <n v="3"/>
    <s v="No"/>
    <n v="20"/>
    <n v="4"/>
    <n v="1"/>
    <n v="26"/>
    <n v="2"/>
    <n v="14"/>
    <n v="1"/>
    <n v="12"/>
    <s v="12th"/>
    <d v="2007-01-02T00:00:00"/>
    <m/>
    <s v="Better Opportunity"/>
    <x v="0"/>
    <n v="3"/>
    <n v="1"/>
    <s v="No"/>
    <s v="Job Event"/>
    <s v="Contract"/>
    <n v="0"/>
    <s v="Active"/>
    <x v="3"/>
    <x v="1"/>
    <x v="1"/>
  </r>
  <r>
    <n v="35"/>
    <s v="No"/>
    <s v="Non-Travel"/>
    <x v="0"/>
    <n v="8"/>
    <x v="1"/>
    <n v="3"/>
    <n v="2"/>
    <x v="7"/>
    <n v="3"/>
    <s v="Married"/>
    <n v="4148"/>
    <n v="1"/>
    <s v="No"/>
    <n v="12"/>
    <n v="3"/>
    <n v="1"/>
    <n v="15"/>
    <n v="5"/>
    <n v="14"/>
    <n v="2"/>
    <n v="9"/>
    <s v="12th"/>
    <d v="2007-04-19T00:00:00"/>
    <m/>
    <s v="Salary"/>
    <x v="1"/>
    <n v="3"/>
    <n v="2"/>
    <s v="Yes"/>
    <s v="Job Event"/>
    <s v="Part Time"/>
    <n v="0"/>
    <s v="Active"/>
    <x v="3"/>
    <x v="0"/>
    <x v="3"/>
  </r>
  <r>
    <n v="50"/>
    <s v="No"/>
    <s v="Travel_Rarely"/>
    <x v="0"/>
    <n v="17"/>
    <x v="1"/>
    <n v="2"/>
    <n v="3"/>
    <x v="2"/>
    <n v="1"/>
    <s v="Divorced"/>
    <n v="13269"/>
    <n v="5"/>
    <s v="No"/>
    <n v="15"/>
    <n v="3"/>
    <n v="3"/>
    <n v="19"/>
    <n v="3"/>
    <n v="14"/>
    <n v="1"/>
    <n v="11"/>
    <s v="Graduation"/>
    <d v="2007-03-19T00:00:00"/>
    <m/>
    <s v="Better Opportunity"/>
    <x v="0"/>
    <n v="0"/>
    <n v="3"/>
    <s v="No"/>
    <s v="Job Event"/>
    <s v="Part Time"/>
    <n v="0"/>
    <s v="Active"/>
    <x v="3"/>
    <x v="1"/>
    <x v="1"/>
  </r>
  <r>
    <n v="43"/>
    <s v="No"/>
    <s v="Travel_Rarely"/>
    <x v="0"/>
    <n v="15"/>
    <x v="0"/>
    <n v="2"/>
    <n v="4"/>
    <x v="2"/>
    <n v="3"/>
    <s v="Married"/>
    <n v="17603"/>
    <n v="1"/>
    <s v="No"/>
    <n v="24"/>
    <n v="4"/>
    <n v="1"/>
    <n v="14"/>
    <n v="3"/>
    <n v="14"/>
    <n v="6"/>
    <n v="11"/>
    <s v="12th"/>
    <d v="2007-03-11T00:00:00"/>
    <m/>
    <s v="Dept.Head"/>
    <x v="1"/>
    <n v="5"/>
    <n v="3"/>
    <s v="No"/>
    <s v="Walk-in"/>
    <s v="FullTime"/>
    <n v="0"/>
    <s v="Active"/>
    <x v="3"/>
    <x v="1"/>
    <x v="1"/>
  </r>
  <r>
    <n v="33"/>
    <s v="No"/>
    <s v="Travel_Rarely"/>
    <x v="0"/>
    <n v="21"/>
    <x v="0"/>
    <n v="4"/>
    <n v="1"/>
    <x v="0"/>
    <n v="2"/>
    <s v="Married"/>
    <n v="2028"/>
    <n v="1"/>
    <s v="No"/>
    <n v="18"/>
    <n v="3"/>
    <n v="3"/>
    <n v="14"/>
    <n v="6"/>
    <n v="14"/>
    <n v="2"/>
    <n v="13"/>
    <s v="PHD"/>
    <d v="2007-02-05T00:00:00"/>
    <m/>
    <s v="Work Environment"/>
    <x v="0"/>
    <n v="3"/>
    <n v="0"/>
    <s v="No"/>
    <s v="Recruiter"/>
    <s v="FullTime"/>
    <n v="0"/>
    <s v="Active"/>
    <x v="3"/>
    <x v="0"/>
    <x v="0"/>
  </r>
  <r>
    <n v="34"/>
    <s v="No"/>
    <s v="Travel_Rarely"/>
    <x v="1"/>
    <n v="1"/>
    <x v="0"/>
    <n v="3"/>
    <n v="3"/>
    <x v="4"/>
    <n v="4"/>
    <s v="Single"/>
    <n v="9888"/>
    <n v="1"/>
    <s v="No"/>
    <n v="21"/>
    <n v="4"/>
    <n v="0"/>
    <n v="14"/>
    <n v="3"/>
    <n v="14"/>
    <n v="2"/>
    <n v="1"/>
    <s v="12th"/>
    <d v="2007-04-18T00:00:00"/>
    <m/>
    <s v="Work Environment"/>
    <x v="0"/>
    <n v="1"/>
    <n v="3"/>
    <s v="No"/>
    <s v="Job Event"/>
    <s v="FullTime"/>
    <n v="0"/>
    <s v="Active"/>
    <x v="3"/>
    <x v="1"/>
    <x v="2"/>
  </r>
  <r>
    <n v="32"/>
    <s v="No"/>
    <s v="Travel_Rarely"/>
    <x v="1"/>
    <n v="1"/>
    <x v="1"/>
    <n v="3"/>
    <n v="3"/>
    <x v="4"/>
    <n v="4"/>
    <s v="Married"/>
    <n v="10422"/>
    <n v="1"/>
    <s v="No"/>
    <n v="19"/>
    <n v="3"/>
    <n v="2"/>
    <n v="14"/>
    <n v="3"/>
    <n v="14"/>
    <n v="5"/>
    <n v="7"/>
    <s v="Post-Graduation"/>
    <d v="2007-04-19T00:00:00"/>
    <m/>
    <s v="Dept.Head"/>
    <x v="1"/>
    <n v="0"/>
    <n v="2"/>
    <s v="No"/>
    <s v="Walk-in"/>
    <s v="Contract"/>
    <n v="0"/>
    <s v="Active"/>
    <x v="3"/>
    <x v="1"/>
    <x v="2"/>
  </r>
  <r>
    <n v="33"/>
    <s v="No"/>
    <s v="Travel_Frequently"/>
    <x v="0"/>
    <n v="1"/>
    <x v="1"/>
    <n v="3"/>
    <n v="3"/>
    <x v="2"/>
    <n v="4"/>
    <s v="Single"/>
    <n v="13458"/>
    <n v="1"/>
    <s v="Yes"/>
    <n v="12"/>
    <n v="3"/>
    <n v="0"/>
    <n v="15"/>
    <n v="1"/>
    <n v="15"/>
    <n v="8"/>
    <n v="12"/>
    <s v="Graduation"/>
    <d v="2006-05-31T00:00:00"/>
    <m/>
    <s v="Better Opportunity"/>
    <x v="0"/>
    <n v="0"/>
    <n v="3"/>
    <s v="Yes"/>
    <s v="Recruiter"/>
    <s v="Part Time"/>
    <n v="0"/>
    <s v="Active"/>
    <x v="3"/>
    <x v="1"/>
    <x v="1"/>
  </r>
  <r>
    <n v="35"/>
    <s v="No"/>
    <s v="Travel_Rarely"/>
    <x v="1"/>
    <n v="1"/>
    <x v="0"/>
    <n v="2"/>
    <n v="2"/>
    <x v="4"/>
    <n v="1"/>
    <s v="Single"/>
    <n v="4312"/>
    <n v="0"/>
    <s v="No"/>
    <n v="14"/>
    <n v="3"/>
    <n v="0"/>
    <n v="16"/>
    <n v="2"/>
    <n v="15"/>
    <n v="2"/>
    <n v="8"/>
    <s v="12th"/>
    <d v="2006-06-25T00:00:00"/>
    <m/>
    <s v="Better Opportunity"/>
    <x v="0"/>
    <n v="5"/>
    <n v="2"/>
    <s v="No"/>
    <s v="Recruiter"/>
    <s v="FullTime"/>
    <n v="0"/>
    <s v="Active"/>
    <x v="3"/>
    <x v="0"/>
    <x v="2"/>
  </r>
  <r>
    <n v="49"/>
    <s v="No"/>
    <s v="Travel_Rarely"/>
    <x v="0"/>
    <n v="20"/>
    <x v="1"/>
    <n v="3"/>
    <n v="2"/>
    <x v="6"/>
    <n v="1"/>
    <s v="Married"/>
    <n v="6567"/>
    <n v="1"/>
    <s v="No"/>
    <n v="14"/>
    <n v="3"/>
    <n v="0"/>
    <n v="16"/>
    <n v="2"/>
    <n v="15"/>
    <n v="5"/>
    <n v="11"/>
    <s v="12th"/>
    <d v="2006-03-11T00:00:00"/>
    <m/>
    <s v="Better Opportunity"/>
    <x v="1"/>
    <n v="2"/>
    <n v="1"/>
    <s v="Yes"/>
    <s v="Job Portal"/>
    <s v="FullTime"/>
    <n v="0"/>
    <s v="Active"/>
    <x v="3"/>
    <x v="0"/>
    <x v="3"/>
  </r>
  <r>
    <n v="39"/>
    <s v="No"/>
    <s v="Travel_Rarely"/>
    <x v="1"/>
    <n v="4"/>
    <x v="1"/>
    <n v="2"/>
    <n v="2"/>
    <x v="4"/>
    <n v="3"/>
    <s v="Married"/>
    <n v="5902"/>
    <n v="4"/>
    <s v="No"/>
    <n v="14"/>
    <n v="3"/>
    <n v="1"/>
    <n v="17"/>
    <n v="1"/>
    <n v="15"/>
    <n v="5"/>
    <n v="9"/>
    <s v="Post-Graduation"/>
    <d v="2006-05-17T00:00:00"/>
    <m/>
    <s v="Work Environment"/>
    <x v="0"/>
    <n v="4"/>
    <n v="2"/>
    <s v="Yes"/>
    <s v="Job Event"/>
    <s v="Contract"/>
    <n v="0"/>
    <s v="Active"/>
    <x v="3"/>
    <x v="0"/>
    <x v="2"/>
  </r>
  <r>
    <n v="36"/>
    <s v="No"/>
    <s v="Travel_Rarely"/>
    <x v="0"/>
    <n v="6"/>
    <x v="0"/>
    <n v="3"/>
    <n v="1"/>
    <x v="0"/>
    <n v="4"/>
    <s v="Married"/>
    <n v="3210"/>
    <n v="0"/>
    <s v="No"/>
    <n v="11"/>
    <n v="3"/>
    <n v="1"/>
    <n v="16"/>
    <n v="4"/>
    <n v="15"/>
    <n v="10"/>
    <n v="11"/>
    <s v="Graduation"/>
    <d v="2006-02-04T00:00:00"/>
    <m/>
    <s v="Dept.Head"/>
    <x v="0"/>
    <n v="4"/>
    <n v="3"/>
    <s v="No"/>
    <s v="Job Event"/>
    <s v="Part Time"/>
    <n v="0"/>
    <s v="Active"/>
    <x v="3"/>
    <x v="0"/>
    <x v="0"/>
  </r>
  <r>
    <n v="38"/>
    <s v="No"/>
    <s v="Travel_Frequently"/>
    <x v="0"/>
    <n v="2"/>
    <x v="1"/>
    <n v="4"/>
    <n v="2"/>
    <x v="6"/>
    <n v="1"/>
    <s v="Single"/>
    <n v="5980"/>
    <n v="6"/>
    <s v="Yes"/>
    <n v="12"/>
    <n v="3"/>
    <n v="0"/>
    <n v="17"/>
    <n v="2"/>
    <n v="15"/>
    <n v="4"/>
    <n v="12"/>
    <s v="12th"/>
    <d v="2006-05-02T00:00:00"/>
    <m/>
    <s v="Dept.Head"/>
    <x v="1"/>
    <n v="4"/>
    <n v="1"/>
    <s v="Yes"/>
    <s v="Recruiter"/>
    <s v="FullTime"/>
    <n v="0"/>
    <s v="Active"/>
    <x v="3"/>
    <x v="0"/>
    <x v="3"/>
  </r>
  <r>
    <n v="38"/>
    <s v="No"/>
    <s v="Travel_Rarely"/>
    <x v="0"/>
    <n v="1"/>
    <x v="1"/>
    <n v="3"/>
    <n v="3"/>
    <x v="2"/>
    <n v="1"/>
    <s v="Married"/>
    <n v="13582"/>
    <n v="1"/>
    <s v="No"/>
    <n v="13"/>
    <n v="3"/>
    <n v="1"/>
    <n v="15"/>
    <n v="3"/>
    <n v="15"/>
    <n v="5"/>
    <n v="11"/>
    <s v="Graduation"/>
    <d v="2006-05-23T00:00:00"/>
    <m/>
    <s v="Better Opportunity"/>
    <x v="0"/>
    <n v="2"/>
    <n v="3"/>
    <s v="Yes"/>
    <s v="Walk-in"/>
    <s v="FullTime"/>
    <n v="0"/>
    <s v="Active"/>
    <x v="3"/>
    <x v="1"/>
    <x v="1"/>
  </r>
  <r>
    <n v="48"/>
    <s v="No"/>
    <s v="Travel_Rarely"/>
    <x v="0"/>
    <n v="4"/>
    <x v="0"/>
    <n v="2"/>
    <n v="3"/>
    <x v="7"/>
    <n v="3"/>
    <s v="Single"/>
    <n v="10999"/>
    <n v="7"/>
    <s v="No"/>
    <n v="14"/>
    <n v="3"/>
    <n v="0"/>
    <n v="27"/>
    <n v="3"/>
    <n v="15"/>
    <n v="4"/>
    <n v="8"/>
    <s v="PHD"/>
    <d v="2006-04-30T00:00:00"/>
    <m/>
    <s v="Better Opportunity"/>
    <x v="1"/>
    <n v="3"/>
    <n v="1"/>
    <s v="Yes"/>
    <s v="Job Portal"/>
    <s v="Contract"/>
    <n v="0"/>
    <s v="Active"/>
    <x v="3"/>
    <x v="1"/>
    <x v="3"/>
  </r>
  <r>
    <n v="34"/>
    <s v="No"/>
    <s v="Travel_Rarely"/>
    <x v="1"/>
    <n v="1"/>
    <x v="0"/>
    <n v="4"/>
    <n v="2"/>
    <x v="4"/>
    <n v="4"/>
    <s v="Divorced"/>
    <n v="9725"/>
    <n v="0"/>
    <s v="No"/>
    <n v="11"/>
    <n v="3"/>
    <n v="1"/>
    <n v="16"/>
    <n v="2"/>
    <n v="15"/>
    <n v="0"/>
    <n v="9"/>
    <s v="Post-Graduation"/>
    <d v="2006-06-13T00:00:00"/>
    <m/>
    <s v="Dept.Head"/>
    <x v="1"/>
    <n v="0"/>
    <n v="1"/>
    <s v="Yes"/>
    <s v="Job Event"/>
    <s v="Part Time"/>
    <n v="0"/>
    <s v="Active"/>
    <x v="3"/>
    <x v="1"/>
    <x v="2"/>
  </r>
  <r>
    <n v="53"/>
    <s v="No"/>
    <s v="Travel_Frequently"/>
    <x v="1"/>
    <n v="2"/>
    <x v="1"/>
    <n v="2"/>
    <n v="3"/>
    <x v="4"/>
    <n v="2"/>
    <s v="Married"/>
    <n v="7525"/>
    <n v="2"/>
    <s v="No"/>
    <n v="12"/>
    <n v="3"/>
    <n v="1"/>
    <n v="30"/>
    <n v="2"/>
    <n v="15"/>
    <n v="6"/>
    <n v="12"/>
    <s v="PHD"/>
    <d v="2006-03-28T00:00:00"/>
    <m/>
    <s v="Work Environment"/>
    <x v="1"/>
    <n v="5"/>
    <n v="2"/>
    <s v="Yes"/>
    <s v="Walk-in"/>
    <s v="Contract"/>
    <n v="0"/>
    <s v="Active"/>
    <x v="3"/>
    <x v="1"/>
    <x v="2"/>
  </r>
  <r>
    <n v="45"/>
    <s v="No"/>
    <s v="Non-Travel"/>
    <x v="1"/>
    <n v="9"/>
    <x v="1"/>
    <n v="2"/>
    <n v="2"/>
    <x v="4"/>
    <n v="3"/>
    <s v="Married"/>
    <n v="5593"/>
    <n v="1"/>
    <s v="No"/>
    <n v="13"/>
    <n v="3"/>
    <n v="1"/>
    <n v="15"/>
    <n v="2"/>
    <n v="15"/>
    <n v="4"/>
    <n v="12"/>
    <s v="PHD"/>
    <d v="2006-05-02T00:00:00"/>
    <m/>
    <s v="Salary"/>
    <x v="1"/>
    <n v="3"/>
    <n v="1"/>
    <s v="No"/>
    <s v="Job Portal"/>
    <s v="Contract"/>
    <n v="0"/>
    <s v="Active"/>
    <x v="3"/>
    <x v="0"/>
    <x v="2"/>
  </r>
  <r>
    <n v="36"/>
    <s v="No"/>
    <s v="Travel_Frequently"/>
    <x v="1"/>
    <n v="7"/>
    <x v="1"/>
    <n v="4"/>
    <n v="2"/>
    <x v="4"/>
    <n v="1"/>
    <s v="Married"/>
    <n v="4639"/>
    <n v="2"/>
    <s v="No"/>
    <n v="16"/>
    <n v="3"/>
    <n v="1"/>
    <n v="17"/>
    <n v="2"/>
    <n v="15"/>
    <n v="6"/>
    <n v="13"/>
    <s v="PHD"/>
    <d v="2006-06-14T00:00:00"/>
    <m/>
    <s v="Work Environment"/>
    <x v="0"/>
    <n v="4"/>
    <n v="2"/>
    <s v="Yes"/>
    <s v="Job Event"/>
    <s v="FullTime"/>
    <n v="0"/>
    <s v="Active"/>
    <x v="3"/>
    <x v="0"/>
    <x v="2"/>
  </r>
  <r>
    <n v="34"/>
    <s v="Yes"/>
    <s v="Travel_Rarely"/>
    <x v="1"/>
    <n v="24"/>
    <x v="1"/>
    <n v="2"/>
    <n v="2"/>
    <x v="4"/>
    <n v="2"/>
    <s v="Single"/>
    <n v="4599"/>
    <n v="0"/>
    <s v="Yes"/>
    <n v="23"/>
    <n v="4"/>
    <n v="0"/>
    <n v="16"/>
    <n v="2"/>
    <n v="15"/>
    <n v="10"/>
    <n v="10"/>
    <s v="Post-Graduation"/>
    <d v="2006-03-24T00:00:00"/>
    <m/>
    <s v="Better Opportunity"/>
    <x v="1"/>
    <n v="0"/>
    <n v="0"/>
    <s v="No"/>
    <s v="Recruiter"/>
    <s v="FullTime"/>
    <n v="1"/>
    <s v="Active"/>
    <x v="3"/>
    <x v="0"/>
    <x v="2"/>
  </r>
  <r>
    <n v="33"/>
    <s v="No"/>
    <s v="Travel_Rarely"/>
    <x v="0"/>
    <n v="28"/>
    <x v="0"/>
    <n v="3"/>
    <n v="2"/>
    <x v="0"/>
    <n v="3"/>
    <s v="Married"/>
    <n v="5207"/>
    <n v="1"/>
    <s v="Yes"/>
    <n v="12"/>
    <n v="3"/>
    <n v="1"/>
    <n v="15"/>
    <n v="3"/>
    <n v="15"/>
    <n v="5"/>
    <n v="7"/>
    <s v="Post-Graduation"/>
    <d v="2006-05-30T00:00:00"/>
    <m/>
    <s v="Better Opportunity"/>
    <x v="1"/>
    <n v="0"/>
    <n v="2"/>
    <s v="No"/>
    <s v="Job Portal"/>
    <s v="Part Time"/>
    <n v="0"/>
    <s v="Active"/>
    <x v="3"/>
    <x v="0"/>
    <x v="0"/>
  </r>
  <r>
    <n v="49"/>
    <s v="No"/>
    <s v="Travel_Rarely"/>
    <x v="0"/>
    <n v="6"/>
    <x v="1"/>
    <n v="2"/>
    <n v="4"/>
    <x v="7"/>
    <n v="3"/>
    <s v="Married"/>
    <n v="13966"/>
    <n v="2"/>
    <s v="Yes"/>
    <n v="19"/>
    <n v="3"/>
    <n v="1"/>
    <n v="30"/>
    <n v="3"/>
    <n v="15"/>
    <n v="2"/>
    <n v="12"/>
    <s v="PHD"/>
    <d v="2006-04-03T00:00:00"/>
    <m/>
    <s v="Work Accident"/>
    <x v="1"/>
    <n v="5"/>
    <n v="3"/>
    <s v="Yes"/>
    <s v="Job Event"/>
    <s v="Contract"/>
    <n v="0"/>
    <s v="Active"/>
    <x v="3"/>
    <x v="1"/>
    <x v="3"/>
  </r>
  <r>
    <n v="34"/>
    <s v="No"/>
    <s v="Travel_Rarely"/>
    <x v="0"/>
    <n v="5"/>
    <x v="0"/>
    <n v="2"/>
    <n v="2"/>
    <x v="0"/>
    <n v="4"/>
    <s v="Married"/>
    <n v="3986"/>
    <n v="1"/>
    <s v="No"/>
    <n v="14"/>
    <n v="3"/>
    <n v="1"/>
    <n v="15"/>
    <n v="3"/>
    <n v="15"/>
    <n v="4"/>
    <n v="13"/>
    <s v="12th"/>
    <d v="2006-03-05T00:00:00"/>
    <m/>
    <s v="Work Accident"/>
    <x v="0"/>
    <n v="3"/>
    <n v="1"/>
    <s v="No"/>
    <s v="Job Event"/>
    <s v="FullTime"/>
    <n v="0"/>
    <s v="Active"/>
    <x v="3"/>
    <x v="0"/>
    <x v="0"/>
  </r>
  <r>
    <n v="34"/>
    <s v="No"/>
    <s v="Non-Travel"/>
    <x v="1"/>
    <n v="10"/>
    <x v="0"/>
    <n v="3"/>
    <n v="2"/>
    <x v="4"/>
    <n v="3"/>
    <s v="Divorced"/>
    <n v="4001"/>
    <n v="1"/>
    <s v="Yes"/>
    <n v="14"/>
    <n v="3"/>
    <n v="1"/>
    <n v="15"/>
    <n v="3"/>
    <n v="15"/>
    <n v="0"/>
    <n v="7"/>
    <s v="PHD"/>
    <d v="2006-06-11T00:00:00"/>
    <m/>
    <s v="Work Environment"/>
    <x v="1"/>
    <n v="0"/>
    <n v="2"/>
    <s v="No"/>
    <s v="Job Portal"/>
    <s v="Part Time"/>
    <n v="0"/>
    <s v="Active"/>
    <x v="3"/>
    <x v="0"/>
    <x v="2"/>
  </r>
  <r>
    <n v="34"/>
    <s v="No"/>
    <s v="Travel_Frequently"/>
    <x v="0"/>
    <n v="22"/>
    <x v="0"/>
    <n v="2"/>
    <n v="2"/>
    <x v="1"/>
    <n v="4"/>
    <s v="Married"/>
    <n v="5747"/>
    <n v="1"/>
    <s v="Yes"/>
    <n v="15"/>
    <n v="3"/>
    <n v="0"/>
    <n v="16"/>
    <n v="3"/>
    <n v="15"/>
    <n v="6"/>
    <n v="11"/>
    <s v="Graduation"/>
    <d v="2006-02-25T00:00:00"/>
    <m/>
    <s v="Salary"/>
    <x v="0"/>
    <n v="3"/>
    <n v="3"/>
    <s v="No"/>
    <s v="Job Event"/>
    <s v="Part Time"/>
    <n v="0"/>
    <s v="Active"/>
    <x v="3"/>
    <x v="0"/>
    <x v="0"/>
  </r>
  <r>
    <n v="38"/>
    <s v="No"/>
    <s v="Travel_Rarely"/>
    <x v="1"/>
    <n v="1"/>
    <x v="0"/>
    <n v="3"/>
    <n v="2"/>
    <x v="4"/>
    <n v="2"/>
    <s v="Married"/>
    <n v="4440"/>
    <n v="0"/>
    <s v="No"/>
    <n v="15"/>
    <n v="3"/>
    <n v="2"/>
    <n v="16"/>
    <n v="3"/>
    <n v="15"/>
    <n v="5"/>
    <n v="8"/>
    <s v="PHD"/>
    <d v="2006-05-12T00:00:00"/>
    <m/>
    <s v="Dept.Head"/>
    <x v="0"/>
    <n v="1"/>
    <n v="0"/>
    <s v="Yes"/>
    <s v="Walk-in"/>
    <s v="Contract"/>
    <n v="0"/>
    <s v="Active"/>
    <x v="3"/>
    <x v="0"/>
    <x v="2"/>
  </r>
  <r>
    <n v="36"/>
    <s v="No"/>
    <s v="Non-Travel"/>
    <x v="1"/>
    <n v="15"/>
    <x v="0"/>
    <n v="1"/>
    <n v="2"/>
    <x v="4"/>
    <n v="4"/>
    <s v="Divorced"/>
    <n v="5406"/>
    <n v="1"/>
    <s v="No"/>
    <n v="24"/>
    <n v="4"/>
    <n v="1"/>
    <n v="15"/>
    <n v="4"/>
    <n v="15"/>
    <n v="11"/>
    <n v="11"/>
    <s v="Graduation"/>
    <d v="2006-04-24T00:00:00"/>
    <m/>
    <s v="Dept.Head"/>
    <x v="1"/>
    <n v="0"/>
    <n v="2"/>
    <s v="Yes"/>
    <s v="Walk-in"/>
    <s v="Part Time"/>
    <n v="0"/>
    <s v="Active"/>
    <x v="3"/>
    <x v="0"/>
    <x v="2"/>
  </r>
  <r>
    <n v="34"/>
    <s v="No"/>
    <s v="Travel_Rarely"/>
    <x v="0"/>
    <n v="6"/>
    <x v="1"/>
    <n v="3"/>
    <n v="2"/>
    <x v="1"/>
    <n v="3"/>
    <s v="Single"/>
    <n v="4809"/>
    <n v="1"/>
    <s v="No"/>
    <n v="14"/>
    <n v="3"/>
    <n v="0"/>
    <n v="16"/>
    <n v="3"/>
    <n v="16"/>
    <n v="2"/>
    <n v="10"/>
    <s v="12th"/>
    <d v="2005-03-26T00:00:00"/>
    <m/>
    <s v="Work Accident"/>
    <x v="0"/>
    <n v="5"/>
    <n v="3"/>
    <s v="No"/>
    <s v="Job Event"/>
    <s v="FullTime"/>
    <n v="0"/>
    <s v="Active"/>
    <x v="3"/>
    <x v="0"/>
    <x v="0"/>
  </r>
  <r>
    <n v="38"/>
    <s v="No"/>
    <s v="Travel_Rarely"/>
    <x v="1"/>
    <n v="3"/>
    <x v="0"/>
    <n v="3"/>
    <n v="3"/>
    <x v="4"/>
    <n v="3"/>
    <s v="Divorced"/>
    <n v="10609"/>
    <n v="0"/>
    <s v="No"/>
    <n v="12"/>
    <n v="3"/>
    <n v="2"/>
    <n v="17"/>
    <n v="6"/>
    <n v="16"/>
    <n v="5"/>
    <n v="13"/>
    <s v="Post-Graduation"/>
    <d v="2005-04-17T00:00:00"/>
    <m/>
    <s v="Salary"/>
    <x v="0"/>
    <n v="0"/>
    <n v="0"/>
    <s v="Yes"/>
    <s v="Recruiter"/>
    <s v="Contract"/>
    <n v="0"/>
    <s v="Active"/>
    <x v="3"/>
    <x v="1"/>
    <x v="2"/>
  </r>
  <r>
    <n v="35"/>
    <s v="No"/>
    <s v="Travel_Rarely"/>
    <x v="0"/>
    <n v="5"/>
    <x v="0"/>
    <n v="3"/>
    <n v="3"/>
    <x v="6"/>
    <n v="2"/>
    <s v="Single"/>
    <n v="8095"/>
    <n v="0"/>
    <s v="No"/>
    <n v="13"/>
    <n v="3"/>
    <n v="0"/>
    <n v="17"/>
    <n v="5"/>
    <n v="16"/>
    <n v="0"/>
    <n v="13"/>
    <s v="PHD"/>
    <d v="2005-02-28T00:00:00"/>
    <m/>
    <s v="Dept.Head"/>
    <x v="1"/>
    <n v="5"/>
    <n v="1"/>
    <s v="No"/>
    <s v="Job Event"/>
    <s v="Contract"/>
    <n v="0"/>
    <s v="Active"/>
    <x v="3"/>
    <x v="1"/>
    <x v="3"/>
  </r>
  <r>
    <n v="36"/>
    <s v="No"/>
    <s v="Travel_Rarely"/>
    <x v="0"/>
    <n v="14"/>
    <x v="0"/>
    <n v="3"/>
    <n v="2"/>
    <x v="7"/>
    <n v="4"/>
    <s v="Married"/>
    <n v="6586"/>
    <n v="0"/>
    <s v="Yes"/>
    <n v="17"/>
    <n v="3"/>
    <n v="1"/>
    <n v="17"/>
    <n v="2"/>
    <n v="16"/>
    <n v="4"/>
    <n v="11"/>
    <s v="Post-Graduation"/>
    <d v="2005-05-11T00:00:00"/>
    <m/>
    <s v="Better Opportunity"/>
    <x v="0"/>
    <n v="5"/>
    <n v="2"/>
    <s v="Yes"/>
    <s v="Job Event"/>
    <s v="Contract"/>
    <n v="0"/>
    <s v="Active"/>
    <x v="3"/>
    <x v="0"/>
    <x v="3"/>
  </r>
  <r>
    <n v="36"/>
    <s v="Yes"/>
    <s v="Travel_Rarely"/>
    <x v="1"/>
    <n v="3"/>
    <x v="0"/>
    <n v="2"/>
    <n v="3"/>
    <x v="4"/>
    <n v="4"/>
    <s v="Married"/>
    <n v="10325"/>
    <n v="1"/>
    <s v="Yes"/>
    <n v="11"/>
    <n v="3"/>
    <n v="1"/>
    <n v="16"/>
    <n v="6"/>
    <n v="16"/>
    <n v="3"/>
    <n v="7"/>
    <s v="Post-Graduation"/>
    <d v="2005-03-23T00:00:00"/>
    <m/>
    <s v="Better Opportunity"/>
    <x v="1"/>
    <n v="0"/>
    <n v="0"/>
    <s v="No"/>
    <s v="Job Portal"/>
    <s v="Contract"/>
    <n v="1"/>
    <s v="Active"/>
    <x v="3"/>
    <x v="1"/>
    <x v="2"/>
  </r>
  <r>
    <n v="35"/>
    <s v="No"/>
    <s v="Travel_Rarely"/>
    <x v="0"/>
    <n v="25"/>
    <x v="1"/>
    <n v="3"/>
    <n v="3"/>
    <x v="7"/>
    <n v="3"/>
    <s v="Divorced"/>
    <n v="10388"/>
    <n v="1"/>
    <s v="Yes"/>
    <n v="11"/>
    <n v="3"/>
    <n v="1"/>
    <n v="16"/>
    <n v="3"/>
    <n v="16"/>
    <n v="10"/>
    <n v="1"/>
    <s v="Post-Graduation"/>
    <d v="2005-05-18T00:00:00"/>
    <m/>
    <s v="Salary"/>
    <x v="1"/>
    <n v="0"/>
    <n v="3"/>
    <s v="Yes"/>
    <s v="Walk-in"/>
    <s v="Part Time"/>
    <n v="0"/>
    <s v="Active"/>
    <x v="3"/>
    <x v="1"/>
    <x v="3"/>
  </r>
  <r>
    <n v="46"/>
    <s v="No"/>
    <s v="Travel_Rarely"/>
    <x v="0"/>
    <n v="8"/>
    <x v="1"/>
    <n v="2"/>
    <n v="2"/>
    <x v="1"/>
    <n v="1"/>
    <s v="Divorced"/>
    <n v="4615"/>
    <n v="8"/>
    <s v="Yes"/>
    <n v="23"/>
    <n v="4"/>
    <n v="3"/>
    <n v="19"/>
    <n v="2"/>
    <n v="16"/>
    <n v="1"/>
    <n v="7"/>
    <s v="12th"/>
    <d v="2005-05-25T00:00:00"/>
    <m/>
    <s v="Work Environment"/>
    <x v="1"/>
    <n v="5"/>
    <n v="0"/>
    <s v="Yes"/>
    <s v="Walk-in"/>
    <s v="Contract"/>
    <n v="0"/>
    <s v="Active"/>
    <x v="3"/>
    <x v="0"/>
    <x v="0"/>
  </r>
  <r>
    <n v="36"/>
    <s v="No"/>
    <s v="Travel_Rarely"/>
    <x v="0"/>
    <n v="2"/>
    <x v="1"/>
    <n v="3"/>
    <n v="2"/>
    <x v="6"/>
    <n v="2"/>
    <s v="Single"/>
    <n v="5410"/>
    <n v="9"/>
    <s v="Yes"/>
    <n v="11"/>
    <n v="3"/>
    <n v="0"/>
    <n v="18"/>
    <n v="2"/>
    <n v="16"/>
    <n v="5"/>
    <n v="12"/>
    <s v="12th"/>
    <d v="2005-01-20T00:00:00"/>
    <m/>
    <s v="Salary"/>
    <x v="0"/>
    <n v="4"/>
    <n v="2"/>
    <s v="Yes"/>
    <s v="Walk-in"/>
    <s v="FullTime"/>
    <n v="0"/>
    <s v="Active"/>
    <x v="3"/>
    <x v="0"/>
    <x v="3"/>
  </r>
  <r>
    <n v="35"/>
    <s v="No"/>
    <s v="Travel_Rarely"/>
    <x v="0"/>
    <n v="18"/>
    <x v="0"/>
    <n v="4"/>
    <n v="2"/>
    <x v="1"/>
    <n v="1"/>
    <s v="Married"/>
    <n v="5208"/>
    <n v="1"/>
    <s v="No"/>
    <n v="11"/>
    <n v="3"/>
    <n v="0"/>
    <n v="16"/>
    <n v="2"/>
    <n v="16"/>
    <n v="1"/>
    <n v="10"/>
    <s v="Post-Graduation"/>
    <d v="2005-03-15T00:00:00"/>
    <m/>
    <s v="Work Environment"/>
    <x v="0"/>
    <n v="5"/>
    <n v="1"/>
    <s v="No"/>
    <s v="Job Event"/>
    <s v="Part Time"/>
    <n v="0"/>
    <s v="Active"/>
    <x v="3"/>
    <x v="0"/>
    <x v="0"/>
  </r>
  <r>
    <n v="58"/>
    <s v="No"/>
    <s v="Non-Travel"/>
    <x v="1"/>
    <n v="2"/>
    <x v="0"/>
    <n v="3"/>
    <n v="4"/>
    <x v="5"/>
    <n v="2"/>
    <s v="Divorced"/>
    <n v="16291"/>
    <n v="4"/>
    <s v="No"/>
    <n v="22"/>
    <n v="4"/>
    <n v="1"/>
    <n v="37"/>
    <n v="0"/>
    <n v="16"/>
    <n v="14"/>
    <n v="14"/>
    <s v="12th"/>
    <d v="2005-06-09T00:00:00"/>
    <m/>
    <s v="Work Accident"/>
    <x v="1"/>
    <n v="4"/>
    <n v="0"/>
    <s v="No"/>
    <s v="Walk-in"/>
    <s v="Contract"/>
    <n v="0"/>
    <s v="Active"/>
    <x v="3"/>
    <x v="1"/>
    <x v="1"/>
  </r>
  <r>
    <n v="43"/>
    <s v="No"/>
    <s v="Travel_Rarely"/>
    <x v="0"/>
    <n v="6"/>
    <x v="1"/>
    <n v="2"/>
    <n v="5"/>
    <x v="5"/>
    <n v="3"/>
    <s v="Married"/>
    <n v="19392"/>
    <n v="7"/>
    <s v="No"/>
    <n v="13"/>
    <n v="3"/>
    <n v="0"/>
    <n v="21"/>
    <n v="2"/>
    <n v="16"/>
    <n v="6"/>
    <n v="14"/>
    <s v="Graduation"/>
    <d v="2005-06-23T00:00:00"/>
    <m/>
    <s v="Dept.Head"/>
    <x v="1"/>
    <n v="2"/>
    <n v="1"/>
    <s v="Yes"/>
    <s v="Walk-in"/>
    <s v="Part Time"/>
    <n v="0"/>
    <s v="Active"/>
    <x v="3"/>
    <x v="1"/>
    <x v="1"/>
  </r>
  <r>
    <n v="37"/>
    <s v="No"/>
    <s v="Travel_Rarely"/>
    <x v="0"/>
    <n v="10"/>
    <x v="1"/>
    <n v="4"/>
    <n v="3"/>
    <x v="2"/>
    <n v="4"/>
    <s v="Married"/>
    <n v="13744"/>
    <n v="1"/>
    <s v="Yes"/>
    <n v="25"/>
    <n v="4"/>
    <n v="1"/>
    <n v="16"/>
    <n v="2"/>
    <n v="16"/>
    <n v="6"/>
    <n v="8"/>
    <s v="Post-Graduation"/>
    <d v="2005-06-14T00:00:00"/>
    <m/>
    <s v="Dept.Head"/>
    <x v="1"/>
    <n v="5"/>
    <n v="2"/>
    <s v="No"/>
    <s v="Walk-in"/>
    <s v="FullTime"/>
    <n v="0"/>
    <s v="Active"/>
    <x v="3"/>
    <x v="1"/>
    <x v="1"/>
  </r>
  <r>
    <n v="36"/>
    <s v="No"/>
    <s v="Travel_Rarely"/>
    <x v="0"/>
    <n v="8"/>
    <x v="1"/>
    <n v="3"/>
    <n v="3"/>
    <x v="7"/>
    <n v="3"/>
    <s v="Divorced"/>
    <n v="10096"/>
    <n v="1"/>
    <s v="No"/>
    <n v="13"/>
    <n v="3"/>
    <n v="3"/>
    <n v="17"/>
    <n v="2"/>
    <n v="17"/>
    <n v="12"/>
    <n v="8"/>
    <s v="PHD"/>
    <d v="2004-02-08T00:00:00"/>
    <m/>
    <s v="Salary"/>
    <x v="1"/>
    <n v="4"/>
    <n v="1"/>
    <s v="Yes"/>
    <s v="Job Portal"/>
    <s v="Contract"/>
    <n v="0"/>
    <s v="Active"/>
    <x v="3"/>
    <x v="1"/>
    <x v="3"/>
  </r>
  <r>
    <n v="45"/>
    <s v="No"/>
    <s v="Travel_Rarely"/>
    <x v="0"/>
    <n v="9"/>
    <x v="0"/>
    <n v="3"/>
    <n v="2"/>
    <x v="0"/>
    <n v="2"/>
    <s v="Divorced"/>
    <n v="2348"/>
    <n v="8"/>
    <s v="No"/>
    <n v="18"/>
    <n v="3"/>
    <n v="1"/>
    <n v="20"/>
    <n v="2"/>
    <n v="17"/>
    <n v="0"/>
    <n v="15"/>
    <s v="Post-Graduation"/>
    <d v="2004-05-23T00:00:00"/>
    <m/>
    <s v="Better Opportunity"/>
    <x v="1"/>
    <n v="4"/>
    <n v="3"/>
    <s v="No"/>
    <s v="Job Event"/>
    <s v="Part Time"/>
    <n v="0"/>
    <s v="Active"/>
    <x v="3"/>
    <x v="0"/>
    <x v="0"/>
  </r>
  <r>
    <n v="43"/>
    <s v="No"/>
    <s v="Travel_Rarely"/>
    <x v="1"/>
    <n v="16"/>
    <x v="1"/>
    <n v="3"/>
    <n v="4"/>
    <x v="5"/>
    <n v="4"/>
    <s v="Married"/>
    <n v="16064"/>
    <n v="5"/>
    <s v="Yes"/>
    <n v="22"/>
    <n v="4"/>
    <n v="1"/>
    <n v="22"/>
    <n v="3"/>
    <n v="17"/>
    <n v="1"/>
    <n v="9"/>
    <s v="Post-Graduation"/>
    <d v="2004-04-11T00:00:00"/>
    <m/>
    <s v="Dept.Head"/>
    <x v="0"/>
    <n v="1"/>
    <n v="0"/>
    <s v="No"/>
    <s v="Job Event"/>
    <s v="Contract"/>
    <n v="0"/>
    <s v="Active"/>
    <x v="3"/>
    <x v="1"/>
    <x v="1"/>
  </r>
  <r>
    <n v="37"/>
    <s v="No"/>
    <s v="Travel_Rarely"/>
    <x v="0"/>
    <n v="1"/>
    <x v="1"/>
    <n v="3"/>
    <n v="1"/>
    <x v="1"/>
    <n v="4"/>
    <s v="Single"/>
    <n v="2115"/>
    <n v="1"/>
    <s v="No"/>
    <n v="12"/>
    <n v="3"/>
    <n v="0"/>
    <n v="17"/>
    <n v="3"/>
    <n v="17"/>
    <n v="5"/>
    <n v="7"/>
    <s v="Post-Graduation"/>
    <d v="2004-05-27T00:00:00"/>
    <m/>
    <s v="Salary"/>
    <x v="0"/>
    <n v="3"/>
    <n v="0"/>
    <s v="No"/>
    <s v="Walk-in"/>
    <s v="FullTime"/>
    <n v="0"/>
    <s v="Active"/>
    <x v="3"/>
    <x v="0"/>
    <x v="0"/>
  </r>
  <r>
    <n v="35"/>
    <s v="No"/>
    <s v="Travel_Rarely"/>
    <x v="0"/>
    <n v="6"/>
    <x v="0"/>
    <n v="1"/>
    <n v="2"/>
    <x v="1"/>
    <n v="4"/>
    <s v="Single"/>
    <n v="6646"/>
    <n v="1"/>
    <s v="No"/>
    <n v="13"/>
    <n v="3"/>
    <n v="0"/>
    <n v="17"/>
    <n v="3"/>
    <n v="17"/>
    <n v="11"/>
    <n v="8"/>
    <s v="Post-Graduation"/>
    <d v="2004-01-22T00:00:00"/>
    <m/>
    <s v="Work Environment"/>
    <x v="1"/>
    <n v="0"/>
    <n v="1"/>
    <s v="Yes"/>
    <s v="Job Portal"/>
    <s v="Contract"/>
    <n v="0"/>
    <s v="Active"/>
    <x v="3"/>
    <x v="0"/>
    <x v="0"/>
  </r>
  <r>
    <n v="35"/>
    <s v="No"/>
    <s v="Travel_Rarely"/>
    <x v="0"/>
    <n v="9"/>
    <x v="1"/>
    <n v="2"/>
    <n v="3"/>
    <x v="6"/>
    <n v="3"/>
    <s v="Married"/>
    <n v="10685"/>
    <n v="1"/>
    <s v="Yes"/>
    <n v="20"/>
    <n v="4"/>
    <n v="1"/>
    <n v="17"/>
    <n v="2"/>
    <n v="17"/>
    <n v="5"/>
    <n v="15"/>
    <s v="PHD"/>
    <d v="2004-05-12T00:00:00"/>
    <m/>
    <s v="Work Environment"/>
    <x v="0"/>
    <n v="5"/>
    <n v="1"/>
    <s v="No"/>
    <s v="Job Event"/>
    <s v="Part Time"/>
    <n v="0"/>
    <s v="Active"/>
    <x v="3"/>
    <x v="1"/>
    <x v="3"/>
  </r>
  <r>
    <n v="53"/>
    <s v="No"/>
    <s v="Travel_Rarely"/>
    <x v="1"/>
    <n v="2"/>
    <x v="0"/>
    <n v="3"/>
    <n v="4"/>
    <x v="5"/>
    <n v="3"/>
    <s v="Divorced"/>
    <n v="14852"/>
    <n v="6"/>
    <s v="No"/>
    <n v="13"/>
    <n v="3"/>
    <n v="1"/>
    <n v="22"/>
    <n v="3"/>
    <n v="17"/>
    <n v="15"/>
    <n v="2"/>
    <s v="12th"/>
    <d v="2004-03-19T00:00:00"/>
    <m/>
    <s v="Work Environment"/>
    <x v="1"/>
    <n v="3"/>
    <n v="3"/>
    <s v="No"/>
    <s v="Job Event"/>
    <s v="Contract"/>
    <n v="0"/>
    <s v="Active"/>
    <x v="3"/>
    <x v="1"/>
    <x v="1"/>
  </r>
  <r>
    <n v="36"/>
    <s v="Yes"/>
    <s v="Travel_Rarely"/>
    <x v="0"/>
    <n v="16"/>
    <x v="1"/>
    <n v="4"/>
    <n v="1"/>
    <x v="0"/>
    <n v="1"/>
    <s v="Single"/>
    <n v="2743"/>
    <n v="1"/>
    <s v="No"/>
    <n v="16"/>
    <n v="3"/>
    <n v="0"/>
    <n v="18"/>
    <n v="1"/>
    <n v="17"/>
    <n v="15"/>
    <n v="14"/>
    <s v="Post-Graduation"/>
    <d v="2004-06-21T00:00:00"/>
    <m/>
    <s v="Work Environment"/>
    <x v="1"/>
    <n v="2"/>
    <n v="1"/>
    <s v="Yes"/>
    <s v="Recruiter"/>
    <s v="FullTime"/>
    <n v="1"/>
    <s v="Active"/>
    <x v="3"/>
    <x v="0"/>
    <x v="0"/>
  </r>
  <r>
    <n v="47"/>
    <s v="No"/>
    <s v="Travel_Rarely"/>
    <x v="0"/>
    <n v="25"/>
    <x v="0"/>
    <n v="3"/>
    <n v="3"/>
    <x v="7"/>
    <n v="3"/>
    <s v="Single"/>
    <n v="8633"/>
    <n v="2"/>
    <s v="No"/>
    <n v="23"/>
    <n v="4"/>
    <n v="0"/>
    <n v="25"/>
    <n v="3"/>
    <n v="17"/>
    <n v="12"/>
    <n v="11"/>
    <s v="12th"/>
    <d v="2004-06-16T00:00:00"/>
    <m/>
    <s v="Salary"/>
    <x v="0"/>
    <n v="0"/>
    <n v="2"/>
    <s v="Yes"/>
    <s v="Walk-in"/>
    <s v="Part Time"/>
    <n v="0"/>
    <s v="Active"/>
    <x v="3"/>
    <x v="1"/>
    <x v="3"/>
  </r>
  <r>
    <n v="39"/>
    <s v="No"/>
    <s v="Travel_Rarely"/>
    <x v="0"/>
    <n v="1"/>
    <x v="0"/>
    <n v="4"/>
    <n v="3"/>
    <x v="7"/>
    <n v="4"/>
    <s v="Divorced"/>
    <n v="9613"/>
    <n v="0"/>
    <s v="No"/>
    <n v="17"/>
    <n v="3"/>
    <n v="3"/>
    <n v="19"/>
    <n v="5"/>
    <n v="18"/>
    <n v="3"/>
    <n v="7"/>
    <s v="12th"/>
    <d v="2003-06-02T00:00:00"/>
    <m/>
    <s v="Salary"/>
    <x v="1"/>
    <n v="4"/>
    <n v="3"/>
    <s v="Yes"/>
    <s v="Walk-in"/>
    <s v="Contract"/>
    <n v="0"/>
    <s v="Active"/>
    <x v="3"/>
    <x v="1"/>
    <x v="3"/>
  </r>
  <r>
    <n v="37"/>
    <s v="No"/>
    <s v="Travel_Rarely"/>
    <x v="0"/>
    <n v="14"/>
    <x v="1"/>
    <n v="3"/>
    <n v="1"/>
    <x v="0"/>
    <n v="1"/>
    <s v="Divorced"/>
    <n v="3034"/>
    <n v="1"/>
    <s v="No"/>
    <n v="12"/>
    <n v="3"/>
    <n v="1"/>
    <n v="18"/>
    <n v="2"/>
    <n v="18"/>
    <n v="12"/>
    <n v="17"/>
    <s v="Graduation"/>
    <d v="2003-03-05T00:00:00"/>
    <m/>
    <s v="Work Accident"/>
    <x v="0"/>
    <n v="1"/>
    <n v="3"/>
    <s v="No"/>
    <s v="Job Event"/>
    <s v="FullTime"/>
    <n v="0"/>
    <s v="Active"/>
    <x v="3"/>
    <x v="0"/>
    <x v="0"/>
  </r>
  <r>
    <n v="60"/>
    <s v="No"/>
    <s v="Travel_Frequently"/>
    <x v="1"/>
    <n v="28"/>
    <x v="1"/>
    <n v="2"/>
    <n v="3"/>
    <x v="4"/>
    <n v="1"/>
    <s v="Married"/>
    <n v="10266"/>
    <n v="4"/>
    <s v="No"/>
    <n v="19"/>
    <n v="3"/>
    <n v="0"/>
    <n v="22"/>
    <n v="5"/>
    <n v="18"/>
    <n v="13"/>
    <n v="11"/>
    <s v="12th"/>
    <d v="2003-01-10T00:00:00"/>
    <m/>
    <s v="Better Opportunity"/>
    <x v="0"/>
    <n v="3"/>
    <n v="1"/>
    <s v="No"/>
    <s v="Job Portal"/>
    <s v="FullTime"/>
    <n v="0"/>
    <s v="Active"/>
    <x v="3"/>
    <x v="1"/>
    <x v="2"/>
  </r>
  <r>
    <n v="41"/>
    <s v="No"/>
    <s v="Travel_Rarely"/>
    <x v="1"/>
    <n v="2"/>
    <x v="1"/>
    <n v="3"/>
    <n v="4"/>
    <x v="5"/>
    <n v="1"/>
    <s v="Married"/>
    <n v="16595"/>
    <n v="7"/>
    <s v="No"/>
    <n v="16"/>
    <n v="3"/>
    <n v="1"/>
    <n v="22"/>
    <n v="2"/>
    <n v="18"/>
    <n v="11"/>
    <n v="8"/>
    <s v="Post-Graduation"/>
    <d v="2003-02-12T00:00:00"/>
    <m/>
    <s v="Work Environment"/>
    <x v="1"/>
    <n v="1"/>
    <n v="3"/>
    <s v="No"/>
    <s v="Job Event"/>
    <s v="Contract"/>
    <n v="0"/>
    <s v="Active"/>
    <x v="3"/>
    <x v="1"/>
    <x v="1"/>
  </r>
  <r>
    <n v="40"/>
    <s v="No"/>
    <s v="Travel_Frequently"/>
    <x v="1"/>
    <n v="5"/>
    <x v="0"/>
    <n v="2"/>
    <n v="3"/>
    <x v="4"/>
    <n v="1"/>
    <s v="Married"/>
    <n v="10475"/>
    <n v="5"/>
    <s v="Yes"/>
    <n v="21"/>
    <n v="4"/>
    <n v="1"/>
    <n v="20"/>
    <n v="2"/>
    <n v="18"/>
    <n v="1"/>
    <n v="12"/>
    <s v="Graduation"/>
    <d v="2003-05-31T00:00:00"/>
    <m/>
    <s v="Dept.Head"/>
    <x v="0"/>
    <n v="0"/>
    <n v="2"/>
    <s v="Yes"/>
    <s v="Walk-in"/>
    <s v="Part Time"/>
    <n v="0"/>
    <s v="Active"/>
    <x v="3"/>
    <x v="1"/>
    <x v="2"/>
  </r>
  <r>
    <n v="36"/>
    <s v="No"/>
    <s v="Travel_Rarely"/>
    <x v="1"/>
    <n v="1"/>
    <x v="0"/>
    <n v="3"/>
    <n v="2"/>
    <x v="4"/>
    <n v="4"/>
    <s v="Married"/>
    <n v="6201"/>
    <n v="1"/>
    <s v="Yes"/>
    <n v="14"/>
    <n v="3"/>
    <n v="1"/>
    <n v="18"/>
    <n v="1"/>
    <n v="18"/>
    <n v="4"/>
    <n v="11"/>
    <s v="12th"/>
    <d v="2003-04-22T00:00:00"/>
    <m/>
    <s v="Dept.Head"/>
    <x v="1"/>
    <n v="2"/>
    <n v="0"/>
    <s v="No"/>
    <s v="Job Event"/>
    <s v="Contract"/>
    <n v="0"/>
    <s v="Active"/>
    <x v="3"/>
    <x v="0"/>
    <x v="2"/>
  </r>
  <r>
    <n v="41"/>
    <s v="No"/>
    <s v="Travel_Rarely"/>
    <x v="0"/>
    <n v="6"/>
    <x v="0"/>
    <n v="3"/>
    <n v="1"/>
    <x v="0"/>
    <n v="1"/>
    <s v="Single"/>
    <n v="4721"/>
    <n v="2"/>
    <s v="Yes"/>
    <n v="13"/>
    <n v="3"/>
    <n v="0"/>
    <n v="20"/>
    <n v="3"/>
    <n v="18"/>
    <n v="2"/>
    <n v="17"/>
    <s v="12th"/>
    <d v="2003-02-19T00:00:00"/>
    <m/>
    <s v="Work Environment"/>
    <x v="1"/>
    <n v="0"/>
    <n v="0"/>
    <s v="Yes"/>
    <s v="Walk-in"/>
    <s v="Contract"/>
    <n v="0"/>
    <s v="Active"/>
    <x v="3"/>
    <x v="0"/>
    <x v="0"/>
  </r>
  <r>
    <n v="41"/>
    <s v="No"/>
    <s v="Travel_Frequently"/>
    <x v="0"/>
    <n v="9"/>
    <x v="0"/>
    <n v="3"/>
    <n v="5"/>
    <x v="2"/>
    <n v="3"/>
    <s v="Divorced"/>
    <n v="19419"/>
    <n v="2"/>
    <s v="No"/>
    <n v="17"/>
    <n v="3"/>
    <n v="1"/>
    <n v="21"/>
    <n v="2"/>
    <n v="18"/>
    <n v="0"/>
    <n v="11"/>
    <s v="PHD"/>
    <d v="2003-06-28T00:00:00"/>
    <m/>
    <s v="Better Opportunity"/>
    <x v="1"/>
    <n v="2"/>
    <n v="2"/>
    <s v="Yes"/>
    <s v="Walk-in"/>
    <s v="Contract"/>
    <n v="0"/>
    <s v="Active"/>
    <x v="3"/>
    <x v="1"/>
    <x v="1"/>
  </r>
  <r>
    <n v="50"/>
    <s v="No"/>
    <s v="Non-Travel"/>
    <x v="1"/>
    <n v="1"/>
    <x v="1"/>
    <n v="3"/>
    <n v="2"/>
    <x v="4"/>
    <n v="3"/>
    <s v="Married"/>
    <n v="6347"/>
    <n v="0"/>
    <s v="No"/>
    <n v="12"/>
    <n v="3"/>
    <n v="1"/>
    <n v="19"/>
    <n v="3"/>
    <n v="18"/>
    <n v="0"/>
    <n v="13"/>
    <s v="12th"/>
    <d v="2003-03-17T00:00:00"/>
    <m/>
    <s v="Better Opportunity"/>
    <x v="1"/>
    <n v="2"/>
    <n v="2"/>
    <s v="No"/>
    <s v="Job Event"/>
    <s v="Part Time"/>
    <n v="0"/>
    <s v="Active"/>
    <x v="3"/>
    <x v="0"/>
    <x v="2"/>
  </r>
  <r>
    <n v="39"/>
    <s v="Yes"/>
    <s v="Travel_Frequently"/>
    <x v="0"/>
    <n v="2"/>
    <x v="0"/>
    <n v="3"/>
    <n v="4"/>
    <x v="7"/>
    <n v="4"/>
    <s v="Divorced"/>
    <n v="12169"/>
    <n v="7"/>
    <s v="No"/>
    <n v="11"/>
    <n v="3"/>
    <n v="3"/>
    <n v="21"/>
    <n v="4"/>
    <n v="18"/>
    <n v="11"/>
    <n v="5"/>
    <s v="Post-Graduation"/>
    <d v="2003-05-11T00:00:00"/>
    <m/>
    <s v="Work Environment"/>
    <x v="0"/>
    <n v="4"/>
    <n v="1"/>
    <s v="Yes"/>
    <s v="Walk-in"/>
    <s v="Contract"/>
    <n v="1"/>
    <s v="Active"/>
    <x v="3"/>
    <x v="1"/>
    <x v="3"/>
  </r>
  <r>
    <n v="40"/>
    <s v="No"/>
    <s v="Travel_Frequently"/>
    <x v="0"/>
    <n v="9"/>
    <x v="1"/>
    <n v="3"/>
    <n v="3"/>
    <x v="2"/>
    <n v="3"/>
    <s v="Single"/>
    <n v="13499"/>
    <n v="9"/>
    <s v="No"/>
    <n v="17"/>
    <n v="3"/>
    <n v="0"/>
    <n v="20"/>
    <n v="3"/>
    <n v="18"/>
    <n v="2"/>
    <n v="13"/>
    <s v="Graduation"/>
    <d v="2003-06-23T00:00:00"/>
    <m/>
    <s v="Better Opportunity"/>
    <x v="1"/>
    <n v="0"/>
    <n v="0"/>
    <s v="No"/>
    <s v="Job Portal"/>
    <s v="Contract"/>
    <n v="0"/>
    <s v="Active"/>
    <x v="3"/>
    <x v="1"/>
    <x v="1"/>
  </r>
  <r>
    <n v="40"/>
    <s v="No"/>
    <s v="Travel_Rarely"/>
    <x v="0"/>
    <n v="15"/>
    <x v="1"/>
    <n v="2"/>
    <n v="3"/>
    <x v="6"/>
    <n v="3"/>
    <s v="Married"/>
    <n v="10435"/>
    <n v="1"/>
    <s v="No"/>
    <n v="13"/>
    <n v="3"/>
    <n v="2"/>
    <n v="18"/>
    <n v="2"/>
    <n v="18"/>
    <n v="14"/>
    <n v="12"/>
    <s v="Post-Graduation"/>
    <d v="2003-01-27T00:00:00"/>
    <m/>
    <s v="Dept.Head"/>
    <x v="1"/>
    <n v="4"/>
    <n v="0"/>
    <s v="No"/>
    <s v="Walk-in"/>
    <s v="FullTime"/>
    <n v="0"/>
    <s v="Active"/>
    <x v="3"/>
    <x v="1"/>
    <x v="3"/>
  </r>
  <r>
    <n v="38"/>
    <s v="No"/>
    <s v="Travel_Rarely"/>
    <x v="0"/>
    <n v="10"/>
    <x v="1"/>
    <n v="1"/>
    <n v="3"/>
    <x v="2"/>
    <n v="3"/>
    <s v="Married"/>
    <n v="13206"/>
    <n v="3"/>
    <s v="No"/>
    <n v="12"/>
    <n v="3"/>
    <n v="1"/>
    <n v="20"/>
    <n v="3"/>
    <n v="18"/>
    <n v="1"/>
    <n v="11"/>
    <s v="Graduation"/>
    <d v="2003-05-07T00:00:00"/>
    <m/>
    <s v="Better Opportunity"/>
    <x v="1"/>
    <n v="3"/>
    <n v="1"/>
    <s v="Yes"/>
    <s v="Recruiter"/>
    <s v="FullTime"/>
    <n v="0"/>
    <s v="Active"/>
    <x v="3"/>
    <x v="1"/>
    <x v="1"/>
  </r>
  <r>
    <n v="45"/>
    <s v="No"/>
    <s v="Non-Travel"/>
    <x v="1"/>
    <n v="6"/>
    <x v="1"/>
    <n v="2"/>
    <n v="3"/>
    <x v="4"/>
    <n v="4"/>
    <s v="Single"/>
    <n v="8865"/>
    <n v="6"/>
    <s v="No"/>
    <n v="12"/>
    <n v="3"/>
    <n v="0"/>
    <n v="23"/>
    <n v="2"/>
    <n v="19"/>
    <n v="12"/>
    <n v="8"/>
    <s v="Graduation"/>
    <d v="2002-03-06T00:00:00"/>
    <m/>
    <s v="Work Environment"/>
    <x v="1"/>
    <n v="3"/>
    <n v="3"/>
    <s v="Yes"/>
    <s v="Job Event"/>
    <s v="Contract"/>
    <n v="0"/>
    <s v="Active"/>
    <x v="3"/>
    <x v="1"/>
    <x v="2"/>
  </r>
  <r>
    <n v="39"/>
    <s v="No"/>
    <s v="Travel_Frequently"/>
    <x v="0"/>
    <n v="2"/>
    <x v="1"/>
    <n v="3"/>
    <n v="3"/>
    <x v="7"/>
    <n v="3"/>
    <s v="Single"/>
    <n v="10938"/>
    <n v="0"/>
    <s v="No"/>
    <n v="25"/>
    <n v="4"/>
    <n v="0"/>
    <n v="20"/>
    <n v="1"/>
    <n v="19"/>
    <n v="11"/>
    <n v="8"/>
    <s v="12th"/>
    <d v="2002-01-27T00:00:00"/>
    <m/>
    <s v="Dept.Head"/>
    <x v="1"/>
    <n v="2"/>
    <n v="3"/>
    <s v="Yes"/>
    <s v="Walk-in"/>
    <s v="Contract"/>
    <n v="0"/>
    <s v="Active"/>
    <x v="3"/>
    <x v="1"/>
    <x v="3"/>
  </r>
  <r>
    <n v="47"/>
    <s v="No"/>
    <s v="Travel_Frequently"/>
    <x v="0"/>
    <n v="16"/>
    <x v="0"/>
    <n v="4"/>
    <n v="2"/>
    <x v="6"/>
    <n v="3"/>
    <s v="Divorced"/>
    <n v="5067"/>
    <n v="1"/>
    <s v="Yes"/>
    <n v="19"/>
    <n v="3"/>
    <n v="0"/>
    <n v="20"/>
    <n v="3"/>
    <n v="19"/>
    <n v="2"/>
    <n v="7"/>
    <s v="Post-Graduation"/>
    <d v="2002-04-04T00:00:00"/>
    <m/>
    <s v="Salary"/>
    <x v="0"/>
    <n v="5"/>
    <n v="3"/>
    <s v="Yes"/>
    <s v="Walk-in"/>
    <s v="FullTime"/>
    <n v="0"/>
    <s v="Active"/>
    <x v="3"/>
    <x v="0"/>
    <x v="3"/>
  </r>
  <r>
    <n v="38"/>
    <s v="No"/>
    <s v="Travel_Rarely"/>
    <x v="0"/>
    <n v="17"/>
    <x v="1"/>
    <n v="2"/>
    <n v="3"/>
    <x v="7"/>
    <n v="3"/>
    <s v="Married"/>
    <n v="8823"/>
    <n v="0"/>
    <s v="No"/>
    <n v="18"/>
    <n v="3"/>
    <n v="1"/>
    <n v="20"/>
    <n v="4"/>
    <n v="19"/>
    <n v="1"/>
    <n v="9"/>
    <s v="PHD"/>
    <d v="2002-03-10T00:00:00"/>
    <m/>
    <s v="Better Opportunity"/>
    <x v="0"/>
    <n v="4"/>
    <n v="1"/>
    <s v="Yes"/>
    <s v="Job Portal"/>
    <s v="FullTime"/>
    <n v="0"/>
    <s v="Active"/>
    <x v="3"/>
    <x v="1"/>
    <x v="3"/>
  </r>
  <r>
    <n v="39"/>
    <s v="No"/>
    <s v="Travel_Rarely"/>
    <x v="0"/>
    <n v="13"/>
    <x v="1"/>
    <n v="2"/>
    <n v="4"/>
    <x v="5"/>
    <n v="2"/>
    <s v="Divorced"/>
    <n v="17123"/>
    <n v="6"/>
    <s v="Yes"/>
    <n v="13"/>
    <n v="3"/>
    <n v="2"/>
    <n v="21"/>
    <n v="4"/>
    <n v="19"/>
    <n v="15"/>
    <n v="2"/>
    <s v="12th"/>
    <d v="2002-06-14T00:00:00"/>
    <m/>
    <s v="Dept.Head"/>
    <x v="1"/>
    <n v="0"/>
    <n v="1"/>
    <s v="Yes"/>
    <s v="Walk-in"/>
    <s v="FullTime"/>
    <n v="0"/>
    <s v="Active"/>
    <x v="3"/>
    <x v="1"/>
    <x v="1"/>
  </r>
  <r>
    <n v="41"/>
    <s v="No"/>
    <s v="Non-Travel"/>
    <x v="1"/>
    <n v="10"/>
    <x v="0"/>
    <n v="1"/>
    <n v="2"/>
    <x v="4"/>
    <n v="2"/>
    <s v="Single"/>
    <n v="6151"/>
    <n v="1"/>
    <s v="No"/>
    <n v="13"/>
    <n v="3"/>
    <n v="0"/>
    <n v="19"/>
    <n v="4"/>
    <n v="19"/>
    <n v="11"/>
    <n v="9"/>
    <s v="12th"/>
    <d v="2002-03-30T00:00:00"/>
    <m/>
    <s v="Salary"/>
    <x v="1"/>
    <n v="3"/>
    <n v="0"/>
    <s v="No"/>
    <s v="Job Event"/>
    <s v="Contract"/>
    <n v="0"/>
    <s v="Active"/>
    <x v="3"/>
    <x v="0"/>
    <x v="2"/>
  </r>
  <r>
    <n v="55"/>
    <s v="No"/>
    <s v="Travel_Rarely"/>
    <x v="0"/>
    <n v="2"/>
    <x v="1"/>
    <n v="1"/>
    <n v="5"/>
    <x v="5"/>
    <n v="3"/>
    <s v="Married"/>
    <n v="19187"/>
    <n v="4"/>
    <s v="No"/>
    <n v="14"/>
    <n v="3"/>
    <n v="1"/>
    <n v="23"/>
    <n v="5"/>
    <n v="19"/>
    <n v="9"/>
    <n v="11"/>
    <s v="PHD"/>
    <d v="2002-04-12T00:00:00"/>
    <m/>
    <s v="Dept.Head"/>
    <x v="0"/>
    <n v="3"/>
    <n v="0"/>
    <s v="Yes"/>
    <s v="Walk-in"/>
    <s v="Contract"/>
    <n v="0"/>
    <s v="Active"/>
    <x v="3"/>
    <x v="1"/>
    <x v="1"/>
  </r>
  <r>
    <n v="55"/>
    <s v="Yes"/>
    <s v="Travel_Rarely"/>
    <x v="1"/>
    <n v="13"/>
    <x v="0"/>
    <n v="4"/>
    <n v="4"/>
    <x v="4"/>
    <n v="3"/>
    <s v="Single"/>
    <n v="13695"/>
    <n v="6"/>
    <s v="Yes"/>
    <n v="17"/>
    <n v="3"/>
    <n v="0"/>
    <n v="24"/>
    <n v="2"/>
    <n v="19"/>
    <n v="3"/>
    <n v="8"/>
    <s v="12th"/>
    <d v="2002-01-30T00:00:00"/>
    <m/>
    <s v="Work Accident"/>
    <x v="0"/>
    <n v="2"/>
    <n v="0"/>
    <s v="No"/>
    <s v="Job Portal"/>
    <s v="Part Time"/>
    <n v="1"/>
    <s v="Active"/>
    <x v="3"/>
    <x v="1"/>
    <x v="2"/>
  </r>
  <r>
    <n v="56"/>
    <s v="No"/>
    <s v="Travel_Rarely"/>
    <x v="0"/>
    <n v="23"/>
    <x v="0"/>
    <n v="3"/>
    <n v="4"/>
    <x v="6"/>
    <n v="2"/>
    <s v="Married"/>
    <n v="13402"/>
    <n v="4"/>
    <s v="Yes"/>
    <n v="12"/>
    <n v="3"/>
    <n v="1"/>
    <n v="33"/>
    <n v="0"/>
    <n v="19"/>
    <n v="15"/>
    <n v="9"/>
    <s v="Graduation"/>
    <d v="2002-03-24T00:00:00"/>
    <m/>
    <s v="Work Environment"/>
    <x v="1"/>
    <n v="0"/>
    <n v="3"/>
    <s v="Yes"/>
    <s v="Job Portal"/>
    <s v="Contract"/>
    <n v="0"/>
    <s v="Active"/>
    <x v="3"/>
    <x v="1"/>
    <x v="3"/>
  </r>
  <r>
    <n v="46"/>
    <s v="No"/>
    <s v="Travel_Rarely"/>
    <x v="1"/>
    <n v="3"/>
    <x v="1"/>
    <n v="4"/>
    <n v="4"/>
    <x v="4"/>
    <n v="1"/>
    <s v="Divorced"/>
    <n v="13225"/>
    <n v="2"/>
    <s v="No"/>
    <n v="12"/>
    <n v="3"/>
    <n v="1"/>
    <n v="25"/>
    <n v="5"/>
    <n v="19"/>
    <n v="2"/>
    <n v="8"/>
    <s v="Post-Graduation"/>
    <d v="2002-02-23T00:00:00"/>
    <m/>
    <s v="Dept.Head"/>
    <x v="1"/>
    <n v="5"/>
    <n v="0"/>
    <s v="No"/>
    <s v="Walk-in"/>
    <s v="FullTime"/>
    <n v="0"/>
    <s v="Active"/>
    <x v="3"/>
    <x v="1"/>
    <x v="2"/>
  </r>
  <r>
    <n v="40"/>
    <s v="No"/>
    <s v="Travel_Rarely"/>
    <x v="0"/>
    <n v="1"/>
    <x v="0"/>
    <n v="3"/>
    <n v="4"/>
    <x v="5"/>
    <n v="1"/>
    <s v="Divorced"/>
    <n v="16823"/>
    <n v="2"/>
    <s v="No"/>
    <n v="11"/>
    <n v="3"/>
    <n v="1"/>
    <n v="22"/>
    <n v="3"/>
    <n v="19"/>
    <n v="11"/>
    <n v="16"/>
    <s v="Graduation"/>
    <d v="2002-06-27T00:00:00"/>
    <m/>
    <s v="Work Environment"/>
    <x v="1"/>
    <n v="4"/>
    <n v="2"/>
    <s v="No"/>
    <s v="Job Event"/>
    <s v="Contract"/>
    <n v="0"/>
    <s v="Active"/>
    <x v="3"/>
    <x v="1"/>
    <x v="1"/>
  </r>
  <r>
    <n v="51"/>
    <s v="No"/>
    <s v="Travel_Rarely"/>
    <x v="0"/>
    <n v="6"/>
    <x v="0"/>
    <n v="3"/>
    <n v="5"/>
    <x v="2"/>
    <n v="3"/>
    <s v="Single"/>
    <n v="19537"/>
    <n v="7"/>
    <s v="No"/>
    <n v="13"/>
    <n v="3"/>
    <n v="0"/>
    <n v="23"/>
    <n v="5"/>
    <n v="20"/>
    <n v="15"/>
    <n v="15"/>
    <s v="PHD"/>
    <d v="2001-06-27T00:00:00"/>
    <m/>
    <s v="Salary"/>
    <x v="0"/>
    <n v="1"/>
    <n v="1"/>
    <s v="No"/>
    <s v="Recruiter"/>
    <s v="Part Time"/>
    <n v="0"/>
    <s v="Active"/>
    <x v="3"/>
    <x v="1"/>
    <x v="1"/>
  </r>
  <r>
    <n v="40"/>
    <s v="No"/>
    <s v="Travel_Frequently"/>
    <x v="0"/>
    <n v="26"/>
    <x v="1"/>
    <n v="3"/>
    <n v="2"/>
    <x v="1"/>
    <n v="2"/>
    <s v="Divorced"/>
    <n v="5605"/>
    <n v="1"/>
    <s v="No"/>
    <n v="11"/>
    <n v="3"/>
    <n v="1"/>
    <n v="20"/>
    <n v="2"/>
    <n v="20"/>
    <n v="2"/>
    <n v="13"/>
    <s v="Post-Graduation"/>
    <d v="2001-02-15T00:00:00"/>
    <m/>
    <s v="Better Opportunity"/>
    <x v="0"/>
    <n v="4"/>
    <n v="3"/>
    <s v="No"/>
    <s v="Job Event"/>
    <s v="FullTime"/>
    <n v="0"/>
    <s v="Active"/>
    <x v="3"/>
    <x v="0"/>
    <x v="0"/>
  </r>
  <r>
    <n v="40"/>
    <s v="No"/>
    <s v="Travel_Rarely"/>
    <x v="0"/>
    <n v="4"/>
    <x v="1"/>
    <n v="3"/>
    <n v="5"/>
    <x v="5"/>
    <n v="3"/>
    <s v="Married"/>
    <n v="19033"/>
    <n v="1"/>
    <s v="No"/>
    <n v="14"/>
    <n v="3"/>
    <n v="1"/>
    <n v="21"/>
    <n v="2"/>
    <n v="20"/>
    <n v="9"/>
    <n v="9"/>
    <s v="PHD"/>
    <d v="2001-05-20T00:00:00"/>
    <m/>
    <s v="Salary"/>
    <x v="1"/>
    <n v="2"/>
    <n v="1"/>
    <s v="No"/>
    <s v="Job Portal"/>
    <s v="Part Time"/>
    <n v="0"/>
    <s v="Active"/>
    <x v="3"/>
    <x v="1"/>
    <x v="1"/>
  </r>
  <r>
    <n v="45"/>
    <s v="No"/>
    <s v="Non-Travel"/>
    <x v="0"/>
    <n v="2"/>
    <x v="0"/>
    <n v="2"/>
    <n v="4"/>
    <x v="5"/>
    <n v="4"/>
    <s v="Married"/>
    <n v="16792"/>
    <n v="9"/>
    <s v="No"/>
    <n v="23"/>
    <n v="4"/>
    <n v="1"/>
    <n v="22"/>
    <n v="1"/>
    <n v="20"/>
    <n v="11"/>
    <n v="8"/>
    <s v="PHD"/>
    <d v="2001-02-15T00:00:00"/>
    <m/>
    <s v="Salary"/>
    <x v="0"/>
    <n v="5"/>
    <n v="2"/>
    <s v="Yes"/>
    <s v="Recruiter"/>
    <s v="FullTime"/>
    <n v="0"/>
    <s v="Active"/>
    <x v="3"/>
    <x v="1"/>
    <x v="1"/>
  </r>
  <r>
    <n v="45"/>
    <s v="No"/>
    <s v="Travel_Rarely"/>
    <x v="0"/>
    <n v="20"/>
    <x v="0"/>
    <n v="3"/>
    <n v="4"/>
    <x v="7"/>
    <n v="4"/>
    <s v="Married"/>
    <n v="13496"/>
    <n v="0"/>
    <s v="Yes"/>
    <n v="14"/>
    <n v="3"/>
    <n v="0"/>
    <n v="21"/>
    <n v="2"/>
    <n v="20"/>
    <n v="4"/>
    <n v="10"/>
    <s v="PHD"/>
    <d v="2001-04-23T00:00:00"/>
    <m/>
    <s v="Dept.Head"/>
    <x v="1"/>
    <n v="3"/>
    <n v="2"/>
    <s v="Yes"/>
    <s v="Job Event"/>
    <s v="FullTime"/>
    <n v="0"/>
    <s v="Active"/>
    <x v="3"/>
    <x v="1"/>
    <x v="3"/>
  </r>
  <r>
    <n v="42"/>
    <s v="No"/>
    <s v="Travel_Rarely"/>
    <x v="1"/>
    <n v="1"/>
    <x v="0"/>
    <n v="3"/>
    <n v="2"/>
    <x v="4"/>
    <n v="3"/>
    <s v="Married"/>
    <n v="4907"/>
    <n v="1"/>
    <s v="No"/>
    <n v="25"/>
    <n v="4"/>
    <n v="0"/>
    <n v="20"/>
    <n v="3"/>
    <n v="20"/>
    <n v="11"/>
    <n v="6"/>
    <s v="12th"/>
    <d v="2001-01-25T00:00:00"/>
    <m/>
    <s v="Salary"/>
    <x v="1"/>
    <n v="5"/>
    <n v="2"/>
    <s v="No"/>
    <s v="Recruiter"/>
    <s v="Part Time"/>
    <n v="0"/>
    <s v="Active"/>
    <x v="3"/>
    <x v="0"/>
    <x v="2"/>
  </r>
  <r>
    <n v="42"/>
    <s v="No"/>
    <s v="Travel_Frequently"/>
    <x v="1"/>
    <n v="26"/>
    <x v="1"/>
    <n v="3"/>
    <n v="4"/>
    <x v="4"/>
    <n v="2"/>
    <s v="Married"/>
    <n v="13525"/>
    <n v="5"/>
    <s v="No"/>
    <n v="14"/>
    <n v="3"/>
    <n v="1"/>
    <n v="23"/>
    <n v="2"/>
    <n v="20"/>
    <n v="4"/>
    <n v="8"/>
    <s v="Graduation"/>
    <d v="2001-04-04T00:00:00"/>
    <m/>
    <s v="Salary"/>
    <x v="0"/>
    <n v="5"/>
    <n v="3"/>
    <s v="Yes"/>
    <s v="Walk-in"/>
    <s v="Contract"/>
    <n v="0"/>
    <s v="Active"/>
    <x v="3"/>
    <x v="1"/>
    <x v="2"/>
  </r>
  <r>
    <n v="40"/>
    <s v="No"/>
    <s v="Travel_Rarely"/>
    <x v="1"/>
    <n v="2"/>
    <x v="1"/>
    <n v="3"/>
    <n v="5"/>
    <x v="5"/>
    <n v="3"/>
    <s v="Married"/>
    <n v="18041"/>
    <n v="0"/>
    <s v="No"/>
    <n v="14"/>
    <n v="3"/>
    <n v="0"/>
    <n v="21"/>
    <n v="2"/>
    <n v="20"/>
    <n v="1"/>
    <n v="12"/>
    <s v="Post-Graduation"/>
    <d v="2001-03-17T00:00:00"/>
    <m/>
    <s v="Better Opportunity"/>
    <x v="0"/>
    <n v="2"/>
    <n v="0"/>
    <s v="Yes"/>
    <s v="Job Event"/>
    <s v="FullTime"/>
    <n v="0"/>
    <s v="Active"/>
    <x v="3"/>
    <x v="1"/>
    <x v="1"/>
  </r>
  <r>
    <n v="40"/>
    <s v="No"/>
    <s v="Travel_Rarely"/>
    <x v="0"/>
    <n v="6"/>
    <x v="1"/>
    <n v="3"/>
    <n v="4"/>
    <x v="6"/>
    <n v="3"/>
    <s v="Single"/>
    <n v="13237"/>
    <n v="7"/>
    <s v="No"/>
    <n v="15"/>
    <n v="3"/>
    <n v="0"/>
    <n v="22"/>
    <n v="3"/>
    <n v="20"/>
    <n v="5"/>
    <n v="13"/>
    <s v="Graduation"/>
    <d v="2001-01-07T00:00:00"/>
    <m/>
    <s v="Work Environment"/>
    <x v="1"/>
    <n v="3"/>
    <n v="0"/>
    <s v="No"/>
    <s v="Job Event"/>
    <s v="Contract"/>
    <n v="0"/>
    <s v="Active"/>
    <x v="3"/>
    <x v="1"/>
    <x v="3"/>
  </r>
  <r>
    <n v="50"/>
    <s v="No"/>
    <s v="Travel_Rarely"/>
    <x v="0"/>
    <n v="28"/>
    <x v="0"/>
    <n v="4"/>
    <n v="1"/>
    <x v="0"/>
    <n v="3"/>
    <s v="Married"/>
    <n v="3221"/>
    <n v="1"/>
    <s v="Yes"/>
    <n v="11"/>
    <n v="3"/>
    <n v="3"/>
    <n v="20"/>
    <n v="3"/>
    <n v="20"/>
    <n v="3"/>
    <n v="8"/>
    <s v="PHD"/>
    <d v="2001-02-21T00:00:00"/>
    <m/>
    <s v="Dept.Head"/>
    <x v="1"/>
    <n v="2"/>
    <n v="2"/>
    <s v="No"/>
    <s v="Recruiter"/>
    <s v="FullTime"/>
    <n v="0"/>
    <s v="Active"/>
    <x v="3"/>
    <x v="0"/>
    <x v="0"/>
  </r>
  <r>
    <n v="39"/>
    <s v="No"/>
    <s v="Travel_Rarely"/>
    <x v="0"/>
    <n v="2"/>
    <x v="1"/>
    <n v="2"/>
    <n v="2"/>
    <x v="7"/>
    <n v="3"/>
    <s v="Single"/>
    <n v="4553"/>
    <n v="1"/>
    <s v="No"/>
    <n v="11"/>
    <n v="3"/>
    <n v="0"/>
    <n v="20"/>
    <n v="4"/>
    <n v="20"/>
    <n v="11"/>
    <n v="10"/>
    <s v="12th"/>
    <d v="2001-03-08T00:00:00"/>
    <m/>
    <s v="Work Accident"/>
    <x v="0"/>
    <n v="5"/>
    <n v="3"/>
    <s v="No"/>
    <s v="Job Portal"/>
    <s v="FullTime"/>
    <n v="0"/>
    <s v="Active"/>
    <x v="3"/>
    <x v="0"/>
    <x v="3"/>
  </r>
  <r>
    <n v="51"/>
    <s v="No"/>
    <s v="Travel_Rarely"/>
    <x v="1"/>
    <n v="26"/>
    <x v="1"/>
    <n v="3"/>
    <n v="4"/>
    <x v="5"/>
    <n v="3"/>
    <s v="Married"/>
    <n v="16307"/>
    <n v="2"/>
    <s v="No"/>
    <n v="14"/>
    <n v="3"/>
    <n v="1"/>
    <n v="29"/>
    <n v="2"/>
    <n v="20"/>
    <n v="4"/>
    <n v="17"/>
    <s v="Post-Graduation"/>
    <d v="2001-01-19T00:00:00"/>
    <m/>
    <s v="Better Opportunity"/>
    <x v="0"/>
    <n v="0"/>
    <n v="1"/>
    <s v="Yes"/>
    <s v="Walk-in"/>
    <s v="FullTime"/>
    <n v="0"/>
    <s v="Active"/>
    <x v="3"/>
    <x v="1"/>
    <x v="1"/>
  </r>
  <r>
    <n v="44"/>
    <s v="Yes"/>
    <s v="Travel_Rarely"/>
    <x v="2"/>
    <n v="1"/>
    <x v="0"/>
    <n v="2"/>
    <n v="3"/>
    <x v="8"/>
    <n v="1"/>
    <s v="Married"/>
    <n v="10482"/>
    <n v="9"/>
    <s v="No"/>
    <n v="14"/>
    <n v="3"/>
    <n v="1"/>
    <n v="24"/>
    <n v="1"/>
    <n v="20"/>
    <n v="3"/>
    <n v="6"/>
    <s v="Graduation"/>
    <d v="2001-02-05T00:00:00"/>
    <m/>
    <s v="Work Environment"/>
    <x v="1"/>
    <n v="1"/>
    <n v="2"/>
    <s v="No"/>
    <s v="Job Portal"/>
    <s v="Contract"/>
    <n v="1"/>
    <s v="Active"/>
    <x v="3"/>
    <x v="1"/>
    <x v="4"/>
  </r>
  <r>
    <n v="40"/>
    <s v="No"/>
    <s v="Travel_Rarely"/>
    <x v="0"/>
    <n v="14"/>
    <x v="0"/>
    <n v="2"/>
    <n v="5"/>
    <x v="2"/>
    <n v="3"/>
    <s v="Single"/>
    <n v="19626"/>
    <n v="1"/>
    <s v="No"/>
    <n v="14"/>
    <n v="3"/>
    <n v="0"/>
    <n v="21"/>
    <n v="2"/>
    <n v="20"/>
    <n v="4"/>
    <n v="9"/>
    <s v="12th"/>
    <d v="2001-01-25T00:00:00"/>
    <m/>
    <s v="Work Accident"/>
    <x v="1"/>
    <n v="3"/>
    <n v="2"/>
    <s v="Yes"/>
    <s v="Job Portal"/>
    <s v="Contract"/>
    <n v="0"/>
    <s v="Active"/>
    <x v="3"/>
    <x v="1"/>
    <x v="1"/>
  </r>
  <r>
    <n v="44"/>
    <s v="No"/>
    <s v="Travel_Rarely"/>
    <x v="0"/>
    <n v="29"/>
    <x v="0"/>
    <n v="3"/>
    <n v="2"/>
    <x v="1"/>
    <n v="4"/>
    <s v="Single"/>
    <n v="4541"/>
    <n v="1"/>
    <s v="No"/>
    <n v="25"/>
    <n v="4"/>
    <n v="0"/>
    <n v="20"/>
    <n v="3"/>
    <n v="20"/>
    <n v="13"/>
    <n v="17"/>
    <s v="Graduation"/>
    <d v="2001-02-03T00:00:00"/>
    <m/>
    <s v="Salary"/>
    <x v="0"/>
    <n v="3"/>
    <n v="0"/>
    <s v="Yes"/>
    <s v="Job Portal"/>
    <s v="FullTime"/>
    <n v="0"/>
    <s v="Active"/>
    <x v="3"/>
    <x v="0"/>
    <x v="0"/>
  </r>
  <r>
    <n v="42"/>
    <s v="No"/>
    <s v="Non-Travel"/>
    <x v="0"/>
    <n v="2"/>
    <x v="0"/>
    <n v="3"/>
    <n v="4"/>
    <x v="5"/>
    <n v="3"/>
    <s v="Married"/>
    <n v="17861"/>
    <n v="0"/>
    <s v="Yes"/>
    <n v="13"/>
    <n v="3"/>
    <n v="0"/>
    <n v="21"/>
    <n v="3"/>
    <n v="20"/>
    <n v="2"/>
    <n v="10"/>
    <s v="Graduation"/>
    <d v="2001-06-15T00:00:00"/>
    <m/>
    <s v="Salary"/>
    <x v="0"/>
    <n v="4"/>
    <n v="2"/>
    <s v="No"/>
    <s v="Walk-in"/>
    <s v="Contract"/>
    <n v="0"/>
    <s v="Active"/>
    <x v="3"/>
    <x v="1"/>
    <x v="1"/>
  </r>
  <r>
    <n v="43"/>
    <s v="No"/>
    <s v="Travel_Rarely"/>
    <x v="0"/>
    <n v="6"/>
    <x v="1"/>
    <n v="2"/>
    <n v="2"/>
    <x v="1"/>
    <n v="3"/>
    <s v="Single"/>
    <n v="4081"/>
    <n v="1"/>
    <s v="Yes"/>
    <n v="14"/>
    <n v="3"/>
    <n v="0"/>
    <n v="20"/>
    <n v="3"/>
    <n v="20"/>
    <n v="1"/>
    <n v="8"/>
    <s v="Graduation"/>
    <d v="2001-01-01T00:00:00"/>
    <m/>
    <s v="Salary"/>
    <x v="0"/>
    <n v="5"/>
    <n v="1"/>
    <s v="Yes"/>
    <s v="Job Event"/>
    <s v="Part Time"/>
    <n v="0"/>
    <s v="Active"/>
    <x v="3"/>
    <x v="0"/>
    <x v="0"/>
  </r>
  <r>
    <n v="42"/>
    <s v="No"/>
    <s v="Travel_Rarely"/>
    <x v="2"/>
    <n v="10"/>
    <x v="1"/>
    <n v="3"/>
    <n v="4"/>
    <x v="5"/>
    <n v="1"/>
    <s v="Married"/>
    <n v="16799"/>
    <n v="0"/>
    <s v="No"/>
    <n v="14"/>
    <n v="3"/>
    <n v="1"/>
    <n v="21"/>
    <n v="5"/>
    <n v="20"/>
    <n v="0"/>
    <n v="9"/>
    <s v="Graduation"/>
    <d v="2001-06-10T00:00:00"/>
    <m/>
    <s v="Work Accident"/>
    <x v="1"/>
    <n v="4"/>
    <n v="0"/>
    <s v="Yes"/>
    <s v="Job Event"/>
    <s v="Contract"/>
    <n v="0"/>
    <s v="Active"/>
    <x v="3"/>
    <x v="1"/>
    <x v="1"/>
  </r>
  <r>
    <n v="54"/>
    <s v="No"/>
    <s v="Travel_Rarely"/>
    <x v="0"/>
    <n v="1"/>
    <x v="1"/>
    <n v="3"/>
    <n v="4"/>
    <x v="2"/>
    <n v="4"/>
    <s v="Single"/>
    <n v="17328"/>
    <n v="6"/>
    <s v="No"/>
    <n v="19"/>
    <n v="3"/>
    <n v="0"/>
    <n v="29"/>
    <n v="3"/>
    <n v="20"/>
    <n v="12"/>
    <n v="7"/>
    <s v="PHD"/>
    <d v="2001-06-10T00:00:00"/>
    <m/>
    <s v="Salary"/>
    <x v="0"/>
    <n v="0"/>
    <n v="2"/>
    <s v="Yes"/>
    <s v="Walk-in"/>
    <s v="FullTime"/>
    <n v="0"/>
    <s v="Active"/>
    <x v="3"/>
    <x v="1"/>
    <x v="1"/>
  </r>
  <r>
    <n v="47"/>
    <s v="No"/>
    <s v="Travel_Rarely"/>
    <x v="0"/>
    <n v="2"/>
    <x v="1"/>
    <n v="3"/>
    <n v="4"/>
    <x v="2"/>
    <n v="3"/>
    <s v="Married"/>
    <n v="17169"/>
    <n v="3"/>
    <s v="No"/>
    <n v="19"/>
    <n v="3"/>
    <n v="2"/>
    <n v="26"/>
    <n v="2"/>
    <n v="20"/>
    <n v="5"/>
    <n v="6"/>
    <s v="PHD"/>
    <d v="2001-03-21T00:00:00"/>
    <m/>
    <s v="Better Opportunity"/>
    <x v="0"/>
    <n v="2"/>
    <n v="0"/>
    <s v="No"/>
    <s v="Walk-in"/>
    <s v="Part Time"/>
    <n v="0"/>
    <s v="Active"/>
    <x v="3"/>
    <x v="1"/>
    <x v="1"/>
  </r>
  <r>
    <n v="44"/>
    <s v="No"/>
    <s v="Travel_Rarely"/>
    <x v="0"/>
    <n v="28"/>
    <x v="0"/>
    <n v="3"/>
    <n v="4"/>
    <x v="2"/>
    <n v="1"/>
    <s v="Married"/>
    <n v="16328"/>
    <n v="3"/>
    <s v="No"/>
    <n v="13"/>
    <n v="3"/>
    <n v="1"/>
    <n v="24"/>
    <n v="1"/>
    <n v="20"/>
    <n v="14"/>
    <n v="17"/>
    <s v="Graduation"/>
    <d v="2001-05-22T00:00:00"/>
    <m/>
    <s v="Salary"/>
    <x v="0"/>
    <n v="1"/>
    <n v="2"/>
    <s v="Yes"/>
    <s v="Recruiter"/>
    <s v="Part Time"/>
    <n v="0"/>
    <s v="Active"/>
    <x v="3"/>
    <x v="1"/>
    <x v="1"/>
  </r>
  <r>
    <n v="42"/>
    <s v="No"/>
    <s v="Travel_Frequently"/>
    <x v="0"/>
    <n v="2"/>
    <x v="0"/>
    <n v="3"/>
    <n v="3"/>
    <x v="7"/>
    <n v="4"/>
    <s v="Married"/>
    <n v="10124"/>
    <n v="2"/>
    <s v="Yes"/>
    <n v="14"/>
    <n v="3"/>
    <n v="1"/>
    <n v="24"/>
    <n v="3"/>
    <n v="20"/>
    <n v="13"/>
    <n v="9"/>
    <s v="Graduation"/>
    <d v="2001-01-17T00:00:00"/>
    <m/>
    <s v="Work Environment"/>
    <x v="1"/>
    <n v="3"/>
    <n v="2"/>
    <s v="Yes"/>
    <s v="Walk-in"/>
    <s v="Contract"/>
    <n v="0"/>
    <s v="Active"/>
    <x v="3"/>
    <x v="1"/>
    <x v="3"/>
  </r>
  <r>
    <n v="38"/>
    <s v="No"/>
    <s v="Travel_Frequently"/>
    <x v="0"/>
    <n v="8"/>
    <x v="1"/>
    <n v="2"/>
    <n v="2"/>
    <x v="1"/>
    <n v="2"/>
    <s v="Divorced"/>
    <n v="2133"/>
    <n v="1"/>
    <s v="Yes"/>
    <n v="16"/>
    <n v="3"/>
    <n v="1"/>
    <n v="20"/>
    <n v="3"/>
    <n v="20"/>
    <n v="0"/>
    <n v="7"/>
    <s v="Post-Graduation"/>
    <d v="2001-01-23T00:00:00"/>
    <m/>
    <s v="Dept.Head"/>
    <x v="0"/>
    <n v="5"/>
    <n v="1"/>
    <s v="Yes"/>
    <s v="Recruiter"/>
    <s v="FullTime"/>
    <n v="0"/>
    <s v="Active"/>
    <x v="3"/>
    <x v="0"/>
    <x v="0"/>
  </r>
  <r>
    <n v="39"/>
    <s v="No"/>
    <s v="Travel_Rarely"/>
    <x v="1"/>
    <n v="15"/>
    <x v="0"/>
    <n v="3"/>
    <n v="4"/>
    <x v="4"/>
    <n v="1"/>
    <s v="Single"/>
    <n v="13341"/>
    <n v="0"/>
    <s v="No"/>
    <n v="12"/>
    <n v="3"/>
    <n v="0"/>
    <n v="21"/>
    <n v="3"/>
    <n v="20"/>
    <n v="11"/>
    <n v="10"/>
    <s v="Graduation"/>
    <d v="2001-02-11T00:00:00"/>
    <m/>
    <s v="Work Accident"/>
    <x v="1"/>
    <n v="2"/>
    <n v="0"/>
    <s v="Yes"/>
    <s v="Recruiter"/>
    <s v="Contract"/>
    <n v="0"/>
    <s v="Active"/>
    <x v="3"/>
    <x v="1"/>
    <x v="2"/>
  </r>
  <r>
    <n v="42"/>
    <s v="No"/>
    <s v="Non-Travel"/>
    <x v="0"/>
    <n v="23"/>
    <x v="0"/>
    <n v="2"/>
    <n v="2"/>
    <x v="1"/>
    <n v="3"/>
    <s v="Single"/>
    <n v="4332"/>
    <n v="1"/>
    <s v="No"/>
    <n v="12"/>
    <n v="3"/>
    <n v="0"/>
    <n v="20"/>
    <n v="2"/>
    <n v="20"/>
    <n v="3"/>
    <n v="7"/>
    <s v="PHD"/>
    <d v="2001-06-04T00:00:00"/>
    <m/>
    <s v="Better Opportunity"/>
    <x v="0"/>
    <n v="1"/>
    <n v="1"/>
    <s v="Yes"/>
    <s v="Recruiter"/>
    <s v="Contract"/>
    <n v="0"/>
    <s v="Active"/>
    <x v="3"/>
    <x v="0"/>
    <x v="0"/>
  </r>
  <r>
    <n v="41"/>
    <s v="No"/>
    <s v="Travel_Rarely"/>
    <x v="0"/>
    <n v="28"/>
    <x v="1"/>
    <n v="2"/>
    <n v="4"/>
    <x v="6"/>
    <n v="2"/>
    <s v="Married"/>
    <n v="13570"/>
    <n v="0"/>
    <s v="No"/>
    <n v="23"/>
    <n v="4"/>
    <n v="1"/>
    <n v="21"/>
    <n v="3"/>
    <n v="20"/>
    <n v="0"/>
    <n v="10"/>
    <s v="Post-Graduation"/>
    <d v="2001-06-29T00:00:00"/>
    <m/>
    <s v="Salary"/>
    <x v="1"/>
    <n v="0"/>
    <n v="1"/>
    <s v="No"/>
    <s v="Job Event"/>
    <s v="Contract"/>
    <n v="0"/>
    <s v="Active"/>
    <x v="3"/>
    <x v="1"/>
    <x v="3"/>
  </r>
  <r>
    <n v="39"/>
    <s v="No"/>
    <s v="Travel_Rarely"/>
    <x v="1"/>
    <n v="24"/>
    <x v="1"/>
    <n v="2"/>
    <n v="4"/>
    <x v="4"/>
    <n v="4"/>
    <s v="Married"/>
    <n v="12031"/>
    <n v="0"/>
    <s v="No"/>
    <n v="11"/>
    <n v="3"/>
    <n v="1"/>
    <n v="21"/>
    <n v="2"/>
    <n v="20"/>
    <n v="9"/>
    <n v="6"/>
    <s v="Graduation"/>
    <d v="2001-04-01T00:00:00"/>
    <m/>
    <s v="Work Environment"/>
    <x v="0"/>
    <n v="0"/>
    <n v="0"/>
    <s v="Yes"/>
    <s v="Walk-in"/>
    <s v="Contract"/>
    <n v="0"/>
    <s v="Active"/>
    <x v="3"/>
    <x v="1"/>
    <x v="2"/>
  </r>
  <r>
    <n v="59"/>
    <s v="No"/>
    <s v="Travel_Rarely"/>
    <x v="1"/>
    <n v="25"/>
    <x v="1"/>
    <n v="3"/>
    <n v="3"/>
    <x v="4"/>
    <n v="1"/>
    <s v="Single"/>
    <n v="7637"/>
    <n v="7"/>
    <s v="No"/>
    <n v="11"/>
    <n v="3"/>
    <n v="0"/>
    <n v="28"/>
    <n v="3"/>
    <n v="21"/>
    <n v="7"/>
    <n v="9"/>
    <s v="12th"/>
    <d v="2000-02-29T00:00:00"/>
    <m/>
    <s v="Better Opportunity"/>
    <x v="0"/>
    <n v="2"/>
    <n v="3"/>
    <s v="Yes"/>
    <s v="Job Portal"/>
    <s v="Part Time"/>
    <n v="0"/>
    <s v="Active"/>
    <x v="3"/>
    <x v="1"/>
    <x v="2"/>
  </r>
  <r>
    <n v="40"/>
    <s v="No"/>
    <s v="Travel_Rarely"/>
    <x v="0"/>
    <n v="2"/>
    <x v="0"/>
    <n v="3"/>
    <n v="5"/>
    <x v="2"/>
    <n v="3"/>
    <s v="Divorced"/>
    <n v="19436"/>
    <n v="0"/>
    <s v="No"/>
    <n v="19"/>
    <n v="3"/>
    <n v="1"/>
    <n v="22"/>
    <n v="5"/>
    <n v="21"/>
    <n v="3"/>
    <n v="9"/>
    <s v="PHD"/>
    <d v="2000-02-13T00:00:00"/>
    <m/>
    <s v="Dept.Head"/>
    <x v="0"/>
    <n v="3"/>
    <n v="2"/>
    <s v="No"/>
    <s v="Walk-in"/>
    <s v="Contract"/>
    <n v="0"/>
    <s v="Active"/>
    <x v="3"/>
    <x v="1"/>
    <x v="1"/>
  </r>
  <r>
    <n v="39"/>
    <s v="No"/>
    <s v="Travel_Rarely"/>
    <x v="0"/>
    <n v="10"/>
    <x v="0"/>
    <n v="3"/>
    <n v="4"/>
    <x v="5"/>
    <n v="1"/>
    <s v="Married"/>
    <n v="17068"/>
    <n v="1"/>
    <s v="Yes"/>
    <n v="14"/>
    <n v="3"/>
    <n v="0"/>
    <n v="21"/>
    <n v="3"/>
    <n v="21"/>
    <n v="11"/>
    <n v="10"/>
    <s v="PHD"/>
    <d v="2000-01-11T00:00:00"/>
    <m/>
    <s v="Salary"/>
    <x v="1"/>
    <n v="4"/>
    <n v="0"/>
    <s v="Yes"/>
    <s v="Job Portal"/>
    <s v="Contract"/>
    <n v="0"/>
    <s v="Active"/>
    <x v="3"/>
    <x v="1"/>
    <x v="1"/>
  </r>
  <r>
    <n v="39"/>
    <s v="No"/>
    <s v="Travel_Frequently"/>
    <x v="0"/>
    <n v="7"/>
    <x v="0"/>
    <n v="2"/>
    <n v="5"/>
    <x v="5"/>
    <n v="4"/>
    <s v="Married"/>
    <n v="19272"/>
    <n v="1"/>
    <s v="No"/>
    <n v="15"/>
    <n v="3"/>
    <n v="1"/>
    <n v="21"/>
    <n v="2"/>
    <n v="21"/>
    <n v="13"/>
    <n v="3"/>
    <s v="PHD"/>
    <d v="2000-02-27T00:00:00"/>
    <m/>
    <s v="Dept.Head"/>
    <x v="1"/>
    <n v="3"/>
    <n v="0"/>
    <s v="No"/>
    <s v="Job Event"/>
    <s v="Part Time"/>
    <n v="0"/>
    <s v="Active"/>
    <x v="3"/>
    <x v="1"/>
    <x v="1"/>
  </r>
  <r>
    <n v="39"/>
    <s v="No"/>
    <s v="Travel_Frequently"/>
    <x v="0"/>
    <n v="1"/>
    <x v="0"/>
    <n v="3"/>
    <n v="5"/>
    <x v="5"/>
    <n v="3"/>
    <s v="Divorced"/>
    <n v="19197"/>
    <n v="1"/>
    <s v="Yes"/>
    <n v="14"/>
    <n v="3"/>
    <n v="1"/>
    <n v="21"/>
    <n v="3"/>
    <n v="21"/>
    <n v="1"/>
    <n v="6"/>
    <s v="Graduation"/>
    <d v="2000-05-26T00:00:00"/>
    <m/>
    <s v="Better Opportunity"/>
    <x v="1"/>
    <n v="2"/>
    <n v="1"/>
    <s v="Yes"/>
    <s v="Job Portal"/>
    <s v="FullTime"/>
    <n v="0"/>
    <s v="Active"/>
    <x v="3"/>
    <x v="1"/>
    <x v="1"/>
  </r>
  <r>
    <n v="41"/>
    <s v="No"/>
    <s v="Travel_Rarely"/>
    <x v="2"/>
    <n v="10"/>
    <x v="0"/>
    <n v="2"/>
    <n v="5"/>
    <x v="5"/>
    <n v="4"/>
    <s v="Divorced"/>
    <n v="19141"/>
    <n v="3"/>
    <s v="No"/>
    <n v="15"/>
    <n v="3"/>
    <n v="3"/>
    <n v="23"/>
    <n v="2"/>
    <n v="21"/>
    <n v="12"/>
    <n v="6"/>
    <s v="Graduation"/>
    <d v="2000-01-08T00:00:00"/>
    <m/>
    <s v="Dept.Head"/>
    <x v="1"/>
    <n v="2"/>
    <n v="0"/>
    <s v="No"/>
    <s v="Recruiter"/>
    <s v="FullTime"/>
    <n v="0"/>
    <s v="Active"/>
    <x v="3"/>
    <x v="1"/>
    <x v="1"/>
  </r>
  <r>
    <n v="39"/>
    <s v="No"/>
    <s v="Travel_Rarely"/>
    <x v="0"/>
    <n v="1"/>
    <x v="1"/>
    <n v="2"/>
    <n v="4"/>
    <x v="6"/>
    <n v="4"/>
    <s v="Married"/>
    <n v="12742"/>
    <n v="1"/>
    <s v="No"/>
    <n v="16"/>
    <n v="3"/>
    <n v="1"/>
    <n v="21"/>
    <n v="3"/>
    <n v="21"/>
    <n v="11"/>
    <n v="8"/>
    <s v="PHD"/>
    <d v="2000-01-06T00:00:00"/>
    <m/>
    <s v="Dept.Head"/>
    <x v="0"/>
    <n v="3"/>
    <n v="0"/>
    <s v="No"/>
    <s v="Job Event"/>
    <s v="Part Time"/>
    <n v="0"/>
    <s v="Active"/>
    <x v="3"/>
    <x v="1"/>
    <x v="3"/>
  </r>
  <r>
    <n v="41"/>
    <s v="No"/>
    <s v="Non-Travel"/>
    <x v="0"/>
    <n v="7"/>
    <x v="1"/>
    <n v="1"/>
    <n v="5"/>
    <x v="2"/>
    <n v="3"/>
    <s v="Divorced"/>
    <n v="19973"/>
    <n v="1"/>
    <s v="No"/>
    <n v="22"/>
    <n v="4"/>
    <n v="2"/>
    <n v="21"/>
    <n v="3"/>
    <n v="21"/>
    <n v="5"/>
    <n v="10"/>
    <s v="Post-Graduation"/>
    <d v="2000-03-16T00:00:00"/>
    <m/>
    <s v="Work Environment"/>
    <x v="1"/>
    <n v="3"/>
    <n v="3"/>
    <s v="No"/>
    <s v="Walk-in"/>
    <s v="Contract"/>
    <n v="0"/>
    <s v="Active"/>
    <x v="3"/>
    <x v="1"/>
    <x v="1"/>
  </r>
  <r>
    <n v="39"/>
    <s v="No"/>
    <s v="Travel_Frequently"/>
    <x v="0"/>
    <n v="22"/>
    <x v="1"/>
    <n v="3"/>
    <n v="3"/>
    <x v="6"/>
    <n v="1"/>
    <s v="Single"/>
    <n v="10880"/>
    <n v="1"/>
    <s v="Yes"/>
    <n v="13"/>
    <n v="3"/>
    <n v="0"/>
    <n v="21"/>
    <n v="2"/>
    <n v="21"/>
    <n v="2"/>
    <n v="8"/>
    <s v="Post-Graduation"/>
    <d v="2000-04-25T00:00:00"/>
    <m/>
    <s v="Work Environment"/>
    <x v="0"/>
    <n v="2"/>
    <n v="0"/>
    <s v="Yes"/>
    <s v="Recruiter"/>
    <s v="Contract"/>
    <n v="0"/>
    <s v="Active"/>
    <x v="3"/>
    <x v="1"/>
    <x v="3"/>
  </r>
  <r>
    <n v="42"/>
    <s v="Yes"/>
    <s v="Travel_Frequently"/>
    <x v="1"/>
    <n v="12"/>
    <x v="0"/>
    <n v="3"/>
    <n v="4"/>
    <x v="4"/>
    <n v="1"/>
    <s v="Single"/>
    <n v="13758"/>
    <n v="0"/>
    <s v="Yes"/>
    <n v="12"/>
    <n v="3"/>
    <n v="0"/>
    <n v="22"/>
    <n v="2"/>
    <n v="21"/>
    <n v="13"/>
    <n v="14"/>
    <s v="Graduation"/>
    <d v="2000-01-12T00:00:00"/>
    <m/>
    <s v="Work Environment"/>
    <x v="0"/>
    <n v="4"/>
    <n v="1"/>
    <s v="No"/>
    <s v="Job Event"/>
    <s v="Contract"/>
    <n v="1"/>
    <s v="Active"/>
    <x v="3"/>
    <x v="1"/>
    <x v="2"/>
  </r>
  <r>
    <n v="43"/>
    <s v="No"/>
    <s v="Travel_Rarely"/>
    <x v="1"/>
    <n v="4"/>
    <x v="1"/>
    <n v="2"/>
    <n v="3"/>
    <x v="4"/>
    <n v="4"/>
    <s v="Single"/>
    <n v="10231"/>
    <n v="3"/>
    <s v="No"/>
    <n v="14"/>
    <n v="3"/>
    <n v="0"/>
    <n v="23"/>
    <n v="3"/>
    <n v="21"/>
    <n v="15"/>
    <n v="17"/>
    <s v="Graduation"/>
    <d v="2000-02-15T00:00:00"/>
    <m/>
    <s v="Salary"/>
    <x v="0"/>
    <n v="3"/>
    <n v="0"/>
    <s v="No"/>
    <s v="Walk-in"/>
    <s v="FullTime"/>
    <n v="0"/>
    <s v="Active"/>
    <x v="3"/>
    <x v="1"/>
    <x v="2"/>
  </r>
  <r>
    <n v="40"/>
    <s v="No"/>
    <s v="Travel_Rarely"/>
    <x v="2"/>
    <n v="6"/>
    <x v="0"/>
    <n v="3"/>
    <n v="4"/>
    <x v="5"/>
    <n v="4"/>
    <s v="Single"/>
    <n v="16437"/>
    <n v="1"/>
    <s v="Yes"/>
    <n v="21"/>
    <n v="4"/>
    <n v="0"/>
    <n v="21"/>
    <n v="2"/>
    <n v="21"/>
    <n v="7"/>
    <n v="7"/>
    <s v="Post-Graduation"/>
    <d v="2000-03-02T00:00:00"/>
    <m/>
    <s v="Work Environment"/>
    <x v="0"/>
    <n v="4"/>
    <n v="3"/>
    <s v="No"/>
    <s v="Job Event"/>
    <s v="FullTime"/>
    <n v="0"/>
    <s v="Active"/>
    <x v="3"/>
    <x v="1"/>
    <x v="1"/>
  </r>
  <r>
    <n v="45"/>
    <s v="No"/>
    <s v="Travel_Rarely"/>
    <x v="0"/>
    <n v="28"/>
    <x v="1"/>
    <n v="2"/>
    <n v="4"/>
    <x v="2"/>
    <n v="2"/>
    <s v="Single"/>
    <n v="16704"/>
    <n v="1"/>
    <s v="No"/>
    <n v="11"/>
    <n v="3"/>
    <n v="0"/>
    <n v="21"/>
    <n v="2"/>
    <n v="21"/>
    <n v="8"/>
    <n v="6"/>
    <s v="12th"/>
    <d v="2000-01-18T00:00:00"/>
    <m/>
    <s v="Work Environment"/>
    <x v="0"/>
    <n v="4"/>
    <n v="2"/>
    <s v="Yes"/>
    <s v="Recruiter"/>
    <s v="Contract"/>
    <n v="0"/>
    <s v="Active"/>
    <x v="3"/>
    <x v="1"/>
    <x v="1"/>
  </r>
  <r>
    <n v="40"/>
    <s v="No"/>
    <s v="Travel_Rarely"/>
    <x v="1"/>
    <n v="7"/>
    <x v="0"/>
    <n v="3"/>
    <n v="5"/>
    <x v="5"/>
    <n v="2"/>
    <s v="Single"/>
    <n v="19833"/>
    <n v="1"/>
    <s v="No"/>
    <n v="14"/>
    <n v="3"/>
    <n v="0"/>
    <n v="21"/>
    <n v="3"/>
    <n v="21"/>
    <n v="12"/>
    <n v="8"/>
    <s v="Graduation"/>
    <d v="2000-03-08T00:00:00"/>
    <m/>
    <s v="Work Environment"/>
    <x v="0"/>
    <n v="0"/>
    <n v="1"/>
    <s v="No"/>
    <s v="Job Portal"/>
    <s v="Part Time"/>
    <n v="0"/>
    <s v="Active"/>
    <x v="3"/>
    <x v="1"/>
    <x v="1"/>
  </r>
  <r>
    <n v="44"/>
    <s v="No"/>
    <s v="Travel_Rarely"/>
    <x v="0"/>
    <n v="7"/>
    <x v="1"/>
    <n v="2"/>
    <n v="3"/>
    <x v="7"/>
    <n v="4"/>
    <s v="Married"/>
    <n v="10248"/>
    <n v="3"/>
    <s v="No"/>
    <n v="14"/>
    <n v="3"/>
    <n v="1"/>
    <n v="24"/>
    <n v="4"/>
    <n v="22"/>
    <n v="5"/>
    <n v="17"/>
    <s v="12th"/>
    <d v="1999-03-20T00:00:00"/>
    <m/>
    <s v="Work Accident"/>
    <x v="0"/>
    <n v="4"/>
    <n v="1"/>
    <s v="No"/>
    <s v="Job Portal"/>
    <s v="Contract"/>
    <n v="0"/>
    <s v="Active"/>
    <x v="3"/>
    <x v="1"/>
    <x v="3"/>
  </r>
  <r>
    <n v="41"/>
    <s v="Yes"/>
    <s v="Travel_Rarely"/>
    <x v="0"/>
    <n v="12"/>
    <x v="1"/>
    <n v="3"/>
    <n v="5"/>
    <x v="2"/>
    <n v="3"/>
    <s v="Married"/>
    <n v="19545"/>
    <n v="1"/>
    <s v="No"/>
    <n v="12"/>
    <n v="3"/>
    <n v="0"/>
    <n v="23"/>
    <n v="0"/>
    <n v="22"/>
    <n v="15"/>
    <n v="8"/>
    <s v="12th"/>
    <d v="1999-02-24T00:00:00"/>
    <m/>
    <s v="Salary"/>
    <x v="0"/>
    <n v="4"/>
    <n v="2"/>
    <s v="Yes"/>
    <s v="Walk-in"/>
    <s v="FullTime"/>
    <n v="1"/>
    <s v="Active"/>
    <x v="3"/>
    <x v="1"/>
    <x v="1"/>
  </r>
  <r>
    <n v="40"/>
    <s v="No"/>
    <s v="Travel_Frequently"/>
    <x v="0"/>
    <n v="1"/>
    <x v="0"/>
    <n v="2"/>
    <n v="4"/>
    <x v="7"/>
    <n v="2"/>
    <s v="Married"/>
    <n v="13503"/>
    <n v="1"/>
    <s v="No"/>
    <n v="22"/>
    <n v="4"/>
    <n v="1"/>
    <n v="22"/>
    <n v="3"/>
    <n v="22"/>
    <n v="11"/>
    <n v="11"/>
    <s v="Post-Graduation"/>
    <d v="1999-01-29T00:00:00"/>
    <m/>
    <s v="Salary"/>
    <x v="1"/>
    <n v="2"/>
    <n v="3"/>
    <s v="No"/>
    <s v="Job Event"/>
    <s v="Contract"/>
    <n v="0"/>
    <s v="Active"/>
    <x v="3"/>
    <x v="1"/>
    <x v="3"/>
  </r>
  <r>
    <n v="42"/>
    <s v="No"/>
    <s v="Travel_Rarely"/>
    <x v="0"/>
    <n v="4"/>
    <x v="0"/>
    <n v="3"/>
    <n v="5"/>
    <x v="5"/>
    <n v="4"/>
    <s v="Married"/>
    <n v="19232"/>
    <n v="1"/>
    <s v="No"/>
    <n v="11"/>
    <n v="3"/>
    <n v="0"/>
    <n v="22"/>
    <n v="3"/>
    <n v="22"/>
    <n v="11"/>
    <n v="15"/>
    <s v="12th"/>
    <d v="1999-06-22T00:00:00"/>
    <m/>
    <s v="Work Accident"/>
    <x v="1"/>
    <n v="3"/>
    <n v="2"/>
    <s v="No"/>
    <s v="Recruiter"/>
    <s v="Contract"/>
    <n v="0"/>
    <s v="Active"/>
    <x v="3"/>
    <x v="1"/>
    <x v="1"/>
  </r>
  <r>
    <n v="41"/>
    <s v="No"/>
    <s v="Travel_Rarely"/>
    <x v="1"/>
    <n v="2"/>
    <x v="0"/>
    <n v="3"/>
    <n v="4"/>
    <x v="5"/>
    <n v="2"/>
    <s v="Single"/>
    <n v="16015"/>
    <n v="1"/>
    <s v="No"/>
    <n v="19"/>
    <n v="3"/>
    <n v="0"/>
    <n v="22"/>
    <n v="2"/>
    <n v="22"/>
    <n v="0"/>
    <n v="4"/>
    <s v="12th"/>
    <d v="1999-02-20T00:00:00"/>
    <m/>
    <s v="Dept.Head"/>
    <x v="1"/>
    <n v="1"/>
    <n v="0"/>
    <s v="Yes"/>
    <s v="Job Portal"/>
    <s v="FullTime"/>
    <n v="0"/>
    <s v="Active"/>
    <x v="3"/>
    <x v="1"/>
    <x v="1"/>
  </r>
  <r>
    <n v="41"/>
    <s v="No"/>
    <s v="Travel_Rarely"/>
    <x v="2"/>
    <n v="1"/>
    <x v="0"/>
    <n v="2"/>
    <n v="5"/>
    <x v="5"/>
    <n v="3"/>
    <s v="Married"/>
    <n v="19189"/>
    <n v="1"/>
    <s v="No"/>
    <n v="12"/>
    <n v="3"/>
    <n v="1"/>
    <n v="22"/>
    <n v="3"/>
    <n v="22"/>
    <n v="2"/>
    <n v="10"/>
    <s v="Graduation"/>
    <d v="1999-06-25T00:00:00"/>
    <m/>
    <s v="Dept.Head"/>
    <x v="0"/>
    <n v="4"/>
    <n v="0"/>
    <s v="Yes"/>
    <s v="Walk-in"/>
    <s v="Part Time"/>
    <n v="0"/>
    <s v="Active"/>
    <x v="3"/>
    <x v="1"/>
    <x v="1"/>
  </r>
  <r>
    <n v="47"/>
    <s v="No"/>
    <s v="Travel_Frequently"/>
    <x v="1"/>
    <n v="3"/>
    <x v="1"/>
    <n v="3"/>
    <n v="4"/>
    <x v="4"/>
    <n v="3"/>
    <s v="Divorced"/>
    <n v="13770"/>
    <n v="9"/>
    <s v="Yes"/>
    <n v="12"/>
    <n v="3"/>
    <n v="2"/>
    <n v="28"/>
    <n v="2"/>
    <n v="22"/>
    <n v="11"/>
    <n v="13"/>
    <s v="12th"/>
    <d v="1999-02-12T00:00:00"/>
    <m/>
    <s v="Better Opportunity"/>
    <x v="0"/>
    <n v="4"/>
    <n v="3"/>
    <s v="No"/>
    <s v="Recruiter"/>
    <s v="Contract"/>
    <n v="0"/>
    <s v="Active"/>
    <x v="3"/>
    <x v="1"/>
    <x v="2"/>
  </r>
  <r>
    <n v="42"/>
    <s v="No"/>
    <s v="Travel_Rarely"/>
    <x v="0"/>
    <n v="2"/>
    <x v="0"/>
    <n v="3"/>
    <n v="4"/>
    <x v="5"/>
    <n v="1"/>
    <s v="Married"/>
    <n v="17665"/>
    <n v="0"/>
    <s v="No"/>
    <n v="17"/>
    <n v="3"/>
    <n v="1"/>
    <n v="23"/>
    <n v="3"/>
    <n v="22"/>
    <n v="13"/>
    <n v="7"/>
    <s v="Graduation"/>
    <d v="1999-02-11T00:00:00"/>
    <m/>
    <s v="Dept.Head"/>
    <x v="0"/>
    <n v="0"/>
    <n v="0"/>
    <s v="Yes"/>
    <s v="Walk-in"/>
    <s v="Contract"/>
    <n v="0"/>
    <s v="Active"/>
    <x v="3"/>
    <x v="1"/>
    <x v="1"/>
  </r>
  <r>
    <n v="44"/>
    <s v="No"/>
    <s v="Travel_Rarely"/>
    <x v="1"/>
    <n v="5"/>
    <x v="0"/>
    <n v="3"/>
    <n v="5"/>
    <x v="5"/>
    <n v="2"/>
    <s v="Married"/>
    <n v="18213"/>
    <n v="7"/>
    <s v="No"/>
    <n v="11"/>
    <n v="3"/>
    <n v="1"/>
    <n v="26"/>
    <n v="5"/>
    <n v="22"/>
    <n v="3"/>
    <n v="10"/>
    <s v="12th"/>
    <d v="1999-05-19T00:00:00"/>
    <m/>
    <s v="Work Accident"/>
    <x v="0"/>
    <n v="4"/>
    <n v="0"/>
    <s v="Yes"/>
    <s v="Job Portal"/>
    <s v="Part Time"/>
    <n v="0"/>
    <s v="Active"/>
    <x v="3"/>
    <x v="1"/>
    <x v="1"/>
  </r>
  <r>
    <n v="44"/>
    <s v="No"/>
    <s v="Travel_Rarely"/>
    <x v="0"/>
    <n v="7"/>
    <x v="1"/>
    <n v="3"/>
    <n v="5"/>
    <x v="2"/>
    <n v="4"/>
    <s v="Divorced"/>
    <n v="19049"/>
    <n v="0"/>
    <s v="Yes"/>
    <n v="14"/>
    <n v="3"/>
    <n v="1"/>
    <n v="23"/>
    <n v="4"/>
    <n v="22"/>
    <n v="1"/>
    <n v="10"/>
    <s v="12th"/>
    <d v="1999-05-06T00:00:00"/>
    <m/>
    <s v="Better Opportunity"/>
    <x v="0"/>
    <n v="5"/>
    <n v="2"/>
    <s v="No"/>
    <s v="Job Event"/>
    <s v="Part Time"/>
    <n v="0"/>
    <s v="Active"/>
    <x v="3"/>
    <x v="1"/>
    <x v="1"/>
  </r>
  <r>
    <n v="41"/>
    <s v="No"/>
    <s v="Travel_Rarely"/>
    <x v="1"/>
    <n v="4"/>
    <x v="1"/>
    <n v="3"/>
    <n v="3"/>
    <x v="4"/>
    <n v="3"/>
    <s v="Divorced"/>
    <n v="10447"/>
    <n v="0"/>
    <s v="Yes"/>
    <n v="13"/>
    <n v="3"/>
    <n v="1"/>
    <n v="23"/>
    <n v="3"/>
    <n v="22"/>
    <n v="13"/>
    <n v="5"/>
    <s v="12th"/>
    <d v="1999-04-03T00:00:00"/>
    <m/>
    <s v="Dept.Head"/>
    <x v="1"/>
    <n v="3"/>
    <n v="2"/>
    <s v="Yes"/>
    <s v="Job Event"/>
    <s v="Part Time"/>
    <n v="0"/>
    <s v="Active"/>
    <x v="3"/>
    <x v="1"/>
    <x v="2"/>
  </r>
  <r>
    <n v="47"/>
    <s v="No"/>
    <s v="Travel_Rarely"/>
    <x v="0"/>
    <n v="4"/>
    <x v="1"/>
    <n v="2"/>
    <n v="3"/>
    <x v="6"/>
    <n v="2"/>
    <s v="Divorced"/>
    <n v="10333"/>
    <n v="8"/>
    <s v="Yes"/>
    <n v="12"/>
    <n v="3"/>
    <n v="1"/>
    <n v="28"/>
    <n v="4"/>
    <n v="22"/>
    <n v="14"/>
    <n v="10"/>
    <s v="Graduation"/>
    <d v="1999-06-12T00:00:00"/>
    <m/>
    <s v="Better Opportunity"/>
    <x v="0"/>
    <n v="3"/>
    <n v="2"/>
    <s v="No"/>
    <s v="Recruiter"/>
    <s v="Contract"/>
    <n v="0"/>
    <s v="Active"/>
    <x v="3"/>
    <x v="1"/>
    <x v="3"/>
  </r>
  <r>
    <n v="48"/>
    <s v="No"/>
    <s v="Travel_Rarely"/>
    <x v="0"/>
    <n v="10"/>
    <x v="0"/>
    <n v="2"/>
    <n v="5"/>
    <x v="2"/>
    <n v="2"/>
    <s v="Married"/>
    <n v="19665"/>
    <n v="4"/>
    <s v="No"/>
    <n v="12"/>
    <n v="3"/>
    <n v="0"/>
    <n v="29"/>
    <n v="3"/>
    <n v="22"/>
    <n v="12"/>
    <n v="9"/>
    <s v="PHD"/>
    <d v="1999-01-20T00:00:00"/>
    <m/>
    <s v="Better Opportunity"/>
    <x v="0"/>
    <n v="1"/>
    <n v="1"/>
    <s v="Yes"/>
    <s v="Job Event"/>
    <s v="Part Time"/>
    <n v="0"/>
    <s v="Active"/>
    <x v="3"/>
    <x v="1"/>
    <x v="1"/>
  </r>
  <r>
    <n v="48"/>
    <s v="No"/>
    <s v="Travel_Frequently"/>
    <x v="0"/>
    <n v="22"/>
    <x v="1"/>
    <n v="3"/>
    <n v="4"/>
    <x v="5"/>
    <n v="4"/>
    <s v="Divorced"/>
    <n v="17174"/>
    <n v="3"/>
    <s v="No"/>
    <n v="11"/>
    <n v="3"/>
    <n v="1"/>
    <n v="24"/>
    <n v="3"/>
    <n v="22"/>
    <n v="4"/>
    <n v="7"/>
    <s v="Post-Graduation"/>
    <d v="1999-05-04T00:00:00"/>
    <m/>
    <s v="Salary"/>
    <x v="0"/>
    <n v="3"/>
    <n v="3"/>
    <s v="No"/>
    <s v="Job Event"/>
    <s v="Contract"/>
    <n v="0"/>
    <s v="Active"/>
    <x v="3"/>
    <x v="1"/>
    <x v="1"/>
  </r>
  <r>
    <n v="42"/>
    <s v="No"/>
    <s v="Travel_Rarely"/>
    <x v="0"/>
    <n v="2"/>
    <x v="0"/>
    <n v="3"/>
    <n v="5"/>
    <x v="5"/>
    <n v="3"/>
    <s v="Married"/>
    <n v="18880"/>
    <n v="5"/>
    <s v="No"/>
    <n v="11"/>
    <n v="3"/>
    <n v="0"/>
    <n v="24"/>
    <n v="2"/>
    <n v="22"/>
    <n v="4"/>
    <n v="14"/>
    <s v="PHD"/>
    <d v="1999-04-17T00:00:00"/>
    <m/>
    <s v="Salary"/>
    <x v="1"/>
    <n v="4"/>
    <n v="3"/>
    <s v="Yes"/>
    <s v="Walk-in"/>
    <s v="Part Time"/>
    <n v="0"/>
    <s v="Active"/>
    <x v="3"/>
    <x v="1"/>
    <x v="1"/>
  </r>
  <r>
    <n v="45"/>
    <s v="No"/>
    <s v="Non-Travel"/>
    <x v="0"/>
    <n v="1"/>
    <x v="0"/>
    <n v="2"/>
    <n v="3"/>
    <x v="7"/>
    <n v="3"/>
    <s v="Married"/>
    <n v="10748"/>
    <n v="3"/>
    <s v="No"/>
    <n v="23"/>
    <n v="4"/>
    <n v="1"/>
    <n v="25"/>
    <n v="3"/>
    <n v="23"/>
    <n v="14"/>
    <n v="4"/>
    <s v="12th"/>
    <d v="1998-03-23T00:00:00"/>
    <m/>
    <s v="Better Opportunity"/>
    <x v="0"/>
    <n v="1"/>
    <n v="3"/>
    <s v="Yes"/>
    <s v="Walk-in"/>
    <s v="FullTime"/>
    <n v="0"/>
    <s v="Active"/>
    <x v="3"/>
    <x v="1"/>
    <x v="3"/>
  </r>
  <r>
    <n v="47"/>
    <s v="Yes"/>
    <s v="Travel_Frequently"/>
    <x v="1"/>
    <n v="9"/>
    <x v="0"/>
    <n v="1"/>
    <n v="4"/>
    <x v="4"/>
    <n v="3"/>
    <s v="Married"/>
    <n v="12936"/>
    <n v="7"/>
    <s v="No"/>
    <n v="11"/>
    <n v="3"/>
    <n v="0"/>
    <n v="25"/>
    <n v="3"/>
    <n v="23"/>
    <n v="14"/>
    <n v="10"/>
    <s v="PHD"/>
    <d v="1998-05-18T00:00:00"/>
    <m/>
    <s v="Salary"/>
    <x v="1"/>
    <n v="1"/>
    <n v="1"/>
    <s v="No"/>
    <s v="Recruiter"/>
    <s v="Contract"/>
    <n v="1"/>
    <s v="Active"/>
    <x v="3"/>
    <x v="1"/>
    <x v="2"/>
  </r>
  <r>
    <n v="46"/>
    <s v="No"/>
    <s v="Travel_Rarely"/>
    <x v="1"/>
    <n v="1"/>
    <x v="1"/>
    <n v="3"/>
    <n v="3"/>
    <x v="4"/>
    <n v="1"/>
    <s v="Divorced"/>
    <n v="10453"/>
    <n v="1"/>
    <s v="No"/>
    <n v="25"/>
    <n v="4"/>
    <n v="3"/>
    <n v="24"/>
    <n v="2"/>
    <n v="24"/>
    <n v="15"/>
    <n v="7"/>
    <s v="Post-Graduation"/>
    <d v="1997-05-23T00:00:00"/>
    <m/>
    <s v="Better Opportunity"/>
    <x v="1"/>
    <n v="0"/>
    <n v="2"/>
    <s v="Yes"/>
    <s v="Walk-in"/>
    <s v="Part Time"/>
    <n v="0"/>
    <s v="Active"/>
    <x v="3"/>
    <x v="1"/>
    <x v="2"/>
  </r>
  <r>
    <n v="55"/>
    <s v="No"/>
    <s v="Travel_Rarely"/>
    <x v="0"/>
    <n v="14"/>
    <x v="0"/>
    <n v="4"/>
    <n v="5"/>
    <x v="2"/>
    <n v="2"/>
    <s v="Single"/>
    <n v="18722"/>
    <n v="8"/>
    <s v="No"/>
    <n v="11"/>
    <n v="3"/>
    <n v="0"/>
    <n v="36"/>
    <n v="3"/>
    <n v="24"/>
    <n v="2"/>
    <n v="15"/>
    <s v="PHD"/>
    <d v="1997-05-30T00:00:00"/>
    <m/>
    <s v="Work Environment"/>
    <x v="1"/>
    <n v="0"/>
    <n v="2"/>
    <s v="Yes"/>
    <s v="Job Portal"/>
    <s v="Contract"/>
    <n v="0"/>
    <s v="Active"/>
    <x v="3"/>
    <x v="1"/>
    <x v="1"/>
  </r>
  <r>
    <n v="45"/>
    <s v="No"/>
    <s v="Travel_Rarely"/>
    <x v="0"/>
    <n v="1"/>
    <x v="0"/>
    <n v="4"/>
    <n v="5"/>
    <x v="5"/>
    <n v="4"/>
    <s v="Married"/>
    <n v="19202"/>
    <n v="0"/>
    <s v="No"/>
    <n v="11"/>
    <n v="3"/>
    <n v="1"/>
    <n v="25"/>
    <n v="2"/>
    <n v="24"/>
    <n v="1"/>
    <n v="7"/>
    <s v="Post-Graduation"/>
    <d v="1997-04-16T00:00:00"/>
    <m/>
    <s v="Better Opportunity"/>
    <x v="1"/>
    <n v="3"/>
    <n v="1"/>
    <s v="Yes"/>
    <s v="Recruiter"/>
    <s v="Contract"/>
    <n v="0"/>
    <s v="Active"/>
    <x v="3"/>
    <x v="1"/>
    <x v="1"/>
  </r>
  <r>
    <n v="45"/>
    <s v="No"/>
    <s v="Travel_Frequently"/>
    <x v="0"/>
    <n v="7"/>
    <x v="0"/>
    <n v="3"/>
    <n v="3"/>
    <x v="0"/>
    <n v="1"/>
    <s v="Divorced"/>
    <n v="5210"/>
    <n v="1"/>
    <s v="No"/>
    <n v="18"/>
    <n v="3"/>
    <n v="1"/>
    <n v="24"/>
    <n v="2"/>
    <n v="24"/>
    <n v="9"/>
    <n v="11"/>
    <s v="12th"/>
    <d v="1997-02-20T00:00:00"/>
    <m/>
    <s v="Dept.Head"/>
    <x v="0"/>
    <n v="5"/>
    <n v="2"/>
    <s v="No"/>
    <s v="Job Event"/>
    <s v="Part Time"/>
    <n v="0"/>
    <s v="Active"/>
    <x v="3"/>
    <x v="0"/>
    <x v="0"/>
  </r>
  <r>
    <n v="42"/>
    <s v="No"/>
    <s v="Travel_Frequently"/>
    <x v="0"/>
    <n v="8"/>
    <x v="0"/>
    <n v="3"/>
    <n v="5"/>
    <x v="5"/>
    <n v="4"/>
    <s v="Divorced"/>
    <n v="18430"/>
    <n v="1"/>
    <s v="No"/>
    <n v="13"/>
    <n v="3"/>
    <n v="1"/>
    <n v="24"/>
    <n v="4"/>
    <n v="24"/>
    <n v="14"/>
    <n v="9"/>
    <s v="Graduation"/>
    <d v="1997-03-30T00:00:00"/>
    <m/>
    <s v="Better Opportunity"/>
    <x v="0"/>
    <n v="1"/>
    <n v="3"/>
    <s v="Yes"/>
    <s v="Job Portal"/>
    <s v="Contract"/>
    <n v="0"/>
    <s v="Active"/>
    <x v="3"/>
    <x v="1"/>
    <x v="1"/>
  </r>
  <r>
    <n v="45"/>
    <s v="Yes"/>
    <s v="Travel_Rarely"/>
    <x v="1"/>
    <n v="2"/>
    <x v="1"/>
    <n v="1"/>
    <n v="5"/>
    <x v="5"/>
    <n v="2"/>
    <s v="Single"/>
    <n v="18824"/>
    <n v="2"/>
    <s v="Yes"/>
    <n v="16"/>
    <n v="3"/>
    <n v="0"/>
    <n v="26"/>
    <n v="2"/>
    <n v="24"/>
    <n v="1"/>
    <n v="11"/>
    <s v="12th"/>
    <d v="1997-05-13T00:00:00"/>
    <m/>
    <s v="Better Opportunity"/>
    <x v="0"/>
    <n v="2"/>
    <n v="3"/>
    <s v="Yes"/>
    <s v="Job Portal"/>
    <s v="Contract"/>
    <n v="1"/>
    <s v="Active"/>
    <x v="3"/>
    <x v="1"/>
    <x v="1"/>
  </r>
  <r>
    <n v="53"/>
    <s v="No"/>
    <s v="Travel_Rarely"/>
    <x v="1"/>
    <n v="2"/>
    <x v="1"/>
    <n v="2"/>
    <n v="4"/>
    <x v="5"/>
    <n v="4"/>
    <s v="Married"/>
    <n v="15427"/>
    <n v="2"/>
    <s v="No"/>
    <n v="16"/>
    <n v="3"/>
    <n v="0"/>
    <n v="31"/>
    <n v="3"/>
    <n v="25"/>
    <n v="3"/>
    <n v="7"/>
    <s v="Graduation"/>
    <d v="1996-02-12T00:00:00"/>
    <m/>
    <s v="Better Opportunity"/>
    <x v="1"/>
    <n v="5"/>
    <n v="3"/>
    <s v="Yes"/>
    <s v="Job Event"/>
    <s v="FullTime"/>
    <n v="0"/>
    <s v="Active"/>
    <x v="3"/>
    <x v="1"/>
    <x v="1"/>
  </r>
  <r>
    <n v="43"/>
    <s v="No"/>
    <s v="Travel_Frequently"/>
    <x v="1"/>
    <n v="26"/>
    <x v="0"/>
    <n v="3"/>
    <n v="4"/>
    <x v="5"/>
    <n v="4"/>
    <s v="Married"/>
    <n v="16959"/>
    <n v="1"/>
    <s v="Yes"/>
    <n v="12"/>
    <n v="3"/>
    <n v="2"/>
    <n v="25"/>
    <n v="3"/>
    <n v="25"/>
    <n v="4"/>
    <n v="12"/>
    <s v="Graduation"/>
    <d v="1996-05-03T00:00:00"/>
    <m/>
    <s v="Better Opportunity"/>
    <x v="0"/>
    <n v="2"/>
    <n v="1"/>
    <s v="Yes"/>
    <s v="Walk-in"/>
    <s v="Contract"/>
    <n v="0"/>
    <s v="Active"/>
    <x v="3"/>
    <x v="1"/>
    <x v="1"/>
  </r>
  <r>
    <n v="43"/>
    <s v="No"/>
    <s v="Travel_Rarely"/>
    <x v="0"/>
    <n v="12"/>
    <x v="0"/>
    <n v="2"/>
    <n v="4"/>
    <x v="2"/>
    <n v="2"/>
    <s v="Divorced"/>
    <n v="14336"/>
    <n v="1"/>
    <s v="No"/>
    <n v="11"/>
    <n v="3"/>
    <n v="1"/>
    <n v="25"/>
    <n v="3"/>
    <n v="25"/>
    <n v="3"/>
    <n v="9"/>
    <s v="Post-Graduation"/>
    <d v="1969-06-19T00:00:00"/>
    <m/>
    <s v="Better Opportunity"/>
    <x v="0"/>
    <n v="2"/>
    <n v="1"/>
    <s v="Yes"/>
    <s v="Job Portal"/>
    <s v="Part Time"/>
    <n v="0"/>
    <s v="Active"/>
    <x v="3"/>
    <x v="1"/>
    <x v="1"/>
  </r>
  <r>
    <n v="44"/>
    <s v="No"/>
    <s v="Travel_Rarely"/>
    <x v="0"/>
    <n v="4"/>
    <x v="0"/>
    <n v="4"/>
    <n v="5"/>
    <x v="5"/>
    <n v="1"/>
    <s v="Divorced"/>
    <n v="19190"/>
    <n v="1"/>
    <s v="No"/>
    <n v="14"/>
    <n v="3"/>
    <n v="2"/>
    <n v="26"/>
    <n v="4"/>
    <n v="25"/>
    <n v="14"/>
    <n v="13"/>
    <s v="Post-Graduation"/>
    <d v="1996-04-02T00:00:00"/>
    <m/>
    <s v="Salary"/>
    <x v="1"/>
    <n v="4"/>
    <n v="1"/>
    <s v="Yes"/>
    <s v="Job Portal"/>
    <s v="FullTime"/>
    <n v="0"/>
    <s v="Active"/>
    <x v="3"/>
    <x v="1"/>
    <x v="1"/>
  </r>
  <r>
    <n v="47"/>
    <s v="No"/>
    <s v="Travel_Rarely"/>
    <x v="0"/>
    <n v="2"/>
    <x v="1"/>
    <n v="3"/>
    <n v="4"/>
    <x v="5"/>
    <n v="4"/>
    <s v="Married"/>
    <n v="16752"/>
    <n v="1"/>
    <s v="Yes"/>
    <n v="11"/>
    <n v="3"/>
    <n v="1"/>
    <n v="26"/>
    <n v="3"/>
    <n v="26"/>
    <n v="3"/>
    <n v="0"/>
    <s v="Graduation"/>
    <d v="1995-04-13T00:00:00"/>
    <m/>
    <s v="Work Environment"/>
    <x v="1"/>
    <n v="3"/>
    <n v="0"/>
    <s v="No"/>
    <s v="Recruiter"/>
    <s v="Part Time"/>
    <n v="0"/>
    <s v="Active"/>
    <x v="3"/>
    <x v="1"/>
    <x v="1"/>
  </r>
  <r>
    <n v="49"/>
    <s v="No"/>
    <s v="Travel_Rarely"/>
    <x v="0"/>
    <n v="8"/>
    <x v="1"/>
    <n v="3"/>
    <n v="3"/>
    <x v="0"/>
    <n v="2"/>
    <s v="Married"/>
    <n v="7403"/>
    <n v="4"/>
    <s v="No"/>
    <n v="11"/>
    <n v="3"/>
    <n v="1"/>
    <n v="29"/>
    <n v="3"/>
    <n v="26"/>
    <n v="1"/>
    <n v="7"/>
    <s v="PHD"/>
    <d v="1995-02-27T00:00:00"/>
    <m/>
    <s v="Better Opportunity"/>
    <x v="1"/>
    <n v="4"/>
    <n v="0"/>
    <s v="Yes"/>
    <s v="Job Event"/>
    <s v="Part Time"/>
    <n v="0"/>
    <s v="Active"/>
    <x v="3"/>
    <x v="1"/>
    <x v="0"/>
  </r>
  <r>
    <n v="46"/>
    <s v="No"/>
    <s v="Travel_Rarely"/>
    <x v="1"/>
    <n v="2"/>
    <x v="1"/>
    <n v="3"/>
    <n v="4"/>
    <x v="5"/>
    <n v="1"/>
    <s v="Married"/>
    <n v="17048"/>
    <n v="8"/>
    <s v="No"/>
    <n v="23"/>
    <n v="4"/>
    <n v="0"/>
    <n v="28"/>
    <n v="2"/>
    <n v="26"/>
    <n v="15"/>
    <n v="9"/>
    <s v="PHD"/>
    <d v="1995-06-10T00:00:00"/>
    <m/>
    <s v="Work Accident"/>
    <x v="1"/>
    <n v="4"/>
    <n v="1"/>
    <s v="Yes"/>
    <s v="Recruiter"/>
    <s v="FullTime"/>
    <n v="0"/>
    <s v="Active"/>
    <x v="3"/>
    <x v="1"/>
    <x v="1"/>
  </r>
  <r>
    <n v="46"/>
    <s v="No"/>
    <s v="Travel_Rarely"/>
    <x v="1"/>
    <n v="1"/>
    <x v="0"/>
    <n v="4"/>
    <n v="4"/>
    <x v="5"/>
    <n v="1"/>
    <s v="Single"/>
    <n v="17567"/>
    <n v="1"/>
    <s v="No"/>
    <n v="15"/>
    <n v="3"/>
    <n v="0"/>
    <n v="27"/>
    <n v="5"/>
    <n v="26"/>
    <n v="0"/>
    <n v="12"/>
    <s v="Post-Graduation"/>
    <d v="1995-06-19T00:00:00"/>
    <m/>
    <s v="Salary"/>
    <x v="0"/>
    <n v="3"/>
    <n v="3"/>
    <s v="Yes"/>
    <s v="Recruiter"/>
    <s v="FullTime"/>
    <n v="0"/>
    <s v="Active"/>
    <x v="3"/>
    <x v="1"/>
    <x v="1"/>
  </r>
  <r>
    <n v="50"/>
    <s v="No"/>
    <s v="Travel_Rarely"/>
    <x v="0"/>
    <n v="7"/>
    <x v="1"/>
    <n v="2"/>
    <n v="5"/>
    <x v="2"/>
    <n v="3"/>
    <s v="Divorced"/>
    <n v="18740"/>
    <n v="5"/>
    <s v="Yes"/>
    <n v="12"/>
    <n v="3"/>
    <n v="1"/>
    <n v="29"/>
    <n v="2"/>
    <n v="27"/>
    <n v="13"/>
    <n v="8"/>
    <s v="12th"/>
    <d v="1994-06-29T00:00:00"/>
    <m/>
    <s v="Salary"/>
    <x v="1"/>
    <n v="2"/>
    <n v="2"/>
    <s v="Yes"/>
    <s v="Job Portal"/>
    <s v="Part Time"/>
    <n v="0"/>
    <s v="Active"/>
    <x v="3"/>
    <x v="1"/>
    <x v="1"/>
  </r>
  <r>
    <n v="50"/>
    <s v="No"/>
    <s v="Travel_Rarely"/>
    <x v="0"/>
    <n v="29"/>
    <x v="0"/>
    <n v="2"/>
    <n v="4"/>
    <x v="5"/>
    <n v="3"/>
    <s v="Married"/>
    <n v="17046"/>
    <n v="0"/>
    <s v="No"/>
    <n v="15"/>
    <n v="3"/>
    <n v="1"/>
    <n v="28"/>
    <n v="2"/>
    <n v="27"/>
    <n v="15"/>
    <n v="7"/>
    <s v="Post-Graduation"/>
    <d v="1994-04-30T00:00:00"/>
    <m/>
    <s v="Salary"/>
    <x v="1"/>
    <n v="4"/>
    <n v="1"/>
    <s v="Yes"/>
    <s v="Job Portal"/>
    <s v="Part Time"/>
    <n v="0"/>
    <s v="Active"/>
    <x v="3"/>
    <x v="1"/>
    <x v="1"/>
  </r>
  <r>
    <n v="60"/>
    <s v="No"/>
    <s v="Travel_Rarely"/>
    <x v="0"/>
    <n v="7"/>
    <x v="1"/>
    <n v="3"/>
    <n v="5"/>
    <x v="5"/>
    <n v="1"/>
    <s v="Married"/>
    <n v="19566"/>
    <n v="5"/>
    <s v="No"/>
    <n v="11"/>
    <n v="3"/>
    <n v="0"/>
    <n v="33"/>
    <n v="5"/>
    <n v="29"/>
    <n v="11"/>
    <n v="10"/>
    <s v="Graduation"/>
    <d v="1992-02-29T00:00:00"/>
    <m/>
    <s v="Work Environment"/>
    <x v="0"/>
    <n v="2"/>
    <n v="0"/>
    <s v="No"/>
    <s v="Recruiter"/>
    <s v="FullTime"/>
    <n v="0"/>
    <s v="Active"/>
    <x v="3"/>
    <x v="1"/>
    <x v="1"/>
  </r>
  <r>
    <n v="51"/>
    <s v="No"/>
    <s v="Travel_Frequently"/>
    <x v="1"/>
    <n v="9"/>
    <x v="0"/>
    <n v="3"/>
    <n v="5"/>
    <x v="5"/>
    <n v="2"/>
    <s v="Divorced"/>
    <n v="19847"/>
    <n v="4"/>
    <s v="Yes"/>
    <n v="24"/>
    <n v="4"/>
    <n v="1"/>
    <n v="31"/>
    <n v="5"/>
    <n v="29"/>
    <n v="11"/>
    <n v="10"/>
    <s v="Post-Graduation"/>
    <d v="1992-03-31T00:00:00"/>
    <m/>
    <s v="Dept.Head"/>
    <x v="1"/>
    <n v="0"/>
    <n v="1"/>
    <s v="No"/>
    <s v="Recruiter"/>
    <s v="Contract"/>
    <n v="0"/>
    <s v="Active"/>
    <x v="3"/>
    <x v="1"/>
    <x v="1"/>
  </r>
  <r>
    <n v="50"/>
    <s v="No"/>
    <s v="Travel_Frequently"/>
    <x v="0"/>
    <n v="20"/>
    <x v="0"/>
    <n v="3"/>
    <n v="4"/>
    <x v="7"/>
    <n v="3"/>
    <s v="Married"/>
    <n v="11245"/>
    <n v="2"/>
    <s v="Yes"/>
    <n v="15"/>
    <n v="3"/>
    <n v="1"/>
    <n v="32"/>
    <n v="3"/>
    <n v="30"/>
    <n v="12"/>
    <n v="13"/>
    <s v="Post-Graduation"/>
    <d v="1991-06-01T00:00:00"/>
    <m/>
    <s v="Better Opportunity"/>
    <x v="1"/>
    <n v="1"/>
    <n v="0"/>
    <s v="Yes"/>
    <s v="Job Portal"/>
    <s v="FullTime"/>
    <n v="0"/>
    <s v="Active"/>
    <x v="3"/>
    <x v="1"/>
    <x v="3"/>
  </r>
  <r>
    <n v="49"/>
    <s v="No"/>
    <s v="Travel_Rarely"/>
    <x v="0"/>
    <n v="18"/>
    <x v="0"/>
    <n v="2"/>
    <n v="5"/>
    <x v="2"/>
    <n v="3"/>
    <s v="Divorced"/>
    <n v="19502"/>
    <n v="1"/>
    <s v="Yes"/>
    <n v="17"/>
    <n v="3"/>
    <n v="1"/>
    <n v="31"/>
    <n v="5"/>
    <n v="31"/>
    <n v="0"/>
    <n v="9"/>
    <s v="PHD"/>
    <d v="1990-05-13T00:00:00"/>
    <m/>
    <s v="Work Accident"/>
    <x v="0"/>
    <n v="3"/>
    <n v="3"/>
    <s v="Yes"/>
    <s v="Job Portal"/>
    <s v="FullTime"/>
    <n v="0"/>
    <s v="Active"/>
    <x v="3"/>
    <x v="1"/>
    <x v="1"/>
  </r>
  <r>
    <n v="58"/>
    <s v="Yes"/>
    <s v="Travel_Rarely"/>
    <x v="0"/>
    <n v="2"/>
    <x v="0"/>
    <n v="3"/>
    <n v="5"/>
    <x v="2"/>
    <n v="2"/>
    <s v="Single"/>
    <n v="19246"/>
    <n v="7"/>
    <s v="Yes"/>
    <n v="12"/>
    <n v="3"/>
    <n v="0"/>
    <n v="40"/>
    <n v="2"/>
    <n v="31"/>
    <n v="13"/>
    <n v="8"/>
    <s v="Post-Graduation"/>
    <d v="1990-04-13T00:00:00"/>
    <m/>
    <s v="Work Environment"/>
    <x v="1"/>
    <n v="3"/>
    <n v="1"/>
    <s v="No"/>
    <s v="Recruiter"/>
    <s v="FullTime"/>
    <n v="1"/>
    <s v="Active"/>
    <x v="3"/>
    <x v="1"/>
    <x v="1"/>
  </r>
  <r>
    <n v="50"/>
    <s v="No"/>
    <s v="Non-Travel"/>
    <x v="0"/>
    <n v="2"/>
    <x v="0"/>
    <n v="3"/>
    <n v="4"/>
    <x v="5"/>
    <n v="1"/>
    <s v="Divorced"/>
    <n v="17924"/>
    <n v="1"/>
    <s v="No"/>
    <n v="11"/>
    <n v="3"/>
    <n v="1"/>
    <n v="31"/>
    <n v="3"/>
    <n v="31"/>
    <n v="14"/>
    <n v="7"/>
    <s v="Graduation"/>
    <d v="1990-01-06T00:00:00"/>
    <m/>
    <s v="Dept.Head"/>
    <x v="1"/>
    <n v="4"/>
    <n v="2"/>
    <s v="No"/>
    <s v="Job Event"/>
    <s v="FullTime"/>
    <n v="0"/>
    <s v="Active"/>
    <x v="3"/>
    <x v="1"/>
    <x v="1"/>
  </r>
  <r>
    <n v="50"/>
    <s v="No"/>
    <s v="Travel_Frequently"/>
    <x v="2"/>
    <n v="3"/>
    <x v="0"/>
    <n v="3"/>
    <n v="5"/>
    <x v="5"/>
    <n v="2"/>
    <s v="Married"/>
    <n v="18200"/>
    <n v="1"/>
    <s v="No"/>
    <n v="11"/>
    <n v="3"/>
    <n v="1"/>
    <n v="32"/>
    <n v="2"/>
    <n v="32"/>
    <n v="10"/>
    <n v="7"/>
    <s v="Post-Graduation"/>
    <d v="1989-06-19T00:00:00"/>
    <m/>
    <s v="Salary"/>
    <x v="1"/>
    <n v="4"/>
    <n v="3"/>
    <s v="Yes"/>
    <s v="Walk-in"/>
    <s v="Contract"/>
    <n v="0"/>
    <s v="Active"/>
    <x v="3"/>
    <x v="1"/>
    <x v="1"/>
  </r>
  <r>
    <n v="52"/>
    <s v="Yes"/>
    <s v="Travel_Rarely"/>
    <x v="1"/>
    <n v="2"/>
    <x v="1"/>
    <n v="1"/>
    <n v="5"/>
    <x v="5"/>
    <n v="4"/>
    <s v="Married"/>
    <n v="19845"/>
    <n v="1"/>
    <s v="No"/>
    <n v="15"/>
    <n v="3"/>
    <n v="1"/>
    <n v="33"/>
    <n v="3"/>
    <n v="32"/>
    <n v="6"/>
    <n v="9"/>
    <s v="12th"/>
    <d v="1989-05-17T00:00:00"/>
    <m/>
    <s v="Better Opportunity"/>
    <x v="0"/>
    <n v="3"/>
    <n v="2"/>
    <s v="No"/>
    <s v="Job Event"/>
    <s v="FullTime"/>
    <n v="1"/>
    <s v="Active"/>
    <x v="3"/>
    <x v="1"/>
    <x v="1"/>
  </r>
  <r>
    <n v="50"/>
    <s v="No"/>
    <s v="Travel_Frequently"/>
    <x v="0"/>
    <n v="22"/>
    <x v="0"/>
    <n v="1"/>
    <n v="4"/>
    <x v="2"/>
    <n v="4"/>
    <s v="Single"/>
    <n v="14411"/>
    <n v="1"/>
    <s v="Yes"/>
    <n v="13"/>
    <n v="3"/>
    <n v="0"/>
    <n v="32"/>
    <n v="2"/>
    <n v="32"/>
    <n v="13"/>
    <n v="9"/>
    <s v="PHD"/>
    <d v="1989-03-30T00:00:00"/>
    <m/>
    <s v="Dept.Head"/>
    <x v="1"/>
    <n v="2"/>
    <n v="1"/>
    <s v="Yes"/>
    <s v="Recruiter"/>
    <s v="Part Time"/>
    <n v="0"/>
    <s v="Active"/>
    <x v="3"/>
    <x v="1"/>
    <x v="1"/>
  </r>
  <r>
    <n v="52"/>
    <s v="No"/>
    <s v="Travel_Rarely"/>
    <x v="0"/>
    <n v="1"/>
    <x v="0"/>
    <n v="2"/>
    <n v="5"/>
    <x v="5"/>
    <n v="3"/>
    <s v="Married"/>
    <n v="19999"/>
    <n v="0"/>
    <s v="No"/>
    <n v="14"/>
    <n v="3"/>
    <n v="1"/>
    <n v="34"/>
    <n v="5"/>
    <n v="33"/>
    <n v="11"/>
    <n v="9"/>
    <s v="PHD"/>
    <d v="1988-03-14T00:00:00"/>
    <m/>
    <s v="Better Opportunity"/>
    <x v="1"/>
    <n v="5"/>
    <n v="0"/>
    <s v="No"/>
    <s v="Recruiter"/>
    <s v="FullTime"/>
    <n v="0"/>
    <s v="Active"/>
    <x v="3"/>
    <x v="1"/>
    <x v="1"/>
  </r>
  <r>
    <n v="52"/>
    <s v="No"/>
    <s v="Non-Travel"/>
    <x v="1"/>
    <n v="2"/>
    <x v="0"/>
    <n v="2"/>
    <n v="5"/>
    <x v="5"/>
    <n v="3"/>
    <s v="Single"/>
    <n v="19068"/>
    <n v="1"/>
    <s v="Yes"/>
    <n v="18"/>
    <n v="3"/>
    <n v="0"/>
    <n v="33"/>
    <n v="2"/>
    <n v="33"/>
    <n v="15"/>
    <n v="12"/>
    <s v="Graduation"/>
    <d v="1988-05-12T00:00:00"/>
    <m/>
    <s v="Salary"/>
    <x v="1"/>
    <n v="4"/>
    <n v="3"/>
    <s v="Yes"/>
    <s v="Job Event"/>
    <s v="Part Time"/>
    <n v="0"/>
    <s v="Active"/>
    <x v="3"/>
    <x v="1"/>
    <x v="1"/>
  </r>
  <r>
    <n v="55"/>
    <s v="No"/>
    <s v="Non-Travel"/>
    <x v="0"/>
    <n v="8"/>
    <x v="0"/>
    <n v="2"/>
    <n v="4"/>
    <x v="7"/>
    <n v="2"/>
    <s v="Divorced"/>
    <n v="13577"/>
    <n v="1"/>
    <s v="Yes"/>
    <n v="15"/>
    <n v="3"/>
    <n v="1"/>
    <n v="34"/>
    <n v="3"/>
    <n v="33"/>
    <n v="15"/>
    <n v="0"/>
    <s v="12th"/>
    <d v="1988-04-09T00:00:00"/>
    <m/>
    <s v="Salary"/>
    <x v="1"/>
    <n v="3"/>
    <n v="1"/>
    <s v="No"/>
    <s v="Walk-in"/>
    <s v="Part Time"/>
    <n v="0"/>
    <s v="Active"/>
    <x v="3"/>
    <x v="1"/>
    <x v="3"/>
  </r>
  <r>
    <n v="51"/>
    <s v="No"/>
    <s v="Travel_Rarely"/>
    <x v="2"/>
    <n v="5"/>
    <x v="0"/>
    <n v="3"/>
    <n v="4"/>
    <x v="5"/>
    <n v="2"/>
    <s v="Divorced"/>
    <n v="14026"/>
    <n v="1"/>
    <s v="Yes"/>
    <n v="11"/>
    <n v="3"/>
    <n v="1"/>
    <n v="33"/>
    <n v="2"/>
    <n v="33"/>
    <n v="0"/>
    <n v="10"/>
    <s v="Post-Graduation"/>
    <d v="1988-04-04T00:00:00"/>
    <m/>
    <s v="Better Opportunity"/>
    <x v="0"/>
    <n v="4"/>
    <n v="1"/>
    <s v="Yes"/>
    <s v="Job Portal"/>
    <s v="Contract"/>
    <n v="0"/>
    <s v="Active"/>
    <x v="3"/>
    <x v="1"/>
    <x v="1"/>
  </r>
  <r>
    <n v="53"/>
    <s v="Yes"/>
    <s v="Travel_Rarely"/>
    <x v="0"/>
    <n v="2"/>
    <x v="1"/>
    <n v="2"/>
    <n v="3"/>
    <x v="6"/>
    <n v="4"/>
    <s v="Married"/>
    <n v="10169"/>
    <n v="0"/>
    <s v="No"/>
    <n v="16"/>
    <n v="3"/>
    <n v="1"/>
    <n v="34"/>
    <n v="4"/>
    <n v="33"/>
    <n v="1"/>
    <n v="9"/>
    <s v="Post-Graduation"/>
    <d v="1988-06-20T00:00:00"/>
    <m/>
    <s v="Work Accident"/>
    <x v="1"/>
    <n v="4"/>
    <n v="0"/>
    <s v="Yes"/>
    <s v="Recruiter"/>
    <s v="Contract"/>
    <n v="1"/>
    <s v="Active"/>
    <x v="3"/>
    <x v="1"/>
    <x v="3"/>
  </r>
  <r>
    <n v="52"/>
    <s v="No"/>
    <s v="Travel_Rarely"/>
    <x v="1"/>
    <n v="3"/>
    <x v="0"/>
    <n v="2"/>
    <n v="4"/>
    <x v="5"/>
    <n v="1"/>
    <s v="Married"/>
    <n v="16856"/>
    <n v="1"/>
    <s v="No"/>
    <n v="11"/>
    <n v="3"/>
    <n v="0"/>
    <n v="34"/>
    <n v="3"/>
    <n v="34"/>
    <n v="1"/>
    <n v="16"/>
    <s v="Post-Graduation"/>
    <d v="1987-06-05T00:00:00"/>
    <m/>
    <s v="Salary"/>
    <x v="0"/>
    <n v="3"/>
    <n v="2"/>
    <s v="No"/>
    <s v="Job Portal"/>
    <s v="Part Time"/>
    <n v="0"/>
    <s v="Active"/>
    <x v="3"/>
    <x v="1"/>
    <x v="1"/>
  </r>
  <r>
    <n v="55"/>
    <s v="No"/>
    <s v="Travel_Rarely"/>
    <x v="0"/>
    <n v="1"/>
    <x v="0"/>
    <n v="3"/>
    <n v="5"/>
    <x v="5"/>
    <n v="1"/>
    <s v="Single"/>
    <n v="19045"/>
    <n v="0"/>
    <s v="Yes"/>
    <n v="14"/>
    <n v="3"/>
    <n v="0"/>
    <n v="37"/>
    <n v="2"/>
    <n v="36"/>
    <n v="4"/>
    <n v="13"/>
    <s v="Post-Graduation"/>
    <d v="1985-01-20T00:00:00"/>
    <m/>
    <s v="Work Accident"/>
    <x v="1"/>
    <n v="1"/>
    <n v="1"/>
    <s v="No"/>
    <s v="Walk-in"/>
    <s v="FullTime"/>
    <n v="0"/>
    <s v="Active"/>
    <x v="3"/>
    <x v="1"/>
    <x v="1"/>
  </r>
  <r>
    <n v="55"/>
    <s v="No"/>
    <s v="Travel_Rarely"/>
    <x v="1"/>
    <n v="26"/>
    <x v="0"/>
    <n v="2"/>
    <n v="5"/>
    <x v="5"/>
    <n v="4"/>
    <s v="Married"/>
    <n v="19586"/>
    <n v="1"/>
    <s v="No"/>
    <n v="21"/>
    <n v="4"/>
    <n v="1"/>
    <n v="36"/>
    <n v="3"/>
    <n v="36"/>
    <n v="2"/>
    <n v="13"/>
    <s v="Post-Graduation"/>
    <d v="1985-02-17T00:00:00"/>
    <m/>
    <s v="Work Accident"/>
    <x v="0"/>
    <n v="2"/>
    <n v="1"/>
    <s v="No"/>
    <s v="Recruiter"/>
    <s v="Part Time"/>
    <n v="0"/>
    <s v="Active"/>
    <x v="3"/>
    <x v="1"/>
    <x v="1"/>
  </r>
  <r>
    <n v="58"/>
    <s v="No"/>
    <s v="Travel_Rarely"/>
    <x v="1"/>
    <n v="10"/>
    <x v="0"/>
    <n v="3"/>
    <n v="4"/>
    <x v="4"/>
    <n v="3"/>
    <s v="Single"/>
    <n v="13872"/>
    <n v="0"/>
    <s v="No"/>
    <n v="13"/>
    <n v="3"/>
    <n v="0"/>
    <n v="38"/>
    <n v="1"/>
    <n v="37"/>
    <n v="1"/>
    <n v="8"/>
    <s v="PHD"/>
    <d v="1984-06-29T00:00:00"/>
    <m/>
    <s v="Work Environment"/>
    <x v="1"/>
    <n v="2"/>
    <n v="2"/>
    <s v="Yes"/>
    <s v="Job Event"/>
    <s v="Part Time"/>
    <n v="0"/>
    <s v="Active"/>
    <x v="3"/>
    <x v="1"/>
    <x v="2"/>
  </r>
  <r>
    <n v="58"/>
    <s v="Yes"/>
    <s v="Travel_Rarely"/>
    <x v="0"/>
    <n v="23"/>
    <x v="1"/>
    <n v="3"/>
    <n v="3"/>
    <x v="7"/>
    <n v="4"/>
    <s v="Married"/>
    <n v="10312"/>
    <n v="1"/>
    <s v="No"/>
    <n v="12"/>
    <n v="3"/>
    <n v="1"/>
    <n v="40"/>
    <n v="3"/>
    <n v="40"/>
    <n v="15"/>
    <n v="6"/>
    <s v="12th"/>
    <d v="1981-02-08T00:00:00"/>
    <m/>
    <s v="Work Environment"/>
    <x v="1"/>
    <n v="4"/>
    <n v="3"/>
    <s v="Yes"/>
    <s v="Job Portal"/>
    <s v="FullTime"/>
    <n v="1"/>
    <s v="Active"/>
    <x v="3"/>
    <x v="1"/>
    <x v="3"/>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64ADB0F4-7FBE-4374-8E62-8524A0B18B39}"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 firstHeaderRow="0" firstDataRow="1" firstDataCol="0"/>
  <pivotFields count="37">
    <pivotField dataField="1" showAll="0"/>
    <pivotField showAll="0"/>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items count="5">
        <item x="0"/>
        <item x="1"/>
        <item x="2"/>
        <item x="3"/>
        <item t="default"/>
      </items>
    </pivotField>
    <pivotField showAll="0">
      <items count="3">
        <item x="1"/>
        <item x="0"/>
        <item t="default"/>
      </items>
    </pivotField>
    <pivotField showAll="0">
      <items count="6">
        <item x="4"/>
        <item x="1"/>
        <item x="3"/>
        <item x="2"/>
        <item x="0"/>
        <item t="default"/>
      </items>
    </pivotField>
  </pivotFields>
  <rowItems count="1">
    <i/>
  </rowItems>
  <colFields count="1">
    <field x="-2"/>
  </colFields>
  <colItems count="2">
    <i>
      <x/>
    </i>
    <i i="1">
      <x v="1"/>
    </i>
  </colItems>
  <dataFields count="2">
    <dataField name="Total Employees" fld="0" subtotal="count" baseField="0" baseItem="0"/>
    <dataField name="Employees Left" fld="3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xmlns:mc="http://schemas.openxmlformats.org/markup-compatibility/2006" xmlns:xr="http://schemas.microsoft.com/office/spreadsheetml/2014/revision" mc:Ignorable="xr" xr:uid="{4B7E7E39-E659-4B33-8457-540334E06E42}"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C7" firstHeaderRow="0" firstDataRow="1" firstDataCol="1"/>
  <pivotFields count="37">
    <pivotField dataField="1" showAll="0"/>
    <pivotField showAll="0"/>
    <pivotField showAll="0"/>
    <pivotField axis="axisRow"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items count="5">
        <item x="0"/>
        <item x="1"/>
        <item x="2"/>
        <item x="3"/>
        <item t="default"/>
      </items>
    </pivotField>
    <pivotField showAll="0">
      <items count="3">
        <item x="1"/>
        <item x="0"/>
        <item t="default"/>
      </items>
    </pivotField>
    <pivotField showAll="0">
      <items count="6">
        <item x="4"/>
        <item x="1"/>
        <item x="3"/>
        <item x="2"/>
        <item x="0"/>
        <item t="default"/>
      </items>
    </pivotField>
  </pivotFields>
  <rowFields count="1">
    <field x="3"/>
  </rowFields>
  <rowItems count="4">
    <i>
      <x/>
    </i>
    <i>
      <x v="1"/>
    </i>
    <i>
      <x v="2"/>
    </i>
    <i t="grand">
      <x/>
    </i>
  </rowItems>
  <colFields count="1">
    <field x="-2"/>
  </colFields>
  <colItems count="2">
    <i>
      <x/>
    </i>
    <i i="1">
      <x v="1"/>
    </i>
  </colItems>
  <dataFields count="2">
    <dataField name="Employees Left" fld="32" baseField="3" baseItem="0"/>
    <dataField name="Total_Employees"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xmlns:mc="http://schemas.openxmlformats.org/markup-compatibility/2006" xmlns:xr="http://schemas.microsoft.com/office/spreadsheetml/2014/revision" mc:Ignorable="xr" xr:uid="{E6F6B47A-1238-49F6-B9E0-D5BA96E1B20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13" firstHeaderRow="0" firstDataRow="1" firstDataCol="1"/>
  <pivotFields count="37">
    <pivotField dataField="1" showAll="0"/>
    <pivotField showAll="0"/>
    <pivotField showAll="0"/>
    <pivotField showAll="0">
      <items count="4">
        <item x="2"/>
        <item x="0"/>
        <item x="1"/>
        <item t="default"/>
      </items>
    </pivotField>
    <pivotField showAll="0"/>
    <pivotField showAll="0">
      <items count="3">
        <item x="1"/>
        <item x="0"/>
        <item t="default"/>
      </items>
    </pivotField>
    <pivotField showAll="0"/>
    <pivotField showAll="0"/>
    <pivotField axis="axisRow" showAll="0">
      <items count="10">
        <item x="7"/>
        <item x="8"/>
        <item x="0"/>
        <item x="5"/>
        <item x="6"/>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items count="5">
        <item x="0"/>
        <item x="1"/>
        <item x="2"/>
        <item x="3"/>
        <item t="default"/>
      </items>
    </pivotField>
    <pivotField showAll="0">
      <items count="3">
        <item x="1"/>
        <item x="0"/>
        <item t="default"/>
      </items>
    </pivotField>
    <pivotField showAll="0">
      <items count="6">
        <item x="4"/>
        <item x="1"/>
        <item x="3"/>
        <item x="2"/>
        <item x="0"/>
        <item t="default"/>
      </items>
    </pivotField>
  </pivotFields>
  <rowFields count="1">
    <field x="8"/>
  </rowFields>
  <rowItems count="10">
    <i>
      <x/>
    </i>
    <i>
      <x v="1"/>
    </i>
    <i>
      <x v="2"/>
    </i>
    <i>
      <x v="3"/>
    </i>
    <i>
      <x v="4"/>
    </i>
    <i>
      <x v="5"/>
    </i>
    <i>
      <x v="6"/>
    </i>
    <i>
      <x v="7"/>
    </i>
    <i>
      <x v="8"/>
    </i>
    <i t="grand">
      <x/>
    </i>
  </rowItems>
  <colFields count="1">
    <field x="-2"/>
  </colFields>
  <colItems count="2">
    <i>
      <x/>
    </i>
    <i i="1">
      <x v="1"/>
    </i>
  </colItems>
  <dataFields count="2">
    <dataField name="Employees Left" fld="32" baseField="8" baseItem="0"/>
    <dataField name="Total Employees"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xmlns:mc="http://schemas.openxmlformats.org/markup-compatibility/2006" xmlns:xr="http://schemas.microsoft.com/office/spreadsheetml/2014/revision" mc:Ignorable="xr" xr:uid="{E0F8B2E2-1B11-41BD-A61F-1B80006FF845}"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9" firstHeaderRow="0" firstDataRow="1" firstDataCol="1"/>
  <pivotFields count="37">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4"/>
        <item x="1"/>
        <item x="3"/>
        <item x="2"/>
        <item x="0"/>
        <item t="default"/>
      </items>
    </pivotField>
  </pivotFields>
  <rowFields count="1">
    <field x="36"/>
  </rowFields>
  <rowItems count="6">
    <i>
      <x/>
    </i>
    <i>
      <x v="1"/>
    </i>
    <i>
      <x v="2"/>
    </i>
    <i>
      <x v="3"/>
    </i>
    <i>
      <x v="4"/>
    </i>
    <i t="grand">
      <x/>
    </i>
  </rowItems>
  <colFields count="1">
    <field x="-2"/>
  </colFields>
  <colItems count="2">
    <i>
      <x/>
    </i>
    <i i="1">
      <x v="1"/>
    </i>
  </colItems>
  <dataFields count="2">
    <dataField name="Employees Left" fld="32" baseField="36" baseItem="0"/>
    <dataField name="Total Employees" fld="0" subtotal="count" baseField="3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xmlns:mc="http://schemas.openxmlformats.org/markup-compatibility/2006" xmlns:xr="http://schemas.microsoft.com/office/spreadsheetml/2014/revision" mc:Ignorable="xr" xr:uid="{FD93B339-D074-4458-8675-80A298020F0F}"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6" firstHeaderRow="0" firstDataRow="1" firstDataCol="1"/>
  <pivotFields count="37">
    <pivotField dataField="1" showAll="0"/>
    <pivotField showAll="0"/>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items count="5">
        <item x="0"/>
        <item x="1"/>
        <item x="2"/>
        <item x="3"/>
        <item t="default"/>
      </items>
    </pivotField>
    <pivotField axis="axisRow" showAll="0">
      <items count="3">
        <item x="1"/>
        <item x="0"/>
        <item t="default"/>
      </items>
    </pivotField>
    <pivotField showAll="0">
      <items count="6">
        <item x="4"/>
        <item x="1"/>
        <item x="3"/>
        <item x="2"/>
        <item x="0"/>
        <item t="default"/>
      </items>
    </pivotField>
  </pivotFields>
  <rowFields count="1">
    <field x="35"/>
  </rowFields>
  <rowItems count="3">
    <i>
      <x/>
    </i>
    <i>
      <x v="1"/>
    </i>
    <i t="grand">
      <x/>
    </i>
  </rowItems>
  <colFields count="1">
    <field x="-2"/>
  </colFields>
  <colItems count="2">
    <i>
      <x/>
    </i>
    <i i="1">
      <x v="1"/>
    </i>
  </colItems>
  <dataFields count="2">
    <dataField name="Employees Left" fld="32" baseField="35" baseItem="0"/>
    <dataField name="Total Employees" fld="0"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xmlns:mc="http://schemas.openxmlformats.org/markup-compatibility/2006" xmlns:xr="http://schemas.microsoft.com/office/spreadsheetml/2014/revision" mc:Ignorable="xr" xr:uid="{4425BD61-4367-4345-9CAC-9D9EEDA82F12}"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8" firstHeaderRow="0" firstDataRow="1" firstDataCol="1"/>
  <pivotFields count="37">
    <pivotField dataField="1" showAll="0"/>
    <pivotField showAll="0"/>
    <pivotField showAll="0"/>
    <pivotField showAll="0">
      <items count="4">
        <item x="2"/>
        <item x="0"/>
        <item x="1"/>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axis="axisRow" showAll="0">
      <items count="5">
        <item x="0"/>
        <item x="1"/>
        <item x="2"/>
        <item x="3"/>
        <item t="default"/>
      </items>
    </pivotField>
    <pivotField showAll="0">
      <items count="3">
        <item x="1"/>
        <item x="0"/>
        <item t="default"/>
      </items>
    </pivotField>
    <pivotField showAll="0">
      <items count="6">
        <item x="4"/>
        <item x="1"/>
        <item x="3"/>
        <item x="2"/>
        <item x="0"/>
        <item t="default"/>
      </items>
    </pivotField>
  </pivotFields>
  <rowFields count="1">
    <field x="34"/>
  </rowFields>
  <rowItems count="5">
    <i>
      <x/>
    </i>
    <i>
      <x v="1"/>
    </i>
    <i>
      <x v="2"/>
    </i>
    <i>
      <x v="3"/>
    </i>
    <i t="grand">
      <x/>
    </i>
  </rowItems>
  <colFields count="1">
    <field x="-2"/>
  </colFields>
  <colItems count="2">
    <i>
      <x/>
    </i>
    <i i="1">
      <x v="1"/>
    </i>
  </colItems>
  <dataFields count="2">
    <dataField name="Employees Left" fld="32" baseField="34" baseItem="0"/>
    <dataField name="Total Employees" fld="0" subtotal="count" baseField="3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Department" xr10:uid="{76EC7AB9-2F7B-4FFE-94EE-C66644985F71}" sourceName="Department">
  <pivotTables>
    <pivotTable tabId="4" name="PivotTable2"/>
    <pivotTable tabId="11" name="PivotTable8"/>
    <pivotTable tabId="10" name="PivotTable7"/>
    <pivotTable tabId="6" name="PivotTable3"/>
    <pivotTable tabId="3" name="PivotTable1"/>
  </pivotTables>
  <data>
    <tabular pivotCacheId="190539890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Gender" xr10:uid="{447584E5-81DA-4379-832D-94B3F8082904}" sourceName="Gender">
  <pivotTables>
    <pivotTable tabId="4" name="PivotTable2"/>
    <pivotTable tabId="11" name="PivotTable8"/>
    <pivotTable tabId="10" name="PivotTable7"/>
    <pivotTable tabId="6" name="PivotTable3"/>
    <pivotTable tabId="3" name="PivotTable1"/>
  </pivotTables>
  <data>
    <tabular pivotCacheId="190539890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Mode_of_work" xr10:uid="{EBF0C56F-4596-4765-B715-720A224FB3A6}" sourceName="Mode_of_work">
  <pivotTables>
    <pivotTable tabId="4" name="PivotTable2"/>
    <pivotTable tabId="11" name="PivotTable8"/>
    <pivotTable tabId="10" name="PivotTable7"/>
    <pivotTable tabId="6" name="PivotTable3"/>
    <pivotTable tabId="3" name="PivotTable1"/>
  </pivotTables>
  <data>
    <tabular pivotCacheId="190539890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Experience_Band" xr10:uid="{CB372395-226E-4525-B94A-264917306768}" sourceName="Experience_Band">
  <pivotTables>
    <pivotTable tabId="4" name="PivotTable2"/>
    <pivotTable tabId="11" name="PivotTable8"/>
    <pivotTable tabId="10" name="PivotTable7"/>
    <pivotTable tabId="6" name="PivotTable3"/>
    <pivotTable tabId="3" name="PivotTable1"/>
  </pivotTables>
  <data>
    <tabular pivotCacheId="1905398905">
      <items count="4">
        <i x="0"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Income_Band" xr10:uid="{822FE72D-8F27-4F9D-99ED-C927D1AAF83D}" sourceName="Income_Band">
  <pivotTables>
    <pivotTable tabId="4" name="PivotTable2"/>
    <pivotTable tabId="11" name="PivotTable8"/>
    <pivotTable tabId="10" name="PivotTable7"/>
    <pivotTable tabId="6" name="PivotTable3"/>
    <pivotTable tabId="3" name="PivotTable1"/>
  </pivotTables>
  <data>
    <tabular pivotCacheId="1905398905">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Role_Category" xr10:uid="{85889167-30F8-4418-9374-1A98DD5351F2}" sourceName="Role_Category">
  <pivotTables>
    <pivotTable tabId="4" name="PivotTable2"/>
    <pivotTable tabId="11" name="PivotTable8"/>
    <pivotTable tabId="10" name="PivotTable7"/>
    <pivotTable tabId="6" name="PivotTable3"/>
    <pivotTable tabId="3" name="PivotTable1"/>
  </pivotTables>
  <data>
    <tabular pivotCacheId="1905398905">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Department" xr10:uid="{7C953C56-34ED-4434-93B5-A6F4BE59CEA8}" cache="Slicer_Department" caption="Department" rowHeight="241300"/>
  <slicer name="Gender" xr10:uid="{5B5C76C9-A9C3-4FFF-A78E-0C9595443B90}" cache="Slicer_Gender" caption="Gender" rowHeight="241300"/>
  <slicer name="Mode_of_work" xr10:uid="{2E989E82-941D-49EF-820E-37398F7EF06D}" cache="Slicer_Mode_of_work" caption="Mode_of_work" rowHeight="241300"/>
  <slicer name="Experience_Band" xr10:uid="{720217CF-09B2-4FCB-842C-8BC9F4A6C8C4}" cache="Slicer_Experience_Band" caption="Experience_Band" rowHeight="241300"/>
  <slicer name="Income_Band" xr10:uid="{EE4E0FBD-725A-42CF-B7F4-B8881CD27C67}" cache="Slicer_Income_Band" caption="Income_Band" rowHeight="241300"/>
  <slicer name="Role_Category" xr10:uid="{EDD6C320-597F-4DF5-8CB0-FC485BAEA860}" cache="Slicer_Role_Category" caption="Role_Category" rowHeight="241300"/>
</slicers>
</file>

<file path=xl/tables/table1.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3" xr:uid="{0BE1A088-D669-4DAE-BEF3-FB94D422F581}" name="JobRole_Map" displayName="JobRole_Map" ref="A1:B10" totalsRowShown="0">
  <autoFilter ref="A1:B10" xr:uid="{27C451A5-444B-404C-AC3E-25BD04968730}"/>
  <tableColumns count="2">
    <tableColumn id="1" xr3:uid="{1BE46C41-A8CE-459B-89D0-F05BF5970C83}" name="JobRole"/>
    <tableColumn id="2" xr3:uid="{7DD0F6D2-69C7-4F54-BE2C-C0CAB0EC66F6}" name="Role_Category"/>
  </tableColumns>
  <tableStyleInfo name="TableStyleMedium2" showFirstColumn="0" showLastColumn="0" showRowStripes="1" showColumnStripes="0"/>
</table>
</file>

<file path=xl/tables/table2.xml><?xml version="1.0" encoding="utf-8"?>
<table xmlns="http://purl.oclc.org/ooxml/spreadsheetml/main" xmlns:mc="http://schemas.openxmlformats.org/markup-compatibility/2006" xmlns:xr="http://schemas.microsoft.com/office/spreadsheetml/2014/revision" xmlns:xr3="http://schemas.microsoft.com/office/spreadsheetml/2016/revision3" mc:Ignorable="xr xr3" id="1" xr:uid="{F92D02F7-000B-40CF-9D52-C475FD3D2EBE}" name="HR_Data" displayName="HR_Data" ref="A1:AK1464" totalsRowShown="0">
  <autoFilter ref="A1:AK1464" xr:uid="{31702ABE-A6AD-4787-8130-AD50D0857DCB}"/>
  <tableColumns count="37">
    <tableColumn id="1" xr3:uid="{8796B69E-36F5-4637-8008-717B976F26F9}" name="Age" dataDxfId="6"/>
    <tableColumn id="2" xr3:uid="{E250E1CA-AA2F-4FD2-B040-BE77990F2A3F}" name="Attrition"/>
    <tableColumn id="3" xr3:uid="{985920DD-570E-4C77-BAAB-F1F516C851BF}" name="BusinessTravel"/>
    <tableColumn id="4" xr3:uid="{6F5CCF77-DD86-44B6-8D40-63886221DEFB}" name="Department"/>
    <tableColumn id="5" xr3:uid="{1BEF423E-2BAD-4B4E-98F1-6A88779AC266}" name="DistanceFromHome"/>
    <tableColumn id="6" xr3:uid="{5E3F8B39-AF8D-42DB-923D-6579502648FA}" name="Gender"/>
    <tableColumn id="7" xr3:uid="{9B885943-C3C7-450E-A44A-3C3442E684D8}" name="JobInvolvement"/>
    <tableColumn id="8" xr3:uid="{BF725718-5826-415B-8E80-A295CAC34514}" name="JobLevel"/>
    <tableColumn id="9" xr3:uid="{153FBD30-ECC9-4707-B3A6-9F3417BD2530}" name="JobRole"/>
    <tableColumn id="10" xr3:uid="{B75DC2D3-787D-4E6D-AE8A-2D2E81DC41F2}" name="JobSatisfaction"/>
    <tableColumn id="11" xr3:uid="{9B6910BB-1665-4597-BD38-85A12ABAEA4C}" name="MaritalStatus"/>
    <tableColumn id="12" xr3:uid="{3573A901-3820-4E5E-9755-61A351B77CA5}" name="MonthlyIncome"/>
    <tableColumn id="13" xr3:uid="{BA3B106E-F02D-4EAE-A927-9E4CE540CAAA}" name="NumCompaniesWorked"/>
    <tableColumn id="14" xr3:uid="{0AB39858-97F9-46B9-81BB-E924B3FAF612}" name="OverTime"/>
    <tableColumn id="15" xr3:uid="{EAC9999D-5944-4C7E-897A-BADF34A0153F}" name="PercentSalaryHike"/>
    <tableColumn id="16" xr3:uid="{20E96059-EC96-425D-BD88-AFBBF0AA6688}" name="PerformanceRating"/>
    <tableColumn id="17" xr3:uid="{C89C2C3B-01CA-441D-835B-D068223A8B9F}" name="StockOptionLevel"/>
    <tableColumn id="18" xr3:uid="{51C1DA73-1EEA-41F3-82F1-AA641BE0554E}" name="TotalWorkingYears"/>
    <tableColumn id="19" xr3:uid="{0BA2EE76-3CC8-4CE1-BA7F-9098FA8E578C}" name="TrainingTimesLastYear"/>
    <tableColumn id="20" xr3:uid="{1D78BFDD-52FC-4DD1-8963-50195FF6F861}" name="YearsAtCompany"/>
    <tableColumn id="21" xr3:uid="{C17B235F-8AA7-42D6-B765-38D15877E168}" name="YearsSinceLastPromotion"/>
    <tableColumn id="22" xr3:uid="{B2CE8D03-9E1C-4DF7-8213-558789051293}" name="YearsWithCurrManager"/>
    <tableColumn id="23" xr3:uid="{B996FD75-8A83-4680-A0A5-4A86237533A2}" name="Higher_Education"/>
    <tableColumn id="24" xr3:uid="{77C8471E-1912-4A3C-BBBF-030644884E40}" name="Date_of_Hire" dataDxfId="5"/>
    <tableColumn id="25" xr3:uid="{B52EE3C1-4419-443F-99D1-C3FDBF6AB727}" name="Date_of_termination"/>
    <tableColumn id="26" xr3:uid="{C9068489-7EB6-490A-9C62-481D0813BADF}" name="Status_of_leaving"/>
    <tableColumn id="27" xr3:uid="{2C01E828-2146-4EBC-BBFF-0DE45BADDF1C}" name="Mode_of_work"/>
    <tableColumn id="28" xr3:uid="{20864537-5731-4945-951C-B39F10664C11}" name="Leaves"/>
    <tableColumn id="29" xr3:uid="{F38096C6-2ED4-4D17-BDCA-66964EAAEEBD}" name="Absenteeism"/>
    <tableColumn id="30" xr3:uid="{0C040CDA-FE01-45F1-B178-8CC1FC9E405A}" name="Work_accident"/>
    <tableColumn id="31" xr3:uid="{88672AD6-3647-4A30-B107-1177E79BF683}" name="Source_of_Hire"/>
    <tableColumn id="32" xr3:uid="{AB99670D-C05C-4CC5-BAC2-944DCF50035C}" name="Job_mode"/>
    <tableColumn id="34" xr3:uid="{32C861FB-CCAC-4570-AA83-3FF2D4DDA842}" name="Attrition_Flag" dataDxfId="4">
      <calculatedColumnFormula>IF(HR_Data[[#This Row],[Attrition]]="Yes",1,0)</calculatedColumnFormula>
    </tableColumn>
    <tableColumn id="35" xr3:uid="{256B8B8D-23B0-4FA1-9FF5-B384A322B2BE}" name="Employment_Status" dataDxfId="3">
      <calculatedColumnFormula>IF(HR_Data[Date_of_termination]="","Active","Left")</calculatedColumnFormula>
    </tableColumn>
    <tableColumn id="33" xr3:uid="{CC6F7D8E-073E-42AD-9387-20E57F7C9F47}" name="Experience_Band" dataDxfId="2">
      <calculatedColumnFormula>IF(HR_Data[YearsAtCompany]&lt;=2,"Fresher", IF(HR_Data[YearsAtCompany]&lt;=5,"Junior", IF(HR_Data[YearsAtCompany]&lt;=10, "Mid","Senior")))</calculatedColumnFormula>
    </tableColumn>
    <tableColumn id="36" xr3:uid="{B01F7DF4-FE7B-4152-B321-36D89BD039F4}" name="Income_Band" dataDxfId="1">
      <calculatedColumnFormula>IF(HR_Data[MonthlyIncome]&lt;=300,"Low", IF(HR_Data[MonthlyIncome]&lt;=7000,"Medium", "High"))</calculatedColumnFormula>
    </tableColumn>
    <tableColumn id="37" xr3:uid="{B628C31A-69A1-4C80-90D9-A525ACDCD845}" name="Role_Category" dataDxfId="0">
      <calculatedColumnFormula>VLOOKUP(HR_Data[JobRole], JobRole_Map[], 2, FALSE)</calculatedColumnFormula>
    </tableColumn>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1" Type="http://purl.oclc.org/ooxml/officeDocument/relationships/pivotTable" Target="../pivotTables/pivotTable1.xml"/></Relationships>
</file>

<file path=xl/worksheets/_rels/sheet3.xml.rels><?xml version="1.0" encoding="UTF-8" standalone="yes"?>
<Relationships xmlns="http://schemas.openxmlformats.org/package/2006/relationships"><Relationship Id="rId1" Type="http://purl.oclc.org/ooxml/officeDocument/relationships/pivotTable" Target="../pivotTables/pivotTable2.xml"/></Relationships>
</file>

<file path=xl/worksheets/_rels/sheet4.xml.rels><?xml version="1.0" encoding="UTF-8" standalone="yes"?>
<Relationships xmlns="http://schemas.openxmlformats.org/package/2006/relationships"><Relationship Id="rId2" Type="http://purl.oclc.org/ooxml/officeDocument/relationships/printerSettings" Target="../printerSettings/printerSettings2.bin"/><Relationship Id="rId1" Type="http://purl.oclc.org/ooxml/officeDocument/relationships/pivotTable" Target="../pivotTables/pivotTable3.xml"/></Relationships>
</file>

<file path=xl/worksheets/_rels/sheet5.xml.rels><?xml version="1.0" encoding="UTF-8" standalone="yes"?>
<Relationships xmlns="http://schemas.openxmlformats.org/package/2006/relationships"><Relationship Id="rId1" Type="http://purl.oclc.org/ooxml/officeDocument/relationships/pivotTable" Target="../pivotTables/pivotTable4.xml"/></Relationships>
</file>

<file path=xl/worksheets/_rels/sheet6.xml.rels><?xml version="1.0" encoding="UTF-8" standalone="yes"?>
<Relationships xmlns="http://schemas.openxmlformats.org/package/2006/relationships"><Relationship Id="rId1" Type="http://purl.oclc.org/ooxml/officeDocument/relationships/pivotTable" Target="../pivotTables/pivotTable5.xml"/></Relationships>
</file>

<file path=xl/worksheets/_rels/sheet7.xml.rels><?xml version="1.0" encoding="UTF-8" standalone="yes"?>
<Relationships xmlns="http://schemas.openxmlformats.org/package/2006/relationships"><Relationship Id="rId1" Type="http://purl.oclc.org/ooxml/officeDocument/relationships/pivotTable" Target="../pivotTables/pivotTable6.xml"/></Relationships>
</file>

<file path=xl/worksheets/_rels/sheet8.xml.rels><?xml version="1.0" encoding="UTF-8" standalone="yes"?>
<Relationships xmlns="http://schemas.openxmlformats.org/package/2006/relationships"><Relationship Id="rId1" Type="http://purl.oclc.org/ooxml/officeDocument/relationships/table" Target="../tables/table1.xml"/></Relationships>
</file>

<file path=xl/worksheets/_rels/sheet9.xml.rels><?xml version="1.0" encoding="UTF-8" standalone="yes"?>
<Relationships xmlns="http://schemas.openxmlformats.org/package/2006/relationships"><Relationship Id="rId2" Type="http://purl.oclc.org/ooxml/officeDocument/relationships/table" Target="../tables/table2.xml"/><Relationship Id="rId1" Type="http://purl.oclc.org/ooxml/officeDocument/relationships/printerSettings" Target="../printerSettings/printerSettings3.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2470A-E7D1-4B59-960A-6919FDC9D4B5}">
  <dimension ref="A1:T36"/>
  <sheetViews>
    <sheetView showGridLines="0" tabSelected="1" zoomScaleNormal="100" workbookViewId="0">
      <selection activeCell="T8" sqref="T8"/>
    </sheetView>
  </sheetViews>
  <sheetFormatPr defaultRowHeight="15" x14ac:dyDescent="0.25"/>
  <cols>
    <col min="3" max="3" width="13" customWidth="1"/>
    <col min="4" max="4" width="0.5703125" customWidth="1"/>
    <col min="7" max="7" width="13" customWidth="1"/>
    <col min="8" max="8" width="0.7109375" customWidth="1"/>
    <col min="11" max="11" width="13.85546875" customWidth="1"/>
    <col min="12" max="12" width="0.85546875" customWidth="1"/>
    <col min="13" max="13" width="4" customWidth="1"/>
    <col min="15" max="15" width="19" customWidth="1"/>
  </cols>
  <sheetData>
    <row r="1" spans="1:20" ht="21.75" customHeight="1" thickBot="1" x14ac:dyDescent="0.3">
      <c r="A1" s="60" t="s">
        <v>97</v>
      </c>
      <c r="B1" s="61"/>
      <c r="C1" s="61"/>
      <c r="D1" s="61"/>
      <c r="E1" s="61"/>
      <c r="F1" s="61"/>
      <c r="G1" s="61"/>
      <c r="H1" s="61"/>
      <c r="I1" s="61"/>
      <c r="J1" s="61"/>
      <c r="K1" s="61"/>
      <c r="L1" s="61"/>
      <c r="M1" s="61"/>
      <c r="N1" s="61"/>
      <c r="O1" s="61"/>
      <c r="P1" s="61"/>
      <c r="Q1" s="61"/>
      <c r="R1" s="62"/>
      <c r="S1" s="23"/>
      <c r="T1" s="23"/>
    </row>
    <row r="2" spans="1:20" ht="15" customHeight="1" x14ac:dyDescent="0.25">
      <c r="A2" s="51">
        <f>KPI_Analysis!A4</f>
        <v>1463</v>
      </c>
      <c r="B2" s="52"/>
      <c r="C2" s="53"/>
      <c r="D2" s="17"/>
      <c r="E2" s="42">
        <f>KPI_Analysis!B4</f>
        <v>235</v>
      </c>
      <c r="F2" s="43"/>
      <c r="G2" s="44"/>
      <c r="H2" s="17"/>
      <c r="I2" s="33">
        <f>KPI_Analysis!D4</f>
        <v>0.16062884483937115</v>
      </c>
      <c r="J2" s="34"/>
      <c r="K2" s="35"/>
      <c r="L2" s="17"/>
      <c r="M2" s="24">
        <f>KPI_Analysis!E4</f>
        <v>1228</v>
      </c>
      <c r="N2" s="25"/>
      <c r="O2" s="26"/>
      <c r="P2" s="17"/>
      <c r="Q2" s="17"/>
      <c r="R2" s="18"/>
      <c r="S2" s="23"/>
      <c r="T2" s="23"/>
    </row>
    <row r="3" spans="1:20" ht="15" customHeight="1" x14ac:dyDescent="0.25">
      <c r="A3" s="54"/>
      <c r="B3" s="55"/>
      <c r="C3" s="56"/>
      <c r="D3" s="17"/>
      <c r="E3" s="45"/>
      <c r="F3" s="46"/>
      <c r="G3" s="47"/>
      <c r="H3" s="17"/>
      <c r="I3" s="36"/>
      <c r="J3" s="37"/>
      <c r="K3" s="38"/>
      <c r="L3" s="17"/>
      <c r="M3" s="27"/>
      <c r="N3" s="28"/>
      <c r="O3" s="29"/>
      <c r="P3" s="17"/>
      <c r="Q3" s="17"/>
      <c r="R3" s="18"/>
      <c r="S3" s="23"/>
      <c r="T3" s="23"/>
    </row>
    <row r="4" spans="1:20" ht="10.5" customHeight="1" thickBot="1" x14ac:dyDescent="0.3">
      <c r="A4" s="57"/>
      <c r="B4" s="58"/>
      <c r="C4" s="59"/>
      <c r="D4" s="17"/>
      <c r="E4" s="48"/>
      <c r="F4" s="49"/>
      <c r="G4" s="50"/>
      <c r="H4" s="17"/>
      <c r="I4" s="39"/>
      <c r="J4" s="40"/>
      <c r="K4" s="41"/>
      <c r="L4" s="17"/>
      <c r="M4" s="30"/>
      <c r="N4" s="31"/>
      <c r="O4" s="32"/>
      <c r="P4" s="17"/>
      <c r="Q4" s="17"/>
      <c r="R4" s="18"/>
      <c r="S4" s="23"/>
      <c r="T4" s="23"/>
    </row>
    <row r="5" spans="1:20" x14ac:dyDescent="0.25">
      <c r="A5" s="19"/>
      <c r="B5" s="17"/>
      <c r="C5" s="17"/>
      <c r="D5" s="17"/>
      <c r="E5" s="17"/>
      <c r="F5" s="17"/>
      <c r="G5" s="17"/>
      <c r="H5" s="17"/>
      <c r="I5" s="17"/>
      <c r="J5" s="17"/>
      <c r="K5" s="17"/>
      <c r="L5" s="17"/>
      <c r="M5" s="17"/>
      <c r="N5" s="17"/>
      <c r="O5" s="17"/>
      <c r="P5" s="17"/>
      <c r="Q5" s="17"/>
      <c r="R5" s="18"/>
      <c r="S5" s="23"/>
      <c r="T5" s="23"/>
    </row>
    <row r="6" spans="1:20" x14ac:dyDescent="0.25">
      <c r="A6" s="19"/>
      <c r="B6" s="17"/>
      <c r="C6" s="17"/>
      <c r="D6" s="17"/>
      <c r="E6" s="17"/>
      <c r="F6" s="17"/>
      <c r="G6" s="17"/>
      <c r="H6" s="17"/>
      <c r="I6" s="17"/>
      <c r="J6" s="17"/>
      <c r="K6" s="17"/>
      <c r="L6" s="17"/>
      <c r="M6" s="17"/>
      <c r="N6" s="17"/>
      <c r="O6" s="17"/>
      <c r="P6" s="17"/>
      <c r="Q6" s="17"/>
      <c r="R6" s="18"/>
      <c r="S6" s="23"/>
      <c r="T6" s="23"/>
    </row>
    <row r="7" spans="1:20" x14ac:dyDescent="0.25">
      <c r="A7" s="19"/>
      <c r="B7" s="17"/>
      <c r="C7" s="17"/>
      <c r="D7" s="17"/>
      <c r="E7" s="17"/>
      <c r="F7" s="17"/>
      <c r="G7" s="17"/>
      <c r="H7" s="17"/>
      <c r="I7" s="17"/>
      <c r="J7" s="17"/>
      <c r="K7" s="17"/>
      <c r="L7" s="17"/>
      <c r="M7" s="17"/>
      <c r="N7" s="17"/>
      <c r="O7" s="17"/>
      <c r="P7" s="17"/>
      <c r="Q7" s="17"/>
      <c r="R7" s="18"/>
      <c r="S7" s="23"/>
      <c r="T7" s="23"/>
    </row>
    <row r="8" spans="1:20" x14ac:dyDescent="0.25">
      <c r="A8" s="19"/>
      <c r="B8" s="17"/>
      <c r="C8" s="17"/>
      <c r="D8" s="17"/>
      <c r="E8" s="17"/>
      <c r="F8" s="17"/>
      <c r="G8" s="17"/>
      <c r="H8" s="17"/>
      <c r="I8" s="17"/>
      <c r="J8" s="17"/>
      <c r="K8" s="17"/>
      <c r="L8" s="17"/>
      <c r="M8" s="17"/>
      <c r="N8" s="17"/>
      <c r="O8" s="17"/>
      <c r="P8" s="17"/>
      <c r="Q8" s="17"/>
      <c r="R8" s="18"/>
      <c r="S8" s="23"/>
      <c r="T8" s="23"/>
    </row>
    <row r="9" spans="1:20" x14ac:dyDescent="0.25">
      <c r="A9" s="19"/>
      <c r="B9" s="17"/>
      <c r="C9" s="17"/>
      <c r="D9" s="17"/>
      <c r="E9" s="17"/>
      <c r="F9" s="17"/>
      <c r="G9" s="17"/>
      <c r="H9" s="17"/>
      <c r="I9" s="17"/>
      <c r="J9" s="17"/>
      <c r="K9" s="17"/>
      <c r="L9" s="17"/>
      <c r="M9" s="17"/>
      <c r="N9" s="17"/>
      <c r="O9" s="17"/>
      <c r="P9" s="17"/>
      <c r="Q9" s="17"/>
      <c r="R9" s="18"/>
      <c r="S9" s="23"/>
      <c r="T9" s="23"/>
    </row>
    <row r="10" spans="1:20" x14ac:dyDescent="0.25">
      <c r="A10" s="19"/>
      <c r="B10" s="17"/>
      <c r="C10" s="17"/>
      <c r="D10" s="17"/>
      <c r="E10" s="17"/>
      <c r="F10" s="17"/>
      <c r="G10" s="17"/>
      <c r="H10" s="17"/>
      <c r="I10" s="17"/>
      <c r="J10" s="17"/>
      <c r="K10" s="17"/>
      <c r="L10" s="17"/>
      <c r="M10" s="17"/>
      <c r="N10" s="17"/>
      <c r="O10" s="17"/>
      <c r="P10" s="17"/>
      <c r="Q10" s="17"/>
      <c r="R10" s="18"/>
      <c r="S10" s="23"/>
      <c r="T10" s="23"/>
    </row>
    <row r="11" spans="1:20" x14ac:dyDescent="0.25">
      <c r="A11" s="19"/>
      <c r="B11" s="17"/>
      <c r="C11" s="17"/>
      <c r="D11" s="17"/>
      <c r="E11" s="17"/>
      <c r="F11" s="17"/>
      <c r="G11" s="17"/>
      <c r="H11" s="17"/>
      <c r="I11" s="17"/>
      <c r="J11" s="17"/>
      <c r="K11" s="17"/>
      <c r="L11" s="17"/>
      <c r="M11" s="17"/>
      <c r="N11" s="17"/>
      <c r="O11" s="17"/>
      <c r="P11" s="17"/>
      <c r="Q11" s="17"/>
      <c r="R11" s="18"/>
      <c r="S11" s="23"/>
      <c r="T11" s="23"/>
    </row>
    <row r="12" spans="1:20" x14ac:dyDescent="0.25">
      <c r="A12" s="19"/>
      <c r="B12" s="17"/>
      <c r="C12" s="17"/>
      <c r="D12" s="17"/>
      <c r="E12" s="17"/>
      <c r="F12" s="17"/>
      <c r="G12" s="17"/>
      <c r="H12" s="17"/>
      <c r="I12" s="17"/>
      <c r="J12" s="17"/>
      <c r="K12" s="17"/>
      <c r="L12" s="17"/>
      <c r="M12" s="17"/>
      <c r="N12" s="17"/>
      <c r="O12" s="17"/>
      <c r="P12" s="17"/>
      <c r="Q12" s="17"/>
      <c r="R12" s="18"/>
      <c r="S12" s="23"/>
      <c r="T12" s="23"/>
    </row>
    <row r="13" spans="1:20" x14ac:dyDescent="0.25">
      <c r="A13" s="19"/>
      <c r="B13" s="17"/>
      <c r="C13" s="17"/>
      <c r="D13" s="17"/>
      <c r="E13" s="17"/>
      <c r="F13" s="17"/>
      <c r="G13" s="17"/>
      <c r="H13" s="17"/>
      <c r="I13" s="17"/>
      <c r="J13" s="17"/>
      <c r="K13" s="17"/>
      <c r="L13" s="17"/>
      <c r="M13" s="17"/>
      <c r="N13" s="17"/>
      <c r="O13" s="17"/>
      <c r="P13" s="17"/>
      <c r="Q13" s="17"/>
      <c r="R13" s="18"/>
      <c r="S13" s="23"/>
      <c r="T13" s="23"/>
    </row>
    <row r="14" spans="1:20" x14ac:dyDescent="0.25">
      <c r="A14" s="19"/>
      <c r="B14" s="17"/>
      <c r="C14" s="17"/>
      <c r="D14" s="17"/>
      <c r="E14" s="17"/>
      <c r="F14" s="17"/>
      <c r="G14" s="17"/>
      <c r="H14" s="17"/>
      <c r="I14" s="17"/>
      <c r="J14" s="17"/>
      <c r="K14" s="17"/>
      <c r="L14" s="17"/>
      <c r="M14" s="17"/>
      <c r="N14" s="17"/>
      <c r="O14" s="17"/>
      <c r="P14" s="17"/>
      <c r="Q14" s="17"/>
      <c r="R14" s="18"/>
      <c r="S14" s="23"/>
      <c r="T14" s="23"/>
    </row>
    <row r="15" spans="1:20" x14ac:dyDescent="0.25">
      <c r="A15" s="19"/>
      <c r="B15" s="17"/>
      <c r="C15" s="17"/>
      <c r="D15" s="17"/>
      <c r="E15" s="17"/>
      <c r="F15" s="17"/>
      <c r="G15" s="17"/>
      <c r="H15" s="17"/>
      <c r="I15" s="17"/>
      <c r="J15" s="17"/>
      <c r="K15" s="17"/>
      <c r="L15" s="17"/>
      <c r="M15" s="17"/>
      <c r="N15" s="17"/>
      <c r="O15" s="17"/>
      <c r="P15" s="17"/>
      <c r="Q15" s="17"/>
      <c r="R15" s="18"/>
      <c r="S15" s="23"/>
      <c r="T15" s="23"/>
    </row>
    <row r="16" spans="1:20" x14ac:dyDescent="0.25">
      <c r="A16" s="19"/>
      <c r="B16" s="17"/>
      <c r="C16" s="17"/>
      <c r="D16" s="17"/>
      <c r="E16" s="17"/>
      <c r="F16" s="17"/>
      <c r="G16" s="17"/>
      <c r="H16" s="17"/>
      <c r="I16" s="17"/>
      <c r="J16" s="17"/>
      <c r="K16" s="17"/>
      <c r="L16" s="17"/>
      <c r="M16" s="17"/>
      <c r="N16" s="17"/>
      <c r="O16" s="17"/>
      <c r="P16" s="17"/>
      <c r="Q16" s="17"/>
      <c r="R16" s="18"/>
      <c r="S16" s="23"/>
      <c r="T16" s="23"/>
    </row>
    <row r="17" spans="1:20" x14ac:dyDescent="0.25">
      <c r="A17" s="19"/>
      <c r="B17" s="17"/>
      <c r="C17" s="17"/>
      <c r="D17" s="17"/>
      <c r="E17" s="17"/>
      <c r="F17" s="17"/>
      <c r="G17" s="17"/>
      <c r="H17" s="17"/>
      <c r="I17" s="17"/>
      <c r="J17" s="17"/>
      <c r="K17" s="17"/>
      <c r="L17" s="17"/>
      <c r="M17" s="17"/>
      <c r="N17" s="17"/>
      <c r="O17" s="17"/>
      <c r="P17" s="17"/>
      <c r="Q17" s="17"/>
      <c r="R17" s="18"/>
      <c r="S17" s="23"/>
      <c r="T17" s="23"/>
    </row>
    <row r="18" spans="1:20" x14ac:dyDescent="0.25">
      <c r="A18" s="19"/>
      <c r="B18" s="17"/>
      <c r="C18" s="17"/>
      <c r="D18" s="17"/>
      <c r="E18" s="17"/>
      <c r="F18" s="17"/>
      <c r="G18" s="17"/>
      <c r="H18" s="17"/>
      <c r="I18" s="17"/>
      <c r="J18" s="17"/>
      <c r="K18" s="17"/>
      <c r="L18" s="17"/>
      <c r="M18" s="17"/>
      <c r="N18" s="17"/>
      <c r="O18" s="17"/>
      <c r="P18" s="17"/>
      <c r="Q18" s="17"/>
      <c r="R18" s="18"/>
      <c r="S18" s="23"/>
      <c r="T18" s="23"/>
    </row>
    <row r="19" spans="1:20" x14ac:dyDescent="0.25">
      <c r="A19" s="19"/>
      <c r="B19" s="17"/>
      <c r="C19" s="17"/>
      <c r="D19" s="17"/>
      <c r="E19" s="17"/>
      <c r="F19" s="17"/>
      <c r="G19" s="17"/>
      <c r="H19" s="17"/>
      <c r="I19" s="17"/>
      <c r="J19" s="17"/>
      <c r="K19" s="17"/>
      <c r="L19" s="17"/>
      <c r="M19" s="17"/>
      <c r="N19" s="17"/>
      <c r="O19" s="17"/>
      <c r="P19" s="17"/>
      <c r="Q19" s="17"/>
      <c r="R19" s="18"/>
      <c r="S19" s="23"/>
      <c r="T19" s="23"/>
    </row>
    <row r="20" spans="1:20" x14ac:dyDescent="0.25">
      <c r="A20" s="19"/>
      <c r="B20" s="17"/>
      <c r="C20" s="17"/>
      <c r="D20" s="17"/>
      <c r="E20" s="17"/>
      <c r="F20" s="17"/>
      <c r="G20" s="17"/>
      <c r="H20" s="17"/>
      <c r="I20" s="17"/>
      <c r="J20" s="17"/>
      <c r="K20" s="17"/>
      <c r="L20" s="17"/>
      <c r="M20" s="17"/>
      <c r="N20" s="17"/>
      <c r="O20" s="17"/>
      <c r="P20" s="17"/>
      <c r="Q20" s="17"/>
      <c r="R20" s="18"/>
      <c r="S20" s="23"/>
      <c r="T20" s="23"/>
    </row>
    <row r="21" spans="1:20" x14ac:dyDescent="0.25">
      <c r="A21" s="19"/>
      <c r="B21" s="17"/>
      <c r="C21" s="17"/>
      <c r="D21" s="17"/>
      <c r="E21" s="17"/>
      <c r="F21" s="17"/>
      <c r="G21" s="17"/>
      <c r="H21" s="17"/>
      <c r="I21" s="17"/>
      <c r="J21" s="17"/>
      <c r="K21" s="17"/>
      <c r="L21" s="17"/>
      <c r="M21" s="17"/>
      <c r="N21" s="17"/>
      <c r="O21" s="17"/>
      <c r="P21" s="17"/>
      <c r="Q21" s="17"/>
      <c r="R21" s="18"/>
      <c r="S21" s="23"/>
      <c r="T21" s="23"/>
    </row>
    <row r="22" spans="1:20" ht="15.75" thickBot="1" x14ac:dyDescent="0.3">
      <c r="A22" s="20"/>
      <c r="B22" s="21"/>
      <c r="C22" s="21"/>
      <c r="D22" s="21"/>
      <c r="E22" s="21"/>
      <c r="F22" s="21"/>
      <c r="G22" s="21"/>
      <c r="H22" s="21"/>
      <c r="I22" s="21"/>
      <c r="J22" s="21"/>
      <c r="K22" s="21"/>
      <c r="L22" s="21"/>
      <c r="M22" s="21"/>
      <c r="N22" s="21"/>
      <c r="O22" s="21"/>
      <c r="P22" s="21"/>
      <c r="Q22" s="21"/>
      <c r="R22" s="22"/>
      <c r="S22" s="23"/>
      <c r="T22" s="23"/>
    </row>
    <row r="23" spans="1:20" x14ac:dyDescent="0.25">
      <c r="A23" s="23"/>
      <c r="B23" s="23"/>
      <c r="C23" s="23"/>
      <c r="D23" s="23"/>
      <c r="E23" s="23"/>
      <c r="F23" s="23"/>
      <c r="G23" s="23"/>
      <c r="H23" s="23"/>
      <c r="I23" s="23"/>
      <c r="J23" s="23"/>
      <c r="K23" s="23"/>
      <c r="L23" s="23"/>
      <c r="M23" s="23"/>
      <c r="N23" s="23"/>
      <c r="O23" s="23"/>
      <c r="P23" s="23"/>
      <c r="Q23" s="23"/>
      <c r="R23" s="23"/>
      <c r="S23" s="23"/>
      <c r="T23" s="23"/>
    </row>
    <row r="24" spans="1:20" x14ac:dyDescent="0.25">
      <c r="A24" s="23"/>
      <c r="B24" s="23"/>
      <c r="C24" s="23"/>
      <c r="D24" s="23"/>
      <c r="E24" s="23"/>
      <c r="F24" s="23"/>
      <c r="G24" s="23"/>
      <c r="H24" s="23"/>
      <c r="I24" s="23"/>
      <c r="J24" s="23"/>
      <c r="K24" s="23"/>
      <c r="L24" s="23"/>
      <c r="M24" s="23"/>
      <c r="N24" s="23"/>
      <c r="O24" s="23"/>
      <c r="P24" s="23"/>
      <c r="Q24" s="23"/>
      <c r="R24" s="23"/>
      <c r="S24" s="23"/>
      <c r="T24" s="23"/>
    </row>
    <row r="25" spans="1:20" x14ac:dyDescent="0.25">
      <c r="A25" s="23"/>
      <c r="B25" s="23"/>
      <c r="C25" s="23"/>
      <c r="D25" s="23"/>
      <c r="E25" s="23"/>
      <c r="F25" s="23"/>
      <c r="G25" s="23"/>
      <c r="H25" s="23"/>
      <c r="I25" s="23"/>
      <c r="J25" s="23"/>
      <c r="K25" s="23"/>
      <c r="L25" s="23"/>
      <c r="M25" s="23"/>
      <c r="N25" s="23"/>
      <c r="O25" s="23"/>
      <c r="P25" s="23"/>
      <c r="Q25" s="23"/>
      <c r="R25" s="23"/>
      <c r="S25" s="23"/>
      <c r="T25" s="23"/>
    </row>
    <row r="26" spans="1:20" x14ac:dyDescent="0.25">
      <c r="A26" s="23"/>
      <c r="B26" s="23"/>
      <c r="C26" s="23"/>
      <c r="D26" s="23"/>
      <c r="E26" s="23"/>
      <c r="F26" s="23"/>
      <c r="G26" s="23"/>
      <c r="H26" s="23"/>
      <c r="I26" s="23"/>
      <c r="J26" s="23"/>
      <c r="K26" s="23"/>
      <c r="L26" s="23"/>
      <c r="M26" s="23"/>
      <c r="N26" s="23"/>
      <c r="O26" s="23"/>
      <c r="P26" s="23"/>
      <c r="Q26" s="23"/>
      <c r="R26" s="23"/>
      <c r="S26" s="23"/>
      <c r="T26" s="23"/>
    </row>
    <row r="27" spans="1:20" x14ac:dyDescent="0.25">
      <c r="A27" s="23"/>
      <c r="B27" s="23"/>
      <c r="C27" s="23"/>
      <c r="D27" s="23"/>
      <c r="E27" s="23"/>
      <c r="F27" s="23"/>
      <c r="G27" s="23"/>
      <c r="H27" s="23"/>
      <c r="I27" s="23"/>
      <c r="J27" s="23"/>
      <c r="K27" s="23"/>
      <c r="L27" s="23"/>
      <c r="M27" s="23"/>
      <c r="N27" s="23"/>
      <c r="O27" s="23"/>
      <c r="P27" s="23"/>
      <c r="Q27" s="23"/>
      <c r="R27" s="23"/>
      <c r="S27" s="23"/>
      <c r="T27" s="23"/>
    </row>
    <row r="28" spans="1:20" x14ac:dyDescent="0.25">
      <c r="A28" s="23"/>
      <c r="B28" s="23"/>
      <c r="C28" s="23"/>
      <c r="D28" s="23"/>
      <c r="E28" s="23"/>
      <c r="F28" s="23"/>
      <c r="G28" s="23"/>
      <c r="H28" s="23"/>
      <c r="I28" s="23"/>
      <c r="J28" s="23"/>
      <c r="K28" s="23"/>
      <c r="L28" s="23"/>
      <c r="M28" s="23"/>
      <c r="N28" s="23"/>
      <c r="O28" s="23"/>
      <c r="P28" s="23"/>
      <c r="Q28" s="23"/>
      <c r="R28" s="23"/>
      <c r="S28" s="23"/>
      <c r="T28" s="23"/>
    </row>
    <row r="29" spans="1:20" x14ac:dyDescent="0.25">
      <c r="A29" s="23"/>
      <c r="B29" s="23"/>
      <c r="C29" s="23"/>
      <c r="D29" s="23"/>
      <c r="E29" s="23"/>
      <c r="F29" s="23"/>
      <c r="G29" s="23"/>
      <c r="H29" s="23"/>
      <c r="I29" s="23"/>
      <c r="J29" s="23"/>
      <c r="K29" s="23"/>
      <c r="L29" s="23"/>
      <c r="M29" s="23"/>
      <c r="N29" s="23"/>
      <c r="O29" s="23"/>
      <c r="P29" s="23"/>
      <c r="Q29" s="23"/>
      <c r="R29" s="23"/>
      <c r="S29" s="23"/>
      <c r="T29" s="23"/>
    </row>
    <row r="30" spans="1:20" x14ac:dyDescent="0.25">
      <c r="A30" s="23"/>
      <c r="B30" s="23"/>
      <c r="C30" s="23"/>
      <c r="D30" s="23"/>
      <c r="E30" s="23"/>
      <c r="F30" s="23"/>
      <c r="G30" s="23"/>
      <c r="H30" s="23"/>
      <c r="I30" s="23"/>
      <c r="J30" s="23"/>
      <c r="K30" s="23"/>
      <c r="L30" s="23"/>
      <c r="M30" s="23"/>
      <c r="N30" s="23"/>
      <c r="O30" s="23"/>
      <c r="P30" s="23"/>
      <c r="Q30" s="23"/>
      <c r="R30" s="23"/>
      <c r="S30" s="23"/>
      <c r="T30" s="23"/>
    </row>
    <row r="31" spans="1:20" x14ac:dyDescent="0.25">
      <c r="A31" s="23"/>
      <c r="B31" s="23"/>
      <c r="C31" s="23"/>
      <c r="D31" s="23"/>
      <c r="E31" s="23"/>
      <c r="F31" s="23"/>
      <c r="G31" s="23"/>
      <c r="H31" s="23"/>
      <c r="I31" s="23"/>
      <c r="J31" s="23"/>
      <c r="K31" s="23"/>
      <c r="L31" s="23"/>
      <c r="M31" s="23"/>
      <c r="N31" s="23"/>
      <c r="O31" s="23"/>
      <c r="P31" s="23"/>
      <c r="Q31" s="23"/>
      <c r="R31" s="23"/>
      <c r="S31" s="23"/>
      <c r="T31" s="23"/>
    </row>
    <row r="32" spans="1:20" x14ac:dyDescent="0.25">
      <c r="A32" s="23"/>
      <c r="B32" s="23"/>
      <c r="C32" s="23"/>
      <c r="D32" s="23"/>
      <c r="E32" s="23"/>
      <c r="F32" s="23"/>
      <c r="G32" s="23"/>
      <c r="H32" s="23"/>
      <c r="I32" s="23"/>
      <c r="J32" s="23"/>
      <c r="K32" s="23"/>
      <c r="L32" s="23"/>
      <c r="M32" s="23"/>
      <c r="N32" s="23"/>
      <c r="O32" s="23"/>
      <c r="P32" s="23"/>
      <c r="Q32" s="23"/>
      <c r="R32" s="23"/>
      <c r="S32" s="23"/>
      <c r="T32" s="23"/>
    </row>
    <row r="33" spans="1:20" x14ac:dyDescent="0.25">
      <c r="A33" s="23"/>
      <c r="B33" s="23"/>
      <c r="C33" s="23"/>
      <c r="D33" s="23"/>
      <c r="E33" s="23"/>
      <c r="F33" s="23"/>
      <c r="G33" s="23"/>
      <c r="H33" s="23"/>
      <c r="I33" s="23"/>
      <c r="J33" s="23"/>
      <c r="K33" s="23"/>
      <c r="L33" s="23"/>
      <c r="M33" s="23"/>
      <c r="N33" s="23"/>
      <c r="O33" s="23"/>
      <c r="P33" s="23"/>
      <c r="Q33" s="23"/>
      <c r="R33" s="23"/>
      <c r="S33" s="23"/>
      <c r="T33" s="23"/>
    </row>
    <row r="34" spans="1:20" x14ac:dyDescent="0.25">
      <c r="A34" s="23"/>
      <c r="B34" s="23"/>
      <c r="C34" s="23"/>
      <c r="D34" s="23"/>
      <c r="E34" s="23"/>
      <c r="F34" s="23"/>
      <c r="G34" s="23"/>
      <c r="H34" s="23"/>
      <c r="I34" s="23"/>
      <c r="J34" s="23"/>
      <c r="K34" s="23"/>
      <c r="L34" s="23"/>
      <c r="M34" s="23"/>
      <c r="N34" s="23"/>
      <c r="O34" s="23"/>
      <c r="P34" s="23"/>
      <c r="Q34" s="23"/>
      <c r="R34" s="23"/>
      <c r="S34" s="23"/>
      <c r="T34" s="23"/>
    </row>
    <row r="35" spans="1:20" x14ac:dyDescent="0.25">
      <c r="A35" s="23"/>
      <c r="B35" s="23"/>
      <c r="C35" s="23"/>
      <c r="D35" s="23"/>
      <c r="E35" s="23"/>
      <c r="F35" s="23"/>
      <c r="G35" s="23"/>
      <c r="H35" s="23"/>
      <c r="I35" s="23"/>
      <c r="J35" s="23"/>
      <c r="K35" s="23"/>
      <c r="L35" s="23"/>
      <c r="M35" s="23"/>
      <c r="N35" s="23"/>
      <c r="O35" s="23"/>
      <c r="P35" s="23"/>
      <c r="Q35" s="23"/>
      <c r="R35" s="23"/>
      <c r="S35" s="23"/>
      <c r="T35" s="23"/>
    </row>
    <row r="36" spans="1:20" x14ac:dyDescent="0.25">
      <c r="A36" s="23"/>
      <c r="B36" s="23"/>
      <c r="C36" s="23"/>
      <c r="D36" s="23"/>
      <c r="E36" s="23"/>
      <c r="F36" s="23"/>
      <c r="G36" s="23"/>
      <c r="H36" s="23"/>
      <c r="I36" s="23"/>
      <c r="J36" s="23"/>
      <c r="K36" s="23"/>
      <c r="L36" s="23"/>
      <c r="M36" s="23"/>
      <c r="N36" s="23"/>
      <c r="O36" s="23"/>
      <c r="P36" s="23"/>
      <c r="Q36" s="23"/>
      <c r="R36" s="23"/>
      <c r="S36" s="23"/>
      <c r="T36" s="23"/>
    </row>
  </sheetData>
  <mergeCells count="5">
    <mergeCell ref="M2:O4"/>
    <mergeCell ref="I2:K4"/>
    <mergeCell ref="E2:G4"/>
    <mergeCell ref="A2:C4"/>
    <mergeCell ref="A1:R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445DA-344A-4196-812C-FF930F58607C}">
  <dimension ref="A3:E33"/>
  <sheetViews>
    <sheetView workbookViewId="0">
      <selection activeCell="E15" sqref="E15"/>
    </sheetView>
  </sheetViews>
  <sheetFormatPr defaultRowHeight="15" x14ac:dyDescent="0.25"/>
  <cols>
    <col min="1" max="1" width="15.7109375" bestFit="1" customWidth="1"/>
    <col min="2" max="2" width="14.7109375" bestFit="1" customWidth="1"/>
    <col min="3" max="3" width="14.7109375" style="7" bestFit="1" customWidth="1"/>
    <col min="4" max="4" width="13.140625" bestFit="1" customWidth="1"/>
    <col min="5" max="5" width="16.85546875" bestFit="1" customWidth="1"/>
  </cols>
  <sheetData>
    <row r="3" spans="1:5" x14ac:dyDescent="0.25">
      <c r="A3" t="s">
        <v>77</v>
      </c>
      <c r="B3" t="s">
        <v>78</v>
      </c>
      <c r="C3"/>
      <c r="D3" s="10" t="s">
        <v>79</v>
      </c>
      <c r="E3" s="10" t="s">
        <v>80</v>
      </c>
    </row>
    <row r="4" spans="1:5" x14ac:dyDescent="0.25">
      <c r="A4" s="2">
        <v>1463</v>
      </c>
      <c r="B4" s="2">
        <v>235</v>
      </c>
      <c r="C4"/>
      <c r="D4" s="9">
        <f>GETPIVOTDATA("Employees Left",$A$3) /GETPIVOTDATA("Total Employees",$A$3)</f>
        <v>0.16062884483937115</v>
      </c>
      <c r="E4" s="8">
        <f>GETPIVOTDATA("Total Employees",$A$3)-GETPIVOTDATA("Employees Left",$A$3)</f>
        <v>1228</v>
      </c>
    </row>
    <row r="5" spans="1:5" x14ac:dyDescent="0.25">
      <c r="C5"/>
    </row>
    <row r="6" spans="1:5" x14ac:dyDescent="0.25">
      <c r="C6"/>
    </row>
    <row r="7" spans="1:5" x14ac:dyDescent="0.25">
      <c r="C7"/>
    </row>
    <row r="8" spans="1:5" x14ac:dyDescent="0.25">
      <c r="C8"/>
    </row>
    <row r="9" spans="1:5" x14ac:dyDescent="0.25">
      <c r="C9"/>
    </row>
    <row r="10" spans="1:5" x14ac:dyDescent="0.25">
      <c r="C10"/>
    </row>
    <row r="11" spans="1:5" x14ac:dyDescent="0.25">
      <c r="C11"/>
    </row>
    <row r="12" spans="1:5" x14ac:dyDescent="0.25">
      <c r="C12"/>
    </row>
    <row r="13" spans="1:5" x14ac:dyDescent="0.25">
      <c r="C13"/>
    </row>
    <row r="14" spans="1:5" x14ac:dyDescent="0.25">
      <c r="C14"/>
    </row>
    <row r="15" spans="1:5" x14ac:dyDescent="0.25">
      <c r="C15"/>
    </row>
    <row r="16" spans="1:5" x14ac:dyDescent="0.25">
      <c r="C16"/>
    </row>
    <row r="17" spans="3:3" x14ac:dyDescent="0.25">
      <c r="C17"/>
    </row>
    <row r="18" spans="3:3" x14ac:dyDescent="0.25">
      <c r="C18"/>
    </row>
    <row r="19" spans="3:3" x14ac:dyDescent="0.25">
      <c r="C19"/>
    </row>
    <row r="20" spans="3:3" x14ac:dyDescent="0.25">
      <c r="C20"/>
    </row>
    <row r="21" spans="3:3" x14ac:dyDescent="0.25">
      <c r="C21"/>
    </row>
    <row r="22" spans="3:3" x14ac:dyDescent="0.25">
      <c r="C22"/>
    </row>
    <row r="23" spans="3:3" x14ac:dyDescent="0.25">
      <c r="C23"/>
    </row>
    <row r="24" spans="3:3" x14ac:dyDescent="0.25">
      <c r="C24"/>
    </row>
    <row r="25" spans="3:3" x14ac:dyDescent="0.25">
      <c r="C25"/>
    </row>
    <row r="26" spans="3:3" x14ac:dyDescent="0.25">
      <c r="C26"/>
    </row>
    <row r="27" spans="3:3" x14ac:dyDescent="0.25">
      <c r="C27"/>
    </row>
    <row r="28" spans="3:3" x14ac:dyDescent="0.25">
      <c r="C28"/>
    </row>
    <row r="29" spans="3:3" x14ac:dyDescent="0.25">
      <c r="C29"/>
    </row>
    <row r="30" spans="3:3" x14ac:dyDescent="0.25">
      <c r="C30"/>
    </row>
    <row r="31" spans="3:3" x14ac:dyDescent="0.25">
      <c r="C31"/>
    </row>
    <row r="32" spans="3:3" x14ac:dyDescent="0.25">
      <c r="C32"/>
    </row>
    <row r="33" spans="3:3" x14ac:dyDescent="0.25">
      <c r="C33"/>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F2BC-ABF6-4B8D-A543-C6E9DCF55DD8}">
  <dimension ref="A3:F7"/>
  <sheetViews>
    <sheetView workbookViewId="0">
      <selection activeCell="C4" sqref="C4"/>
    </sheetView>
  </sheetViews>
  <sheetFormatPr defaultRowHeight="15" x14ac:dyDescent="0.25"/>
  <cols>
    <col min="1" max="1" width="23.85546875" bestFit="1" customWidth="1"/>
    <col min="2" max="2" width="14.7109375" bestFit="1" customWidth="1"/>
    <col min="3" max="3" width="16.28515625" bestFit="1" customWidth="1"/>
    <col min="5" max="5" width="23.85546875" style="6" bestFit="1" customWidth="1"/>
    <col min="6" max="6" width="13.140625" bestFit="1" customWidth="1"/>
  </cols>
  <sheetData>
    <row r="3" spans="1:6" x14ac:dyDescent="0.25">
      <c r="A3" s="4" t="s">
        <v>75</v>
      </c>
      <c r="B3" t="s">
        <v>78</v>
      </c>
      <c r="C3" t="s">
        <v>81</v>
      </c>
      <c r="E3" s="12" t="s">
        <v>3</v>
      </c>
      <c r="F3" s="12" t="s">
        <v>79</v>
      </c>
    </row>
    <row r="4" spans="1:6" x14ac:dyDescent="0.25">
      <c r="A4" s="5" t="s">
        <v>70</v>
      </c>
      <c r="B4" s="2">
        <v>12</v>
      </c>
      <c r="C4" s="2">
        <v>62</v>
      </c>
      <c r="E4" s="11" t="s">
        <v>70</v>
      </c>
      <c r="F4" s="9">
        <f>GETPIVOTDATA("Employees Left",$A$3,"Department","Sales")/GETPIVOTDATA("Total_Employees",$A$3,"Department","Sales")</f>
        <v>0.2054176072234763</v>
      </c>
    </row>
    <row r="5" spans="1:6" x14ac:dyDescent="0.25">
      <c r="A5" s="5" t="s">
        <v>34</v>
      </c>
      <c r="B5" s="2">
        <v>132</v>
      </c>
      <c r="C5" s="2">
        <v>958</v>
      </c>
      <c r="E5" s="11" t="s">
        <v>34</v>
      </c>
      <c r="F5" s="9">
        <f>GETPIVOTDATA("Employees Left",$A$3,"Department","Human Resources")/GETPIVOTDATA("Total_Employees",$A$3,"Department","Human Resources")</f>
        <v>0.19354838709677419</v>
      </c>
    </row>
    <row r="6" spans="1:6" x14ac:dyDescent="0.25">
      <c r="A6" s="5" t="s">
        <v>53</v>
      </c>
      <c r="B6" s="2">
        <v>91</v>
      </c>
      <c r="C6" s="2">
        <v>443</v>
      </c>
      <c r="E6" s="11" t="s">
        <v>53</v>
      </c>
      <c r="F6" s="9">
        <f>GETPIVOTDATA("Employees Left",$A$3,"Department","Research &amp; Development")/GETPIVOTDATA("Total_Employees",$A$3,"Department","Research &amp; Development")</f>
        <v>0.13778705636743216</v>
      </c>
    </row>
    <row r="7" spans="1:6" x14ac:dyDescent="0.25">
      <c r="A7" s="5" t="s">
        <v>76</v>
      </c>
      <c r="B7" s="2">
        <v>235</v>
      </c>
      <c r="C7" s="2">
        <v>1463</v>
      </c>
    </row>
  </sheetData>
  <sortState ref="F4:F6">
    <sortCondition descending="1" ref="F4"/>
  </sortState>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D4916-2055-4B15-BA25-825081B98835}">
  <dimension ref="A3:G13"/>
  <sheetViews>
    <sheetView workbookViewId="0">
      <selection activeCell="C3" sqref="C3"/>
    </sheetView>
  </sheetViews>
  <sheetFormatPr defaultRowHeight="15" x14ac:dyDescent="0.25"/>
  <cols>
    <col min="1" max="1" width="25" bestFit="1" customWidth="1"/>
    <col min="2" max="2" width="14.7109375" bestFit="1" customWidth="1"/>
    <col min="3" max="3" width="15.7109375" bestFit="1" customWidth="1"/>
    <col min="5" max="5" width="25" bestFit="1" customWidth="1"/>
    <col min="6" max="6" width="13.140625" style="6" bestFit="1" customWidth="1"/>
  </cols>
  <sheetData>
    <row r="3" spans="1:7" x14ac:dyDescent="0.25">
      <c r="A3" s="4" t="s">
        <v>75</v>
      </c>
      <c r="B3" t="s">
        <v>78</v>
      </c>
      <c r="C3" t="s">
        <v>77</v>
      </c>
      <c r="E3" s="10" t="s">
        <v>8</v>
      </c>
      <c r="F3" s="12" t="s">
        <v>87</v>
      </c>
    </row>
    <row r="4" spans="1:7" x14ac:dyDescent="0.25">
      <c r="A4" s="5" t="s">
        <v>69</v>
      </c>
      <c r="B4" s="2">
        <v>9</v>
      </c>
      <c r="C4" s="2">
        <v>131</v>
      </c>
      <c r="E4" s="14" t="s">
        <v>69</v>
      </c>
      <c r="F4" s="15">
        <f t="shared" ref="F4:F12" si="0">B:B/C:C</f>
        <v>6.8702290076335881E-2</v>
      </c>
      <c r="G4" s="6"/>
    </row>
    <row r="5" spans="1:7" x14ac:dyDescent="0.25">
      <c r="A5" s="5" t="s">
        <v>70</v>
      </c>
      <c r="B5" s="2">
        <v>12</v>
      </c>
      <c r="C5" s="2">
        <v>51</v>
      </c>
      <c r="E5" s="14" t="s">
        <v>70</v>
      </c>
      <c r="F5" s="15">
        <f t="shared" si="0"/>
        <v>0.23529411764705882</v>
      </c>
      <c r="G5" s="6"/>
    </row>
    <row r="6" spans="1:7" x14ac:dyDescent="0.25">
      <c r="A6" s="5" t="s">
        <v>36</v>
      </c>
      <c r="B6" s="2">
        <v>61</v>
      </c>
      <c r="C6" s="2">
        <v>258</v>
      </c>
      <c r="E6" s="14" t="s">
        <v>36</v>
      </c>
      <c r="F6" s="15">
        <f t="shared" si="0"/>
        <v>0.23643410852713179</v>
      </c>
      <c r="G6" s="6"/>
    </row>
    <row r="7" spans="1:7" x14ac:dyDescent="0.25">
      <c r="A7" s="5" t="s">
        <v>66</v>
      </c>
      <c r="B7" s="2">
        <v>5</v>
      </c>
      <c r="C7" s="2">
        <v>101</v>
      </c>
      <c r="E7" s="14" t="s">
        <v>66</v>
      </c>
      <c r="F7" s="15">
        <f t="shared" si="0"/>
        <v>4.9504950495049507E-2</v>
      </c>
      <c r="G7" s="6"/>
    </row>
    <row r="8" spans="1:7" x14ac:dyDescent="0.25">
      <c r="A8" s="5" t="s">
        <v>67</v>
      </c>
      <c r="B8" s="2">
        <v>10</v>
      </c>
      <c r="C8" s="2">
        <v>145</v>
      </c>
      <c r="E8" s="14" t="s">
        <v>67</v>
      </c>
      <c r="F8" s="15">
        <f t="shared" si="0"/>
        <v>6.8965517241379309E-2</v>
      </c>
      <c r="G8" s="6"/>
    </row>
    <row r="9" spans="1:7" x14ac:dyDescent="0.25">
      <c r="A9" s="5" t="s">
        <v>49</v>
      </c>
      <c r="B9" s="2">
        <v>2</v>
      </c>
      <c r="C9" s="2">
        <v>80</v>
      </c>
      <c r="E9" s="14" t="s">
        <v>49</v>
      </c>
      <c r="F9" s="15">
        <f t="shared" si="0"/>
        <v>2.5000000000000001E-2</v>
      </c>
      <c r="G9" s="6"/>
    </row>
    <row r="10" spans="1:7" x14ac:dyDescent="0.25">
      <c r="A10" s="5" t="s">
        <v>44</v>
      </c>
      <c r="B10" s="2">
        <v>47</v>
      </c>
      <c r="C10" s="2">
        <v>291</v>
      </c>
      <c r="E10" s="14" t="s">
        <v>44</v>
      </c>
      <c r="F10" s="15">
        <f t="shared" si="0"/>
        <v>0.16151202749140894</v>
      </c>
      <c r="G10" s="6"/>
    </row>
    <row r="11" spans="1:7" x14ac:dyDescent="0.25">
      <c r="A11" s="5" t="s">
        <v>64</v>
      </c>
      <c r="B11" s="2">
        <v>57</v>
      </c>
      <c r="C11" s="2">
        <v>324</v>
      </c>
      <c r="E11" s="14" t="s">
        <v>64</v>
      </c>
      <c r="F11" s="15">
        <f t="shared" si="0"/>
        <v>0.17592592592592593</v>
      </c>
      <c r="G11" s="6"/>
    </row>
    <row r="12" spans="1:7" x14ac:dyDescent="0.25">
      <c r="A12" s="5" t="s">
        <v>54</v>
      </c>
      <c r="B12" s="2">
        <v>32</v>
      </c>
      <c r="C12" s="2">
        <v>82</v>
      </c>
      <c r="E12" s="14" t="s">
        <v>54</v>
      </c>
      <c r="F12" s="15">
        <f t="shared" si="0"/>
        <v>0.3902439024390244</v>
      </c>
      <c r="G12" s="6"/>
    </row>
    <row r="13" spans="1:7" x14ac:dyDescent="0.25">
      <c r="A13" s="5" t="s">
        <v>76</v>
      </c>
      <c r="B13" s="2">
        <v>235</v>
      </c>
      <c r="C13" s="2">
        <v>1463</v>
      </c>
    </row>
  </sheetData>
  <sortState ref="F4:F12">
    <sortCondition descending="1" ref="F4"/>
  </sortState>
  <pageMargins left="0.7" right="0.7" top="0.75" bottom="0.75" header="0.3" footer="0.3"/>
  <pageSetup orientation="portrait"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98D50-EB0B-4DD5-94C6-AEBD92F2D203}">
  <dimension ref="A3:F9"/>
  <sheetViews>
    <sheetView workbookViewId="0">
      <selection activeCell="C3" sqref="C3"/>
    </sheetView>
  </sheetViews>
  <sheetFormatPr defaultRowHeight="15" x14ac:dyDescent="0.25"/>
  <cols>
    <col min="1" max="1" width="13.140625" bestFit="1" customWidth="1"/>
    <col min="2" max="2" width="14.7109375" bestFit="1" customWidth="1"/>
    <col min="3" max="3" width="15.7109375" bestFit="1" customWidth="1"/>
    <col min="5" max="6" width="13.140625" bestFit="1" customWidth="1"/>
  </cols>
  <sheetData>
    <row r="3" spans="1:6" x14ac:dyDescent="0.25">
      <c r="A3" s="4" t="s">
        <v>75</v>
      </c>
      <c r="B3" t="s">
        <v>78</v>
      </c>
      <c r="C3" t="s">
        <v>77</v>
      </c>
      <c r="E3" s="10" t="s">
        <v>88</v>
      </c>
      <c r="F3" s="10" t="s">
        <v>79</v>
      </c>
    </row>
    <row r="4" spans="1:6" x14ac:dyDescent="0.25">
      <c r="A4" s="5" t="s">
        <v>85</v>
      </c>
      <c r="B4" s="2">
        <v>12</v>
      </c>
      <c r="C4" s="2">
        <v>51</v>
      </c>
      <c r="E4" s="11" t="s">
        <v>85</v>
      </c>
      <c r="F4" s="9">
        <f>B4:B8/C4:C8</f>
        <v>0.23529411764705882</v>
      </c>
    </row>
    <row r="5" spans="1:6" x14ac:dyDescent="0.25">
      <c r="A5" s="5" t="s">
        <v>86</v>
      </c>
      <c r="B5" s="2">
        <v>7</v>
      </c>
      <c r="C5" s="2">
        <v>181</v>
      </c>
      <c r="E5" s="11" t="s">
        <v>86</v>
      </c>
      <c r="F5" s="9">
        <f>B5:B9/C5:C9</f>
        <v>3.8674033149171269E-2</v>
      </c>
    </row>
    <row r="6" spans="1:6" x14ac:dyDescent="0.25">
      <c r="A6" s="5" t="s">
        <v>84</v>
      </c>
      <c r="B6" s="2">
        <v>19</v>
      </c>
      <c r="C6" s="2">
        <v>276</v>
      </c>
      <c r="E6" s="11" t="s">
        <v>84</v>
      </c>
      <c r="F6" s="9">
        <f>B6:B10/C6:C10</f>
        <v>6.8840579710144928E-2</v>
      </c>
    </row>
    <row r="7" spans="1:6" x14ac:dyDescent="0.25">
      <c r="A7" s="5" t="s">
        <v>53</v>
      </c>
      <c r="B7" s="2">
        <v>89</v>
      </c>
      <c r="C7" s="2">
        <v>406</v>
      </c>
      <c r="E7" s="11" t="s">
        <v>53</v>
      </c>
      <c r="F7" s="9">
        <f>B7:B11/C7:C11</f>
        <v>0.21921182266009853</v>
      </c>
    </row>
    <row r="8" spans="1:6" x14ac:dyDescent="0.25">
      <c r="A8" s="5" t="s">
        <v>83</v>
      </c>
      <c r="B8" s="2">
        <v>108</v>
      </c>
      <c r="C8" s="2">
        <v>549</v>
      </c>
      <c r="E8" s="11" t="s">
        <v>83</v>
      </c>
      <c r="F8" s="9">
        <f>B8:B12/C8:C12</f>
        <v>0.19672131147540983</v>
      </c>
    </row>
    <row r="9" spans="1:6" x14ac:dyDescent="0.25">
      <c r="A9" s="5" t="s">
        <v>76</v>
      </c>
      <c r="B9" s="2">
        <v>235</v>
      </c>
      <c r="C9" s="2">
        <v>1463</v>
      </c>
    </row>
  </sheetData>
  <pageMargins left="0.7" right="0.7" top="0.75" bottom="0.75" header="0.3" footer="0.3"/>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E2D76-F617-424A-A4AA-F2042613E401}">
  <dimension ref="A3:F8"/>
  <sheetViews>
    <sheetView workbookViewId="0">
      <selection activeCell="H12" sqref="H12"/>
    </sheetView>
  </sheetViews>
  <sheetFormatPr defaultRowHeight="15" x14ac:dyDescent="0.25"/>
  <cols>
    <col min="1" max="1" width="13.140625" bestFit="1" customWidth="1"/>
    <col min="2" max="2" width="14.7109375" bestFit="1" customWidth="1"/>
    <col min="3" max="3" width="15.7109375" bestFit="1" customWidth="1"/>
    <col min="5" max="5" width="12.42578125" bestFit="1" customWidth="1"/>
    <col min="6" max="6" width="13.140625" bestFit="1" customWidth="1"/>
  </cols>
  <sheetData>
    <row r="3" spans="1:6" x14ac:dyDescent="0.25">
      <c r="A3" s="4" t="s">
        <v>75</v>
      </c>
      <c r="B3" t="s">
        <v>78</v>
      </c>
      <c r="C3" t="s">
        <v>77</v>
      </c>
      <c r="E3" s="10" t="s">
        <v>95</v>
      </c>
      <c r="F3" s="10" t="s">
        <v>79</v>
      </c>
    </row>
    <row r="4" spans="1:6" x14ac:dyDescent="0.25">
      <c r="A4" s="5" t="s">
        <v>89</v>
      </c>
      <c r="B4" s="2">
        <v>47</v>
      </c>
      <c r="C4" s="2">
        <v>434</v>
      </c>
      <c r="E4" s="11" t="s">
        <v>89</v>
      </c>
      <c r="F4" s="9">
        <f>B4:B5/C4:C5</f>
        <v>0.10829493087557604</v>
      </c>
    </row>
    <row r="5" spans="1:6" x14ac:dyDescent="0.25">
      <c r="A5" s="5" t="s">
        <v>90</v>
      </c>
      <c r="B5" s="2">
        <v>188</v>
      </c>
      <c r="C5" s="2">
        <v>1029</v>
      </c>
      <c r="E5" s="11" t="s">
        <v>90</v>
      </c>
      <c r="F5" s="9">
        <f t="shared" ref="F5" si="0">B5:B6/C5:C6</f>
        <v>0.1827016520894072</v>
      </c>
    </row>
    <row r="6" spans="1:6" x14ac:dyDescent="0.25">
      <c r="A6" s="5" t="s">
        <v>76</v>
      </c>
      <c r="B6" s="2">
        <v>235</v>
      </c>
      <c r="C6" s="2">
        <v>1463</v>
      </c>
      <c r="F6" s="6"/>
    </row>
    <row r="7" spans="1:6" x14ac:dyDescent="0.25">
      <c r="F7" s="6"/>
    </row>
    <row r="8" spans="1:6" x14ac:dyDescent="0.25">
      <c r="F8" s="6"/>
    </row>
  </sheetData>
  <pageMargins left="0.7" right="0.7" top="0.75" bottom="0.75" header="0.3" footer="0.3"/>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5A255-A1D1-4E15-AC4F-062A3681556B}">
  <dimension ref="A3:F8"/>
  <sheetViews>
    <sheetView workbookViewId="0">
      <selection activeCell="G4" sqref="G4"/>
    </sheetView>
  </sheetViews>
  <sheetFormatPr defaultRowHeight="15" x14ac:dyDescent="0.25"/>
  <cols>
    <col min="1" max="1" width="13.140625" bestFit="1" customWidth="1"/>
    <col min="2" max="2" width="14.7109375" bestFit="1" customWidth="1"/>
    <col min="3" max="3" width="15.7109375" bestFit="1" customWidth="1"/>
    <col min="4" max="4" width="9.140625" customWidth="1"/>
    <col min="5" max="5" width="16.42578125" bestFit="1" customWidth="1"/>
    <col min="6" max="6" width="13.140625" bestFit="1" customWidth="1"/>
  </cols>
  <sheetData>
    <row r="3" spans="1:6" x14ac:dyDescent="0.25">
      <c r="A3" s="4" t="s">
        <v>75</v>
      </c>
      <c r="B3" t="s">
        <v>78</v>
      </c>
      <c r="C3" t="s">
        <v>77</v>
      </c>
      <c r="E3" s="10" t="s">
        <v>96</v>
      </c>
      <c r="F3" s="16" t="s">
        <v>79</v>
      </c>
    </row>
    <row r="4" spans="1:6" x14ac:dyDescent="0.25">
      <c r="A4" s="5" t="s">
        <v>91</v>
      </c>
      <c r="B4" s="2">
        <v>100</v>
      </c>
      <c r="C4" s="2">
        <v>338</v>
      </c>
      <c r="E4" s="11" t="s">
        <v>91</v>
      </c>
      <c r="F4" s="9">
        <f>B4:B7/C4:C7</f>
        <v>0.29585798816568049</v>
      </c>
    </row>
    <row r="5" spans="1:6" x14ac:dyDescent="0.25">
      <c r="A5" s="5" t="s">
        <v>92</v>
      </c>
      <c r="B5" s="2">
        <v>60</v>
      </c>
      <c r="C5" s="2">
        <v>434</v>
      </c>
      <c r="E5" s="11" t="s">
        <v>92</v>
      </c>
      <c r="F5" s="9">
        <f>B5:B8/C5:C8</f>
        <v>0.13824884792626729</v>
      </c>
    </row>
    <row r="6" spans="1:6" x14ac:dyDescent="0.25">
      <c r="A6" s="5" t="s">
        <v>93</v>
      </c>
      <c r="B6" s="2">
        <v>55</v>
      </c>
      <c r="C6" s="2">
        <v>445</v>
      </c>
      <c r="E6" s="11" t="s">
        <v>93</v>
      </c>
      <c r="F6" s="9">
        <f>B6:B9/C6:C9</f>
        <v>0.12359550561797752</v>
      </c>
    </row>
    <row r="7" spans="1:6" x14ac:dyDescent="0.25">
      <c r="A7" s="5" t="s">
        <v>94</v>
      </c>
      <c r="B7" s="2">
        <v>20</v>
      </c>
      <c r="C7" s="2">
        <v>246</v>
      </c>
      <c r="E7" s="11" t="s">
        <v>94</v>
      </c>
      <c r="F7" s="9">
        <f>B7:B10/C7:C10</f>
        <v>8.1300813008130079E-2</v>
      </c>
    </row>
    <row r="8" spans="1:6" x14ac:dyDescent="0.25">
      <c r="A8" s="5" t="s">
        <v>76</v>
      </c>
      <c r="B8" s="2">
        <v>235</v>
      </c>
      <c r="C8" s="2">
        <v>1463</v>
      </c>
    </row>
  </sheetData>
  <pageMargins left="0.7" right="0.7" top="0.75" bottom="0.75" header="0.3" footer="0.3"/>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7F58-73B5-448A-9F58-37BC09002C56}">
  <dimension ref="A1:B10"/>
  <sheetViews>
    <sheetView workbookViewId="0">
      <selection activeCell="B1" sqref="B1"/>
    </sheetView>
  </sheetViews>
  <sheetFormatPr defaultRowHeight="15" x14ac:dyDescent="0.25"/>
  <cols>
    <col min="1" max="1" width="25" bestFit="1" customWidth="1"/>
    <col min="2" max="2" width="16" customWidth="1"/>
    <col min="3" max="3" width="11" customWidth="1"/>
  </cols>
  <sheetData>
    <row r="1" spans="1:2" x14ac:dyDescent="0.25">
      <c r="A1" s="13" t="s">
        <v>8</v>
      </c>
      <c r="B1" s="13" t="s">
        <v>82</v>
      </c>
    </row>
    <row r="2" spans="1:2" x14ac:dyDescent="0.25">
      <c r="A2" t="s">
        <v>36</v>
      </c>
      <c r="B2" t="s">
        <v>83</v>
      </c>
    </row>
    <row r="3" spans="1:2" x14ac:dyDescent="0.25">
      <c r="A3" t="s">
        <v>44</v>
      </c>
      <c r="B3" t="s">
        <v>83</v>
      </c>
    </row>
    <row r="4" spans="1:2" x14ac:dyDescent="0.25">
      <c r="A4" t="s">
        <v>49</v>
      </c>
      <c r="B4" t="s">
        <v>86</v>
      </c>
    </row>
    <row r="5" spans="1:2" x14ac:dyDescent="0.25">
      <c r="A5" t="s">
        <v>54</v>
      </c>
      <c r="B5" t="s">
        <v>53</v>
      </c>
    </row>
    <row r="6" spans="1:2" x14ac:dyDescent="0.25">
      <c r="A6" t="s">
        <v>64</v>
      </c>
      <c r="B6" t="s">
        <v>53</v>
      </c>
    </row>
    <row r="7" spans="1:2" x14ac:dyDescent="0.25">
      <c r="A7" t="s">
        <v>66</v>
      </c>
      <c r="B7" t="s">
        <v>86</v>
      </c>
    </row>
    <row r="8" spans="1:2" x14ac:dyDescent="0.25">
      <c r="A8" t="s">
        <v>67</v>
      </c>
      <c r="B8" t="s">
        <v>84</v>
      </c>
    </row>
    <row r="9" spans="1:2" x14ac:dyDescent="0.25">
      <c r="A9" t="s">
        <v>69</v>
      </c>
      <c r="B9" t="s">
        <v>84</v>
      </c>
    </row>
    <row r="10" spans="1:2" x14ac:dyDescent="0.25">
      <c r="A10" t="s">
        <v>70</v>
      </c>
      <c r="B10" t="s">
        <v>85</v>
      </c>
    </row>
  </sheetData>
  <pageMargins left="0.7" right="0.7" top="0.75" bottom="0.75" header="0.3" footer="0.3"/>
  <tableParts count="1">
    <tablePart r:id="rId1"/>
  </tableParts>
</worksheet>
</file>

<file path=xl/worksheets/sheet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471"/>
  <sheetViews>
    <sheetView workbookViewId="0">
      <selection activeCell="E7" sqref="E7"/>
    </sheetView>
  </sheetViews>
  <sheetFormatPr defaultRowHeight="15" x14ac:dyDescent="0.25"/>
  <cols>
    <col min="1" max="1" width="6.5703125" style="2" customWidth="1"/>
    <col min="2" max="2" width="10.7109375" customWidth="1"/>
    <col min="3" max="3" width="17.42578125" bestFit="1" customWidth="1"/>
    <col min="4" max="4" width="23.85546875" bestFit="1" customWidth="1"/>
    <col min="5" max="5" width="20.5703125" customWidth="1"/>
    <col min="6" max="6" width="9.85546875" customWidth="1"/>
    <col min="7" max="7" width="17.42578125" customWidth="1"/>
    <col min="8" max="8" width="10.85546875" customWidth="1"/>
    <col min="9" max="9" width="25" bestFit="1" customWidth="1"/>
    <col min="10" max="10" width="16.42578125" customWidth="1"/>
    <col min="11" max="11" width="15" customWidth="1"/>
    <col min="12" max="12" width="17.28515625" customWidth="1"/>
    <col min="13" max="13" width="24.42578125" customWidth="1"/>
    <col min="14" max="14" width="11.85546875" customWidth="1"/>
    <col min="15" max="15" width="19.28515625" customWidth="1"/>
    <col min="16" max="16" width="20.140625" customWidth="1"/>
    <col min="17" max="17" width="18.7109375" customWidth="1"/>
    <col min="18" max="18" width="20" customWidth="1"/>
    <col min="19" max="19" width="23" customWidth="1"/>
    <col min="20" max="20" width="18.28515625" customWidth="1"/>
    <col min="21" max="21" width="25.5703125" customWidth="1"/>
    <col min="22" max="22" width="24" customWidth="1"/>
    <col min="23" max="23" width="18.7109375" customWidth="1"/>
    <col min="24" max="24" width="14.85546875" customWidth="1"/>
    <col min="25" max="25" width="21.7109375" customWidth="1"/>
    <col min="26" max="26" width="18.85546875" customWidth="1"/>
    <col min="27" max="27" width="16.7109375" customWidth="1"/>
    <col min="28" max="28" width="9.140625" customWidth="1"/>
    <col min="29" max="29" width="14.85546875" customWidth="1"/>
    <col min="30" max="30" width="16.42578125" customWidth="1"/>
    <col min="31" max="31" width="16.7109375" customWidth="1"/>
    <col min="32" max="32" width="12.28515625" customWidth="1"/>
    <col min="33" max="33" width="15.5703125" bestFit="1" customWidth="1"/>
    <col min="34" max="34" width="25.7109375" bestFit="1" customWidth="1"/>
    <col min="35" max="35" width="18.7109375" bestFit="1" customWidth="1"/>
    <col min="36" max="36" width="15.42578125" bestFit="1" customWidth="1"/>
    <col min="37" max="37" width="16.28515625" bestFit="1" customWidth="1"/>
  </cols>
  <sheetData>
    <row r="1" spans="1:37" ht="17.25" x14ac:dyDescent="0.3">
      <c r="A1" s="2"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71</v>
      </c>
      <c r="AH1" s="3" t="s">
        <v>72</v>
      </c>
      <c r="AI1" t="s">
        <v>73</v>
      </c>
      <c r="AJ1" t="s">
        <v>74</v>
      </c>
      <c r="AK1" t="s">
        <v>82</v>
      </c>
    </row>
    <row r="2" spans="1:37" x14ac:dyDescent="0.25">
      <c r="A2" s="2">
        <v>37</v>
      </c>
      <c r="B2" t="s">
        <v>32</v>
      </c>
      <c r="C2" t="s">
        <v>33</v>
      </c>
      <c r="D2" t="s">
        <v>34</v>
      </c>
      <c r="E2">
        <v>2</v>
      </c>
      <c r="F2" t="s">
        <v>35</v>
      </c>
      <c r="G2">
        <v>2</v>
      </c>
      <c r="H2">
        <v>1</v>
      </c>
      <c r="I2" t="s">
        <v>36</v>
      </c>
      <c r="J2">
        <v>3</v>
      </c>
      <c r="K2" t="s">
        <v>37</v>
      </c>
      <c r="L2">
        <v>2090</v>
      </c>
      <c r="M2">
        <v>6</v>
      </c>
      <c r="N2" t="s">
        <v>32</v>
      </c>
      <c r="O2">
        <v>15</v>
      </c>
      <c r="P2">
        <v>3</v>
      </c>
      <c r="Q2">
        <v>0</v>
      </c>
      <c r="R2">
        <v>7</v>
      </c>
      <c r="S2">
        <v>3</v>
      </c>
      <c r="T2">
        <v>0</v>
      </c>
      <c r="U2">
        <v>0</v>
      </c>
      <c r="V2">
        <v>0</v>
      </c>
      <c r="W2" t="s">
        <v>38</v>
      </c>
      <c r="X2" s="1" t="d">
        <v>2021-01-21</v>
      </c>
      <c r="Z2" t="s">
        <v>39</v>
      </c>
      <c r="AA2" t="s">
        <v>40</v>
      </c>
      <c r="AB2">
        <v>4</v>
      </c>
      <c r="AC2">
        <v>2</v>
      </c>
      <c r="AD2" t="s">
        <v>41</v>
      </c>
      <c r="AE2" t="s">
        <v>42</v>
      </c>
      <c r="AF2" t="s">
        <v>43</v>
      </c>
      <c r="AG2">
        <f>IF(HR_Data[[#This Row],[Attrition]]="Yes",1,0)</f>
        <v>1</v>
      </c>
      <c r="AH2" t="str">
        <f>IF(HR_Data[Date_of_termination]="","Active","Left")</f>
        <v>Active</v>
      </c>
      <c r="AI2" t="str">
        <f>IF(HR_Data[YearsAtCompany]&lt;=2,"Fresher", IF(HR_Data[YearsAtCompany]&lt;=5,"Junior", IF(HR_Data[YearsAtCompany]&lt;=10, "Mid","Senior")))</f>
        <v>Fresher</v>
      </c>
      <c r="AJ2" s="2" t="str">
        <f>IF(HR_Data[MonthlyIncome]&lt;=300,"Low", IF(HR_Data[MonthlyIncome]&lt;=7000,"Medium", "High"))</f>
        <v>Medium</v>
      </c>
      <c r="AK2" s="2" t="str">
        <f>VLOOKUP(HR_Data[JobRole], JobRole_Map[], 2, FALSE)</f>
        <v>Technical</v>
      </c>
    </row>
    <row r="3" spans="1:37" x14ac:dyDescent="0.25">
      <c r="A3" s="2">
        <v>21</v>
      </c>
      <c r="B3" t="s">
        <v>41</v>
      </c>
      <c r="C3" t="s">
        <v>33</v>
      </c>
      <c r="D3" t="s">
        <v>34</v>
      </c>
      <c r="E3">
        <v>15</v>
      </c>
      <c r="F3" t="s">
        <v>35</v>
      </c>
      <c r="G3">
        <v>3</v>
      </c>
      <c r="H3">
        <v>1</v>
      </c>
      <c r="I3" t="s">
        <v>44</v>
      </c>
      <c r="J3">
        <v>4</v>
      </c>
      <c r="K3" t="s">
        <v>37</v>
      </c>
      <c r="L3">
        <v>1232</v>
      </c>
      <c r="M3">
        <v>1</v>
      </c>
      <c r="N3" t="s">
        <v>41</v>
      </c>
      <c r="O3">
        <v>14</v>
      </c>
      <c r="P3">
        <v>3</v>
      </c>
      <c r="Q3">
        <v>0</v>
      </c>
      <c r="R3">
        <v>0</v>
      </c>
      <c r="S3">
        <v>6</v>
      </c>
      <c r="T3">
        <v>0</v>
      </c>
      <c r="U3">
        <v>0</v>
      </c>
      <c r="V3">
        <v>0</v>
      </c>
      <c r="W3" t="s">
        <v>38</v>
      </c>
      <c r="X3" s="1" t="d">
        <v>2021-03-13</v>
      </c>
      <c r="Z3" t="s">
        <v>45</v>
      </c>
      <c r="AA3" t="s">
        <v>46</v>
      </c>
      <c r="AB3">
        <v>5</v>
      </c>
      <c r="AC3">
        <v>2</v>
      </c>
      <c r="AD3" t="s">
        <v>41</v>
      </c>
      <c r="AE3" t="s">
        <v>47</v>
      </c>
      <c r="AF3" t="s">
        <v>48</v>
      </c>
      <c r="AG3">
        <f>IF(HR_Data[[#This Row],[Attrition]]="Yes",1,0)</f>
        <v>0</v>
      </c>
      <c r="AH3" t="str">
        <f>IF(HR_Data[Date_of_termination]="","Active","Left")</f>
        <v>Active</v>
      </c>
      <c r="AI3" t="str">
        <f>IF(HR_Data[YearsAtCompany]&lt;=2,"Fresher", IF(HR_Data[YearsAtCompany]&lt;=5,"Junior", IF(HR_Data[YearsAtCompany]&lt;=10, "Mid","Senior")))</f>
        <v>Fresher</v>
      </c>
      <c r="AJ3" s="2" t="str">
        <f>IF(HR_Data[MonthlyIncome]&lt;=300,"Low", IF(HR_Data[MonthlyIncome]&lt;=7000,"Medium", "High"))</f>
        <v>Medium</v>
      </c>
      <c r="AK3" s="2" t="str">
        <f>VLOOKUP(HR_Data[JobRole], JobRole_Map[], 2, FALSE)</f>
        <v>Technical</v>
      </c>
    </row>
    <row r="4" spans="1:37" x14ac:dyDescent="0.25">
      <c r="A4" s="2">
        <v>45</v>
      </c>
      <c r="B4" t="s">
        <v>41</v>
      </c>
      <c r="C4" t="s">
        <v>33</v>
      </c>
      <c r="D4" t="s">
        <v>34</v>
      </c>
      <c r="E4">
        <v>6</v>
      </c>
      <c r="F4" t="s">
        <v>35</v>
      </c>
      <c r="G4">
        <v>3</v>
      </c>
      <c r="H4">
        <v>3</v>
      </c>
      <c r="I4" t="s">
        <v>49</v>
      </c>
      <c r="J4">
        <v>1</v>
      </c>
      <c r="K4" t="s">
        <v>50</v>
      </c>
      <c r="L4">
        <v>13245</v>
      </c>
      <c r="M4">
        <v>4</v>
      </c>
      <c r="N4" t="s">
        <v>32</v>
      </c>
      <c r="O4">
        <v>14</v>
      </c>
      <c r="P4">
        <v>3</v>
      </c>
      <c r="Q4">
        <v>0</v>
      </c>
      <c r="R4">
        <v>17</v>
      </c>
      <c r="S4">
        <v>3</v>
      </c>
      <c r="T4">
        <v>0</v>
      </c>
      <c r="U4">
        <v>0</v>
      </c>
      <c r="V4">
        <v>0</v>
      </c>
      <c r="W4" t="s">
        <v>51</v>
      </c>
      <c r="X4" s="1" t="d">
        <v>2021-01-23</v>
      </c>
      <c r="Z4" t="s">
        <v>52</v>
      </c>
      <c r="AA4" t="s">
        <v>46</v>
      </c>
      <c r="AB4">
        <v>1</v>
      </c>
      <c r="AC4">
        <v>3</v>
      </c>
      <c r="AD4" t="s">
        <v>41</v>
      </c>
      <c r="AE4" t="s">
        <v>42</v>
      </c>
      <c r="AF4" t="s">
        <v>43</v>
      </c>
      <c r="AG4">
        <f>IF(HR_Data[[#This Row],[Attrition]]="Yes",1,0)</f>
        <v>0</v>
      </c>
      <c r="AH4" t="str">
        <f>IF(HR_Data[Date_of_termination]="","Active","Left")</f>
        <v>Active</v>
      </c>
      <c r="AI4" t="str">
        <f>IF(HR_Data[YearsAtCompany]&lt;=2,"Fresher", IF(HR_Data[YearsAtCompany]&lt;=5,"Junior", IF(HR_Data[YearsAtCompany]&lt;=10, "Mid","Senior")))</f>
        <v>Fresher</v>
      </c>
      <c r="AJ4" s="2" t="str">
        <f>IF(HR_Data[MonthlyIncome]&lt;=300,"Low", IF(HR_Data[MonthlyIncome]&lt;=7000,"Medium", "High"))</f>
        <v>High</v>
      </c>
      <c r="AK4" s="2" t="str">
        <f>VLOOKUP(HR_Data[JobRole], JobRole_Map[], 2, FALSE)</f>
        <v>Management</v>
      </c>
    </row>
    <row r="5" spans="1:37" x14ac:dyDescent="0.25">
      <c r="A5" s="2">
        <v>23</v>
      </c>
      <c r="B5" t="s">
        <v>41</v>
      </c>
      <c r="C5" t="s">
        <v>33</v>
      </c>
      <c r="D5" t="s">
        <v>53</v>
      </c>
      <c r="E5">
        <v>2</v>
      </c>
      <c r="F5" t="s">
        <v>35</v>
      </c>
      <c r="G5">
        <v>3</v>
      </c>
      <c r="H5">
        <v>1</v>
      </c>
      <c r="I5" t="s">
        <v>54</v>
      </c>
      <c r="J5">
        <v>1</v>
      </c>
      <c r="K5" t="s">
        <v>55</v>
      </c>
      <c r="L5">
        <v>2322</v>
      </c>
      <c r="M5">
        <v>3</v>
      </c>
      <c r="N5" t="s">
        <v>41</v>
      </c>
      <c r="O5">
        <v>13</v>
      </c>
      <c r="P5">
        <v>3</v>
      </c>
      <c r="Q5">
        <v>1</v>
      </c>
      <c r="R5">
        <v>3</v>
      </c>
      <c r="S5">
        <v>3</v>
      </c>
      <c r="T5">
        <v>0</v>
      </c>
      <c r="U5">
        <v>0</v>
      </c>
      <c r="V5">
        <v>0</v>
      </c>
      <c r="W5" t="s">
        <v>56</v>
      </c>
      <c r="X5" s="1" t="d">
        <v>2021-04-25</v>
      </c>
      <c r="Z5" t="s">
        <v>45</v>
      </c>
      <c r="AA5" t="s">
        <v>40</v>
      </c>
      <c r="AB5">
        <v>1</v>
      </c>
      <c r="AC5">
        <v>0</v>
      </c>
      <c r="AD5" t="s">
        <v>32</v>
      </c>
      <c r="AE5" t="s">
        <v>47</v>
      </c>
      <c r="AF5" t="s">
        <v>57</v>
      </c>
      <c r="AG5">
        <f>IF(HR_Data[[#This Row],[Attrition]]="Yes",1,0)</f>
        <v>0</v>
      </c>
      <c r="AH5" t="str">
        <f>IF(HR_Data[Date_of_termination]="","Active","Left")</f>
        <v>Active</v>
      </c>
      <c r="AI5" t="str">
        <f>IF(HR_Data[YearsAtCompany]&lt;=2,"Fresher", IF(HR_Data[YearsAtCompany]&lt;=5,"Junior", IF(HR_Data[YearsAtCompany]&lt;=10, "Mid","Senior")))</f>
        <v>Fresher</v>
      </c>
      <c r="AJ5" s="2" t="str">
        <f>IF(HR_Data[MonthlyIncome]&lt;=300,"Low", IF(HR_Data[MonthlyIncome]&lt;=7000,"Medium", "High"))</f>
        <v>Medium</v>
      </c>
      <c r="AK5" s="2" t="str">
        <f>VLOOKUP(HR_Data[JobRole], JobRole_Map[], 2, FALSE)</f>
        <v>Sales</v>
      </c>
    </row>
    <row r="6" spans="1:37" x14ac:dyDescent="0.25">
      <c r="A6" s="2">
        <v>22</v>
      </c>
      <c r="B6" t="s">
        <v>41</v>
      </c>
      <c r="C6" t="s">
        <v>33</v>
      </c>
      <c r="D6" t="s">
        <v>34</v>
      </c>
      <c r="E6">
        <v>15</v>
      </c>
      <c r="F6" t="s">
        <v>58</v>
      </c>
      <c r="G6">
        <v>3</v>
      </c>
      <c r="H6">
        <v>1</v>
      </c>
      <c r="I6" t="s">
        <v>36</v>
      </c>
      <c r="J6">
        <v>4</v>
      </c>
      <c r="K6" t="s">
        <v>37</v>
      </c>
      <c r="L6">
        <v>2871</v>
      </c>
      <c r="M6">
        <v>1</v>
      </c>
      <c r="N6" t="s">
        <v>41</v>
      </c>
      <c r="O6">
        <v>15</v>
      </c>
      <c r="P6">
        <v>3</v>
      </c>
      <c r="Q6">
        <v>0</v>
      </c>
      <c r="R6">
        <v>1</v>
      </c>
      <c r="S6">
        <v>5</v>
      </c>
      <c r="T6">
        <v>0</v>
      </c>
      <c r="U6">
        <v>0</v>
      </c>
      <c r="V6">
        <v>0</v>
      </c>
      <c r="W6" t="s">
        <v>56</v>
      </c>
      <c r="X6" s="1" t="d">
        <v>2021-06-14</v>
      </c>
      <c r="Z6" t="s">
        <v>59</v>
      </c>
      <c r="AA6" t="s">
        <v>46</v>
      </c>
      <c r="AB6">
        <v>5</v>
      </c>
      <c r="AC6">
        <v>2</v>
      </c>
      <c r="AD6" t="s">
        <v>41</v>
      </c>
      <c r="AE6" t="s">
        <v>42</v>
      </c>
      <c r="AF6" t="s">
        <v>43</v>
      </c>
      <c r="AG6">
        <f>IF(HR_Data[[#This Row],[Attrition]]="Yes",1,0)</f>
        <v>0</v>
      </c>
      <c r="AH6" t="str">
        <f>IF(HR_Data[Date_of_termination]="","Active","Left")</f>
        <v>Active</v>
      </c>
      <c r="AI6" t="str">
        <f>IF(HR_Data[YearsAtCompany]&lt;=2,"Fresher", IF(HR_Data[YearsAtCompany]&lt;=5,"Junior", IF(HR_Data[YearsAtCompany]&lt;=10, "Mid","Senior")))</f>
        <v>Fresher</v>
      </c>
      <c r="AJ6" s="2" t="str">
        <f>IF(HR_Data[MonthlyIncome]&lt;=300,"Low", IF(HR_Data[MonthlyIncome]&lt;=7000,"Medium", "High"))</f>
        <v>Medium</v>
      </c>
      <c r="AK6" s="2" t="str">
        <f>VLOOKUP(HR_Data[JobRole], JobRole_Map[], 2, FALSE)</f>
        <v>Technical</v>
      </c>
    </row>
    <row r="7" spans="1:37" x14ac:dyDescent="0.25">
      <c r="A7" s="2">
        <v>19</v>
      </c>
      <c r="B7" t="s">
        <v>32</v>
      </c>
      <c r="C7" t="s">
        <v>33</v>
      </c>
      <c r="D7" t="s">
        <v>53</v>
      </c>
      <c r="E7">
        <v>22</v>
      </c>
      <c r="F7" t="s">
        <v>35</v>
      </c>
      <c r="G7">
        <v>3</v>
      </c>
      <c r="H7">
        <v>1</v>
      </c>
      <c r="I7" t="s">
        <v>54</v>
      </c>
      <c r="J7">
        <v>3</v>
      </c>
      <c r="K7" t="s">
        <v>37</v>
      </c>
      <c r="L7">
        <v>1675</v>
      </c>
      <c r="M7">
        <v>1</v>
      </c>
      <c r="N7" t="s">
        <v>32</v>
      </c>
      <c r="O7">
        <v>19</v>
      </c>
      <c r="P7">
        <v>3</v>
      </c>
      <c r="Q7">
        <v>0</v>
      </c>
      <c r="R7">
        <v>0</v>
      </c>
      <c r="S7">
        <v>2</v>
      </c>
      <c r="T7">
        <v>0</v>
      </c>
      <c r="U7">
        <v>0</v>
      </c>
      <c r="V7">
        <v>0</v>
      </c>
      <c r="W7" t="s">
        <v>56</v>
      </c>
      <c r="X7" s="1" t="d">
        <v>2021-04-14</v>
      </c>
      <c r="Z7" t="s">
        <v>45</v>
      </c>
      <c r="AA7" t="s">
        <v>46</v>
      </c>
      <c r="AB7">
        <v>1</v>
      </c>
      <c r="AC7">
        <v>1</v>
      </c>
      <c r="AD7" t="s">
        <v>32</v>
      </c>
      <c r="AE7" t="s">
        <v>60</v>
      </c>
      <c r="AF7" t="s">
        <v>48</v>
      </c>
      <c r="AG7">
        <f>IF(HR_Data[[#This Row],[Attrition]]="Yes",1,0)</f>
        <v>1</v>
      </c>
      <c r="AH7" t="str">
        <f>IF(HR_Data[Date_of_termination]="","Active","Left")</f>
        <v>Active</v>
      </c>
      <c r="AI7" t="str">
        <f>IF(HR_Data[YearsAtCompany]&lt;=2,"Fresher", IF(HR_Data[YearsAtCompany]&lt;=5,"Junior", IF(HR_Data[YearsAtCompany]&lt;=10, "Mid","Senior")))</f>
        <v>Fresher</v>
      </c>
      <c r="AJ7" s="2" t="str">
        <f>IF(HR_Data[MonthlyIncome]&lt;=300,"Low", IF(HR_Data[MonthlyIncome]&lt;=7000,"Medium", "High"))</f>
        <v>Medium</v>
      </c>
      <c r="AK7" s="2" t="str">
        <f>VLOOKUP(HR_Data[JobRole], JobRole_Map[], 2, FALSE)</f>
        <v>Sales</v>
      </c>
    </row>
    <row r="8" spans="1:37" x14ac:dyDescent="0.25">
      <c r="A8" s="2">
        <v>19</v>
      </c>
      <c r="B8" t="s">
        <v>32</v>
      </c>
      <c r="C8" t="s">
        <v>61</v>
      </c>
      <c r="D8" t="s">
        <v>53</v>
      </c>
      <c r="E8">
        <v>1</v>
      </c>
      <c r="F8" t="s">
        <v>58</v>
      </c>
      <c r="G8">
        <v>1</v>
      </c>
      <c r="H8">
        <v>1</v>
      </c>
      <c r="I8" t="s">
        <v>54</v>
      </c>
      <c r="J8">
        <v>1</v>
      </c>
      <c r="K8" t="s">
        <v>37</v>
      </c>
      <c r="L8">
        <v>2325</v>
      </c>
      <c r="M8">
        <v>0</v>
      </c>
      <c r="N8" t="s">
        <v>41</v>
      </c>
      <c r="O8">
        <v>21</v>
      </c>
      <c r="P8">
        <v>4</v>
      </c>
      <c r="Q8">
        <v>0</v>
      </c>
      <c r="R8">
        <v>1</v>
      </c>
      <c r="S8">
        <v>5</v>
      </c>
      <c r="T8">
        <v>0</v>
      </c>
      <c r="U8">
        <v>0</v>
      </c>
      <c r="V8">
        <v>0</v>
      </c>
      <c r="W8" t="s">
        <v>56</v>
      </c>
      <c r="X8" s="1" t="d">
        <v>2021-01-12</v>
      </c>
      <c r="Z8" t="s">
        <v>45</v>
      </c>
      <c r="AA8" t="s">
        <v>46</v>
      </c>
      <c r="AB8">
        <v>2</v>
      </c>
      <c r="AC8">
        <v>2</v>
      </c>
      <c r="AD8" t="s">
        <v>41</v>
      </c>
      <c r="AE8" t="s">
        <v>62</v>
      </c>
      <c r="AF8" t="s">
        <v>43</v>
      </c>
      <c r="AG8">
        <f>IF(HR_Data[[#This Row],[Attrition]]="Yes",1,0)</f>
        <v>1</v>
      </c>
      <c r="AH8" t="str">
        <f>IF(HR_Data[Date_of_termination]="","Active","Left")</f>
        <v>Active</v>
      </c>
      <c r="AI8" t="str">
        <f>IF(HR_Data[YearsAtCompany]&lt;=2,"Fresher", IF(HR_Data[YearsAtCompany]&lt;=5,"Junior", IF(HR_Data[YearsAtCompany]&lt;=10, "Mid","Senior")))</f>
        <v>Fresher</v>
      </c>
      <c r="AJ8" s="2" t="str">
        <f>IF(HR_Data[MonthlyIncome]&lt;=300,"Low", IF(HR_Data[MonthlyIncome]&lt;=7000,"Medium", "High"))</f>
        <v>Medium</v>
      </c>
      <c r="AK8" s="2" t="str">
        <f>VLOOKUP(HR_Data[JobRole], JobRole_Map[], 2, FALSE)</f>
        <v>Sales</v>
      </c>
    </row>
    <row r="9" spans="1:37" x14ac:dyDescent="0.25">
      <c r="A9" s="2">
        <v>28</v>
      </c>
      <c r="B9" t="s">
        <v>32</v>
      </c>
      <c r="C9" t="s">
        <v>33</v>
      </c>
      <c r="D9" t="s">
        <v>34</v>
      </c>
      <c r="E9">
        <v>2</v>
      </c>
      <c r="F9" t="s">
        <v>35</v>
      </c>
      <c r="G9">
        <v>3</v>
      </c>
      <c r="H9">
        <v>1</v>
      </c>
      <c r="I9" t="s">
        <v>36</v>
      </c>
      <c r="J9">
        <v>3</v>
      </c>
      <c r="K9" t="s">
        <v>37</v>
      </c>
      <c r="L9">
        <v>3485</v>
      </c>
      <c r="M9">
        <v>2</v>
      </c>
      <c r="N9" t="s">
        <v>41</v>
      </c>
      <c r="O9">
        <v>11</v>
      </c>
      <c r="P9">
        <v>3</v>
      </c>
      <c r="Q9">
        <v>0</v>
      </c>
      <c r="R9">
        <v>5</v>
      </c>
      <c r="S9">
        <v>5</v>
      </c>
      <c r="T9">
        <v>0</v>
      </c>
      <c r="U9">
        <v>0</v>
      </c>
      <c r="V9">
        <v>0</v>
      </c>
      <c r="W9" t="s">
        <v>51</v>
      </c>
      <c r="X9" s="1" t="d">
        <v>2021-05-30</v>
      </c>
      <c r="Z9" t="s">
        <v>63</v>
      </c>
      <c r="AA9" t="s">
        <v>46</v>
      </c>
      <c r="AB9">
        <v>0</v>
      </c>
      <c r="AC9">
        <v>2</v>
      </c>
      <c r="AD9" t="s">
        <v>41</v>
      </c>
      <c r="AE9" t="s">
        <v>62</v>
      </c>
      <c r="AF9" t="s">
        <v>43</v>
      </c>
      <c r="AG9">
        <f>IF(HR_Data[[#This Row],[Attrition]]="Yes",1,0)</f>
        <v>1</v>
      </c>
      <c r="AH9" t="str">
        <f>IF(HR_Data[Date_of_termination]="","Active","Left")</f>
        <v>Active</v>
      </c>
      <c r="AI9" t="str">
        <f>IF(HR_Data[YearsAtCompany]&lt;=2,"Fresher", IF(HR_Data[YearsAtCompany]&lt;=5,"Junior", IF(HR_Data[YearsAtCompany]&lt;=10, "Mid","Senior")))</f>
        <v>Fresher</v>
      </c>
      <c r="AJ9" s="2" t="str">
        <f>IF(HR_Data[MonthlyIncome]&lt;=300,"Low", IF(HR_Data[MonthlyIncome]&lt;=7000,"Medium", "High"))</f>
        <v>Medium</v>
      </c>
      <c r="AK9" s="2" t="str">
        <f>VLOOKUP(HR_Data[JobRole], JobRole_Map[], 2, FALSE)</f>
        <v>Technical</v>
      </c>
    </row>
    <row r="10" spans="1:37" x14ac:dyDescent="0.25">
      <c r="A10" s="2">
        <v>29</v>
      </c>
      <c r="B10" t="s">
        <v>41</v>
      </c>
      <c r="C10" t="s">
        <v>33</v>
      </c>
      <c r="D10" t="s">
        <v>53</v>
      </c>
      <c r="E10">
        <v>2</v>
      </c>
      <c r="F10" t="s">
        <v>35</v>
      </c>
      <c r="G10">
        <v>2</v>
      </c>
      <c r="H10">
        <v>2</v>
      </c>
      <c r="I10" t="s">
        <v>64</v>
      </c>
      <c r="J10">
        <v>2</v>
      </c>
      <c r="K10" t="s">
        <v>50</v>
      </c>
      <c r="L10">
        <v>6644</v>
      </c>
      <c r="M10">
        <v>2</v>
      </c>
      <c r="N10" t="s">
        <v>41</v>
      </c>
      <c r="O10">
        <v>19</v>
      </c>
      <c r="P10">
        <v>3</v>
      </c>
      <c r="Q10">
        <v>2</v>
      </c>
      <c r="R10">
        <v>10</v>
      </c>
      <c r="S10">
        <v>2</v>
      </c>
      <c r="T10">
        <v>0</v>
      </c>
      <c r="U10">
        <v>0</v>
      </c>
      <c r="V10">
        <v>0</v>
      </c>
      <c r="W10" t="s">
        <v>38</v>
      </c>
      <c r="X10" s="1" t="d">
        <v>2021-02-28</v>
      </c>
      <c r="Z10" t="s">
        <v>59</v>
      </c>
      <c r="AA10" t="s">
        <v>40</v>
      </c>
      <c r="AB10">
        <v>5</v>
      </c>
      <c r="AC10">
        <v>2</v>
      </c>
      <c r="AD10" t="s">
        <v>41</v>
      </c>
      <c r="AE10" t="s">
        <v>62</v>
      </c>
      <c r="AF10" t="s">
        <v>48</v>
      </c>
      <c r="AG10">
        <f>IF(HR_Data[[#This Row],[Attrition]]="Yes",1,0)</f>
        <v>0</v>
      </c>
      <c r="AH10" t="str">
        <f>IF(HR_Data[Date_of_termination]="","Active","Left")</f>
        <v>Active</v>
      </c>
      <c r="AI10" t="str">
        <f>IF(HR_Data[YearsAtCompany]&lt;=2,"Fresher", IF(HR_Data[YearsAtCompany]&lt;=5,"Junior", IF(HR_Data[YearsAtCompany]&lt;=10, "Mid","Senior")))</f>
        <v>Fresher</v>
      </c>
      <c r="AJ10" s="2" t="str">
        <f>IF(HR_Data[MonthlyIncome]&lt;=300,"Low", IF(HR_Data[MonthlyIncome]&lt;=7000,"Medium", "High"))</f>
        <v>Medium</v>
      </c>
      <c r="AK10" s="2" t="str">
        <f>VLOOKUP(HR_Data[JobRole], JobRole_Map[], 2, FALSE)</f>
        <v>Sales</v>
      </c>
    </row>
    <row r="11" spans="1:37" x14ac:dyDescent="0.25">
      <c r="A11" s="2">
        <v>18</v>
      </c>
      <c r="B11" t="s">
        <v>32</v>
      </c>
      <c r="C11" t="s">
        <v>33</v>
      </c>
      <c r="D11" t="s">
        <v>34</v>
      </c>
      <c r="E11">
        <v>3</v>
      </c>
      <c r="F11" t="s">
        <v>35</v>
      </c>
      <c r="G11">
        <v>3</v>
      </c>
      <c r="H11">
        <v>1</v>
      </c>
      <c r="I11" t="s">
        <v>36</v>
      </c>
      <c r="J11">
        <v>3</v>
      </c>
      <c r="K11" t="s">
        <v>37</v>
      </c>
      <c r="L11">
        <v>1420</v>
      </c>
      <c r="M11">
        <v>1</v>
      </c>
      <c r="N11" t="s">
        <v>41</v>
      </c>
      <c r="O11">
        <v>13</v>
      </c>
      <c r="P11">
        <v>3</v>
      </c>
      <c r="Q11">
        <v>0</v>
      </c>
      <c r="R11">
        <v>0</v>
      </c>
      <c r="S11">
        <v>2</v>
      </c>
      <c r="T11">
        <v>0</v>
      </c>
      <c r="U11">
        <v>0</v>
      </c>
      <c r="V11">
        <v>0</v>
      </c>
      <c r="W11" t="s">
        <v>56</v>
      </c>
      <c r="X11" s="1" t="d">
        <v>2021-05-06</v>
      </c>
      <c r="Z11" t="s">
        <v>63</v>
      </c>
      <c r="AA11" t="s">
        <v>46</v>
      </c>
      <c r="AB11">
        <v>5</v>
      </c>
      <c r="AC11">
        <v>2</v>
      </c>
      <c r="AD11" t="s">
        <v>41</v>
      </c>
      <c r="AE11" t="s">
        <v>62</v>
      </c>
      <c r="AF11" t="s">
        <v>57</v>
      </c>
      <c r="AG11">
        <f>IF(HR_Data[[#This Row],[Attrition]]="Yes",1,0)</f>
        <v>1</v>
      </c>
      <c r="AH11" t="str">
        <f>IF(HR_Data[Date_of_termination]="","Active","Left")</f>
        <v>Active</v>
      </c>
      <c r="AI11" t="str">
        <f>IF(HR_Data[YearsAtCompany]&lt;=2,"Fresher", IF(HR_Data[YearsAtCompany]&lt;=5,"Junior", IF(HR_Data[YearsAtCompany]&lt;=10, "Mid","Senior")))</f>
        <v>Fresher</v>
      </c>
      <c r="AJ11" s="2" t="str">
        <f>IF(HR_Data[MonthlyIncome]&lt;=300,"Low", IF(HR_Data[MonthlyIncome]&lt;=7000,"Medium", "High"))</f>
        <v>Medium</v>
      </c>
      <c r="AK11" s="2" t="str">
        <f>VLOOKUP(HR_Data[JobRole], JobRole_Map[], 2, FALSE)</f>
        <v>Technical</v>
      </c>
    </row>
    <row r="12" spans="1:37" x14ac:dyDescent="0.25">
      <c r="A12" s="2">
        <v>18</v>
      </c>
      <c r="B12" t="s">
        <v>41</v>
      </c>
      <c r="C12" t="s">
        <v>33</v>
      </c>
      <c r="D12" t="s">
        <v>53</v>
      </c>
      <c r="E12">
        <v>10</v>
      </c>
      <c r="F12" t="s">
        <v>58</v>
      </c>
      <c r="G12">
        <v>2</v>
      </c>
      <c r="H12">
        <v>1</v>
      </c>
      <c r="I12" t="s">
        <v>54</v>
      </c>
      <c r="J12">
        <v>3</v>
      </c>
      <c r="K12" t="s">
        <v>37</v>
      </c>
      <c r="L12">
        <v>1200</v>
      </c>
      <c r="M12">
        <v>1</v>
      </c>
      <c r="N12" t="s">
        <v>41</v>
      </c>
      <c r="O12">
        <v>12</v>
      </c>
      <c r="P12">
        <v>3</v>
      </c>
      <c r="Q12">
        <v>0</v>
      </c>
      <c r="R12">
        <v>0</v>
      </c>
      <c r="S12">
        <v>2</v>
      </c>
      <c r="T12">
        <v>0</v>
      </c>
      <c r="U12">
        <v>0</v>
      </c>
      <c r="V12">
        <v>0</v>
      </c>
      <c r="W12" t="s">
        <v>65</v>
      </c>
      <c r="X12" s="1" t="d">
        <v>2021-06-17</v>
      </c>
      <c r="Z12" t="s">
        <v>63</v>
      </c>
      <c r="AA12" t="s">
        <v>46</v>
      </c>
      <c r="AB12">
        <v>1</v>
      </c>
      <c r="AC12">
        <v>2</v>
      </c>
      <c r="AD12" t="s">
        <v>32</v>
      </c>
      <c r="AE12" t="s">
        <v>60</v>
      </c>
      <c r="AF12" t="s">
        <v>57</v>
      </c>
      <c r="AG12">
        <f>IF(HR_Data[[#This Row],[Attrition]]="Yes",1,0)</f>
        <v>0</v>
      </c>
      <c r="AH12" t="str">
        <f>IF(HR_Data[Date_of_termination]="","Active","Left")</f>
        <v>Active</v>
      </c>
      <c r="AI12" t="str">
        <f>IF(HR_Data[YearsAtCompany]&lt;=2,"Fresher", IF(HR_Data[YearsAtCompany]&lt;=5,"Junior", IF(HR_Data[YearsAtCompany]&lt;=10, "Mid","Senior")))</f>
        <v>Fresher</v>
      </c>
      <c r="AJ12" s="2" t="str">
        <f>IF(HR_Data[MonthlyIncome]&lt;=300,"Low", IF(HR_Data[MonthlyIncome]&lt;=7000,"Medium", "High"))</f>
        <v>Medium</v>
      </c>
      <c r="AK12" s="2" t="str">
        <f>VLOOKUP(HR_Data[JobRole], JobRole_Map[], 2, FALSE)</f>
        <v>Sales</v>
      </c>
    </row>
    <row r="13" spans="1:37" x14ac:dyDescent="0.25">
      <c r="A13" s="2">
        <v>47</v>
      </c>
      <c r="B13" t="s">
        <v>41</v>
      </c>
      <c r="C13" t="s">
        <v>61</v>
      </c>
      <c r="D13" t="s">
        <v>53</v>
      </c>
      <c r="E13">
        <v>4</v>
      </c>
      <c r="F13" t="s">
        <v>35</v>
      </c>
      <c r="G13">
        <v>3</v>
      </c>
      <c r="H13">
        <v>2</v>
      </c>
      <c r="I13" t="s">
        <v>54</v>
      </c>
      <c r="J13">
        <v>3</v>
      </c>
      <c r="K13" t="s">
        <v>37</v>
      </c>
      <c r="L13">
        <v>2976</v>
      </c>
      <c r="M13">
        <v>3</v>
      </c>
      <c r="N13" t="s">
        <v>41</v>
      </c>
      <c r="O13">
        <v>19</v>
      </c>
      <c r="P13">
        <v>3</v>
      </c>
      <c r="Q13">
        <v>0</v>
      </c>
      <c r="R13">
        <v>5</v>
      </c>
      <c r="S13">
        <v>3</v>
      </c>
      <c r="T13">
        <v>0</v>
      </c>
      <c r="U13">
        <v>0</v>
      </c>
      <c r="V13">
        <v>0</v>
      </c>
      <c r="W13" t="s">
        <v>65</v>
      </c>
      <c r="X13" s="1" t="d">
        <v>2021-02-25</v>
      </c>
      <c r="Z13" t="s">
        <v>63</v>
      </c>
      <c r="AA13" t="s">
        <v>46</v>
      </c>
      <c r="AB13">
        <v>5</v>
      </c>
      <c r="AC13">
        <v>0</v>
      </c>
      <c r="AD13" t="s">
        <v>32</v>
      </c>
      <c r="AE13" t="s">
        <v>62</v>
      </c>
      <c r="AF13" t="s">
        <v>57</v>
      </c>
      <c r="AG13">
        <f>IF(HR_Data[[#This Row],[Attrition]]="Yes",1,0)</f>
        <v>0</v>
      </c>
      <c r="AH13" t="str">
        <f>IF(HR_Data[Date_of_termination]="","Active","Left")</f>
        <v>Active</v>
      </c>
      <c r="AI13" t="str">
        <f>IF(HR_Data[YearsAtCompany]&lt;=2,"Fresher", IF(HR_Data[YearsAtCompany]&lt;=5,"Junior", IF(HR_Data[YearsAtCompany]&lt;=10, "Mid","Senior")))</f>
        <v>Fresher</v>
      </c>
      <c r="AJ13" s="2" t="str">
        <f>IF(HR_Data[MonthlyIncome]&lt;=300,"Low", IF(HR_Data[MonthlyIncome]&lt;=7000,"Medium", "High"))</f>
        <v>Medium</v>
      </c>
      <c r="AK13" s="2" t="str">
        <f>VLOOKUP(HR_Data[JobRole], JobRole_Map[], 2, FALSE)</f>
        <v>Sales</v>
      </c>
    </row>
    <row r="14" spans="1:37" x14ac:dyDescent="0.25">
      <c r="A14" s="2">
        <v>48</v>
      </c>
      <c r="B14" t="s">
        <v>41</v>
      </c>
      <c r="C14" t="s">
        <v>33</v>
      </c>
      <c r="D14" t="s">
        <v>53</v>
      </c>
      <c r="E14">
        <v>29</v>
      </c>
      <c r="F14" t="s">
        <v>58</v>
      </c>
      <c r="G14">
        <v>3</v>
      </c>
      <c r="H14">
        <v>3</v>
      </c>
      <c r="I14" t="s">
        <v>66</v>
      </c>
      <c r="J14">
        <v>3</v>
      </c>
      <c r="K14" t="s">
        <v>50</v>
      </c>
      <c r="L14">
        <v>12504</v>
      </c>
      <c r="M14">
        <v>3</v>
      </c>
      <c r="N14" t="s">
        <v>41</v>
      </c>
      <c r="O14">
        <v>21</v>
      </c>
      <c r="P14">
        <v>4</v>
      </c>
      <c r="Q14">
        <v>1</v>
      </c>
      <c r="R14">
        <v>15</v>
      </c>
      <c r="S14">
        <v>3</v>
      </c>
      <c r="T14">
        <v>0</v>
      </c>
      <c r="U14">
        <v>0</v>
      </c>
      <c r="V14">
        <v>0</v>
      </c>
      <c r="W14" t="s">
        <v>56</v>
      </c>
      <c r="X14" s="1" t="d">
        <v>2021-05-06</v>
      </c>
      <c r="Z14" t="s">
        <v>45</v>
      </c>
      <c r="AA14" t="s">
        <v>46</v>
      </c>
      <c r="AB14">
        <v>1</v>
      </c>
      <c r="AC14">
        <v>2</v>
      </c>
      <c r="AD14" t="s">
        <v>32</v>
      </c>
      <c r="AE14" t="s">
        <v>42</v>
      </c>
      <c r="AF14" t="s">
        <v>48</v>
      </c>
      <c r="AG14">
        <f>IF(HR_Data[[#This Row],[Attrition]]="Yes",1,0)</f>
        <v>0</v>
      </c>
      <c r="AH14" t="str">
        <f>IF(HR_Data[Date_of_termination]="","Active","Left")</f>
        <v>Active</v>
      </c>
      <c r="AI14" t="str">
        <f>IF(HR_Data[YearsAtCompany]&lt;=2,"Fresher", IF(HR_Data[YearsAtCompany]&lt;=5,"Junior", IF(HR_Data[YearsAtCompany]&lt;=10, "Mid","Senior")))</f>
        <v>Fresher</v>
      </c>
      <c r="AJ14" s="2" t="str">
        <f>IF(HR_Data[MonthlyIncome]&lt;=300,"Low", IF(HR_Data[MonthlyIncome]&lt;=7000,"Medium", "High"))</f>
        <v>High</v>
      </c>
      <c r="AK14" s="2" t="str">
        <f>VLOOKUP(HR_Data[JobRole], JobRole_Map[], 2, FALSE)</f>
        <v>Management</v>
      </c>
    </row>
    <row r="15" spans="1:37" x14ac:dyDescent="0.25">
      <c r="A15" s="2">
        <v>18</v>
      </c>
      <c r="B15" t="s">
        <v>32</v>
      </c>
      <c r="C15" t="s">
        <v>61</v>
      </c>
      <c r="D15" t="s">
        <v>53</v>
      </c>
      <c r="E15">
        <v>5</v>
      </c>
      <c r="F15" t="s">
        <v>35</v>
      </c>
      <c r="G15">
        <v>3</v>
      </c>
      <c r="H15">
        <v>1</v>
      </c>
      <c r="I15" t="s">
        <v>54</v>
      </c>
      <c r="J15">
        <v>2</v>
      </c>
      <c r="K15" t="s">
        <v>37</v>
      </c>
      <c r="L15">
        <v>1878</v>
      </c>
      <c r="M15">
        <v>1</v>
      </c>
      <c r="N15" t="s">
        <v>32</v>
      </c>
      <c r="O15">
        <v>14</v>
      </c>
      <c r="P15">
        <v>3</v>
      </c>
      <c r="Q15">
        <v>0</v>
      </c>
      <c r="R15">
        <v>0</v>
      </c>
      <c r="S15">
        <v>3</v>
      </c>
      <c r="T15">
        <v>0</v>
      </c>
      <c r="U15">
        <v>0</v>
      </c>
      <c r="V15">
        <v>0</v>
      </c>
      <c r="W15" t="s">
        <v>51</v>
      </c>
      <c r="X15" s="1" t="d">
        <v>2021-05-12</v>
      </c>
      <c r="Z15" t="s">
        <v>63</v>
      </c>
      <c r="AA15" t="s">
        <v>46</v>
      </c>
      <c r="AB15">
        <v>3</v>
      </c>
      <c r="AC15">
        <v>2</v>
      </c>
      <c r="AD15" t="s">
        <v>41</v>
      </c>
      <c r="AE15" t="s">
        <v>60</v>
      </c>
      <c r="AF15" t="s">
        <v>57</v>
      </c>
      <c r="AG15">
        <f>IF(HR_Data[[#This Row],[Attrition]]="Yes",1,0)</f>
        <v>1</v>
      </c>
      <c r="AH15" t="str">
        <f>IF(HR_Data[Date_of_termination]="","Active","Left")</f>
        <v>Active</v>
      </c>
      <c r="AI15" t="str">
        <f>IF(HR_Data[YearsAtCompany]&lt;=2,"Fresher", IF(HR_Data[YearsAtCompany]&lt;=5,"Junior", IF(HR_Data[YearsAtCompany]&lt;=10, "Mid","Senior")))</f>
        <v>Fresher</v>
      </c>
      <c r="AJ15" s="2" t="str">
        <f>IF(HR_Data[MonthlyIncome]&lt;=300,"Low", IF(HR_Data[MonthlyIncome]&lt;=7000,"Medium", "High"))</f>
        <v>Medium</v>
      </c>
      <c r="AK15" s="2" t="str">
        <f>VLOOKUP(HR_Data[JobRole], JobRole_Map[], 2, FALSE)</f>
        <v>Sales</v>
      </c>
    </row>
    <row r="16" spans="1:37" x14ac:dyDescent="0.25">
      <c r="A16" s="2">
        <v>26</v>
      </c>
      <c r="B16" t="s">
        <v>41</v>
      </c>
      <c r="C16" t="s">
        <v>33</v>
      </c>
      <c r="D16" t="s">
        <v>53</v>
      </c>
      <c r="E16">
        <v>29</v>
      </c>
      <c r="F16" t="s">
        <v>35</v>
      </c>
      <c r="G16">
        <v>3</v>
      </c>
      <c r="H16">
        <v>2</v>
      </c>
      <c r="I16" t="s">
        <v>64</v>
      </c>
      <c r="J16">
        <v>3</v>
      </c>
      <c r="K16" t="s">
        <v>55</v>
      </c>
      <c r="L16">
        <v>4306</v>
      </c>
      <c r="M16">
        <v>5</v>
      </c>
      <c r="N16" t="s">
        <v>41</v>
      </c>
      <c r="O16">
        <v>12</v>
      </c>
      <c r="P16">
        <v>3</v>
      </c>
      <c r="Q16">
        <v>2</v>
      </c>
      <c r="R16">
        <v>8</v>
      </c>
      <c r="S16">
        <v>5</v>
      </c>
      <c r="T16">
        <v>0</v>
      </c>
      <c r="U16">
        <v>0</v>
      </c>
      <c r="V16">
        <v>0</v>
      </c>
      <c r="W16" t="s">
        <v>38</v>
      </c>
      <c r="X16" s="1" t="d">
        <v>2021-05-25</v>
      </c>
      <c r="Z16" t="s">
        <v>52</v>
      </c>
      <c r="AA16" t="s">
        <v>46</v>
      </c>
      <c r="AB16">
        <v>0</v>
      </c>
      <c r="AC16">
        <v>3</v>
      </c>
      <c r="AD16" t="s">
        <v>32</v>
      </c>
      <c r="AE16" t="s">
        <v>42</v>
      </c>
      <c r="AF16" t="s">
        <v>48</v>
      </c>
      <c r="AG16">
        <f>IF(HR_Data[[#This Row],[Attrition]]="Yes",1,0)</f>
        <v>0</v>
      </c>
      <c r="AH16" t="str">
        <f>IF(HR_Data[Date_of_termination]="","Active","Left")</f>
        <v>Active</v>
      </c>
      <c r="AI16" t="str">
        <f>IF(HR_Data[YearsAtCompany]&lt;=2,"Fresher", IF(HR_Data[YearsAtCompany]&lt;=5,"Junior", IF(HR_Data[YearsAtCompany]&lt;=10, "Mid","Senior")))</f>
        <v>Fresher</v>
      </c>
      <c r="AJ16" s="2" t="str">
        <f>IF(HR_Data[MonthlyIncome]&lt;=300,"Low", IF(HR_Data[MonthlyIncome]&lt;=7000,"Medium", "High"))</f>
        <v>Medium</v>
      </c>
      <c r="AK16" s="2" t="str">
        <f>VLOOKUP(HR_Data[JobRole], JobRole_Map[], 2, FALSE)</f>
        <v>Sales</v>
      </c>
    </row>
    <row r="17" spans="1:37" x14ac:dyDescent="0.25">
      <c r="A17" s="2">
        <v>38</v>
      </c>
      <c r="B17" t="s">
        <v>41</v>
      </c>
      <c r="C17" t="s">
        <v>33</v>
      </c>
      <c r="D17" t="s">
        <v>34</v>
      </c>
      <c r="E17">
        <v>1</v>
      </c>
      <c r="F17" t="s">
        <v>58</v>
      </c>
      <c r="G17">
        <v>3</v>
      </c>
      <c r="H17">
        <v>1</v>
      </c>
      <c r="I17" t="s">
        <v>44</v>
      </c>
      <c r="J17">
        <v>1</v>
      </c>
      <c r="K17" t="s">
        <v>37</v>
      </c>
      <c r="L17">
        <v>2619</v>
      </c>
      <c r="M17">
        <v>3</v>
      </c>
      <c r="N17" t="s">
        <v>41</v>
      </c>
      <c r="O17">
        <v>17</v>
      </c>
      <c r="P17">
        <v>3</v>
      </c>
      <c r="Q17">
        <v>0</v>
      </c>
      <c r="R17">
        <v>8</v>
      </c>
      <c r="S17">
        <v>3</v>
      </c>
      <c r="T17">
        <v>0</v>
      </c>
      <c r="U17">
        <v>0</v>
      </c>
      <c r="V17">
        <v>0</v>
      </c>
      <c r="W17" t="s">
        <v>38</v>
      </c>
      <c r="X17" s="1" t="d">
        <v>2021-03-30</v>
      </c>
      <c r="Z17" t="s">
        <v>52</v>
      </c>
      <c r="AA17" t="s">
        <v>46</v>
      </c>
      <c r="AB17">
        <v>2</v>
      </c>
      <c r="AC17">
        <v>3</v>
      </c>
      <c r="AD17" t="s">
        <v>41</v>
      </c>
      <c r="AE17" t="s">
        <v>62</v>
      </c>
      <c r="AF17" t="s">
        <v>57</v>
      </c>
      <c r="AG17">
        <f>IF(HR_Data[[#This Row],[Attrition]]="Yes",1,0)</f>
        <v>0</v>
      </c>
      <c r="AH17" t="str">
        <f>IF(HR_Data[Date_of_termination]="","Active","Left")</f>
        <v>Active</v>
      </c>
      <c r="AI17" t="str">
        <f>IF(HR_Data[YearsAtCompany]&lt;=2,"Fresher", IF(HR_Data[YearsAtCompany]&lt;=5,"Junior", IF(HR_Data[YearsAtCompany]&lt;=10, "Mid","Senior")))</f>
        <v>Fresher</v>
      </c>
      <c r="AJ17" s="2" t="str">
        <f>IF(HR_Data[MonthlyIncome]&lt;=300,"Low", IF(HR_Data[MonthlyIncome]&lt;=7000,"Medium", "High"))</f>
        <v>Medium</v>
      </c>
      <c r="AK17" s="2" t="str">
        <f>VLOOKUP(HR_Data[JobRole], JobRole_Map[], 2, FALSE)</f>
        <v>Technical</v>
      </c>
    </row>
    <row r="18" spans="1:37" x14ac:dyDescent="0.25">
      <c r="A18" s="2">
        <v>34</v>
      </c>
      <c r="B18" t="s">
        <v>41</v>
      </c>
      <c r="C18" t="s">
        <v>33</v>
      </c>
      <c r="D18" t="s">
        <v>34</v>
      </c>
      <c r="E18">
        <v>8</v>
      </c>
      <c r="F18" t="s">
        <v>58</v>
      </c>
      <c r="G18">
        <v>3</v>
      </c>
      <c r="H18">
        <v>2</v>
      </c>
      <c r="I18" t="s">
        <v>67</v>
      </c>
      <c r="J18">
        <v>1</v>
      </c>
      <c r="K18" t="s">
        <v>55</v>
      </c>
      <c r="L18">
        <v>5121</v>
      </c>
      <c r="M18">
        <v>3</v>
      </c>
      <c r="N18" t="s">
        <v>41</v>
      </c>
      <c r="O18">
        <v>14</v>
      </c>
      <c r="P18">
        <v>3</v>
      </c>
      <c r="Q18">
        <v>1</v>
      </c>
      <c r="R18">
        <v>7</v>
      </c>
      <c r="S18">
        <v>3</v>
      </c>
      <c r="T18">
        <v>0</v>
      </c>
      <c r="U18">
        <v>0</v>
      </c>
      <c r="V18">
        <v>0</v>
      </c>
      <c r="W18" t="s">
        <v>65</v>
      </c>
      <c r="X18" s="1" t="d">
        <v>2021-02-16</v>
      </c>
      <c r="Z18" t="s">
        <v>39</v>
      </c>
      <c r="AA18" t="s">
        <v>46</v>
      </c>
      <c r="AB18">
        <v>3</v>
      </c>
      <c r="AC18">
        <v>0</v>
      </c>
      <c r="AD18" t="s">
        <v>41</v>
      </c>
      <c r="AE18" t="s">
        <v>60</v>
      </c>
      <c r="AF18" t="s">
        <v>48</v>
      </c>
      <c r="AG18">
        <f>IF(HR_Data[[#This Row],[Attrition]]="Yes",1,0)</f>
        <v>0</v>
      </c>
      <c r="AH18" t="str">
        <f>IF(HR_Data[Date_of_termination]="","Active","Left")</f>
        <v>Active</v>
      </c>
      <c r="AI18" t="str">
        <f>IF(HR_Data[YearsAtCompany]&lt;=2,"Fresher", IF(HR_Data[YearsAtCompany]&lt;=5,"Junior", IF(HR_Data[YearsAtCompany]&lt;=10, "Mid","Senior")))</f>
        <v>Fresher</v>
      </c>
      <c r="AJ18" s="2" t="str">
        <f>IF(HR_Data[MonthlyIncome]&lt;=300,"Low", IF(HR_Data[MonthlyIncome]&lt;=7000,"Medium", "High"))</f>
        <v>Medium</v>
      </c>
      <c r="AK18" s="2" t="str">
        <f>VLOOKUP(HR_Data[JobRole], JobRole_Map[], 2, FALSE)</f>
        <v>Operations</v>
      </c>
    </row>
    <row r="19" spans="1:37" x14ac:dyDescent="0.25">
      <c r="A19" s="2">
        <v>23</v>
      </c>
      <c r="B19" t="s">
        <v>32</v>
      </c>
      <c r="C19" t="s">
        <v>33</v>
      </c>
      <c r="D19" t="s">
        <v>34</v>
      </c>
      <c r="E19">
        <v>6</v>
      </c>
      <c r="F19" t="s">
        <v>35</v>
      </c>
      <c r="G19">
        <v>4</v>
      </c>
      <c r="H19">
        <v>1</v>
      </c>
      <c r="I19" t="s">
        <v>36</v>
      </c>
      <c r="J19">
        <v>1</v>
      </c>
      <c r="K19" t="s">
        <v>50</v>
      </c>
      <c r="L19">
        <v>1601</v>
      </c>
      <c r="M19">
        <v>1</v>
      </c>
      <c r="N19" t="s">
        <v>32</v>
      </c>
      <c r="O19">
        <v>21</v>
      </c>
      <c r="P19">
        <v>4</v>
      </c>
      <c r="Q19">
        <v>2</v>
      </c>
      <c r="R19">
        <v>1</v>
      </c>
      <c r="S19">
        <v>2</v>
      </c>
      <c r="T19">
        <v>0</v>
      </c>
      <c r="U19">
        <v>0</v>
      </c>
      <c r="V19">
        <v>0</v>
      </c>
      <c r="W19" t="s">
        <v>38</v>
      </c>
      <c r="X19" s="1" t="d">
        <v>2021-03-10</v>
      </c>
      <c r="Z19" t="s">
        <v>52</v>
      </c>
      <c r="AA19" t="s">
        <v>40</v>
      </c>
      <c r="AB19">
        <v>2</v>
      </c>
      <c r="AC19">
        <v>1</v>
      </c>
      <c r="AD19" t="s">
        <v>32</v>
      </c>
      <c r="AE19" t="s">
        <v>42</v>
      </c>
      <c r="AF19" t="s">
        <v>48</v>
      </c>
      <c r="AG19">
        <f>IF(HR_Data[[#This Row],[Attrition]]="Yes",1,0)</f>
        <v>1</v>
      </c>
      <c r="AH19" t="str">
        <f>IF(HR_Data[Date_of_termination]="","Active","Left")</f>
        <v>Active</v>
      </c>
      <c r="AI19" t="str">
        <f>IF(HR_Data[YearsAtCompany]&lt;=2,"Fresher", IF(HR_Data[YearsAtCompany]&lt;=5,"Junior", IF(HR_Data[YearsAtCompany]&lt;=10, "Mid","Senior")))</f>
        <v>Fresher</v>
      </c>
      <c r="AJ19" s="2" t="str">
        <f>IF(HR_Data[MonthlyIncome]&lt;=300,"Low", IF(HR_Data[MonthlyIncome]&lt;=7000,"Medium", "High"))</f>
        <v>Medium</v>
      </c>
      <c r="AK19" s="2" t="str">
        <f>VLOOKUP(HR_Data[JobRole], JobRole_Map[], 2, FALSE)</f>
        <v>Technical</v>
      </c>
    </row>
    <row r="20" spans="1:37" x14ac:dyDescent="0.25">
      <c r="A20" s="2">
        <v>30</v>
      </c>
      <c r="B20" t="s">
        <v>41</v>
      </c>
      <c r="C20" t="s">
        <v>33</v>
      </c>
      <c r="D20" t="s">
        <v>34</v>
      </c>
      <c r="E20">
        <v>2</v>
      </c>
      <c r="F20" t="s">
        <v>58</v>
      </c>
      <c r="G20">
        <v>2</v>
      </c>
      <c r="H20">
        <v>2</v>
      </c>
      <c r="I20" t="s">
        <v>67</v>
      </c>
      <c r="J20">
        <v>4</v>
      </c>
      <c r="K20" t="s">
        <v>37</v>
      </c>
      <c r="L20">
        <v>6877</v>
      </c>
      <c r="M20">
        <v>5</v>
      </c>
      <c r="N20" t="s">
        <v>32</v>
      </c>
      <c r="O20">
        <v>24</v>
      </c>
      <c r="P20">
        <v>4</v>
      </c>
      <c r="Q20">
        <v>0</v>
      </c>
      <c r="R20">
        <v>12</v>
      </c>
      <c r="S20">
        <v>4</v>
      </c>
      <c r="T20">
        <v>0</v>
      </c>
      <c r="U20">
        <v>0</v>
      </c>
      <c r="V20">
        <v>0</v>
      </c>
      <c r="W20" t="s">
        <v>38</v>
      </c>
      <c r="X20" s="1" t="d">
        <v>2021-06-25</v>
      </c>
      <c r="Z20" t="s">
        <v>63</v>
      </c>
      <c r="AA20" t="s">
        <v>46</v>
      </c>
      <c r="AB20">
        <v>3</v>
      </c>
      <c r="AC20">
        <v>3</v>
      </c>
      <c r="AD20" t="s">
        <v>32</v>
      </c>
      <c r="AE20" t="s">
        <v>42</v>
      </c>
      <c r="AF20" t="s">
        <v>48</v>
      </c>
      <c r="AG20">
        <f>IF(HR_Data[[#This Row],[Attrition]]="Yes",1,0)</f>
        <v>0</v>
      </c>
      <c r="AH20" t="str">
        <f>IF(HR_Data[Date_of_termination]="","Active","Left")</f>
        <v>Active</v>
      </c>
      <c r="AI20" t="str">
        <f>IF(HR_Data[YearsAtCompany]&lt;=2,"Fresher", IF(HR_Data[YearsAtCompany]&lt;=5,"Junior", IF(HR_Data[YearsAtCompany]&lt;=10, "Mid","Senior")))</f>
        <v>Fresher</v>
      </c>
      <c r="AJ20" s="2" t="str">
        <f>IF(HR_Data[MonthlyIncome]&lt;=300,"Low", IF(HR_Data[MonthlyIncome]&lt;=7000,"Medium", "High"))</f>
        <v>Medium</v>
      </c>
      <c r="AK20" s="2" t="str">
        <f>VLOOKUP(HR_Data[JobRole], JobRole_Map[], 2, FALSE)</f>
        <v>Operations</v>
      </c>
    </row>
    <row r="21" spans="1:37" x14ac:dyDescent="0.25">
      <c r="A21" s="2">
        <v>27</v>
      </c>
      <c r="B21" t="s">
        <v>41</v>
      </c>
      <c r="C21" t="s">
        <v>68</v>
      </c>
      <c r="D21" t="s">
        <v>34</v>
      </c>
      <c r="E21">
        <v>3</v>
      </c>
      <c r="F21" t="s">
        <v>35</v>
      </c>
      <c r="G21">
        <v>3</v>
      </c>
      <c r="H21">
        <v>1</v>
      </c>
      <c r="I21" t="s">
        <v>44</v>
      </c>
      <c r="J21">
        <v>4</v>
      </c>
      <c r="K21" t="s">
        <v>50</v>
      </c>
      <c r="L21">
        <v>1706</v>
      </c>
      <c r="M21">
        <v>1</v>
      </c>
      <c r="N21" t="s">
        <v>41</v>
      </c>
      <c r="O21">
        <v>11</v>
      </c>
      <c r="P21">
        <v>3</v>
      </c>
      <c r="Q21">
        <v>3</v>
      </c>
      <c r="R21">
        <v>0</v>
      </c>
      <c r="S21">
        <v>6</v>
      </c>
      <c r="T21">
        <v>0</v>
      </c>
      <c r="U21">
        <v>0</v>
      </c>
      <c r="V21">
        <v>0</v>
      </c>
      <c r="W21" t="s">
        <v>38</v>
      </c>
      <c r="X21" s="1" t="d">
        <v>2021-04-12</v>
      </c>
      <c r="Z21" t="s">
        <v>52</v>
      </c>
      <c r="AA21" t="s">
        <v>40</v>
      </c>
      <c r="AB21">
        <v>3</v>
      </c>
      <c r="AC21">
        <v>2</v>
      </c>
      <c r="AD21" t="s">
        <v>41</v>
      </c>
      <c r="AE21" t="s">
        <v>60</v>
      </c>
      <c r="AF21" t="s">
        <v>43</v>
      </c>
      <c r="AG21">
        <f>IF(HR_Data[[#This Row],[Attrition]]="Yes",1,0)</f>
        <v>0</v>
      </c>
      <c r="AH21" t="str">
        <f>IF(HR_Data[Date_of_termination]="","Active","Left")</f>
        <v>Active</v>
      </c>
      <c r="AI21" t="str">
        <f>IF(HR_Data[YearsAtCompany]&lt;=2,"Fresher", IF(HR_Data[YearsAtCompany]&lt;=5,"Junior", IF(HR_Data[YearsAtCompany]&lt;=10, "Mid","Senior")))</f>
        <v>Fresher</v>
      </c>
      <c r="AJ21" s="2" t="str">
        <f>IF(HR_Data[MonthlyIncome]&lt;=300,"Low", IF(HR_Data[MonthlyIncome]&lt;=7000,"Medium", "High"))</f>
        <v>Medium</v>
      </c>
      <c r="AK21" s="2" t="str">
        <f>VLOOKUP(HR_Data[JobRole], JobRole_Map[], 2, FALSE)</f>
        <v>Technical</v>
      </c>
    </row>
    <row r="22" spans="1:37" x14ac:dyDescent="0.25">
      <c r="A22" s="2">
        <v>48</v>
      </c>
      <c r="B22" t="s">
        <v>41</v>
      </c>
      <c r="C22" t="s">
        <v>33</v>
      </c>
      <c r="D22" t="s">
        <v>34</v>
      </c>
      <c r="E22">
        <v>20</v>
      </c>
      <c r="F22" t="s">
        <v>35</v>
      </c>
      <c r="G22">
        <v>3</v>
      </c>
      <c r="H22">
        <v>1</v>
      </c>
      <c r="I22" t="s">
        <v>44</v>
      </c>
      <c r="J22">
        <v>3</v>
      </c>
      <c r="K22" t="s">
        <v>50</v>
      </c>
      <c r="L22">
        <v>2259</v>
      </c>
      <c r="M22">
        <v>4</v>
      </c>
      <c r="N22" t="s">
        <v>41</v>
      </c>
      <c r="O22">
        <v>17</v>
      </c>
      <c r="P22">
        <v>3</v>
      </c>
      <c r="Q22">
        <v>2</v>
      </c>
      <c r="R22">
        <v>13</v>
      </c>
      <c r="S22">
        <v>2</v>
      </c>
      <c r="T22">
        <v>0</v>
      </c>
      <c r="U22">
        <v>0</v>
      </c>
      <c r="V22">
        <v>0</v>
      </c>
      <c r="W22" t="s">
        <v>51</v>
      </c>
      <c r="X22" s="1" t="d">
        <v>2021-04-25</v>
      </c>
      <c r="Z22" t="s">
        <v>52</v>
      </c>
      <c r="AA22" t="s">
        <v>46</v>
      </c>
      <c r="AB22">
        <v>0</v>
      </c>
      <c r="AC22">
        <v>2</v>
      </c>
      <c r="AD22" t="s">
        <v>32</v>
      </c>
      <c r="AE22" t="s">
        <v>62</v>
      </c>
      <c r="AF22" t="s">
        <v>57</v>
      </c>
      <c r="AG22">
        <f>IF(HR_Data[[#This Row],[Attrition]]="Yes",1,0)</f>
        <v>0</v>
      </c>
      <c r="AH22" t="str">
        <f>IF(HR_Data[Date_of_termination]="","Active","Left")</f>
        <v>Active</v>
      </c>
      <c r="AI22" t="str">
        <f>IF(HR_Data[YearsAtCompany]&lt;=2,"Fresher", IF(HR_Data[YearsAtCompany]&lt;=5,"Junior", IF(HR_Data[YearsAtCompany]&lt;=10, "Mid","Senior")))</f>
        <v>Fresher</v>
      </c>
      <c r="AJ22" s="2" t="str">
        <f>IF(HR_Data[MonthlyIncome]&lt;=300,"Low", IF(HR_Data[MonthlyIncome]&lt;=7000,"Medium", "High"))</f>
        <v>Medium</v>
      </c>
      <c r="AK22" s="2" t="str">
        <f>VLOOKUP(HR_Data[JobRole], JobRole_Map[], 2, FALSE)</f>
        <v>Technical</v>
      </c>
    </row>
    <row r="23" spans="1:37" x14ac:dyDescent="0.25">
      <c r="A23" s="2">
        <v>29</v>
      </c>
      <c r="B23" t="s">
        <v>32</v>
      </c>
      <c r="C23" t="s">
        <v>33</v>
      </c>
      <c r="D23" t="s">
        <v>34</v>
      </c>
      <c r="E23">
        <v>10</v>
      </c>
      <c r="F23" t="s">
        <v>58</v>
      </c>
      <c r="G23">
        <v>2</v>
      </c>
      <c r="H23">
        <v>1</v>
      </c>
      <c r="I23" t="s">
        <v>44</v>
      </c>
      <c r="J23">
        <v>1</v>
      </c>
      <c r="K23" t="s">
        <v>37</v>
      </c>
      <c r="L23">
        <v>2404</v>
      </c>
      <c r="M23">
        <v>6</v>
      </c>
      <c r="N23" t="s">
        <v>32</v>
      </c>
      <c r="O23">
        <v>20</v>
      </c>
      <c r="P23">
        <v>4</v>
      </c>
      <c r="Q23">
        <v>0</v>
      </c>
      <c r="R23">
        <v>3</v>
      </c>
      <c r="S23">
        <v>5</v>
      </c>
      <c r="T23">
        <v>0</v>
      </c>
      <c r="U23">
        <v>0</v>
      </c>
      <c r="V23">
        <v>0</v>
      </c>
      <c r="W23" t="s">
        <v>65</v>
      </c>
      <c r="X23" s="1" t="d">
        <v>2021-05-11</v>
      </c>
      <c r="Z23" t="s">
        <v>39</v>
      </c>
      <c r="AA23" t="s">
        <v>46</v>
      </c>
      <c r="AB23">
        <v>1</v>
      </c>
      <c r="AC23">
        <v>0</v>
      </c>
      <c r="AD23" t="s">
        <v>41</v>
      </c>
      <c r="AE23" t="s">
        <v>60</v>
      </c>
      <c r="AF23" t="s">
        <v>57</v>
      </c>
      <c r="AG23">
        <f>IF(HR_Data[[#This Row],[Attrition]]="Yes",1,0)</f>
        <v>1</v>
      </c>
      <c r="AH23" t="str">
        <f>IF(HR_Data[Date_of_termination]="","Active","Left")</f>
        <v>Active</v>
      </c>
      <c r="AI23" t="str">
        <f>IF(HR_Data[YearsAtCompany]&lt;=2,"Fresher", IF(HR_Data[YearsAtCompany]&lt;=5,"Junior", IF(HR_Data[YearsAtCompany]&lt;=10, "Mid","Senior")))</f>
        <v>Fresher</v>
      </c>
      <c r="AJ23" s="2" t="str">
        <f>IF(HR_Data[MonthlyIncome]&lt;=300,"Low", IF(HR_Data[MonthlyIncome]&lt;=7000,"Medium", "High"))</f>
        <v>Medium</v>
      </c>
      <c r="AK23" s="2" t="str">
        <f>VLOOKUP(HR_Data[JobRole], JobRole_Map[], 2, FALSE)</f>
        <v>Technical</v>
      </c>
    </row>
    <row r="24" spans="1:37" x14ac:dyDescent="0.25">
      <c r="A24" s="2">
        <v>18</v>
      </c>
      <c r="B24" t="s">
        <v>41</v>
      </c>
      <c r="C24" t="s">
        <v>68</v>
      </c>
      <c r="D24" t="s">
        <v>34</v>
      </c>
      <c r="E24">
        <v>5</v>
      </c>
      <c r="F24" t="s">
        <v>35</v>
      </c>
      <c r="G24">
        <v>3</v>
      </c>
      <c r="H24">
        <v>1</v>
      </c>
      <c r="I24" t="s">
        <v>44</v>
      </c>
      <c r="J24">
        <v>4</v>
      </c>
      <c r="K24" t="s">
        <v>37</v>
      </c>
      <c r="L24">
        <v>1051</v>
      </c>
      <c r="M24">
        <v>1</v>
      </c>
      <c r="N24" t="s">
        <v>41</v>
      </c>
      <c r="O24">
        <v>15</v>
      </c>
      <c r="P24">
        <v>3</v>
      </c>
      <c r="Q24">
        <v>0</v>
      </c>
      <c r="R24">
        <v>0</v>
      </c>
      <c r="S24">
        <v>2</v>
      </c>
      <c r="T24">
        <v>0</v>
      </c>
      <c r="U24">
        <v>0</v>
      </c>
      <c r="V24">
        <v>0</v>
      </c>
      <c r="W24" t="s">
        <v>51</v>
      </c>
      <c r="X24" s="1" t="d">
        <v>2021-03-19</v>
      </c>
      <c r="Z24" t="s">
        <v>52</v>
      </c>
      <c r="AA24" t="s">
        <v>46</v>
      </c>
      <c r="AB24">
        <v>3</v>
      </c>
      <c r="AC24">
        <v>0</v>
      </c>
      <c r="AD24" t="s">
        <v>41</v>
      </c>
      <c r="AE24" t="s">
        <v>60</v>
      </c>
      <c r="AF24" t="s">
        <v>57</v>
      </c>
      <c r="AG24">
        <f>IF(HR_Data[[#This Row],[Attrition]]="Yes",1,0)</f>
        <v>0</v>
      </c>
      <c r="AH24" t="str">
        <f>IF(HR_Data[Date_of_termination]="","Active","Left")</f>
        <v>Active</v>
      </c>
      <c r="AI24" t="str">
        <f>IF(HR_Data[YearsAtCompany]&lt;=2,"Fresher", IF(HR_Data[YearsAtCompany]&lt;=5,"Junior", IF(HR_Data[YearsAtCompany]&lt;=10, "Mid","Senior")))</f>
        <v>Fresher</v>
      </c>
      <c r="AJ24" s="2" t="str">
        <f>IF(HR_Data[MonthlyIncome]&lt;=300,"Low", IF(HR_Data[MonthlyIncome]&lt;=7000,"Medium", "High"))</f>
        <v>Medium</v>
      </c>
      <c r="AK24" s="2" t="str">
        <f>VLOOKUP(HR_Data[JobRole], JobRole_Map[], 2, FALSE)</f>
        <v>Technical</v>
      </c>
    </row>
    <row r="25" spans="1:37" x14ac:dyDescent="0.25">
      <c r="A25" s="2">
        <v>50</v>
      </c>
      <c r="B25" t="s">
        <v>32</v>
      </c>
      <c r="C25" t="s">
        <v>61</v>
      </c>
      <c r="D25" t="s">
        <v>53</v>
      </c>
      <c r="E25">
        <v>1</v>
      </c>
      <c r="F25" t="s">
        <v>35</v>
      </c>
      <c r="G25">
        <v>3</v>
      </c>
      <c r="H25">
        <v>2</v>
      </c>
      <c r="I25" t="s">
        <v>64</v>
      </c>
      <c r="J25">
        <v>3</v>
      </c>
      <c r="K25" t="s">
        <v>37</v>
      </c>
      <c r="L25">
        <v>4728</v>
      </c>
      <c r="M25">
        <v>3</v>
      </c>
      <c r="N25" t="s">
        <v>32</v>
      </c>
      <c r="O25">
        <v>14</v>
      </c>
      <c r="P25">
        <v>3</v>
      </c>
      <c r="Q25">
        <v>0</v>
      </c>
      <c r="R25">
        <v>5</v>
      </c>
      <c r="S25">
        <v>4</v>
      </c>
      <c r="T25">
        <v>0</v>
      </c>
      <c r="U25">
        <v>0</v>
      </c>
      <c r="V25">
        <v>0</v>
      </c>
      <c r="W25" t="s">
        <v>38</v>
      </c>
      <c r="X25" s="1" t="d">
        <v>2021-04-29</v>
      </c>
      <c r="Z25" t="s">
        <v>52</v>
      </c>
      <c r="AA25" t="s">
        <v>40</v>
      </c>
      <c r="AB25">
        <v>1</v>
      </c>
      <c r="AC25">
        <v>3</v>
      </c>
      <c r="AD25" t="s">
        <v>41</v>
      </c>
      <c r="AE25" t="s">
        <v>47</v>
      </c>
      <c r="AF25" t="s">
        <v>48</v>
      </c>
      <c r="AG25">
        <f>IF(HR_Data[[#This Row],[Attrition]]="Yes",1,0)</f>
        <v>1</v>
      </c>
      <c r="AH25" t="str">
        <f>IF(HR_Data[Date_of_termination]="","Active","Left")</f>
        <v>Active</v>
      </c>
      <c r="AI25" t="str">
        <f>IF(HR_Data[YearsAtCompany]&lt;=2,"Fresher", IF(HR_Data[YearsAtCompany]&lt;=5,"Junior", IF(HR_Data[YearsAtCompany]&lt;=10, "Mid","Senior")))</f>
        <v>Fresher</v>
      </c>
      <c r="AJ25" s="2" t="str">
        <f>IF(HR_Data[MonthlyIncome]&lt;=300,"Low", IF(HR_Data[MonthlyIncome]&lt;=7000,"Medium", "High"))</f>
        <v>Medium</v>
      </c>
      <c r="AK25" s="2" t="str">
        <f>VLOOKUP(HR_Data[JobRole], JobRole_Map[], 2, FALSE)</f>
        <v>Sales</v>
      </c>
    </row>
    <row r="26" spans="1:37" x14ac:dyDescent="0.25">
      <c r="A26" s="2">
        <v>34</v>
      </c>
      <c r="B26" t="s">
        <v>41</v>
      </c>
      <c r="C26" t="s">
        <v>68</v>
      </c>
      <c r="D26" t="s">
        <v>34</v>
      </c>
      <c r="E26">
        <v>3</v>
      </c>
      <c r="F26" t="s">
        <v>35</v>
      </c>
      <c r="G26">
        <v>2</v>
      </c>
      <c r="H26">
        <v>1</v>
      </c>
      <c r="I26" t="s">
        <v>44</v>
      </c>
      <c r="J26">
        <v>4</v>
      </c>
      <c r="K26" t="s">
        <v>50</v>
      </c>
      <c r="L26">
        <v>2979</v>
      </c>
      <c r="M26">
        <v>3</v>
      </c>
      <c r="N26" t="s">
        <v>41</v>
      </c>
      <c r="O26">
        <v>17</v>
      </c>
      <c r="P26">
        <v>3</v>
      </c>
      <c r="Q26">
        <v>3</v>
      </c>
      <c r="R26">
        <v>6</v>
      </c>
      <c r="S26">
        <v>2</v>
      </c>
      <c r="T26">
        <v>0</v>
      </c>
      <c r="U26">
        <v>0</v>
      </c>
      <c r="V26">
        <v>0</v>
      </c>
      <c r="W26" t="s">
        <v>65</v>
      </c>
      <c r="X26" s="1" t="d">
        <v>2021-05-23</v>
      </c>
      <c r="Z26" t="s">
        <v>63</v>
      </c>
      <c r="AA26" t="s">
        <v>46</v>
      </c>
      <c r="AB26">
        <v>0</v>
      </c>
      <c r="AC26">
        <v>2</v>
      </c>
      <c r="AD26" t="s">
        <v>41</v>
      </c>
      <c r="AE26" t="s">
        <v>47</v>
      </c>
      <c r="AF26" t="s">
        <v>43</v>
      </c>
      <c r="AG26">
        <f>IF(HR_Data[[#This Row],[Attrition]]="Yes",1,0)</f>
        <v>0</v>
      </c>
      <c r="AH26" t="str">
        <f>IF(HR_Data[Date_of_termination]="","Active","Left")</f>
        <v>Active</v>
      </c>
      <c r="AI26" t="str">
        <f>IF(HR_Data[YearsAtCompany]&lt;=2,"Fresher", IF(HR_Data[YearsAtCompany]&lt;=5,"Junior", IF(HR_Data[YearsAtCompany]&lt;=10, "Mid","Senior")))</f>
        <v>Fresher</v>
      </c>
      <c r="AJ26" s="2" t="str">
        <f>IF(HR_Data[MonthlyIncome]&lt;=300,"Low", IF(HR_Data[MonthlyIncome]&lt;=7000,"Medium", "High"))</f>
        <v>Medium</v>
      </c>
      <c r="AK26" s="2" t="str">
        <f>VLOOKUP(HR_Data[JobRole], JobRole_Map[], 2, FALSE)</f>
        <v>Technical</v>
      </c>
    </row>
    <row r="27" spans="1:37" x14ac:dyDescent="0.25">
      <c r="A27" s="2">
        <v>18</v>
      </c>
      <c r="B27" t="s">
        <v>32</v>
      </c>
      <c r="C27" t="s">
        <v>68</v>
      </c>
      <c r="D27" t="s">
        <v>34</v>
      </c>
      <c r="E27">
        <v>8</v>
      </c>
      <c r="F27" t="s">
        <v>35</v>
      </c>
      <c r="G27">
        <v>3</v>
      </c>
      <c r="H27">
        <v>1</v>
      </c>
      <c r="I27" t="s">
        <v>36</v>
      </c>
      <c r="J27">
        <v>3</v>
      </c>
      <c r="K27" t="s">
        <v>37</v>
      </c>
      <c r="L27">
        <v>1904</v>
      </c>
      <c r="M27">
        <v>1</v>
      </c>
      <c r="N27" t="s">
        <v>41</v>
      </c>
      <c r="O27">
        <v>12</v>
      </c>
      <c r="P27">
        <v>3</v>
      </c>
      <c r="Q27">
        <v>0</v>
      </c>
      <c r="R27">
        <v>0</v>
      </c>
      <c r="S27">
        <v>0</v>
      </c>
      <c r="T27">
        <v>0</v>
      </c>
      <c r="U27">
        <v>0</v>
      </c>
      <c r="V27">
        <v>0</v>
      </c>
      <c r="W27" t="s">
        <v>56</v>
      </c>
      <c r="X27" s="1" t="d">
        <v>2021-01-06</v>
      </c>
      <c r="Z27" t="s">
        <v>45</v>
      </c>
      <c r="AA27" t="s">
        <v>40</v>
      </c>
      <c r="AB27">
        <v>5</v>
      </c>
      <c r="AC27">
        <v>3</v>
      </c>
      <c r="AD27" t="s">
        <v>41</v>
      </c>
      <c r="AE27" t="s">
        <v>47</v>
      </c>
      <c r="AF27" t="s">
        <v>57</v>
      </c>
      <c r="AG27">
        <f>IF(HR_Data[[#This Row],[Attrition]]="Yes",1,0)</f>
        <v>1</v>
      </c>
      <c r="AH27" t="str">
        <f>IF(HR_Data[Date_of_termination]="","Active","Left")</f>
        <v>Active</v>
      </c>
      <c r="AI27" t="str">
        <f>IF(HR_Data[YearsAtCompany]&lt;=2,"Fresher", IF(HR_Data[YearsAtCompany]&lt;=5,"Junior", IF(HR_Data[YearsAtCompany]&lt;=10, "Mid","Senior")))</f>
        <v>Fresher</v>
      </c>
      <c r="AJ27" s="2" t="str">
        <f>IF(HR_Data[MonthlyIncome]&lt;=300,"Low", IF(HR_Data[MonthlyIncome]&lt;=7000,"Medium", "High"))</f>
        <v>Medium</v>
      </c>
      <c r="AK27" s="2" t="str">
        <f>VLOOKUP(HR_Data[JobRole], JobRole_Map[], 2, FALSE)</f>
        <v>Technical</v>
      </c>
    </row>
    <row r="28" spans="1:37" x14ac:dyDescent="0.25">
      <c r="A28" s="2">
        <v>22</v>
      </c>
      <c r="B28" t="s">
        <v>32</v>
      </c>
      <c r="C28" t="s">
        <v>61</v>
      </c>
      <c r="D28" t="s">
        <v>34</v>
      </c>
      <c r="E28">
        <v>3</v>
      </c>
      <c r="F28" t="s">
        <v>35</v>
      </c>
      <c r="G28">
        <v>2</v>
      </c>
      <c r="H28">
        <v>1</v>
      </c>
      <c r="I28" t="s">
        <v>44</v>
      </c>
      <c r="J28">
        <v>4</v>
      </c>
      <c r="K28" t="s">
        <v>50</v>
      </c>
      <c r="L28">
        <v>2853</v>
      </c>
      <c r="M28">
        <v>0</v>
      </c>
      <c r="N28" t="s">
        <v>32</v>
      </c>
      <c r="O28">
        <v>11</v>
      </c>
      <c r="P28">
        <v>3</v>
      </c>
      <c r="Q28">
        <v>1</v>
      </c>
      <c r="R28">
        <v>1</v>
      </c>
      <c r="S28">
        <v>5</v>
      </c>
      <c r="T28">
        <v>0</v>
      </c>
      <c r="U28">
        <v>0</v>
      </c>
      <c r="V28">
        <v>0</v>
      </c>
      <c r="W28" t="s">
        <v>65</v>
      </c>
      <c r="X28" s="1" t="d">
        <v>2021-05-26</v>
      </c>
      <c r="Z28" t="s">
        <v>52</v>
      </c>
      <c r="AA28" t="s">
        <v>46</v>
      </c>
      <c r="AB28">
        <v>5</v>
      </c>
      <c r="AC28">
        <v>1</v>
      </c>
      <c r="AD28" t="s">
        <v>41</v>
      </c>
      <c r="AE28" t="s">
        <v>62</v>
      </c>
      <c r="AF28" t="s">
        <v>57</v>
      </c>
      <c r="AG28">
        <f>IF(HR_Data[[#This Row],[Attrition]]="Yes",1,0)</f>
        <v>1</v>
      </c>
      <c r="AH28" t="str">
        <f>IF(HR_Data[Date_of_termination]="","Active","Left")</f>
        <v>Active</v>
      </c>
      <c r="AI28" t="str">
        <f>IF(HR_Data[YearsAtCompany]&lt;=2,"Fresher", IF(HR_Data[YearsAtCompany]&lt;=5,"Junior", IF(HR_Data[YearsAtCompany]&lt;=10, "Mid","Senior")))</f>
        <v>Fresher</v>
      </c>
      <c r="AJ28" s="2" t="str">
        <f>IF(HR_Data[MonthlyIncome]&lt;=300,"Low", IF(HR_Data[MonthlyIncome]&lt;=7000,"Medium", "High"))</f>
        <v>Medium</v>
      </c>
      <c r="AK28" s="2" t="str">
        <f>VLOOKUP(HR_Data[JobRole], JobRole_Map[], 2, FALSE)</f>
        <v>Technical</v>
      </c>
    </row>
    <row r="29" spans="1:37" x14ac:dyDescent="0.25">
      <c r="A29" s="2">
        <v>44</v>
      </c>
      <c r="B29" t="s">
        <v>41</v>
      </c>
      <c r="C29" t="s">
        <v>68</v>
      </c>
      <c r="D29" t="s">
        <v>34</v>
      </c>
      <c r="E29">
        <v>17</v>
      </c>
      <c r="F29" t="s">
        <v>35</v>
      </c>
      <c r="G29">
        <v>1</v>
      </c>
      <c r="H29">
        <v>1</v>
      </c>
      <c r="I29" t="s">
        <v>44</v>
      </c>
      <c r="J29">
        <v>3</v>
      </c>
      <c r="K29" t="s">
        <v>37</v>
      </c>
      <c r="L29">
        <v>2290</v>
      </c>
      <c r="M29">
        <v>2</v>
      </c>
      <c r="N29" t="s">
        <v>41</v>
      </c>
      <c r="O29">
        <v>13</v>
      </c>
      <c r="P29">
        <v>3</v>
      </c>
      <c r="Q29">
        <v>0</v>
      </c>
      <c r="R29">
        <v>6</v>
      </c>
      <c r="S29">
        <v>3</v>
      </c>
      <c r="T29">
        <v>0</v>
      </c>
      <c r="U29">
        <v>0</v>
      </c>
      <c r="V29">
        <v>0</v>
      </c>
      <c r="W29" t="s">
        <v>56</v>
      </c>
      <c r="X29" s="1" t="d">
        <v>2021-01-04</v>
      </c>
      <c r="Z29" t="s">
        <v>45</v>
      </c>
      <c r="AA29" t="s">
        <v>46</v>
      </c>
      <c r="AB29">
        <v>1</v>
      </c>
      <c r="AC29">
        <v>3</v>
      </c>
      <c r="AD29" t="s">
        <v>41</v>
      </c>
      <c r="AE29" t="s">
        <v>47</v>
      </c>
      <c r="AF29" t="s">
        <v>43</v>
      </c>
      <c r="AG29">
        <f>IF(HR_Data[[#This Row],[Attrition]]="Yes",1,0)</f>
        <v>0</v>
      </c>
      <c r="AH29" t="str">
        <f>IF(HR_Data[Date_of_termination]="","Active","Left")</f>
        <v>Active</v>
      </c>
      <c r="AI29" t="str">
        <f>IF(HR_Data[YearsAtCompany]&lt;=2,"Fresher", IF(HR_Data[YearsAtCompany]&lt;=5,"Junior", IF(HR_Data[YearsAtCompany]&lt;=10, "Mid","Senior")))</f>
        <v>Fresher</v>
      </c>
      <c r="AJ29" s="2" t="str">
        <f>IF(HR_Data[MonthlyIncome]&lt;=300,"Low", IF(HR_Data[MonthlyIncome]&lt;=7000,"Medium", "High"))</f>
        <v>Medium</v>
      </c>
      <c r="AK29" s="2" t="str">
        <f>VLOOKUP(HR_Data[JobRole], JobRole_Map[], 2, FALSE)</f>
        <v>Technical</v>
      </c>
    </row>
    <row r="30" spans="1:37" x14ac:dyDescent="0.25">
      <c r="A30" s="2">
        <v>40</v>
      </c>
      <c r="B30" t="s">
        <v>41</v>
      </c>
      <c r="C30" t="s">
        <v>61</v>
      </c>
      <c r="D30" t="s">
        <v>53</v>
      </c>
      <c r="E30">
        <v>2</v>
      </c>
      <c r="F30" t="s">
        <v>35</v>
      </c>
      <c r="G30">
        <v>3</v>
      </c>
      <c r="H30">
        <v>2</v>
      </c>
      <c r="I30" t="s">
        <v>64</v>
      </c>
      <c r="J30">
        <v>2</v>
      </c>
      <c r="K30" t="s">
        <v>50</v>
      </c>
      <c r="L30">
        <v>4327</v>
      </c>
      <c r="M30">
        <v>5</v>
      </c>
      <c r="N30" t="s">
        <v>41</v>
      </c>
      <c r="O30">
        <v>12</v>
      </c>
      <c r="P30">
        <v>3</v>
      </c>
      <c r="Q30">
        <v>3</v>
      </c>
      <c r="R30">
        <v>5</v>
      </c>
      <c r="S30">
        <v>2</v>
      </c>
      <c r="T30">
        <v>0</v>
      </c>
      <c r="U30">
        <v>0</v>
      </c>
      <c r="V30">
        <v>0</v>
      </c>
      <c r="W30" t="s">
        <v>51</v>
      </c>
      <c r="X30" s="1" t="d">
        <v>2021-02-01</v>
      </c>
      <c r="Z30" t="s">
        <v>39</v>
      </c>
      <c r="AA30" t="s">
        <v>46</v>
      </c>
      <c r="AB30">
        <v>2</v>
      </c>
      <c r="AC30">
        <v>3</v>
      </c>
      <c r="AD30" t="s">
        <v>32</v>
      </c>
      <c r="AE30" t="s">
        <v>62</v>
      </c>
      <c r="AF30" t="s">
        <v>57</v>
      </c>
      <c r="AG30">
        <f>IF(HR_Data[[#This Row],[Attrition]]="Yes",1,0)</f>
        <v>0</v>
      </c>
      <c r="AH30" t="str">
        <f>IF(HR_Data[Date_of_termination]="","Active","Left")</f>
        <v>Active</v>
      </c>
      <c r="AI30" t="str">
        <f>IF(HR_Data[YearsAtCompany]&lt;=2,"Fresher", IF(HR_Data[YearsAtCompany]&lt;=5,"Junior", IF(HR_Data[YearsAtCompany]&lt;=10, "Mid","Senior")))</f>
        <v>Fresher</v>
      </c>
      <c r="AJ30" s="2" t="str">
        <f>IF(HR_Data[MonthlyIncome]&lt;=300,"Low", IF(HR_Data[MonthlyIncome]&lt;=7000,"Medium", "High"))</f>
        <v>Medium</v>
      </c>
      <c r="AK30" s="2" t="str">
        <f>VLOOKUP(HR_Data[JobRole], JobRole_Map[], 2, FALSE)</f>
        <v>Sales</v>
      </c>
    </row>
    <row r="31" spans="1:37" x14ac:dyDescent="0.25">
      <c r="A31" s="2">
        <v>45</v>
      </c>
      <c r="B31" t="s">
        <v>41</v>
      </c>
      <c r="C31" t="s">
        <v>61</v>
      </c>
      <c r="D31" t="s">
        <v>34</v>
      </c>
      <c r="E31">
        <v>25</v>
      </c>
      <c r="F31" t="s">
        <v>58</v>
      </c>
      <c r="G31">
        <v>3</v>
      </c>
      <c r="H31">
        <v>5</v>
      </c>
      <c r="I31" t="s">
        <v>66</v>
      </c>
      <c r="J31">
        <v>2</v>
      </c>
      <c r="K31" t="s">
        <v>37</v>
      </c>
      <c r="L31">
        <v>18061</v>
      </c>
      <c r="M31">
        <v>3</v>
      </c>
      <c r="N31" t="s">
        <v>41</v>
      </c>
      <c r="O31">
        <v>22</v>
      </c>
      <c r="P31">
        <v>4</v>
      </c>
      <c r="Q31">
        <v>0</v>
      </c>
      <c r="R31">
        <v>22</v>
      </c>
      <c r="S31">
        <v>4</v>
      </c>
      <c r="T31">
        <v>0</v>
      </c>
      <c r="U31">
        <v>0</v>
      </c>
      <c r="V31">
        <v>0</v>
      </c>
      <c r="W31" t="s">
        <v>65</v>
      </c>
      <c r="X31" s="1" t="d">
        <v>2021-04-16</v>
      </c>
      <c r="Z31" t="s">
        <v>45</v>
      </c>
      <c r="AA31" t="s">
        <v>40</v>
      </c>
      <c r="AB31">
        <v>4</v>
      </c>
      <c r="AC31">
        <v>3</v>
      </c>
      <c r="AD31" t="s">
        <v>32</v>
      </c>
      <c r="AE31" t="s">
        <v>60</v>
      </c>
      <c r="AF31" t="s">
        <v>43</v>
      </c>
      <c r="AG31">
        <f>IF(HR_Data[[#This Row],[Attrition]]="Yes",1,0)</f>
        <v>0</v>
      </c>
      <c r="AH31" t="str">
        <f>IF(HR_Data[Date_of_termination]="","Active","Left")</f>
        <v>Active</v>
      </c>
      <c r="AI31" t="str">
        <f>IF(HR_Data[YearsAtCompany]&lt;=2,"Fresher", IF(HR_Data[YearsAtCompany]&lt;=5,"Junior", IF(HR_Data[YearsAtCompany]&lt;=10, "Mid","Senior")))</f>
        <v>Fresher</v>
      </c>
      <c r="AJ31" s="2" t="str">
        <f>IF(HR_Data[MonthlyIncome]&lt;=300,"Low", IF(HR_Data[MonthlyIncome]&lt;=7000,"Medium", "High"))</f>
        <v>High</v>
      </c>
      <c r="AK31" s="2" t="str">
        <f>VLOOKUP(HR_Data[JobRole], JobRole_Map[], 2, FALSE)</f>
        <v>Management</v>
      </c>
    </row>
    <row r="32" spans="1:37" x14ac:dyDescent="0.25">
      <c r="A32" s="2">
        <v>18</v>
      </c>
      <c r="B32" t="s">
        <v>41</v>
      </c>
      <c r="C32" t="s">
        <v>68</v>
      </c>
      <c r="D32" t="s">
        <v>34</v>
      </c>
      <c r="E32">
        <v>1</v>
      </c>
      <c r="F32" t="s">
        <v>58</v>
      </c>
      <c r="G32">
        <v>3</v>
      </c>
      <c r="H32">
        <v>1</v>
      </c>
      <c r="I32" t="s">
        <v>36</v>
      </c>
      <c r="J32">
        <v>4</v>
      </c>
      <c r="K32" t="s">
        <v>37</v>
      </c>
      <c r="L32">
        <v>1611</v>
      </c>
      <c r="M32">
        <v>1</v>
      </c>
      <c r="N32" t="s">
        <v>41</v>
      </c>
      <c r="O32">
        <v>15</v>
      </c>
      <c r="P32">
        <v>3</v>
      </c>
      <c r="Q32">
        <v>0</v>
      </c>
      <c r="R32">
        <v>0</v>
      </c>
      <c r="S32">
        <v>5</v>
      </c>
      <c r="T32">
        <v>0</v>
      </c>
      <c r="U32">
        <v>0</v>
      </c>
      <c r="V32">
        <v>0</v>
      </c>
      <c r="W32" t="s">
        <v>65</v>
      </c>
      <c r="X32" s="1" t="d">
        <v>2021-01-04</v>
      </c>
      <c r="Z32" t="s">
        <v>39</v>
      </c>
      <c r="AA32" t="s">
        <v>46</v>
      </c>
      <c r="AB32">
        <v>1</v>
      </c>
      <c r="AC32">
        <v>3</v>
      </c>
      <c r="AD32" t="s">
        <v>32</v>
      </c>
      <c r="AE32" t="s">
        <v>42</v>
      </c>
      <c r="AF32" t="s">
        <v>48</v>
      </c>
      <c r="AG32">
        <f>IF(HR_Data[[#This Row],[Attrition]]="Yes",1,0)</f>
        <v>0</v>
      </c>
      <c r="AH32" t="str">
        <f>IF(HR_Data[Date_of_termination]="","Active","Left")</f>
        <v>Active</v>
      </c>
      <c r="AI32" t="str">
        <f>IF(HR_Data[YearsAtCompany]&lt;=2,"Fresher", IF(HR_Data[YearsAtCompany]&lt;=5,"Junior", IF(HR_Data[YearsAtCompany]&lt;=10, "Mid","Senior")))</f>
        <v>Fresher</v>
      </c>
      <c r="AJ32" s="2" t="str">
        <f>IF(HR_Data[MonthlyIncome]&lt;=300,"Low", IF(HR_Data[MonthlyIncome]&lt;=7000,"Medium", "High"))</f>
        <v>Medium</v>
      </c>
      <c r="AK32" s="2" t="str">
        <f>VLOOKUP(HR_Data[JobRole], JobRole_Map[], 2, FALSE)</f>
        <v>Technical</v>
      </c>
    </row>
    <row r="33" spans="1:37" x14ac:dyDescent="0.25">
      <c r="A33" s="2">
        <v>24</v>
      </c>
      <c r="B33" t="s">
        <v>32</v>
      </c>
      <c r="C33" t="s">
        <v>61</v>
      </c>
      <c r="D33" t="s">
        <v>34</v>
      </c>
      <c r="E33">
        <v>9</v>
      </c>
      <c r="F33" t="s">
        <v>35</v>
      </c>
      <c r="G33">
        <v>3</v>
      </c>
      <c r="H33">
        <v>1</v>
      </c>
      <c r="I33" t="s">
        <v>36</v>
      </c>
      <c r="J33">
        <v>1</v>
      </c>
      <c r="K33" t="s">
        <v>37</v>
      </c>
      <c r="L33">
        <v>3172</v>
      </c>
      <c r="M33">
        <v>2</v>
      </c>
      <c r="N33" t="s">
        <v>32</v>
      </c>
      <c r="O33">
        <v>11</v>
      </c>
      <c r="P33">
        <v>3</v>
      </c>
      <c r="Q33">
        <v>0</v>
      </c>
      <c r="R33">
        <v>4</v>
      </c>
      <c r="S33">
        <v>2</v>
      </c>
      <c r="T33">
        <v>0</v>
      </c>
      <c r="U33">
        <v>0</v>
      </c>
      <c r="V33">
        <v>0</v>
      </c>
      <c r="W33" t="s">
        <v>38</v>
      </c>
      <c r="X33" s="1" t="d">
        <v>2021-04-22</v>
      </c>
      <c r="Z33" t="s">
        <v>63</v>
      </c>
      <c r="AA33" t="s">
        <v>40</v>
      </c>
      <c r="AB33">
        <v>5</v>
      </c>
      <c r="AC33">
        <v>2</v>
      </c>
      <c r="AD33" t="s">
        <v>32</v>
      </c>
      <c r="AE33" t="s">
        <v>42</v>
      </c>
      <c r="AF33" t="s">
        <v>48</v>
      </c>
      <c r="AG33">
        <f>IF(HR_Data[[#This Row],[Attrition]]="Yes",1,0)</f>
        <v>1</v>
      </c>
      <c r="AH33" t="str">
        <f>IF(HR_Data[Date_of_termination]="","Active","Left")</f>
        <v>Active</v>
      </c>
      <c r="AI33" t="str">
        <f>IF(HR_Data[YearsAtCompany]&lt;=2,"Fresher", IF(HR_Data[YearsAtCompany]&lt;=5,"Junior", IF(HR_Data[YearsAtCompany]&lt;=10, "Mid","Senior")))</f>
        <v>Fresher</v>
      </c>
      <c r="AJ33" s="2" t="str">
        <f>IF(HR_Data[MonthlyIncome]&lt;=300,"Low", IF(HR_Data[MonthlyIncome]&lt;=7000,"Medium", "High"))</f>
        <v>Medium</v>
      </c>
      <c r="AK33" s="2" t="str">
        <f>VLOOKUP(HR_Data[JobRole], JobRole_Map[], 2, FALSE)</f>
        <v>Technical</v>
      </c>
    </row>
    <row r="34" spans="1:37" x14ac:dyDescent="0.25">
      <c r="A34" s="2">
        <v>28</v>
      </c>
      <c r="B34" t="s">
        <v>32</v>
      </c>
      <c r="C34" t="s">
        <v>61</v>
      </c>
      <c r="D34" t="s">
        <v>34</v>
      </c>
      <c r="E34">
        <v>2</v>
      </c>
      <c r="F34" t="s">
        <v>35</v>
      </c>
      <c r="G34">
        <v>2</v>
      </c>
      <c r="H34">
        <v>1</v>
      </c>
      <c r="I34" t="s">
        <v>36</v>
      </c>
      <c r="J34">
        <v>1</v>
      </c>
      <c r="K34" t="s">
        <v>37</v>
      </c>
      <c r="L34">
        <v>2561</v>
      </c>
      <c r="M34">
        <v>7</v>
      </c>
      <c r="N34" t="s">
        <v>41</v>
      </c>
      <c r="O34">
        <v>11</v>
      </c>
      <c r="P34">
        <v>3</v>
      </c>
      <c r="Q34">
        <v>0</v>
      </c>
      <c r="R34">
        <v>8</v>
      </c>
      <c r="S34">
        <v>2</v>
      </c>
      <c r="T34">
        <v>0</v>
      </c>
      <c r="U34">
        <v>0</v>
      </c>
      <c r="V34">
        <v>0</v>
      </c>
      <c r="W34" t="s">
        <v>65</v>
      </c>
      <c r="X34" s="1" t="d">
        <v>2021-02-20</v>
      </c>
      <c r="Z34" t="s">
        <v>52</v>
      </c>
      <c r="AA34" t="s">
        <v>46</v>
      </c>
      <c r="AB34">
        <v>5</v>
      </c>
      <c r="AC34">
        <v>0</v>
      </c>
      <c r="AD34" t="s">
        <v>41</v>
      </c>
      <c r="AE34" t="s">
        <v>42</v>
      </c>
      <c r="AF34" t="s">
        <v>57</v>
      </c>
      <c r="AG34">
        <f>IF(HR_Data[[#This Row],[Attrition]]="Yes",1,0)</f>
        <v>1</v>
      </c>
      <c r="AH34" t="str">
        <f>IF(HR_Data[Date_of_termination]="","Active","Left")</f>
        <v>Active</v>
      </c>
      <c r="AI34" t="str">
        <f>IF(HR_Data[YearsAtCompany]&lt;=2,"Fresher", IF(HR_Data[YearsAtCompany]&lt;=5,"Junior", IF(HR_Data[YearsAtCompany]&lt;=10, "Mid","Senior")))</f>
        <v>Fresher</v>
      </c>
      <c r="AJ34" s="2" t="str">
        <f>IF(HR_Data[MonthlyIncome]&lt;=300,"Low", IF(HR_Data[MonthlyIncome]&lt;=7000,"Medium", "High"))</f>
        <v>Medium</v>
      </c>
      <c r="AK34" s="2" t="str">
        <f>VLOOKUP(HR_Data[JobRole], JobRole_Map[], 2, FALSE)</f>
        <v>Technical</v>
      </c>
    </row>
    <row r="35" spans="1:37" x14ac:dyDescent="0.25">
      <c r="A35" s="2">
        <v>33</v>
      </c>
      <c r="B35" t="s">
        <v>41</v>
      </c>
      <c r="C35" t="s">
        <v>33</v>
      </c>
      <c r="D35" t="s">
        <v>34</v>
      </c>
      <c r="E35">
        <v>8</v>
      </c>
      <c r="F35" t="s">
        <v>35</v>
      </c>
      <c r="G35">
        <v>3</v>
      </c>
      <c r="H35">
        <v>2</v>
      </c>
      <c r="I35" t="s">
        <v>69</v>
      </c>
      <c r="J35">
        <v>3</v>
      </c>
      <c r="K35" t="s">
        <v>37</v>
      </c>
      <c r="L35">
        <v>6388</v>
      </c>
      <c r="M35">
        <v>2</v>
      </c>
      <c r="N35" t="s">
        <v>32</v>
      </c>
      <c r="O35">
        <v>17</v>
      </c>
      <c r="P35">
        <v>3</v>
      </c>
      <c r="Q35">
        <v>0</v>
      </c>
      <c r="R35">
        <v>14</v>
      </c>
      <c r="S35">
        <v>6</v>
      </c>
      <c r="T35">
        <v>0</v>
      </c>
      <c r="U35">
        <v>0</v>
      </c>
      <c r="V35">
        <v>0</v>
      </c>
      <c r="W35" t="s">
        <v>38</v>
      </c>
      <c r="X35" s="1" t="d">
        <v>2021-04-06</v>
      </c>
      <c r="Z35" t="s">
        <v>45</v>
      </c>
      <c r="AA35" t="s">
        <v>40</v>
      </c>
      <c r="AB35">
        <v>3</v>
      </c>
      <c r="AC35">
        <v>3</v>
      </c>
      <c r="AD35" t="s">
        <v>41</v>
      </c>
      <c r="AE35" t="s">
        <v>60</v>
      </c>
      <c r="AF35" t="s">
        <v>57</v>
      </c>
      <c r="AG35">
        <f>IF(HR_Data[[#This Row],[Attrition]]="Yes",1,0)</f>
        <v>0</v>
      </c>
      <c r="AH35" t="str">
        <f>IF(HR_Data[Date_of_termination]="","Active","Left")</f>
        <v>Active</v>
      </c>
      <c r="AI35" t="str">
        <f>IF(HR_Data[YearsAtCompany]&lt;=2,"Fresher", IF(HR_Data[YearsAtCompany]&lt;=5,"Junior", IF(HR_Data[YearsAtCompany]&lt;=10, "Mid","Senior")))</f>
        <v>Fresher</v>
      </c>
      <c r="AJ35" s="2" t="str">
        <f>IF(HR_Data[MonthlyIncome]&lt;=300,"Low", IF(HR_Data[MonthlyIncome]&lt;=7000,"Medium", "High"))</f>
        <v>Medium</v>
      </c>
      <c r="AK35" s="2" t="str">
        <f>VLOOKUP(HR_Data[JobRole], JobRole_Map[], 2, FALSE)</f>
        <v>Operations</v>
      </c>
    </row>
    <row r="36" spans="1:37" x14ac:dyDescent="0.25">
      <c r="A36" s="2">
        <v>18</v>
      </c>
      <c r="B36" t="s">
        <v>32</v>
      </c>
      <c r="C36" t="s">
        <v>61</v>
      </c>
      <c r="D36" t="s">
        <v>53</v>
      </c>
      <c r="E36">
        <v>3</v>
      </c>
      <c r="F36" t="s">
        <v>58</v>
      </c>
      <c r="G36">
        <v>3</v>
      </c>
      <c r="H36">
        <v>1</v>
      </c>
      <c r="I36" t="s">
        <v>54</v>
      </c>
      <c r="J36">
        <v>4</v>
      </c>
      <c r="K36" t="s">
        <v>37</v>
      </c>
      <c r="L36">
        <v>1569</v>
      </c>
      <c r="M36">
        <v>1</v>
      </c>
      <c r="N36" t="s">
        <v>32</v>
      </c>
      <c r="O36">
        <v>12</v>
      </c>
      <c r="P36">
        <v>3</v>
      </c>
      <c r="Q36">
        <v>0</v>
      </c>
      <c r="R36">
        <v>0</v>
      </c>
      <c r="S36">
        <v>2</v>
      </c>
      <c r="T36">
        <v>0</v>
      </c>
      <c r="U36">
        <v>0</v>
      </c>
      <c r="V36">
        <v>0</v>
      </c>
      <c r="W36" t="s">
        <v>65</v>
      </c>
      <c r="X36" s="1" t="d">
        <v>2021-01-29</v>
      </c>
      <c r="Z36" t="s">
        <v>52</v>
      </c>
      <c r="AA36" t="s">
        <v>40</v>
      </c>
      <c r="AB36">
        <v>0</v>
      </c>
      <c r="AC36">
        <v>1</v>
      </c>
      <c r="AD36" t="s">
        <v>41</v>
      </c>
      <c r="AE36" t="s">
        <v>47</v>
      </c>
      <c r="AF36" t="s">
        <v>48</v>
      </c>
      <c r="AG36">
        <f>IF(HR_Data[[#This Row],[Attrition]]="Yes",1,0)</f>
        <v>1</v>
      </c>
      <c r="AH36" t="str">
        <f>IF(HR_Data[Date_of_termination]="","Active","Left")</f>
        <v>Active</v>
      </c>
      <c r="AI36" t="str">
        <f>IF(HR_Data[YearsAtCompany]&lt;=2,"Fresher", IF(HR_Data[YearsAtCompany]&lt;=5,"Junior", IF(HR_Data[YearsAtCompany]&lt;=10, "Mid","Senior")))</f>
        <v>Fresher</v>
      </c>
      <c r="AJ36" s="2" t="str">
        <f>IF(HR_Data[MonthlyIncome]&lt;=300,"Low", IF(HR_Data[MonthlyIncome]&lt;=7000,"Medium", "High"))</f>
        <v>Medium</v>
      </c>
      <c r="AK36" s="2" t="str">
        <f>VLOOKUP(HR_Data[JobRole], JobRole_Map[], 2, FALSE)</f>
        <v>Sales</v>
      </c>
    </row>
    <row r="37" spans="1:37" x14ac:dyDescent="0.25">
      <c r="A37" s="2">
        <v>38</v>
      </c>
      <c r="B37" t="s">
        <v>41</v>
      </c>
      <c r="C37" t="s">
        <v>33</v>
      </c>
      <c r="D37" t="s">
        <v>34</v>
      </c>
      <c r="E37">
        <v>4</v>
      </c>
      <c r="F37" t="s">
        <v>58</v>
      </c>
      <c r="G37">
        <v>3</v>
      </c>
      <c r="H37">
        <v>1</v>
      </c>
      <c r="I37" t="s">
        <v>36</v>
      </c>
      <c r="J37">
        <v>3</v>
      </c>
      <c r="K37" t="s">
        <v>50</v>
      </c>
      <c r="L37">
        <v>3306</v>
      </c>
      <c r="M37">
        <v>7</v>
      </c>
      <c r="N37" t="s">
        <v>41</v>
      </c>
      <c r="O37">
        <v>19</v>
      </c>
      <c r="P37">
        <v>3</v>
      </c>
      <c r="Q37">
        <v>1</v>
      </c>
      <c r="R37">
        <v>7</v>
      </c>
      <c r="S37">
        <v>5</v>
      </c>
      <c r="T37">
        <v>0</v>
      </c>
      <c r="U37">
        <v>0</v>
      </c>
      <c r="V37">
        <v>0</v>
      </c>
      <c r="W37" t="s">
        <v>51</v>
      </c>
      <c r="X37" s="1" t="d">
        <v>2021-01-25</v>
      </c>
      <c r="Z37" t="s">
        <v>52</v>
      </c>
      <c r="AA37" t="s">
        <v>40</v>
      </c>
      <c r="AB37">
        <v>2</v>
      </c>
      <c r="AC37">
        <v>3</v>
      </c>
      <c r="AD37" t="s">
        <v>32</v>
      </c>
      <c r="AE37" t="s">
        <v>62</v>
      </c>
      <c r="AF37" t="s">
        <v>57</v>
      </c>
      <c r="AG37">
        <f>IF(HR_Data[[#This Row],[Attrition]]="Yes",1,0)</f>
        <v>0</v>
      </c>
      <c r="AH37" t="str">
        <f>IF(HR_Data[Date_of_termination]="","Active","Left")</f>
        <v>Active</v>
      </c>
      <c r="AI37" t="str">
        <f>IF(HR_Data[YearsAtCompany]&lt;=2,"Fresher", IF(HR_Data[YearsAtCompany]&lt;=5,"Junior", IF(HR_Data[YearsAtCompany]&lt;=10, "Mid","Senior")))</f>
        <v>Fresher</v>
      </c>
      <c r="AJ37" s="2" t="str">
        <f>IF(HR_Data[MonthlyIncome]&lt;=300,"Low", IF(HR_Data[MonthlyIncome]&lt;=7000,"Medium", "High"))</f>
        <v>Medium</v>
      </c>
      <c r="AK37" s="2" t="str">
        <f>VLOOKUP(HR_Data[JobRole], JobRole_Map[], 2, FALSE)</f>
        <v>Technical</v>
      </c>
    </row>
    <row r="38" spans="1:37" x14ac:dyDescent="0.25">
      <c r="A38" s="2">
        <v>32</v>
      </c>
      <c r="B38" t="s">
        <v>32</v>
      </c>
      <c r="C38" t="s">
        <v>33</v>
      </c>
      <c r="D38" t="s">
        <v>53</v>
      </c>
      <c r="E38">
        <v>1</v>
      </c>
      <c r="F38" t="s">
        <v>35</v>
      </c>
      <c r="G38">
        <v>1</v>
      </c>
      <c r="H38">
        <v>2</v>
      </c>
      <c r="I38" t="s">
        <v>64</v>
      </c>
      <c r="J38">
        <v>2</v>
      </c>
      <c r="K38" t="s">
        <v>37</v>
      </c>
      <c r="L38">
        <v>6735</v>
      </c>
      <c r="M38">
        <v>6</v>
      </c>
      <c r="N38" t="s">
        <v>41</v>
      </c>
      <c r="O38">
        <v>15</v>
      </c>
      <c r="P38">
        <v>3</v>
      </c>
      <c r="Q38">
        <v>0</v>
      </c>
      <c r="R38">
        <v>10</v>
      </c>
      <c r="S38">
        <v>2</v>
      </c>
      <c r="T38">
        <v>0</v>
      </c>
      <c r="U38">
        <v>0</v>
      </c>
      <c r="V38">
        <v>0</v>
      </c>
      <c r="W38" t="s">
        <v>56</v>
      </c>
      <c r="X38" s="1" t="d">
        <v>2021-06-17</v>
      </c>
      <c r="Z38" t="s">
        <v>63</v>
      </c>
      <c r="AA38" t="s">
        <v>46</v>
      </c>
      <c r="AB38">
        <v>1</v>
      </c>
      <c r="AC38">
        <v>1</v>
      </c>
      <c r="AD38" t="s">
        <v>32</v>
      </c>
      <c r="AE38" t="s">
        <v>47</v>
      </c>
      <c r="AF38" t="s">
        <v>57</v>
      </c>
      <c r="AG38">
        <f>IF(HR_Data[[#This Row],[Attrition]]="Yes",1,0)</f>
        <v>1</v>
      </c>
      <c r="AH38" t="str">
        <f>IF(HR_Data[Date_of_termination]="","Active","Left")</f>
        <v>Active</v>
      </c>
      <c r="AI38" t="str">
        <f>IF(HR_Data[YearsAtCompany]&lt;=2,"Fresher", IF(HR_Data[YearsAtCompany]&lt;=5,"Junior", IF(HR_Data[YearsAtCompany]&lt;=10, "Mid","Senior")))</f>
        <v>Fresher</v>
      </c>
      <c r="AJ38" s="2" t="str">
        <f>IF(HR_Data[MonthlyIncome]&lt;=300,"Low", IF(HR_Data[MonthlyIncome]&lt;=7000,"Medium", "High"))</f>
        <v>Medium</v>
      </c>
      <c r="AK38" s="2" t="str">
        <f>VLOOKUP(HR_Data[JobRole], JobRole_Map[], 2, FALSE)</f>
        <v>Sales</v>
      </c>
    </row>
    <row r="39" spans="1:37" x14ac:dyDescent="0.25">
      <c r="A39" s="2">
        <v>33</v>
      </c>
      <c r="B39" t="s">
        <v>32</v>
      </c>
      <c r="C39" t="s">
        <v>33</v>
      </c>
      <c r="D39" t="s">
        <v>53</v>
      </c>
      <c r="E39">
        <v>16</v>
      </c>
      <c r="F39" t="s">
        <v>58</v>
      </c>
      <c r="G39">
        <v>3</v>
      </c>
      <c r="H39">
        <v>3</v>
      </c>
      <c r="I39" t="s">
        <v>64</v>
      </c>
      <c r="J39">
        <v>1</v>
      </c>
      <c r="K39" t="s">
        <v>37</v>
      </c>
      <c r="L39">
        <v>8564</v>
      </c>
      <c r="M39">
        <v>2</v>
      </c>
      <c r="N39" t="s">
        <v>32</v>
      </c>
      <c r="O39">
        <v>20</v>
      </c>
      <c r="P39">
        <v>4</v>
      </c>
      <c r="Q39">
        <v>0</v>
      </c>
      <c r="R39">
        <v>11</v>
      </c>
      <c r="S39">
        <v>2</v>
      </c>
      <c r="T39">
        <v>0</v>
      </c>
      <c r="U39">
        <v>0</v>
      </c>
      <c r="V39">
        <v>0</v>
      </c>
      <c r="W39" t="s">
        <v>51</v>
      </c>
      <c r="X39" s="1" t="d">
        <v>2021-01-07</v>
      </c>
      <c r="Z39" t="s">
        <v>39</v>
      </c>
      <c r="AA39" t="s">
        <v>40</v>
      </c>
      <c r="AB39">
        <v>5</v>
      </c>
      <c r="AC39">
        <v>1</v>
      </c>
      <c r="AD39" t="s">
        <v>41</v>
      </c>
      <c r="AE39" t="s">
        <v>47</v>
      </c>
      <c r="AF39" t="s">
        <v>43</v>
      </c>
      <c r="AG39">
        <f>IF(HR_Data[[#This Row],[Attrition]]="Yes",1,0)</f>
        <v>1</v>
      </c>
      <c r="AH39" t="str">
        <f>IF(HR_Data[Date_of_termination]="","Active","Left")</f>
        <v>Active</v>
      </c>
      <c r="AI39" t="str">
        <f>IF(HR_Data[YearsAtCompany]&lt;=2,"Fresher", IF(HR_Data[YearsAtCompany]&lt;=5,"Junior", IF(HR_Data[YearsAtCompany]&lt;=10, "Mid","Senior")))</f>
        <v>Fresher</v>
      </c>
      <c r="AJ39" s="2" t="str">
        <f>IF(HR_Data[MonthlyIncome]&lt;=300,"Low", IF(HR_Data[MonthlyIncome]&lt;=7000,"Medium", "High"))</f>
        <v>High</v>
      </c>
      <c r="AK39" s="2" t="str">
        <f>VLOOKUP(HR_Data[JobRole], JobRole_Map[], 2, FALSE)</f>
        <v>Sales</v>
      </c>
    </row>
    <row r="40" spans="1:37" x14ac:dyDescent="0.25">
      <c r="A40" s="2">
        <v>42</v>
      </c>
      <c r="B40" t="s">
        <v>41</v>
      </c>
      <c r="C40" t="s">
        <v>33</v>
      </c>
      <c r="D40" t="s">
        <v>34</v>
      </c>
      <c r="E40">
        <v>13</v>
      </c>
      <c r="F40" t="s">
        <v>35</v>
      </c>
      <c r="G40">
        <v>4</v>
      </c>
      <c r="H40">
        <v>2</v>
      </c>
      <c r="I40" t="s">
        <v>69</v>
      </c>
      <c r="J40">
        <v>1</v>
      </c>
      <c r="K40" t="s">
        <v>50</v>
      </c>
      <c r="L40">
        <v>5538</v>
      </c>
      <c r="M40">
        <v>5</v>
      </c>
      <c r="N40" t="s">
        <v>41</v>
      </c>
      <c r="O40">
        <v>18</v>
      </c>
      <c r="P40">
        <v>3</v>
      </c>
      <c r="Q40">
        <v>2</v>
      </c>
      <c r="R40">
        <v>10</v>
      </c>
      <c r="S40">
        <v>2</v>
      </c>
      <c r="T40">
        <v>0</v>
      </c>
      <c r="U40">
        <v>0</v>
      </c>
      <c r="V40">
        <v>0</v>
      </c>
      <c r="W40" t="s">
        <v>51</v>
      </c>
      <c r="X40" s="1" t="d">
        <v>2021-03-02</v>
      </c>
      <c r="Z40" t="s">
        <v>45</v>
      </c>
      <c r="AA40" t="s">
        <v>46</v>
      </c>
      <c r="AB40">
        <v>3</v>
      </c>
      <c r="AC40">
        <v>0</v>
      </c>
      <c r="AD40" t="s">
        <v>32</v>
      </c>
      <c r="AE40" t="s">
        <v>42</v>
      </c>
      <c r="AF40" t="s">
        <v>43</v>
      </c>
      <c r="AG40">
        <f>IF(HR_Data[[#This Row],[Attrition]]="Yes",1,0)</f>
        <v>0</v>
      </c>
      <c r="AH40" t="str">
        <f>IF(HR_Data[Date_of_termination]="","Active","Left")</f>
        <v>Active</v>
      </c>
      <c r="AI40" t="str">
        <f>IF(HR_Data[YearsAtCompany]&lt;=2,"Fresher", IF(HR_Data[YearsAtCompany]&lt;=5,"Junior", IF(HR_Data[YearsAtCompany]&lt;=10, "Mid","Senior")))</f>
        <v>Fresher</v>
      </c>
      <c r="AJ40" s="2" t="str">
        <f>IF(HR_Data[MonthlyIncome]&lt;=300,"Low", IF(HR_Data[MonthlyIncome]&lt;=7000,"Medium", "High"))</f>
        <v>Medium</v>
      </c>
      <c r="AK40" s="2" t="str">
        <f>VLOOKUP(HR_Data[JobRole], JobRole_Map[], 2, FALSE)</f>
        <v>Operations</v>
      </c>
    </row>
    <row r="41" spans="1:37" x14ac:dyDescent="0.25">
      <c r="A41" s="2">
        <v>18</v>
      </c>
      <c r="B41" t="s">
        <v>41</v>
      </c>
      <c r="C41" t="s">
        <v>68</v>
      </c>
      <c r="D41" t="s">
        <v>34</v>
      </c>
      <c r="E41">
        <v>14</v>
      </c>
      <c r="F41" t="s">
        <v>58</v>
      </c>
      <c r="G41">
        <v>3</v>
      </c>
      <c r="H41">
        <v>1</v>
      </c>
      <c r="I41" t="s">
        <v>44</v>
      </c>
      <c r="J41">
        <v>3</v>
      </c>
      <c r="K41" t="s">
        <v>37</v>
      </c>
      <c r="L41">
        <v>1514</v>
      </c>
      <c r="M41">
        <v>1</v>
      </c>
      <c r="N41" t="s">
        <v>41</v>
      </c>
      <c r="O41">
        <v>16</v>
      </c>
      <c r="P41">
        <v>3</v>
      </c>
      <c r="Q41">
        <v>0</v>
      </c>
      <c r="R41">
        <v>0</v>
      </c>
      <c r="S41">
        <v>4</v>
      </c>
      <c r="T41">
        <v>0</v>
      </c>
      <c r="U41">
        <v>0</v>
      </c>
      <c r="V41">
        <v>0</v>
      </c>
      <c r="W41" t="s">
        <v>38</v>
      </c>
      <c r="X41" s="1" t="d">
        <v>2021-03-23</v>
      </c>
      <c r="Z41" t="s">
        <v>63</v>
      </c>
      <c r="AA41" t="s">
        <v>46</v>
      </c>
      <c r="AB41">
        <v>4</v>
      </c>
      <c r="AC41">
        <v>3</v>
      </c>
      <c r="AD41" t="s">
        <v>41</v>
      </c>
      <c r="AE41" t="s">
        <v>62</v>
      </c>
      <c r="AF41" t="s">
        <v>43</v>
      </c>
      <c r="AG41">
        <f>IF(HR_Data[[#This Row],[Attrition]]="Yes",1,0)</f>
        <v>0</v>
      </c>
      <c r="AH41" t="str">
        <f>IF(HR_Data[Date_of_termination]="","Active","Left")</f>
        <v>Active</v>
      </c>
      <c r="AI41" t="str">
        <f>IF(HR_Data[YearsAtCompany]&lt;=2,"Fresher", IF(HR_Data[YearsAtCompany]&lt;=5,"Junior", IF(HR_Data[YearsAtCompany]&lt;=10, "Mid","Senior")))</f>
        <v>Fresher</v>
      </c>
      <c r="AJ41" s="2" t="str">
        <f>IF(HR_Data[MonthlyIncome]&lt;=300,"Low", IF(HR_Data[MonthlyIncome]&lt;=7000,"Medium", "High"))</f>
        <v>Medium</v>
      </c>
      <c r="AK41" s="2" t="str">
        <f>VLOOKUP(HR_Data[JobRole], JobRole_Map[], 2, FALSE)</f>
        <v>Technical</v>
      </c>
    </row>
    <row r="42" spans="1:37" x14ac:dyDescent="0.25">
      <c r="A42" s="2">
        <v>32</v>
      </c>
      <c r="B42" t="s">
        <v>41</v>
      </c>
      <c r="C42" t="s">
        <v>61</v>
      </c>
      <c r="D42" t="s">
        <v>53</v>
      </c>
      <c r="E42">
        <v>10</v>
      </c>
      <c r="F42" t="s">
        <v>35</v>
      </c>
      <c r="G42">
        <v>3</v>
      </c>
      <c r="H42">
        <v>2</v>
      </c>
      <c r="I42" t="s">
        <v>64</v>
      </c>
      <c r="J42">
        <v>4</v>
      </c>
      <c r="K42" t="s">
        <v>37</v>
      </c>
      <c r="L42">
        <v>4648</v>
      </c>
      <c r="M42">
        <v>8</v>
      </c>
      <c r="N42" t="s">
        <v>41</v>
      </c>
      <c r="O42">
        <v>13</v>
      </c>
      <c r="P42">
        <v>3</v>
      </c>
      <c r="Q42">
        <v>0</v>
      </c>
      <c r="R42">
        <v>4</v>
      </c>
      <c r="S42">
        <v>2</v>
      </c>
      <c r="T42">
        <v>0</v>
      </c>
      <c r="U42">
        <v>0</v>
      </c>
      <c r="V42">
        <v>0</v>
      </c>
      <c r="W42" t="s">
        <v>51</v>
      </c>
      <c r="X42" s="1" t="d">
        <v>2021-03-20</v>
      </c>
      <c r="Z42" t="s">
        <v>63</v>
      </c>
      <c r="AA42" t="s">
        <v>40</v>
      </c>
      <c r="AB42">
        <v>3</v>
      </c>
      <c r="AC42">
        <v>3</v>
      </c>
      <c r="AD42" t="s">
        <v>32</v>
      </c>
      <c r="AE42" t="s">
        <v>62</v>
      </c>
      <c r="AF42" t="s">
        <v>43</v>
      </c>
      <c r="AG42">
        <f>IF(HR_Data[[#This Row],[Attrition]]="Yes",1,0)</f>
        <v>0</v>
      </c>
      <c r="AH42" t="str">
        <f>IF(HR_Data[Date_of_termination]="","Active","Left")</f>
        <v>Active</v>
      </c>
      <c r="AI42" t="str">
        <f>IF(HR_Data[YearsAtCompany]&lt;=2,"Fresher", IF(HR_Data[YearsAtCompany]&lt;=5,"Junior", IF(HR_Data[YearsAtCompany]&lt;=10, "Mid","Senior")))</f>
        <v>Fresher</v>
      </c>
      <c r="AJ42" s="2" t="str">
        <f>IF(HR_Data[MonthlyIncome]&lt;=300,"Low", IF(HR_Data[MonthlyIncome]&lt;=7000,"Medium", "High"))</f>
        <v>Medium</v>
      </c>
      <c r="AK42" s="2" t="str">
        <f>VLOOKUP(HR_Data[JobRole], JobRole_Map[], 2, FALSE)</f>
        <v>Sales</v>
      </c>
    </row>
    <row r="43" spans="1:37" x14ac:dyDescent="0.25">
      <c r="A43" s="2">
        <v>42</v>
      </c>
      <c r="B43" t="s">
        <v>41</v>
      </c>
      <c r="C43" t="s">
        <v>33</v>
      </c>
      <c r="D43" t="s">
        <v>34</v>
      </c>
      <c r="E43">
        <v>8</v>
      </c>
      <c r="F43" t="s">
        <v>35</v>
      </c>
      <c r="G43">
        <v>3</v>
      </c>
      <c r="H43">
        <v>1</v>
      </c>
      <c r="I43" t="s">
        <v>36</v>
      </c>
      <c r="J43">
        <v>3</v>
      </c>
      <c r="K43" t="s">
        <v>37</v>
      </c>
      <c r="L43">
        <v>3968</v>
      </c>
      <c r="M43">
        <v>4</v>
      </c>
      <c r="N43" t="s">
        <v>41</v>
      </c>
      <c r="O43">
        <v>13</v>
      </c>
      <c r="P43">
        <v>3</v>
      </c>
      <c r="Q43">
        <v>0</v>
      </c>
      <c r="R43">
        <v>8</v>
      </c>
      <c r="S43">
        <v>3</v>
      </c>
      <c r="T43">
        <v>0</v>
      </c>
      <c r="U43">
        <v>0</v>
      </c>
      <c r="V43">
        <v>0</v>
      </c>
      <c r="W43" t="s">
        <v>38</v>
      </c>
      <c r="X43" s="1" t="d">
        <v>2021-03-09</v>
      </c>
      <c r="Z43" t="s">
        <v>59</v>
      </c>
      <c r="AA43" t="s">
        <v>40</v>
      </c>
      <c r="AB43">
        <v>5</v>
      </c>
      <c r="AC43">
        <v>1</v>
      </c>
      <c r="AD43" t="s">
        <v>41</v>
      </c>
      <c r="AE43" t="s">
        <v>60</v>
      </c>
      <c r="AF43" t="s">
        <v>57</v>
      </c>
      <c r="AG43">
        <f>IF(HR_Data[[#This Row],[Attrition]]="Yes",1,0)</f>
        <v>0</v>
      </c>
      <c r="AH43" t="str">
        <f>IF(HR_Data[Date_of_termination]="","Active","Left")</f>
        <v>Active</v>
      </c>
      <c r="AI43" t="str">
        <f>IF(HR_Data[YearsAtCompany]&lt;=2,"Fresher", IF(HR_Data[YearsAtCompany]&lt;=5,"Junior", IF(HR_Data[YearsAtCompany]&lt;=10, "Mid","Senior")))</f>
        <v>Fresher</v>
      </c>
      <c r="AJ43" s="2" t="str">
        <f>IF(HR_Data[MonthlyIncome]&lt;=300,"Low", IF(HR_Data[MonthlyIncome]&lt;=7000,"Medium", "High"))</f>
        <v>Medium</v>
      </c>
      <c r="AK43" s="2" t="str">
        <f>VLOOKUP(HR_Data[JobRole], JobRole_Map[], 2, FALSE)</f>
        <v>Technical</v>
      </c>
    </row>
    <row r="44" spans="1:37" x14ac:dyDescent="0.25">
      <c r="A44" s="2">
        <v>56</v>
      </c>
      <c r="B44" t="s">
        <v>41</v>
      </c>
      <c r="C44" t="s">
        <v>33</v>
      </c>
      <c r="D44" t="s">
        <v>53</v>
      </c>
      <c r="E44">
        <v>11</v>
      </c>
      <c r="F44" t="s">
        <v>58</v>
      </c>
      <c r="G44">
        <v>2</v>
      </c>
      <c r="H44">
        <v>2</v>
      </c>
      <c r="I44" t="s">
        <v>64</v>
      </c>
      <c r="J44">
        <v>1</v>
      </c>
      <c r="K44" t="s">
        <v>50</v>
      </c>
      <c r="L44">
        <v>5380</v>
      </c>
      <c r="M44">
        <v>4</v>
      </c>
      <c r="N44" t="s">
        <v>41</v>
      </c>
      <c r="O44">
        <v>16</v>
      </c>
      <c r="P44">
        <v>3</v>
      </c>
      <c r="Q44">
        <v>1</v>
      </c>
      <c r="R44">
        <v>6</v>
      </c>
      <c r="S44">
        <v>3</v>
      </c>
      <c r="T44">
        <v>0</v>
      </c>
      <c r="U44">
        <v>0</v>
      </c>
      <c r="V44">
        <v>0</v>
      </c>
      <c r="W44" t="s">
        <v>56</v>
      </c>
      <c r="X44" s="1" t="d">
        <v>2021-05-30</v>
      </c>
      <c r="Z44" t="s">
        <v>59</v>
      </c>
      <c r="AA44" t="s">
        <v>40</v>
      </c>
      <c r="AB44">
        <v>5</v>
      </c>
      <c r="AC44">
        <v>0</v>
      </c>
      <c r="AD44" t="s">
        <v>32</v>
      </c>
      <c r="AE44" t="s">
        <v>47</v>
      </c>
      <c r="AF44" t="s">
        <v>43</v>
      </c>
      <c r="AG44">
        <f>IF(HR_Data[[#This Row],[Attrition]]="Yes",1,0)</f>
        <v>0</v>
      </c>
      <c r="AH44" t="str">
        <f>IF(HR_Data[Date_of_termination]="","Active","Left")</f>
        <v>Active</v>
      </c>
      <c r="AI44" t="str">
        <f>IF(HR_Data[YearsAtCompany]&lt;=2,"Fresher", IF(HR_Data[YearsAtCompany]&lt;=5,"Junior", IF(HR_Data[YearsAtCompany]&lt;=10, "Mid","Senior")))</f>
        <v>Fresher</v>
      </c>
      <c r="AJ44" s="2" t="str">
        <f>IF(HR_Data[MonthlyIncome]&lt;=300,"Low", IF(HR_Data[MonthlyIncome]&lt;=7000,"Medium", "High"))</f>
        <v>Medium</v>
      </c>
      <c r="AK44" s="2" t="str">
        <f>VLOOKUP(HR_Data[JobRole], JobRole_Map[], 2, FALSE)</f>
        <v>Sales</v>
      </c>
    </row>
    <row r="45" spans="1:37" x14ac:dyDescent="0.25">
      <c r="A45" s="2">
        <v>42</v>
      </c>
      <c r="B45" t="s">
        <v>41</v>
      </c>
      <c r="C45" t="s">
        <v>33</v>
      </c>
      <c r="D45" t="s">
        <v>53</v>
      </c>
      <c r="E45">
        <v>12</v>
      </c>
      <c r="F45" t="s">
        <v>35</v>
      </c>
      <c r="G45">
        <v>3</v>
      </c>
      <c r="H45">
        <v>2</v>
      </c>
      <c r="I45" t="s">
        <v>64</v>
      </c>
      <c r="J45">
        <v>4</v>
      </c>
      <c r="K45" t="s">
        <v>55</v>
      </c>
      <c r="L45">
        <v>5087</v>
      </c>
      <c r="M45">
        <v>3</v>
      </c>
      <c r="N45" t="s">
        <v>32</v>
      </c>
      <c r="O45">
        <v>12</v>
      </c>
      <c r="P45">
        <v>3</v>
      </c>
      <c r="Q45">
        <v>2</v>
      </c>
      <c r="R45">
        <v>14</v>
      </c>
      <c r="S45">
        <v>4</v>
      </c>
      <c r="T45">
        <v>0</v>
      </c>
      <c r="U45">
        <v>0</v>
      </c>
      <c r="V45">
        <v>0</v>
      </c>
      <c r="W45" t="s">
        <v>56</v>
      </c>
      <c r="X45" s="1" t="d">
        <v>2021-02-12</v>
      </c>
      <c r="Z45" t="s">
        <v>63</v>
      </c>
      <c r="AA45" t="s">
        <v>40</v>
      </c>
      <c r="AB45">
        <v>1</v>
      </c>
      <c r="AC45">
        <v>2</v>
      </c>
      <c r="AD45" t="s">
        <v>41</v>
      </c>
      <c r="AE45" t="s">
        <v>47</v>
      </c>
      <c r="AF45" t="s">
        <v>48</v>
      </c>
      <c r="AG45">
        <f>IF(HR_Data[[#This Row],[Attrition]]="Yes",1,0)</f>
        <v>0</v>
      </c>
      <c r="AH45" t="str">
        <f>IF(HR_Data[Date_of_termination]="","Active","Left")</f>
        <v>Active</v>
      </c>
      <c r="AI45" t="str">
        <f>IF(HR_Data[YearsAtCompany]&lt;=2,"Fresher", IF(HR_Data[YearsAtCompany]&lt;=5,"Junior", IF(HR_Data[YearsAtCompany]&lt;=10, "Mid","Senior")))</f>
        <v>Fresher</v>
      </c>
      <c r="AJ45" s="2" t="str">
        <f>IF(HR_Data[MonthlyIncome]&lt;=300,"Low", IF(HR_Data[MonthlyIncome]&lt;=7000,"Medium", "High"))</f>
        <v>Medium</v>
      </c>
      <c r="AK45" s="2" t="str">
        <f>VLOOKUP(HR_Data[JobRole], JobRole_Map[], 2, FALSE)</f>
        <v>Sales</v>
      </c>
    </row>
    <row r="46" spans="1:37" x14ac:dyDescent="0.25">
      <c r="A46" s="2">
        <v>59</v>
      </c>
      <c r="B46" t="s">
        <v>41</v>
      </c>
      <c r="C46" t="s">
        <v>33</v>
      </c>
      <c r="D46" t="s">
        <v>34</v>
      </c>
      <c r="E46">
        <v>3</v>
      </c>
      <c r="F46" t="s">
        <v>58</v>
      </c>
      <c r="G46">
        <v>4</v>
      </c>
      <c r="H46">
        <v>1</v>
      </c>
      <c r="I46" t="s">
        <v>36</v>
      </c>
      <c r="J46">
        <v>1</v>
      </c>
      <c r="K46" t="s">
        <v>50</v>
      </c>
      <c r="L46">
        <v>2670</v>
      </c>
      <c r="M46">
        <v>4</v>
      </c>
      <c r="N46" t="s">
        <v>32</v>
      </c>
      <c r="O46">
        <v>20</v>
      </c>
      <c r="P46">
        <v>4</v>
      </c>
      <c r="Q46">
        <v>3</v>
      </c>
      <c r="R46">
        <v>12</v>
      </c>
      <c r="S46">
        <v>3</v>
      </c>
      <c r="T46">
        <v>1</v>
      </c>
      <c r="U46">
        <v>0</v>
      </c>
      <c r="V46">
        <v>0</v>
      </c>
      <c r="W46" t="s">
        <v>51</v>
      </c>
      <c r="X46" s="1" t="d">
        <v>2020-05-10</v>
      </c>
      <c r="Z46" t="s">
        <v>45</v>
      </c>
      <c r="AA46" t="s">
        <v>40</v>
      </c>
      <c r="AB46">
        <v>2</v>
      </c>
      <c r="AC46">
        <v>1</v>
      </c>
      <c r="AD46" t="s">
        <v>32</v>
      </c>
      <c r="AE46" t="s">
        <v>42</v>
      </c>
      <c r="AF46" t="s">
        <v>43</v>
      </c>
      <c r="AG46">
        <f>IF(HR_Data[[#This Row],[Attrition]]="Yes",1,0)</f>
        <v>0</v>
      </c>
      <c r="AH46" t="str">
        <f>IF(HR_Data[Date_of_termination]="","Active","Left")</f>
        <v>Active</v>
      </c>
      <c r="AI46" t="str">
        <f>IF(HR_Data[YearsAtCompany]&lt;=2,"Fresher", IF(HR_Data[YearsAtCompany]&lt;=5,"Junior", IF(HR_Data[YearsAtCompany]&lt;=10, "Mid","Senior")))</f>
        <v>Fresher</v>
      </c>
      <c r="AJ46" s="2" t="str">
        <f>IF(HR_Data[MonthlyIncome]&lt;=300,"Low", IF(HR_Data[MonthlyIncome]&lt;=7000,"Medium", "High"))</f>
        <v>Medium</v>
      </c>
      <c r="AK46" s="2" t="str">
        <f>VLOOKUP(HR_Data[JobRole], JobRole_Map[], 2, FALSE)</f>
        <v>Technical</v>
      </c>
    </row>
    <row r="47" spans="1:37" x14ac:dyDescent="0.25">
      <c r="A47" s="2">
        <v>30</v>
      </c>
      <c r="B47" t="s">
        <v>41</v>
      </c>
      <c r="C47" t="s">
        <v>33</v>
      </c>
      <c r="D47" t="s">
        <v>34</v>
      </c>
      <c r="E47">
        <v>24</v>
      </c>
      <c r="F47" t="s">
        <v>35</v>
      </c>
      <c r="G47">
        <v>3</v>
      </c>
      <c r="H47">
        <v>1</v>
      </c>
      <c r="I47" t="s">
        <v>36</v>
      </c>
      <c r="J47">
        <v>3</v>
      </c>
      <c r="K47" t="s">
        <v>55</v>
      </c>
      <c r="L47">
        <v>2693</v>
      </c>
      <c r="M47">
        <v>1</v>
      </c>
      <c r="N47" t="s">
        <v>41</v>
      </c>
      <c r="O47">
        <v>22</v>
      </c>
      <c r="P47">
        <v>4</v>
      </c>
      <c r="Q47">
        <v>1</v>
      </c>
      <c r="R47">
        <v>1</v>
      </c>
      <c r="S47">
        <v>2</v>
      </c>
      <c r="T47">
        <v>1</v>
      </c>
      <c r="U47">
        <v>0</v>
      </c>
      <c r="V47">
        <v>0</v>
      </c>
      <c r="W47" t="s">
        <v>38</v>
      </c>
      <c r="X47" s="1" t="d">
        <v>2020-02-28</v>
      </c>
      <c r="Z47" t="s">
        <v>45</v>
      </c>
      <c r="AA47" t="s">
        <v>46</v>
      </c>
      <c r="AB47">
        <v>2</v>
      </c>
      <c r="AC47">
        <v>3</v>
      </c>
      <c r="AD47" t="s">
        <v>41</v>
      </c>
      <c r="AE47" t="s">
        <v>62</v>
      </c>
      <c r="AF47" t="s">
        <v>48</v>
      </c>
      <c r="AG47">
        <f>IF(HR_Data[[#This Row],[Attrition]]="Yes",1,0)</f>
        <v>0</v>
      </c>
      <c r="AH47" t="str">
        <f>IF(HR_Data[Date_of_termination]="","Active","Left")</f>
        <v>Active</v>
      </c>
      <c r="AI47" t="str">
        <f>IF(HR_Data[YearsAtCompany]&lt;=2,"Fresher", IF(HR_Data[YearsAtCompany]&lt;=5,"Junior", IF(HR_Data[YearsAtCompany]&lt;=10, "Mid","Senior")))</f>
        <v>Fresher</v>
      </c>
      <c r="AJ47" s="2" t="str">
        <f>IF(HR_Data[MonthlyIncome]&lt;=300,"Low", IF(HR_Data[MonthlyIncome]&lt;=7000,"Medium", "High"))</f>
        <v>Medium</v>
      </c>
      <c r="AK47" s="2" t="str">
        <f>VLOOKUP(HR_Data[JobRole], JobRole_Map[], 2, FALSE)</f>
        <v>Technical</v>
      </c>
    </row>
    <row r="48" spans="1:37" x14ac:dyDescent="0.25">
      <c r="A48" s="2">
        <v>22</v>
      </c>
      <c r="B48" t="s">
        <v>41</v>
      </c>
      <c r="C48" t="s">
        <v>68</v>
      </c>
      <c r="D48" t="s">
        <v>34</v>
      </c>
      <c r="E48">
        <v>16</v>
      </c>
      <c r="F48" t="s">
        <v>35</v>
      </c>
      <c r="G48">
        <v>4</v>
      </c>
      <c r="H48">
        <v>1</v>
      </c>
      <c r="I48" t="s">
        <v>36</v>
      </c>
      <c r="J48">
        <v>4</v>
      </c>
      <c r="K48" t="s">
        <v>55</v>
      </c>
      <c r="L48">
        <v>2935</v>
      </c>
      <c r="M48">
        <v>1</v>
      </c>
      <c r="N48" t="s">
        <v>32</v>
      </c>
      <c r="O48">
        <v>13</v>
      </c>
      <c r="P48">
        <v>3</v>
      </c>
      <c r="Q48">
        <v>2</v>
      </c>
      <c r="R48">
        <v>1</v>
      </c>
      <c r="S48">
        <v>2</v>
      </c>
      <c r="T48">
        <v>1</v>
      </c>
      <c r="U48">
        <v>0</v>
      </c>
      <c r="V48">
        <v>0</v>
      </c>
      <c r="W48" t="s">
        <v>56</v>
      </c>
      <c r="X48" s="1" t="d">
        <v>2020-04-14</v>
      </c>
      <c r="Z48" t="s">
        <v>39</v>
      </c>
      <c r="AA48" t="s">
        <v>40</v>
      </c>
      <c r="AB48">
        <v>0</v>
      </c>
      <c r="AC48">
        <v>0</v>
      </c>
      <c r="AD48" t="s">
        <v>32</v>
      </c>
      <c r="AE48" t="s">
        <v>62</v>
      </c>
      <c r="AF48" t="s">
        <v>43</v>
      </c>
      <c r="AG48">
        <f>IF(HR_Data[[#This Row],[Attrition]]="Yes",1,0)</f>
        <v>0</v>
      </c>
      <c r="AH48" t="str">
        <f>IF(HR_Data[Date_of_termination]="","Active","Left")</f>
        <v>Active</v>
      </c>
      <c r="AI48" t="str">
        <f>IF(HR_Data[YearsAtCompany]&lt;=2,"Fresher", IF(HR_Data[YearsAtCompany]&lt;=5,"Junior", IF(HR_Data[YearsAtCompany]&lt;=10, "Mid","Senior")))</f>
        <v>Fresher</v>
      </c>
      <c r="AJ48" s="2" t="str">
        <f>IF(HR_Data[MonthlyIncome]&lt;=300,"Low", IF(HR_Data[MonthlyIncome]&lt;=7000,"Medium", "High"))</f>
        <v>Medium</v>
      </c>
      <c r="AK48" s="2" t="str">
        <f>VLOOKUP(HR_Data[JobRole], JobRole_Map[], 2, FALSE)</f>
        <v>Technical</v>
      </c>
    </row>
    <row r="49" spans="1:37" x14ac:dyDescent="0.25">
      <c r="A49" s="2">
        <v>33</v>
      </c>
      <c r="B49" t="s">
        <v>41</v>
      </c>
      <c r="C49" t="s">
        <v>33</v>
      </c>
      <c r="D49" t="s">
        <v>34</v>
      </c>
      <c r="E49">
        <v>2</v>
      </c>
      <c r="F49" t="s">
        <v>35</v>
      </c>
      <c r="G49">
        <v>3</v>
      </c>
      <c r="H49">
        <v>1</v>
      </c>
      <c r="I49" t="s">
        <v>36</v>
      </c>
      <c r="J49">
        <v>4</v>
      </c>
      <c r="K49" t="s">
        <v>37</v>
      </c>
      <c r="L49">
        <v>2496</v>
      </c>
      <c r="M49">
        <v>4</v>
      </c>
      <c r="N49" t="s">
        <v>41</v>
      </c>
      <c r="O49">
        <v>11</v>
      </c>
      <c r="P49">
        <v>3</v>
      </c>
      <c r="Q49">
        <v>0</v>
      </c>
      <c r="R49">
        <v>7</v>
      </c>
      <c r="S49">
        <v>3</v>
      </c>
      <c r="T49">
        <v>1</v>
      </c>
      <c r="U49">
        <v>0</v>
      </c>
      <c r="V49">
        <v>0</v>
      </c>
      <c r="W49" t="s">
        <v>56</v>
      </c>
      <c r="X49" s="1" t="d">
        <v>2020-06-03</v>
      </c>
      <c r="Z49" t="s">
        <v>63</v>
      </c>
      <c r="AA49" t="s">
        <v>40</v>
      </c>
      <c r="AB49">
        <v>1</v>
      </c>
      <c r="AC49">
        <v>0</v>
      </c>
      <c r="AD49" t="s">
        <v>32</v>
      </c>
      <c r="AE49" t="s">
        <v>42</v>
      </c>
      <c r="AF49" t="s">
        <v>43</v>
      </c>
      <c r="AG49">
        <f>IF(HR_Data[[#This Row],[Attrition]]="Yes",1,0)</f>
        <v>0</v>
      </c>
      <c r="AH49" t="str">
        <f>IF(HR_Data[Date_of_termination]="","Active","Left")</f>
        <v>Active</v>
      </c>
      <c r="AI49" t="str">
        <f>IF(HR_Data[YearsAtCompany]&lt;=2,"Fresher", IF(HR_Data[YearsAtCompany]&lt;=5,"Junior", IF(HR_Data[YearsAtCompany]&lt;=10, "Mid","Senior")))</f>
        <v>Fresher</v>
      </c>
      <c r="AJ49" s="2" t="str">
        <f>IF(HR_Data[MonthlyIncome]&lt;=300,"Low", IF(HR_Data[MonthlyIncome]&lt;=7000,"Medium", "High"))</f>
        <v>Medium</v>
      </c>
      <c r="AK49" s="2" t="str">
        <f>VLOOKUP(HR_Data[JobRole], JobRole_Map[], 2, FALSE)</f>
        <v>Technical</v>
      </c>
    </row>
    <row r="50" spans="1:37" x14ac:dyDescent="0.25">
      <c r="A50" s="2">
        <v>39</v>
      </c>
      <c r="B50" t="s">
        <v>32</v>
      </c>
      <c r="C50" t="s">
        <v>33</v>
      </c>
      <c r="D50" t="s">
        <v>53</v>
      </c>
      <c r="E50">
        <v>5</v>
      </c>
      <c r="F50" t="s">
        <v>35</v>
      </c>
      <c r="G50">
        <v>3</v>
      </c>
      <c r="H50">
        <v>2</v>
      </c>
      <c r="I50" t="s">
        <v>54</v>
      </c>
      <c r="J50">
        <v>4</v>
      </c>
      <c r="K50" t="s">
        <v>50</v>
      </c>
      <c r="L50">
        <v>2086</v>
      </c>
      <c r="M50">
        <v>3</v>
      </c>
      <c r="N50" t="s">
        <v>41</v>
      </c>
      <c r="O50">
        <v>14</v>
      </c>
      <c r="P50">
        <v>3</v>
      </c>
      <c r="Q50">
        <v>1</v>
      </c>
      <c r="R50">
        <v>19</v>
      </c>
      <c r="S50">
        <v>6</v>
      </c>
      <c r="T50">
        <v>1</v>
      </c>
      <c r="U50">
        <v>0</v>
      </c>
      <c r="V50">
        <v>0</v>
      </c>
      <c r="W50" t="s">
        <v>51</v>
      </c>
      <c r="X50" s="1" t="d">
        <v>2020-04-27</v>
      </c>
      <c r="Z50" t="s">
        <v>52</v>
      </c>
      <c r="AA50" t="s">
        <v>40</v>
      </c>
      <c r="AB50">
        <v>5</v>
      </c>
      <c r="AC50">
        <v>0</v>
      </c>
      <c r="AD50" t="s">
        <v>41</v>
      </c>
      <c r="AE50" t="s">
        <v>47</v>
      </c>
      <c r="AF50" t="s">
        <v>43</v>
      </c>
      <c r="AG50">
        <f>IF(HR_Data[[#This Row],[Attrition]]="Yes",1,0)</f>
        <v>1</v>
      </c>
      <c r="AH50" t="str">
        <f>IF(HR_Data[Date_of_termination]="","Active","Left")</f>
        <v>Active</v>
      </c>
      <c r="AI50" t="str">
        <f>IF(HR_Data[YearsAtCompany]&lt;=2,"Fresher", IF(HR_Data[YearsAtCompany]&lt;=5,"Junior", IF(HR_Data[YearsAtCompany]&lt;=10, "Mid","Senior")))</f>
        <v>Fresher</v>
      </c>
      <c r="AJ50" s="2" t="str">
        <f>IF(HR_Data[MonthlyIncome]&lt;=300,"Low", IF(HR_Data[MonthlyIncome]&lt;=7000,"Medium", "High"))</f>
        <v>Medium</v>
      </c>
      <c r="AK50" s="2" t="str">
        <f>VLOOKUP(HR_Data[JobRole], JobRole_Map[], 2, FALSE)</f>
        <v>Sales</v>
      </c>
    </row>
    <row r="51" spans="1:37" x14ac:dyDescent="0.25">
      <c r="A51" s="2">
        <v>36</v>
      </c>
      <c r="B51" t="s">
        <v>41</v>
      </c>
      <c r="C51" t="s">
        <v>33</v>
      </c>
      <c r="D51" t="s">
        <v>34</v>
      </c>
      <c r="E51">
        <v>5</v>
      </c>
      <c r="F51" t="s">
        <v>58</v>
      </c>
      <c r="G51">
        <v>2</v>
      </c>
      <c r="H51">
        <v>1</v>
      </c>
      <c r="I51" t="s">
        <v>44</v>
      </c>
      <c r="J51">
        <v>1</v>
      </c>
      <c r="K51" t="s">
        <v>50</v>
      </c>
      <c r="L51">
        <v>3419</v>
      </c>
      <c r="M51">
        <v>9</v>
      </c>
      <c r="N51" t="s">
        <v>32</v>
      </c>
      <c r="O51">
        <v>14</v>
      </c>
      <c r="P51">
        <v>3</v>
      </c>
      <c r="Q51">
        <v>1</v>
      </c>
      <c r="R51">
        <v>6</v>
      </c>
      <c r="S51">
        <v>3</v>
      </c>
      <c r="T51">
        <v>1</v>
      </c>
      <c r="U51">
        <v>0</v>
      </c>
      <c r="V51">
        <v>0</v>
      </c>
      <c r="W51" t="s">
        <v>38</v>
      </c>
      <c r="X51" s="1" t="d">
        <v>2020-03-24</v>
      </c>
      <c r="Z51" t="s">
        <v>63</v>
      </c>
      <c r="AA51" t="s">
        <v>40</v>
      </c>
      <c r="AB51">
        <v>4</v>
      </c>
      <c r="AC51">
        <v>2</v>
      </c>
      <c r="AD51" t="s">
        <v>41</v>
      </c>
      <c r="AE51" t="s">
        <v>47</v>
      </c>
      <c r="AF51" t="s">
        <v>48</v>
      </c>
      <c r="AG51">
        <f>IF(HR_Data[[#This Row],[Attrition]]="Yes",1,0)</f>
        <v>0</v>
      </c>
      <c r="AH51" t="str">
        <f>IF(HR_Data[Date_of_termination]="","Active","Left")</f>
        <v>Active</v>
      </c>
      <c r="AI51" t="str">
        <f>IF(HR_Data[YearsAtCompany]&lt;=2,"Fresher", IF(HR_Data[YearsAtCompany]&lt;=5,"Junior", IF(HR_Data[YearsAtCompany]&lt;=10, "Mid","Senior")))</f>
        <v>Fresher</v>
      </c>
      <c r="AJ51" s="2" t="str">
        <f>IF(HR_Data[MonthlyIncome]&lt;=300,"Low", IF(HR_Data[MonthlyIncome]&lt;=7000,"Medium", "High"))</f>
        <v>Medium</v>
      </c>
      <c r="AK51" s="2" t="str">
        <f>VLOOKUP(HR_Data[JobRole], JobRole_Map[], 2, FALSE)</f>
        <v>Technical</v>
      </c>
    </row>
    <row r="52" spans="1:37" x14ac:dyDescent="0.25">
      <c r="A52" s="2">
        <v>35</v>
      </c>
      <c r="B52" t="s">
        <v>41</v>
      </c>
      <c r="C52" t="s">
        <v>33</v>
      </c>
      <c r="D52" t="s">
        <v>34</v>
      </c>
      <c r="E52">
        <v>4</v>
      </c>
      <c r="F52" t="s">
        <v>35</v>
      </c>
      <c r="G52">
        <v>3</v>
      </c>
      <c r="H52">
        <v>1</v>
      </c>
      <c r="I52" t="s">
        <v>36</v>
      </c>
      <c r="J52">
        <v>4</v>
      </c>
      <c r="K52" t="s">
        <v>55</v>
      </c>
      <c r="L52">
        <v>1951</v>
      </c>
      <c r="M52">
        <v>1</v>
      </c>
      <c r="N52" t="s">
        <v>41</v>
      </c>
      <c r="O52">
        <v>12</v>
      </c>
      <c r="P52">
        <v>3</v>
      </c>
      <c r="Q52">
        <v>1</v>
      </c>
      <c r="R52">
        <v>1</v>
      </c>
      <c r="S52">
        <v>3</v>
      </c>
      <c r="T52">
        <v>1</v>
      </c>
      <c r="U52">
        <v>0</v>
      </c>
      <c r="V52">
        <v>0</v>
      </c>
      <c r="W52" t="s">
        <v>38</v>
      </c>
      <c r="X52" s="1" t="d">
        <v>2020-06-14</v>
      </c>
      <c r="Z52" t="s">
        <v>59</v>
      </c>
      <c r="AA52" t="s">
        <v>46</v>
      </c>
      <c r="AB52">
        <v>0</v>
      </c>
      <c r="AC52">
        <v>3</v>
      </c>
      <c r="AD52" t="s">
        <v>41</v>
      </c>
      <c r="AE52" t="s">
        <v>60</v>
      </c>
      <c r="AF52" t="s">
        <v>57</v>
      </c>
      <c r="AG52">
        <f>IF(HR_Data[[#This Row],[Attrition]]="Yes",1,0)</f>
        <v>0</v>
      </c>
      <c r="AH52" t="str">
        <f>IF(HR_Data[Date_of_termination]="","Active","Left")</f>
        <v>Active</v>
      </c>
      <c r="AI52" t="str">
        <f>IF(HR_Data[YearsAtCompany]&lt;=2,"Fresher", IF(HR_Data[YearsAtCompany]&lt;=5,"Junior", IF(HR_Data[YearsAtCompany]&lt;=10, "Mid","Senior")))</f>
        <v>Fresher</v>
      </c>
      <c r="AJ52" s="2" t="str">
        <f>IF(HR_Data[MonthlyIncome]&lt;=300,"Low", IF(HR_Data[MonthlyIncome]&lt;=7000,"Medium", "High"))</f>
        <v>Medium</v>
      </c>
      <c r="AK52" s="2" t="str">
        <f>VLOOKUP(HR_Data[JobRole], JobRole_Map[], 2, FALSE)</f>
        <v>Technical</v>
      </c>
    </row>
    <row r="53" spans="1:37" x14ac:dyDescent="0.25">
      <c r="A53" s="2">
        <v>27</v>
      </c>
      <c r="B53" t="s">
        <v>41</v>
      </c>
      <c r="C53" t="s">
        <v>33</v>
      </c>
      <c r="D53" t="s">
        <v>34</v>
      </c>
      <c r="E53">
        <v>2</v>
      </c>
      <c r="F53" t="s">
        <v>58</v>
      </c>
      <c r="G53">
        <v>3</v>
      </c>
      <c r="H53">
        <v>1</v>
      </c>
      <c r="I53" t="s">
        <v>36</v>
      </c>
      <c r="J53">
        <v>1</v>
      </c>
      <c r="K53" t="s">
        <v>55</v>
      </c>
      <c r="L53">
        <v>2341</v>
      </c>
      <c r="M53">
        <v>1</v>
      </c>
      <c r="N53" t="s">
        <v>41</v>
      </c>
      <c r="O53">
        <v>13</v>
      </c>
      <c r="P53">
        <v>3</v>
      </c>
      <c r="Q53">
        <v>1</v>
      </c>
      <c r="R53">
        <v>1</v>
      </c>
      <c r="S53">
        <v>6</v>
      </c>
      <c r="T53">
        <v>1</v>
      </c>
      <c r="U53">
        <v>0</v>
      </c>
      <c r="V53">
        <v>0</v>
      </c>
      <c r="W53" t="s">
        <v>65</v>
      </c>
      <c r="X53" s="1" t="d">
        <v>2020-03-04</v>
      </c>
      <c r="Z53" t="s">
        <v>59</v>
      </c>
      <c r="AA53" t="s">
        <v>40</v>
      </c>
      <c r="AB53">
        <v>5</v>
      </c>
      <c r="AC53">
        <v>0</v>
      </c>
      <c r="AD53" t="s">
        <v>41</v>
      </c>
      <c r="AE53" t="s">
        <v>42</v>
      </c>
      <c r="AF53" t="s">
        <v>48</v>
      </c>
      <c r="AG53">
        <f>IF(HR_Data[[#This Row],[Attrition]]="Yes",1,0)</f>
        <v>0</v>
      </c>
      <c r="AH53" t="str">
        <f>IF(HR_Data[Date_of_termination]="","Active","Left")</f>
        <v>Active</v>
      </c>
      <c r="AI53" t="str">
        <f>IF(HR_Data[YearsAtCompany]&lt;=2,"Fresher", IF(HR_Data[YearsAtCompany]&lt;=5,"Junior", IF(HR_Data[YearsAtCompany]&lt;=10, "Mid","Senior")))</f>
        <v>Fresher</v>
      </c>
      <c r="AJ53" s="2" t="str">
        <f>IF(HR_Data[MonthlyIncome]&lt;=300,"Low", IF(HR_Data[MonthlyIncome]&lt;=7000,"Medium", "High"))</f>
        <v>Medium</v>
      </c>
      <c r="AK53" s="2" t="str">
        <f>VLOOKUP(HR_Data[JobRole], JobRole_Map[], 2, FALSE)</f>
        <v>Technical</v>
      </c>
    </row>
    <row r="54" spans="1:37" x14ac:dyDescent="0.25">
      <c r="A54" s="2">
        <v>26</v>
      </c>
      <c r="B54" t="s">
        <v>32</v>
      </c>
      <c r="C54" t="s">
        <v>33</v>
      </c>
      <c r="D54" t="s">
        <v>34</v>
      </c>
      <c r="E54">
        <v>25</v>
      </c>
      <c r="F54" t="s">
        <v>35</v>
      </c>
      <c r="G54">
        <v>1</v>
      </c>
      <c r="H54">
        <v>1</v>
      </c>
      <c r="I54" t="s">
        <v>36</v>
      </c>
      <c r="J54">
        <v>3</v>
      </c>
      <c r="K54" t="s">
        <v>37</v>
      </c>
      <c r="L54">
        <v>2293</v>
      </c>
      <c r="M54">
        <v>1</v>
      </c>
      <c r="N54" t="s">
        <v>41</v>
      </c>
      <c r="O54">
        <v>12</v>
      </c>
      <c r="P54">
        <v>3</v>
      </c>
      <c r="Q54">
        <v>0</v>
      </c>
      <c r="R54">
        <v>1</v>
      </c>
      <c r="S54">
        <v>2</v>
      </c>
      <c r="T54">
        <v>1</v>
      </c>
      <c r="U54">
        <v>0</v>
      </c>
      <c r="V54">
        <v>1</v>
      </c>
      <c r="W54" t="s">
        <v>51</v>
      </c>
      <c r="X54" s="1" t="d">
        <v>2020-01-15</v>
      </c>
      <c r="Z54" t="s">
        <v>52</v>
      </c>
      <c r="AA54" t="s">
        <v>46</v>
      </c>
      <c r="AB54">
        <v>4</v>
      </c>
      <c r="AC54">
        <v>3</v>
      </c>
      <c r="AD54" t="s">
        <v>41</v>
      </c>
      <c r="AE54" t="s">
        <v>60</v>
      </c>
      <c r="AF54" t="s">
        <v>48</v>
      </c>
      <c r="AG54">
        <f>IF(HR_Data[[#This Row],[Attrition]]="Yes",1,0)</f>
        <v>1</v>
      </c>
      <c r="AH54" t="str">
        <f>IF(HR_Data[Date_of_termination]="","Active","Left")</f>
        <v>Active</v>
      </c>
      <c r="AI54" t="str">
        <f>IF(HR_Data[YearsAtCompany]&lt;=2,"Fresher", IF(HR_Data[YearsAtCompany]&lt;=5,"Junior", IF(HR_Data[YearsAtCompany]&lt;=10, "Mid","Senior")))</f>
        <v>Fresher</v>
      </c>
      <c r="AJ54" s="2" t="str">
        <f>IF(HR_Data[MonthlyIncome]&lt;=300,"Low", IF(HR_Data[MonthlyIncome]&lt;=7000,"Medium", "High"))</f>
        <v>Medium</v>
      </c>
      <c r="AK54" s="2" t="str">
        <f>VLOOKUP(HR_Data[JobRole], JobRole_Map[], 2, FALSE)</f>
        <v>Technical</v>
      </c>
    </row>
    <row r="55" spans="1:37" x14ac:dyDescent="0.25">
      <c r="A55" s="2">
        <v>37</v>
      </c>
      <c r="B55" t="s">
        <v>41</v>
      </c>
      <c r="C55" t="s">
        <v>33</v>
      </c>
      <c r="D55" t="s">
        <v>34</v>
      </c>
      <c r="E55">
        <v>19</v>
      </c>
      <c r="F55" t="s">
        <v>35</v>
      </c>
      <c r="G55">
        <v>3</v>
      </c>
      <c r="H55">
        <v>1</v>
      </c>
      <c r="I55" t="s">
        <v>44</v>
      </c>
      <c r="J55">
        <v>2</v>
      </c>
      <c r="K55" t="s">
        <v>50</v>
      </c>
      <c r="L55">
        <v>3022</v>
      </c>
      <c r="M55">
        <v>4</v>
      </c>
      <c r="N55" t="s">
        <v>41</v>
      </c>
      <c r="O55">
        <v>21</v>
      </c>
      <c r="P55">
        <v>4</v>
      </c>
      <c r="Q55">
        <v>0</v>
      </c>
      <c r="R55">
        <v>8</v>
      </c>
      <c r="S55">
        <v>1</v>
      </c>
      <c r="T55">
        <v>1</v>
      </c>
      <c r="U55">
        <v>0</v>
      </c>
      <c r="V55">
        <v>0</v>
      </c>
      <c r="W55" t="s">
        <v>56</v>
      </c>
      <c r="X55" s="1" t="d">
        <v>2020-02-04</v>
      </c>
      <c r="Z55" t="s">
        <v>63</v>
      </c>
      <c r="AA55" t="s">
        <v>46</v>
      </c>
      <c r="AB55">
        <v>5</v>
      </c>
      <c r="AC55">
        <v>1</v>
      </c>
      <c r="AD55" t="s">
        <v>41</v>
      </c>
      <c r="AE55" t="s">
        <v>42</v>
      </c>
      <c r="AF55" t="s">
        <v>48</v>
      </c>
      <c r="AG55">
        <f>IF(HR_Data[[#This Row],[Attrition]]="Yes",1,0)</f>
        <v>0</v>
      </c>
      <c r="AH55" t="str">
        <f>IF(HR_Data[Date_of_termination]="","Active","Left")</f>
        <v>Active</v>
      </c>
      <c r="AI55" t="str">
        <f>IF(HR_Data[YearsAtCompany]&lt;=2,"Fresher", IF(HR_Data[YearsAtCompany]&lt;=5,"Junior", IF(HR_Data[YearsAtCompany]&lt;=10, "Mid","Senior")))</f>
        <v>Fresher</v>
      </c>
      <c r="AJ55" s="2" t="str">
        <f>IF(HR_Data[MonthlyIncome]&lt;=300,"Low", IF(HR_Data[MonthlyIncome]&lt;=7000,"Medium", "High"))</f>
        <v>Medium</v>
      </c>
      <c r="AK55" s="2" t="str">
        <f>VLOOKUP(HR_Data[JobRole], JobRole_Map[], 2, FALSE)</f>
        <v>Technical</v>
      </c>
    </row>
    <row r="56" spans="1:37" x14ac:dyDescent="0.25">
      <c r="A56" s="2">
        <v>35</v>
      </c>
      <c r="B56" t="s">
        <v>41</v>
      </c>
      <c r="C56" t="s">
        <v>33</v>
      </c>
      <c r="D56" t="s">
        <v>34</v>
      </c>
      <c r="E56">
        <v>8</v>
      </c>
      <c r="F56" t="s">
        <v>35</v>
      </c>
      <c r="G56">
        <v>4</v>
      </c>
      <c r="H56">
        <v>1</v>
      </c>
      <c r="I56" t="s">
        <v>36</v>
      </c>
      <c r="J56">
        <v>4</v>
      </c>
      <c r="K56" t="s">
        <v>50</v>
      </c>
      <c r="L56">
        <v>2269</v>
      </c>
      <c r="M56">
        <v>1</v>
      </c>
      <c r="N56" t="s">
        <v>41</v>
      </c>
      <c r="O56">
        <v>19</v>
      </c>
      <c r="P56">
        <v>3</v>
      </c>
      <c r="Q56">
        <v>0</v>
      </c>
      <c r="R56">
        <v>1</v>
      </c>
      <c r="S56">
        <v>2</v>
      </c>
      <c r="T56">
        <v>1</v>
      </c>
      <c r="U56">
        <v>0</v>
      </c>
      <c r="V56">
        <v>1</v>
      </c>
      <c r="W56" t="s">
        <v>56</v>
      </c>
      <c r="X56" s="1" t="d">
        <v>2020-04-21</v>
      </c>
      <c r="Z56" t="s">
        <v>39</v>
      </c>
      <c r="AA56" t="s">
        <v>40</v>
      </c>
      <c r="AB56">
        <v>2</v>
      </c>
      <c r="AC56">
        <v>2</v>
      </c>
      <c r="AD56" t="s">
        <v>32</v>
      </c>
      <c r="AE56" t="s">
        <v>62</v>
      </c>
      <c r="AF56" t="s">
        <v>57</v>
      </c>
      <c r="AG56">
        <f>IF(HR_Data[[#This Row],[Attrition]]="Yes",1,0)</f>
        <v>0</v>
      </c>
      <c r="AH56" t="str">
        <f>IF(HR_Data[Date_of_termination]="","Active","Left")</f>
        <v>Active</v>
      </c>
      <c r="AI56" t="str">
        <f>IF(HR_Data[YearsAtCompany]&lt;=2,"Fresher", IF(HR_Data[YearsAtCompany]&lt;=5,"Junior", IF(HR_Data[YearsAtCompany]&lt;=10, "Mid","Senior")))</f>
        <v>Fresher</v>
      </c>
      <c r="AJ56" s="2" t="str">
        <f>IF(HR_Data[MonthlyIncome]&lt;=300,"Low", IF(HR_Data[MonthlyIncome]&lt;=7000,"Medium", "High"))</f>
        <v>Medium</v>
      </c>
      <c r="AK56" s="2" t="str">
        <f>VLOOKUP(HR_Data[JobRole], JobRole_Map[], 2, FALSE)</f>
        <v>Technical</v>
      </c>
    </row>
    <row r="57" spans="1:37" x14ac:dyDescent="0.25">
      <c r="A57" s="2">
        <v>48</v>
      </c>
      <c r="B57" t="s">
        <v>32</v>
      </c>
      <c r="C57" t="s">
        <v>33</v>
      </c>
      <c r="D57" t="s">
        <v>34</v>
      </c>
      <c r="E57">
        <v>1</v>
      </c>
      <c r="F57" t="s">
        <v>35</v>
      </c>
      <c r="G57">
        <v>2</v>
      </c>
      <c r="H57">
        <v>3</v>
      </c>
      <c r="I57" t="s">
        <v>36</v>
      </c>
      <c r="J57">
        <v>3</v>
      </c>
      <c r="K57" t="s">
        <v>37</v>
      </c>
      <c r="L57">
        <v>5381</v>
      </c>
      <c r="M57">
        <v>9</v>
      </c>
      <c r="N57" t="s">
        <v>32</v>
      </c>
      <c r="O57">
        <v>13</v>
      </c>
      <c r="P57">
        <v>3</v>
      </c>
      <c r="Q57">
        <v>0</v>
      </c>
      <c r="R57">
        <v>23</v>
      </c>
      <c r="S57">
        <v>2</v>
      </c>
      <c r="T57">
        <v>1</v>
      </c>
      <c r="U57">
        <v>0</v>
      </c>
      <c r="V57">
        <v>0</v>
      </c>
      <c r="W57" t="s">
        <v>38</v>
      </c>
      <c r="X57" s="1" t="d">
        <v>2020-01-08</v>
      </c>
      <c r="Z57" t="s">
        <v>45</v>
      </c>
      <c r="AA57" t="s">
        <v>40</v>
      </c>
      <c r="AB57">
        <v>4</v>
      </c>
      <c r="AC57">
        <v>2</v>
      </c>
      <c r="AD57" t="s">
        <v>41</v>
      </c>
      <c r="AE57" t="s">
        <v>47</v>
      </c>
      <c r="AF57" t="s">
        <v>43</v>
      </c>
      <c r="AG57">
        <f>IF(HR_Data[[#This Row],[Attrition]]="Yes",1,0)</f>
        <v>1</v>
      </c>
      <c r="AH57" t="str">
        <f>IF(HR_Data[Date_of_termination]="","Active","Left")</f>
        <v>Active</v>
      </c>
      <c r="AI57" t="str">
        <f>IF(HR_Data[YearsAtCompany]&lt;=2,"Fresher", IF(HR_Data[YearsAtCompany]&lt;=5,"Junior", IF(HR_Data[YearsAtCompany]&lt;=10, "Mid","Senior")))</f>
        <v>Fresher</v>
      </c>
      <c r="AJ57" s="2" t="str">
        <f>IF(HR_Data[MonthlyIncome]&lt;=300,"Low", IF(HR_Data[MonthlyIncome]&lt;=7000,"Medium", "High"))</f>
        <v>Medium</v>
      </c>
      <c r="AK57" s="2" t="str">
        <f>VLOOKUP(HR_Data[JobRole], JobRole_Map[], 2, FALSE)</f>
        <v>Technical</v>
      </c>
    </row>
    <row r="58" spans="1:37" x14ac:dyDescent="0.25">
      <c r="A58" s="2">
        <v>45</v>
      </c>
      <c r="B58" t="s">
        <v>41</v>
      </c>
      <c r="C58" t="s">
        <v>33</v>
      </c>
      <c r="D58" t="s">
        <v>34</v>
      </c>
      <c r="E58">
        <v>7</v>
      </c>
      <c r="F58" t="s">
        <v>35</v>
      </c>
      <c r="G58">
        <v>3</v>
      </c>
      <c r="H58">
        <v>3</v>
      </c>
      <c r="I58" t="s">
        <v>44</v>
      </c>
      <c r="J58">
        <v>1</v>
      </c>
      <c r="K58" t="s">
        <v>55</v>
      </c>
      <c r="L58">
        <v>9724</v>
      </c>
      <c r="M58">
        <v>2</v>
      </c>
      <c r="N58" t="s">
        <v>41</v>
      </c>
      <c r="O58">
        <v>17</v>
      </c>
      <c r="P58">
        <v>3</v>
      </c>
      <c r="Q58">
        <v>1</v>
      </c>
      <c r="R58">
        <v>25</v>
      </c>
      <c r="S58">
        <v>2</v>
      </c>
      <c r="T58">
        <v>1</v>
      </c>
      <c r="U58">
        <v>0</v>
      </c>
      <c r="V58">
        <v>0</v>
      </c>
      <c r="W58" t="s">
        <v>38</v>
      </c>
      <c r="X58" s="1" t="d">
        <v>2020-01-09</v>
      </c>
      <c r="Z58" t="s">
        <v>63</v>
      </c>
      <c r="AA58" t="s">
        <v>40</v>
      </c>
      <c r="AB58">
        <v>5</v>
      </c>
      <c r="AC58">
        <v>0</v>
      </c>
      <c r="AD58" t="s">
        <v>41</v>
      </c>
      <c r="AE58" t="s">
        <v>60</v>
      </c>
      <c r="AF58" t="s">
        <v>48</v>
      </c>
      <c r="AG58">
        <f>IF(HR_Data[[#This Row],[Attrition]]="Yes",1,0)</f>
        <v>0</v>
      </c>
      <c r="AH58" t="str">
        <f>IF(HR_Data[Date_of_termination]="","Active","Left")</f>
        <v>Active</v>
      </c>
      <c r="AI58" t="str">
        <f>IF(HR_Data[YearsAtCompany]&lt;=2,"Fresher", IF(HR_Data[YearsAtCompany]&lt;=5,"Junior", IF(HR_Data[YearsAtCompany]&lt;=10, "Mid","Senior")))</f>
        <v>Fresher</v>
      </c>
      <c r="AJ58" s="2" t="str">
        <f>IF(HR_Data[MonthlyIncome]&lt;=300,"Low", IF(HR_Data[MonthlyIncome]&lt;=7000,"Medium", "High"))</f>
        <v>High</v>
      </c>
      <c r="AK58" s="2" t="str">
        <f>VLOOKUP(HR_Data[JobRole], JobRole_Map[], 2, FALSE)</f>
        <v>Technical</v>
      </c>
    </row>
    <row r="59" spans="1:37" x14ac:dyDescent="0.25">
      <c r="A59" s="2">
        <v>36</v>
      </c>
      <c r="B59" t="s">
        <v>32</v>
      </c>
      <c r="C59" t="s">
        <v>33</v>
      </c>
      <c r="D59" t="s">
        <v>34</v>
      </c>
      <c r="E59">
        <v>9</v>
      </c>
      <c r="F59" t="s">
        <v>35</v>
      </c>
      <c r="G59">
        <v>2</v>
      </c>
      <c r="H59">
        <v>1</v>
      </c>
      <c r="I59" t="s">
        <v>44</v>
      </c>
      <c r="J59">
        <v>3</v>
      </c>
      <c r="K59" t="s">
        <v>50</v>
      </c>
      <c r="L59">
        <v>3388</v>
      </c>
      <c r="M59">
        <v>0</v>
      </c>
      <c r="N59" t="s">
        <v>32</v>
      </c>
      <c r="O59">
        <v>17</v>
      </c>
      <c r="P59">
        <v>3</v>
      </c>
      <c r="Q59">
        <v>1</v>
      </c>
      <c r="R59">
        <v>2</v>
      </c>
      <c r="S59">
        <v>0</v>
      </c>
      <c r="T59">
        <v>1</v>
      </c>
      <c r="U59">
        <v>0</v>
      </c>
      <c r="V59">
        <v>0</v>
      </c>
      <c r="W59" t="s">
        <v>51</v>
      </c>
      <c r="X59" s="1" t="d">
        <v>2020-01-09</v>
      </c>
      <c r="Z59" t="s">
        <v>45</v>
      </c>
      <c r="AA59" t="s">
        <v>46</v>
      </c>
      <c r="AB59">
        <v>4</v>
      </c>
      <c r="AC59">
        <v>3</v>
      </c>
      <c r="AD59" t="s">
        <v>32</v>
      </c>
      <c r="AE59" t="s">
        <v>42</v>
      </c>
      <c r="AF59" t="s">
        <v>57</v>
      </c>
      <c r="AG59">
        <f>IF(HR_Data[[#This Row],[Attrition]]="Yes",1,0)</f>
        <v>1</v>
      </c>
      <c r="AH59" t="str">
        <f>IF(HR_Data[Date_of_termination]="","Active","Left")</f>
        <v>Active</v>
      </c>
      <c r="AI59" t="str">
        <f>IF(HR_Data[YearsAtCompany]&lt;=2,"Fresher", IF(HR_Data[YearsAtCompany]&lt;=5,"Junior", IF(HR_Data[YearsAtCompany]&lt;=10, "Mid","Senior")))</f>
        <v>Fresher</v>
      </c>
      <c r="AJ59" s="2" t="str">
        <f>IF(HR_Data[MonthlyIncome]&lt;=300,"Low", IF(HR_Data[MonthlyIncome]&lt;=7000,"Medium", "High"))</f>
        <v>Medium</v>
      </c>
      <c r="AK59" s="2" t="str">
        <f>VLOOKUP(HR_Data[JobRole], JobRole_Map[], 2, FALSE)</f>
        <v>Technical</v>
      </c>
    </row>
    <row r="60" spans="1:37" x14ac:dyDescent="0.25">
      <c r="A60" s="2">
        <v>31</v>
      </c>
      <c r="B60" t="s">
        <v>41</v>
      </c>
      <c r="C60" t="s">
        <v>33</v>
      </c>
      <c r="D60" t="s">
        <v>34</v>
      </c>
      <c r="E60">
        <v>1</v>
      </c>
      <c r="F60" t="s">
        <v>35</v>
      </c>
      <c r="G60">
        <v>3</v>
      </c>
      <c r="H60">
        <v>1</v>
      </c>
      <c r="I60" t="s">
        <v>44</v>
      </c>
      <c r="J60">
        <v>2</v>
      </c>
      <c r="K60" t="s">
        <v>37</v>
      </c>
      <c r="L60">
        <v>2501</v>
      </c>
      <c r="M60">
        <v>1</v>
      </c>
      <c r="N60" t="s">
        <v>41</v>
      </c>
      <c r="O60">
        <v>17</v>
      </c>
      <c r="P60">
        <v>3</v>
      </c>
      <c r="Q60">
        <v>0</v>
      </c>
      <c r="R60">
        <v>1</v>
      </c>
      <c r="S60">
        <v>4</v>
      </c>
      <c r="T60">
        <v>1</v>
      </c>
      <c r="U60">
        <v>1</v>
      </c>
      <c r="V60">
        <v>0</v>
      </c>
      <c r="W60" t="s">
        <v>38</v>
      </c>
      <c r="X60" s="1" t="d">
        <v>2020-05-14</v>
      </c>
      <c r="Z60" t="s">
        <v>39</v>
      </c>
      <c r="AA60" t="s">
        <v>46</v>
      </c>
      <c r="AB60">
        <v>0</v>
      </c>
      <c r="AC60">
        <v>3</v>
      </c>
      <c r="AD60" t="s">
        <v>41</v>
      </c>
      <c r="AE60" t="s">
        <v>47</v>
      </c>
      <c r="AF60" t="s">
        <v>43</v>
      </c>
      <c r="AG60">
        <f>IF(HR_Data[[#This Row],[Attrition]]="Yes",1,0)</f>
        <v>0</v>
      </c>
      <c r="AH60" t="str">
        <f>IF(HR_Data[Date_of_termination]="","Active","Left")</f>
        <v>Active</v>
      </c>
      <c r="AI60" t="str">
        <f>IF(HR_Data[YearsAtCompany]&lt;=2,"Fresher", IF(HR_Data[YearsAtCompany]&lt;=5,"Junior", IF(HR_Data[YearsAtCompany]&lt;=10, "Mid","Senior")))</f>
        <v>Fresher</v>
      </c>
      <c r="AJ60" s="2" t="str">
        <f>IF(HR_Data[MonthlyIncome]&lt;=300,"Low", IF(HR_Data[MonthlyIncome]&lt;=7000,"Medium", "High"))</f>
        <v>Medium</v>
      </c>
      <c r="AK60" s="2" t="str">
        <f>VLOOKUP(HR_Data[JobRole], JobRole_Map[], 2, FALSE)</f>
        <v>Technical</v>
      </c>
    </row>
    <row r="61" spans="1:37" x14ac:dyDescent="0.25">
      <c r="A61" s="2">
        <v>36</v>
      </c>
      <c r="B61" t="s">
        <v>41</v>
      </c>
      <c r="C61" t="s">
        <v>33</v>
      </c>
      <c r="D61" t="s">
        <v>34</v>
      </c>
      <c r="E61">
        <v>6</v>
      </c>
      <c r="F61" t="s">
        <v>58</v>
      </c>
      <c r="G61">
        <v>4</v>
      </c>
      <c r="H61">
        <v>1</v>
      </c>
      <c r="I61" t="s">
        <v>36</v>
      </c>
      <c r="J61">
        <v>4</v>
      </c>
      <c r="K61" t="s">
        <v>50</v>
      </c>
      <c r="L61">
        <v>3038</v>
      </c>
      <c r="M61">
        <v>3</v>
      </c>
      <c r="N61" t="s">
        <v>41</v>
      </c>
      <c r="O61">
        <v>12</v>
      </c>
      <c r="P61">
        <v>3</v>
      </c>
      <c r="Q61">
        <v>0</v>
      </c>
      <c r="R61">
        <v>5</v>
      </c>
      <c r="S61">
        <v>3</v>
      </c>
      <c r="T61">
        <v>1</v>
      </c>
      <c r="U61">
        <v>0</v>
      </c>
      <c r="V61">
        <v>0</v>
      </c>
      <c r="W61" t="s">
        <v>65</v>
      </c>
      <c r="X61" s="1" t="d">
        <v>2020-01-15</v>
      </c>
      <c r="Z61" t="s">
        <v>52</v>
      </c>
      <c r="AA61" t="s">
        <v>40</v>
      </c>
      <c r="AB61">
        <v>3</v>
      </c>
      <c r="AC61">
        <v>1</v>
      </c>
      <c r="AD61" t="s">
        <v>32</v>
      </c>
      <c r="AE61" t="s">
        <v>62</v>
      </c>
      <c r="AF61" t="s">
        <v>43</v>
      </c>
      <c r="AG61">
        <f>IF(HR_Data[[#This Row],[Attrition]]="Yes",1,0)</f>
        <v>0</v>
      </c>
      <c r="AH61" t="str">
        <f>IF(HR_Data[Date_of_termination]="","Active","Left")</f>
        <v>Active</v>
      </c>
      <c r="AI61" t="str">
        <f>IF(HR_Data[YearsAtCompany]&lt;=2,"Fresher", IF(HR_Data[YearsAtCompany]&lt;=5,"Junior", IF(HR_Data[YearsAtCompany]&lt;=10, "Mid","Senior")))</f>
        <v>Fresher</v>
      </c>
      <c r="AJ61" s="2" t="str">
        <f>IF(HR_Data[MonthlyIncome]&lt;=300,"Low", IF(HR_Data[MonthlyIncome]&lt;=7000,"Medium", "High"))</f>
        <v>Medium</v>
      </c>
      <c r="AK61" s="2" t="str">
        <f>VLOOKUP(HR_Data[JobRole], JobRole_Map[], 2, FALSE)</f>
        <v>Technical</v>
      </c>
    </row>
    <row r="62" spans="1:37" x14ac:dyDescent="0.25">
      <c r="A62" s="2">
        <v>55</v>
      </c>
      <c r="B62" t="s">
        <v>41</v>
      </c>
      <c r="C62" t="s">
        <v>33</v>
      </c>
      <c r="D62" t="s">
        <v>53</v>
      </c>
      <c r="E62">
        <v>1</v>
      </c>
      <c r="F62" t="s">
        <v>35</v>
      </c>
      <c r="G62">
        <v>3</v>
      </c>
      <c r="H62">
        <v>3</v>
      </c>
      <c r="I62" t="s">
        <v>64</v>
      </c>
      <c r="J62">
        <v>4</v>
      </c>
      <c r="K62" t="s">
        <v>50</v>
      </c>
      <c r="L62">
        <v>10239</v>
      </c>
      <c r="M62">
        <v>3</v>
      </c>
      <c r="N62" t="s">
        <v>41</v>
      </c>
      <c r="O62">
        <v>14</v>
      </c>
      <c r="P62">
        <v>3</v>
      </c>
      <c r="Q62">
        <v>1</v>
      </c>
      <c r="R62">
        <v>24</v>
      </c>
      <c r="S62">
        <v>4</v>
      </c>
      <c r="T62">
        <v>1</v>
      </c>
      <c r="U62">
        <v>1</v>
      </c>
      <c r="V62">
        <v>0</v>
      </c>
      <c r="W62" t="s">
        <v>56</v>
      </c>
      <c r="X62" s="1" t="d">
        <v>2020-02-09</v>
      </c>
      <c r="Z62" t="s">
        <v>63</v>
      </c>
      <c r="AA62" t="s">
        <v>46</v>
      </c>
      <c r="AB62">
        <v>0</v>
      </c>
      <c r="AC62">
        <v>2</v>
      </c>
      <c r="AD62" t="s">
        <v>41</v>
      </c>
      <c r="AE62" t="s">
        <v>60</v>
      </c>
      <c r="AF62" t="s">
        <v>57</v>
      </c>
      <c r="AG62">
        <f>IF(HR_Data[[#This Row],[Attrition]]="Yes",1,0)</f>
        <v>0</v>
      </c>
      <c r="AH62" t="str">
        <f>IF(HR_Data[Date_of_termination]="","Active","Left")</f>
        <v>Active</v>
      </c>
      <c r="AI62" t="str">
        <f>IF(HR_Data[YearsAtCompany]&lt;=2,"Fresher", IF(HR_Data[YearsAtCompany]&lt;=5,"Junior", IF(HR_Data[YearsAtCompany]&lt;=10, "Mid","Senior")))</f>
        <v>Fresher</v>
      </c>
      <c r="AJ62" s="2" t="str">
        <f>IF(HR_Data[MonthlyIncome]&lt;=300,"Low", IF(HR_Data[MonthlyIncome]&lt;=7000,"Medium", "High"))</f>
        <v>High</v>
      </c>
      <c r="AK62" s="2" t="str">
        <f>VLOOKUP(HR_Data[JobRole], JobRole_Map[], 2, FALSE)</f>
        <v>Sales</v>
      </c>
    </row>
    <row r="63" spans="1:37" x14ac:dyDescent="0.25">
      <c r="A63" s="2">
        <v>32</v>
      </c>
      <c r="B63" t="s">
        <v>41</v>
      </c>
      <c r="C63" t="s">
        <v>33</v>
      </c>
      <c r="D63" t="s">
        <v>34</v>
      </c>
      <c r="E63">
        <v>1</v>
      </c>
      <c r="F63" t="s">
        <v>35</v>
      </c>
      <c r="G63">
        <v>3</v>
      </c>
      <c r="H63">
        <v>1</v>
      </c>
      <c r="I63" t="s">
        <v>44</v>
      </c>
      <c r="J63">
        <v>1</v>
      </c>
      <c r="K63" t="s">
        <v>37</v>
      </c>
      <c r="L63">
        <v>2956</v>
      </c>
      <c r="M63">
        <v>1</v>
      </c>
      <c r="N63" t="s">
        <v>41</v>
      </c>
      <c r="O63">
        <v>13</v>
      </c>
      <c r="P63">
        <v>3</v>
      </c>
      <c r="Q63">
        <v>0</v>
      </c>
      <c r="R63">
        <v>1</v>
      </c>
      <c r="S63">
        <v>2</v>
      </c>
      <c r="T63">
        <v>1</v>
      </c>
      <c r="U63">
        <v>0</v>
      </c>
      <c r="V63">
        <v>0</v>
      </c>
      <c r="W63" t="s">
        <v>65</v>
      </c>
      <c r="X63" s="1" t="d">
        <v>2020-02-20</v>
      </c>
      <c r="Z63" t="s">
        <v>39</v>
      </c>
      <c r="AA63" t="s">
        <v>46</v>
      </c>
      <c r="AB63">
        <v>4</v>
      </c>
      <c r="AC63">
        <v>1</v>
      </c>
      <c r="AD63" t="s">
        <v>32</v>
      </c>
      <c r="AE63" t="s">
        <v>60</v>
      </c>
      <c r="AF63" t="s">
        <v>57</v>
      </c>
      <c r="AG63">
        <f>IF(HR_Data[[#This Row],[Attrition]]="Yes",1,0)</f>
        <v>0</v>
      </c>
      <c r="AH63" t="str">
        <f>IF(HR_Data[Date_of_termination]="","Active","Left")</f>
        <v>Active</v>
      </c>
      <c r="AI63" t="str">
        <f>IF(HR_Data[YearsAtCompany]&lt;=2,"Fresher", IF(HR_Data[YearsAtCompany]&lt;=5,"Junior", IF(HR_Data[YearsAtCompany]&lt;=10, "Mid","Senior")))</f>
        <v>Fresher</v>
      </c>
      <c r="AJ63" s="2" t="str">
        <f>IF(HR_Data[MonthlyIncome]&lt;=300,"Low", IF(HR_Data[MonthlyIncome]&lt;=7000,"Medium", "High"))</f>
        <v>Medium</v>
      </c>
      <c r="AK63" s="2" t="str">
        <f>VLOOKUP(HR_Data[JobRole], JobRole_Map[], 2, FALSE)</f>
        <v>Technical</v>
      </c>
    </row>
    <row r="64" spans="1:37" x14ac:dyDescent="0.25">
      <c r="A64" s="2">
        <v>20</v>
      </c>
      <c r="B64" t="s">
        <v>32</v>
      </c>
      <c r="C64" t="s">
        <v>61</v>
      </c>
      <c r="D64" t="s">
        <v>34</v>
      </c>
      <c r="E64">
        <v>6</v>
      </c>
      <c r="F64" t="s">
        <v>58</v>
      </c>
      <c r="G64">
        <v>2</v>
      </c>
      <c r="H64">
        <v>1</v>
      </c>
      <c r="I64" t="s">
        <v>36</v>
      </c>
      <c r="J64">
        <v>4</v>
      </c>
      <c r="K64" t="s">
        <v>37</v>
      </c>
      <c r="L64">
        <v>2926</v>
      </c>
      <c r="M64">
        <v>1</v>
      </c>
      <c r="N64" t="s">
        <v>32</v>
      </c>
      <c r="O64">
        <v>18</v>
      </c>
      <c r="P64">
        <v>3</v>
      </c>
      <c r="Q64">
        <v>0</v>
      </c>
      <c r="R64">
        <v>1</v>
      </c>
      <c r="S64">
        <v>5</v>
      </c>
      <c r="T64">
        <v>1</v>
      </c>
      <c r="U64">
        <v>1</v>
      </c>
      <c r="V64">
        <v>0</v>
      </c>
      <c r="W64" t="s">
        <v>38</v>
      </c>
      <c r="X64" s="1" t="d">
        <v>2020-03-27</v>
      </c>
      <c r="Z64" t="s">
        <v>52</v>
      </c>
      <c r="AA64" t="s">
        <v>46</v>
      </c>
      <c r="AB64">
        <v>3</v>
      </c>
      <c r="AC64">
        <v>3</v>
      </c>
      <c r="AD64" t="s">
        <v>41</v>
      </c>
      <c r="AE64" t="s">
        <v>47</v>
      </c>
      <c r="AF64" t="s">
        <v>43</v>
      </c>
      <c r="AG64">
        <f>IF(HR_Data[[#This Row],[Attrition]]="Yes",1,0)</f>
        <v>1</v>
      </c>
      <c r="AH64" t="str">
        <f>IF(HR_Data[Date_of_termination]="","Active","Left")</f>
        <v>Active</v>
      </c>
      <c r="AI64" t="str">
        <f>IF(HR_Data[YearsAtCompany]&lt;=2,"Fresher", IF(HR_Data[YearsAtCompany]&lt;=5,"Junior", IF(HR_Data[YearsAtCompany]&lt;=10, "Mid","Senior")))</f>
        <v>Fresher</v>
      </c>
      <c r="AJ64" s="2" t="str">
        <f>IF(HR_Data[MonthlyIncome]&lt;=300,"Low", IF(HR_Data[MonthlyIncome]&lt;=7000,"Medium", "High"))</f>
        <v>Medium</v>
      </c>
      <c r="AK64" s="2" t="str">
        <f>VLOOKUP(HR_Data[JobRole], JobRole_Map[], 2, FALSE)</f>
        <v>Technical</v>
      </c>
    </row>
    <row r="65" spans="1:37" x14ac:dyDescent="0.25">
      <c r="A65" s="2">
        <v>37</v>
      </c>
      <c r="B65" t="s">
        <v>41</v>
      </c>
      <c r="C65" t="s">
        <v>68</v>
      </c>
      <c r="D65" t="s">
        <v>34</v>
      </c>
      <c r="E65">
        <v>2</v>
      </c>
      <c r="F65" t="s">
        <v>35</v>
      </c>
      <c r="G65">
        <v>2</v>
      </c>
      <c r="H65">
        <v>2</v>
      </c>
      <c r="I65" t="s">
        <v>69</v>
      </c>
      <c r="J65">
        <v>4</v>
      </c>
      <c r="K65" t="s">
        <v>55</v>
      </c>
      <c r="L65">
        <v>5163</v>
      </c>
      <c r="M65">
        <v>5</v>
      </c>
      <c r="N65" t="s">
        <v>41</v>
      </c>
      <c r="O65">
        <v>14</v>
      </c>
      <c r="P65">
        <v>3</v>
      </c>
      <c r="Q65">
        <v>1</v>
      </c>
      <c r="R65">
        <v>17</v>
      </c>
      <c r="S65">
        <v>2</v>
      </c>
      <c r="T65">
        <v>1</v>
      </c>
      <c r="U65">
        <v>0</v>
      </c>
      <c r="V65">
        <v>0</v>
      </c>
      <c r="W65" t="s">
        <v>65</v>
      </c>
      <c r="X65" s="1" t="d">
        <v>2020-01-24</v>
      </c>
      <c r="Z65" t="s">
        <v>63</v>
      </c>
      <c r="AA65" t="s">
        <v>46</v>
      </c>
      <c r="AB65">
        <v>3</v>
      </c>
      <c r="AC65">
        <v>0</v>
      </c>
      <c r="AD65" t="s">
        <v>41</v>
      </c>
      <c r="AE65" t="s">
        <v>47</v>
      </c>
      <c r="AF65" t="s">
        <v>43</v>
      </c>
      <c r="AG65">
        <f>IF(HR_Data[[#This Row],[Attrition]]="Yes",1,0)</f>
        <v>0</v>
      </c>
      <c r="AH65" t="str">
        <f>IF(HR_Data[Date_of_termination]="","Active","Left")</f>
        <v>Active</v>
      </c>
      <c r="AI65" t="str">
        <f>IF(HR_Data[YearsAtCompany]&lt;=2,"Fresher", IF(HR_Data[YearsAtCompany]&lt;=5,"Junior", IF(HR_Data[YearsAtCompany]&lt;=10, "Mid","Senior")))</f>
        <v>Fresher</v>
      </c>
      <c r="AJ65" s="2" t="str">
        <f>IF(HR_Data[MonthlyIncome]&lt;=300,"Low", IF(HR_Data[MonthlyIncome]&lt;=7000,"Medium", "High"))</f>
        <v>Medium</v>
      </c>
      <c r="AK65" s="2" t="str">
        <f>VLOOKUP(HR_Data[JobRole], JobRole_Map[], 2, FALSE)</f>
        <v>Operations</v>
      </c>
    </row>
    <row r="66" spans="1:37" x14ac:dyDescent="0.25">
      <c r="A66" s="2">
        <v>34</v>
      </c>
      <c r="B66" t="s">
        <v>41</v>
      </c>
      <c r="C66" t="s">
        <v>33</v>
      </c>
      <c r="D66" t="s">
        <v>34</v>
      </c>
      <c r="E66">
        <v>6</v>
      </c>
      <c r="F66" t="s">
        <v>58</v>
      </c>
      <c r="G66">
        <v>2</v>
      </c>
      <c r="H66">
        <v>2</v>
      </c>
      <c r="I66" t="s">
        <v>44</v>
      </c>
      <c r="J66">
        <v>2</v>
      </c>
      <c r="K66" t="s">
        <v>55</v>
      </c>
      <c r="L66">
        <v>4505</v>
      </c>
      <c r="M66">
        <v>6</v>
      </c>
      <c r="N66" t="s">
        <v>41</v>
      </c>
      <c r="O66">
        <v>15</v>
      </c>
      <c r="P66">
        <v>3</v>
      </c>
      <c r="Q66">
        <v>1</v>
      </c>
      <c r="R66">
        <v>12</v>
      </c>
      <c r="S66">
        <v>3</v>
      </c>
      <c r="T66">
        <v>1</v>
      </c>
      <c r="U66">
        <v>0</v>
      </c>
      <c r="V66">
        <v>0</v>
      </c>
      <c r="W66" t="s">
        <v>65</v>
      </c>
      <c r="X66" s="1" t="d">
        <v>2020-06-16</v>
      </c>
      <c r="Z66" t="s">
        <v>39</v>
      </c>
      <c r="AA66" t="s">
        <v>46</v>
      </c>
      <c r="AB66">
        <v>5</v>
      </c>
      <c r="AC66">
        <v>2</v>
      </c>
      <c r="AD66" t="s">
        <v>32</v>
      </c>
      <c r="AE66" t="s">
        <v>60</v>
      </c>
      <c r="AF66" t="s">
        <v>43</v>
      </c>
      <c r="AG66">
        <f>IF(HR_Data[[#This Row],[Attrition]]="Yes",1,0)</f>
        <v>0</v>
      </c>
      <c r="AH66" t="str">
        <f>IF(HR_Data[Date_of_termination]="","Active","Left")</f>
        <v>Active</v>
      </c>
      <c r="AI66" t="str">
        <f>IF(HR_Data[YearsAtCompany]&lt;=2,"Fresher", IF(HR_Data[YearsAtCompany]&lt;=5,"Junior", IF(HR_Data[YearsAtCompany]&lt;=10, "Mid","Senior")))</f>
        <v>Fresher</v>
      </c>
      <c r="AJ66" s="2" t="str">
        <f>IF(HR_Data[MonthlyIncome]&lt;=300,"Low", IF(HR_Data[MonthlyIncome]&lt;=7000,"Medium", "High"))</f>
        <v>Medium</v>
      </c>
      <c r="AK66" s="2" t="str">
        <f>VLOOKUP(HR_Data[JobRole], JobRole_Map[], 2, FALSE)</f>
        <v>Technical</v>
      </c>
    </row>
    <row r="67" spans="1:37" x14ac:dyDescent="0.25">
      <c r="A67" s="2">
        <v>36</v>
      </c>
      <c r="B67" t="s">
        <v>41</v>
      </c>
      <c r="C67" t="s">
        <v>33</v>
      </c>
      <c r="D67" t="s">
        <v>34</v>
      </c>
      <c r="E67">
        <v>3</v>
      </c>
      <c r="F67" t="s">
        <v>58</v>
      </c>
      <c r="G67">
        <v>3</v>
      </c>
      <c r="H67">
        <v>1</v>
      </c>
      <c r="I67" t="s">
        <v>36</v>
      </c>
      <c r="J67">
        <v>4</v>
      </c>
      <c r="K67" t="s">
        <v>55</v>
      </c>
      <c r="L67">
        <v>2835</v>
      </c>
      <c r="M67">
        <v>5</v>
      </c>
      <c r="N67" t="s">
        <v>41</v>
      </c>
      <c r="O67">
        <v>22</v>
      </c>
      <c r="P67">
        <v>4</v>
      </c>
      <c r="Q67">
        <v>1</v>
      </c>
      <c r="R67">
        <v>7</v>
      </c>
      <c r="S67">
        <v>2</v>
      </c>
      <c r="T67">
        <v>1</v>
      </c>
      <c r="U67">
        <v>0</v>
      </c>
      <c r="V67">
        <v>0</v>
      </c>
      <c r="W67" t="s">
        <v>38</v>
      </c>
      <c r="X67" s="1" t="d">
        <v>2020-03-29</v>
      </c>
      <c r="Z67" t="s">
        <v>39</v>
      </c>
      <c r="AA67" t="s">
        <v>40</v>
      </c>
      <c r="AB67">
        <v>5</v>
      </c>
      <c r="AC67">
        <v>2</v>
      </c>
      <c r="AD67" t="s">
        <v>41</v>
      </c>
      <c r="AE67" t="s">
        <v>42</v>
      </c>
      <c r="AF67" t="s">
        <v>57</v>
      </c>
      <c r="AG67">
        <f>IF(HR_Data[[#This Row],[Attrition]]="Yes",1,0)</f>
        <v>0</v>
      </c>
      <c r="AH67" t="str">
        <f>IF(HR_Data[Date_of_termination]="","Active","Left")</f>
        <v>Active</v>
      </c>
      <c r="AI67" t="str">
        <f>IF(HR_Data[YearsAtCompany]&lt;=2,"Fresher", IF(HR_Data[YearsAtCompany]&lt;=5,"Junior", IF(HR_Data[YearsAtCompany]&lt;=10, "Mid","Senior")))</f>
        <v>Fresher</v>
      </c>
      <c r="AJ67" s="2" t="str">
        <f>IF(HR_Data[MonthlyIncome]&lt;=300,"Low", IF(HR_Data[MonthlyIncome]&lt;=7000,"Medium", "High"))</f>
        <v>Medium</v>
      </c>
      <c r="AK67" s="2" t="str">
        <f>VLOOKUP(HR_Data[JobRole], JobRole_Map[], 2, FALSE)</f>
        <v>Technical</v>
      </c>
    </row>
    <row r="68" spans="1:37" x14ac:dyDescent="0.25">
      <c r="A68" s="2">
        <v>19</v>
      </c>
      <c r="B68" t="s">
        <v>41</v>
      </c>
      <c r="C68" t="s">
        <v>33</v>
      </c>
      <c r="D68" t="s">
        <v>34</v>
      </c>
      <c r="E68">
        <v>3</v>
      </c>
      <c r="F68" t="s">
        <v>58</v>
      </c>
      <c r="G68">
        <v>3</v>
      </c>
      <c r="H68">
        <v>1</v>
      </c>
      <c r="I68" t="s">
        <v>36</v>
      </c>
      <c r="J68">
        <v>2</v>
      </c>
      <c r="K68" t="s">
        <v>37</v>
      </c>
      <c r="L68">
        <v>1483</v>
      </c>
      <c r="M68">
        <v>1</v>
      </c>
      <c r="N68" t="s">
        <v>41</v>
      </c>
      <c r="O68">
        <v>14</v>
      </c>
      <c r="P68">
        <v>3</v>
      </c>
      <c r="Q68">
        <v>0</v>
      </c>
      <c r="R68">
        <v>1</v>
      </c>
      <c r="S68">
        <v>3</v>
      </c>
      <c r="T68">
        <v>1</v>
      </c>
      <c r="U68">
        <v>0</v>
      </c>
      <c r="V68">
        <v>0</v>
      </c>
      <c r="W68" t="s">
        <v>65</v>
      </c>
      <c r="X68" s="1" t="d">
        <v>2020-03-22</v>
      </c>
      <c r="Z68" t="s">
        <v>45</v>
      </c>
      <c r="AA68" t="s">
        <v>40</v>
      </c>
      <c r="AB68">
        <v>0</v>
      </c>
      <c r="AC68">
        <v>0</v>
      </c>
      <c r="AD68" t="s">
        <v>41</v>
      </c>
      <c r="AE68" t="s">
        <v>42</v>
      </c>
      <c r="AF68" t="s">
        <v>57</v>
      </c>
      <c r="AG68">
        <f>IF(HR_Data[[#This Row],[Attrition]]="Yes",1,0)</f>
        <v>0</v>
      </c>
      <c r="AH68" t="str">
        <f>IF(HR_Data[Date_of_termination]="","Active","Left")</f>
        <v>Active</v>
      </c>
      <c r="AI68" t="str">
        <f>IF(HR_Data[YearsAtCompany]&lt;=2,"Fresher", IF(HR_Data[YearsAtCompany]&lt;=5,"Junior", IF(HR_Data[YearsAtCompany]&lt;=10, "Mid","Senior")))</f>
        <v>Fresher</v>
      </c>
      <c r="AJ68" s="2" t="str">
        <f>IF(HR_Data[MonthlyIncome]&lt;=300,"Low", IF(HR_Data[MonthlyIncome]&lt;=7000,"Medium", "High"))</f>
        <v>Medium</v>
      </c>
      <c r="AK68" s="2" t="str">
        <f>VLOOKUP(HR_Data[JobRole], JobRole_Map[], 2, FALSE)</f>
        <v>Technical</v>
      </c>
    </row>
    <row r="69" spans="1:37" x14ac:dyDescent="0.25">
      <c r="A69" s="2">
        <v>51</v>
      </c>
      <c r="B69" t="s">
        <v>41</v>
      </c>
      <c r="C69" t="s">
        <v>33</v>
      </c>
      <c r="D69" t="s">
        <v>34</v>
      </c>
      <c r="E69">
        <v>7</v>
      </c>
      <c r="F69" t="s">
        <v>35</v>
      </c>
      <c r="G69">
        <v>2</v>
      </c>
      <c r="H69">
        <v>2</v>
      </c>
      <c r="I69" t="s">
        <v>67</v>
      </c>
      <c r="J69">
        <v>3</v>
      </c>
      <c r="K69" t="s">
        <v>50</v>
      </c>
      <c r="L69">
        <v>6132</v>
      </c>
      <c r="M69">
        <v>2</v>
      </c>
      <c r="N69" t="s">
        <v>41</v>
      </c>
      <c r="O69">
        <v>17</v>
      </c>
      <c r="P69">
        <v>3</v>
      </c>
      <c r="Q69">
        <v>0</v>
      </c>
      <c r="R69">
        <v>10</v>
      </c>
      <c r="S69">
        <v>2</v>
      </c>
      <c r="T69">
        <v>1</v>
      </c>
      <c r="U69">
        <v>0</v>
      </c>
      <c r="V69">
        <v>0</v>
      </c>
      <c r="W69" t="s">
        <v>51</v>
      </c>
      <c r="X69" s="1" t="d">
        <v>2020-04-14</v>
      </c>
      <c r="Z69" t="s">
        <v>63</v>
      </c>
      <c r="AA69" t="s">
        <v>46</v>
      </c>
      <c r="AB69">
        <v>1</v>
      </c>
      <c r="AC69">
        <v>1</v>
      </c>
      <c r="AD69" t="s">
        <v>32</v>
      </c>
      <c r="AE69" t="s">
        <v>42</v>
      </c>
      <c r="AF69" t="s">
        <v>43</v>
      </c>
      <c r="AG69">
        <f>IF(HR_Data[[#This Row],[Attrition]]="Yes",1,0)</f>
        <v>0</v>
      </c>
      <c r="AH69" t="str">
        <f>IF(HR_Data[Date_of_termination]="","Active","Left")</f>
        <v>Active</v>
      </c>
      <c r="AI69" t="str">
        <f>IF(HR_Data[YearsAtCompany]&lt;=2,"Fresher", IF(HR_Data[YearsAtCompany]&lt;=5,"Junior", IF(HR_Data[YearsAtCompany]&lt;=10, "Mid","Senior")))</f>
        <v>Fresher</v>
      </c>
      <c r="AJ69" s="2" t="str">
        <f>IF(HR_Data[MonthlyIncome]&lt;=300,"Low", IF(HR_Data[MonthlyIncome]&lt;=7000,"Medium", "High"))</f>
        <v>Medium</v>
      </c>
      <c r="AK69" s="2" t="str">
        <f>VLOOKUP(HR_Data[JobRole], JobRole_Map[], 2, FALSE)</f>
        <v>Operations</v>
      </c>
    </row>
    <row r="70" spans="1:37" x14ac:dyDescent="0.25">
      <c r="A70" s="2">
        <v>58</v>
      </c>
      <c r="B70" t="s">
        <v>41</v>
      </c>
      <c r="C70" t="s">
        <v>33</v>
      </c>
      <c r="D70" t="s">
        <v>34</v>
      </c>
      <c r="E70">
        <v>9</v>
      </c>
      <c r="F70" t="s">
        <v>58</v>
      </c>
      <c r="G70">
        <v>2</v>
      </c>
      <c r="H70">
        <v>1</v>
      </c>
      <c r="I70" t="s">
        <v>44</v>
      </c>
      <c r="J70">
        <v>2</v>
      </c>
      <c r="K70" t="s">
        <v>50</v>
      </c>
      <c r="L70">
        <v>3346</v>
      </c>
      <c r="M70">
        <v>4</v>
      </c>
      <c r="N70" t="s">
        <v>32</v>
      </c>
      <c r="O70">
        <v>20</v>
      </c>
      <c r="P70">
        <v>4</v>
      </c>
      <c r="Q70">
        <v>1</v>
      </c>
      <c r="R70">
        <v>9</v>
      </c>
      <c r="S70">
        <v>3</v>
      </c>
      <c r="T70">
        <v>1</v>
      </c>
      <c r="U70">
        <v>0</v>
      </c>
      <c r="V70">
        <v>0</v>
      </c>
      <c r="W70" t="s">
        <v>38</v>
      </c>
      <c r="X70" s="1" t="d">
        <v>2020-05-10</v>
      </c>
      <c r="Z70" t="s">
        <v>45</v>
      </c>
      <c r="AA70" t="s">
        <v>46</v>
      </c>
      <c r="AB70">
        <v>3</v>
      </c>
      <c r="AC70">
        <v>0</v>
      </c>
      <c r="AD70" t="s">
        <v>41</v>
      </c>
      <c r="AE70" t="s">
        <v>42</v>
      </c>
      <c r="AF70" t="s">
        <v>43</v>
      </c>
      <c r="AG70">
        <f>IF(HR_Data[[#This Row],[Attrition]]="Yes",1,0)</f>
        <v>0</v>
      </c>
      <c r="AH70" t="str">
        <f>IF(HR_Data[Date_of_termination]="","Active","Left")</f>
        <v>Active</v>
      </c>
      <c r="AI70" t="str">
        <f>IF(HR_Data[YearsAtCompany]&lt;=2,"Fresher", IF(HR_Data[YearsAtCompany]&lt;=5,"Junior", IF(HR_Data[YearsAtCompany]&lt;=10, "Mid","Senior")))</f>
        <v>Fresher</v>
      </c>
      <c r="AJ70" s="2" t="str">
        <f>IF(HR_Data[MonthlyIncome]&lt;=300,"Low", IF(HR_Data[MonthlyIncome]&lt;=7000,"Medium", "High"))</f>
        <v>Medium</v>
      </c>
      <c r="AK70" s="2" t="str">
        <f>VLOOKUP(HR_Data[JobRole], JobRole_Map[], 2, FALSE)</f>
        <v>Technical</v>
      </c>
    </row>
    <row r="71" spans="1:37" x14ac:dyDescent="0.25">
      <c r="A71" s="2">
        <v>27</v>
      </c>
      <c r="B71" t="s">
        <v>41</v>
      </c>
      <c r="C71" t="s">
        <v>68</v>
      </c>
      <c r="D71" t="s">
        <v>34</v>
      </c>
      <c r="E71">
        <v>3</v>
      </c>
      <c r="F71" t="s">
        <v>35</v>
      </c>
      <c r="G71">
        <v>2</v>
      </c>
      <c r="H71">
        <v>1</v>
      </c>
      <c r="I71" t="s">
        <v>44</v>
      </c>
      <c r="J71">
        <v>3</v>
      </c>
      <c r="K71" t="s">
        <v>55</v>
      </c>
      <c r="L71">
        <v>2566</v>
      </c>
      <c r="M71">
        <v>1</v>
      </c>
      <c r="N71" t="s">
        <v>32</v>
      </c>
      <c r="O71">
        <v>15</v>
      </c>
      <c r="P71">
        <v>3</v>
      </c>
      <c r="Q71">
        <v>1</v>
      </c>
      <c r="R71">
        <v>1</v>
      </c>
      <c r="S71">
        <v>2</v>
      </c>
      <c r="T71">
        <v>1</v>
      </c>
      <c r="U71">
        <v>0</v>
      </c>
      <c r="V71">
        <v>1</v>
      </c>
      <c r="W71" t="s">
        <v>51</v>
      </c>
      <c r="X71" s="1" t="d">
        <v>2020-03-10</v>
      </c>
      <c r="Z71" t="s">
        <v>63</v>
      </c>
      <c r="AA71" t="s">
        <v>46</v>
      </c>
      <c r="AB71">
        <v>5</v>
      </c>
      <c r="AC71">
        <v>1</v>
      </c>
      <c r="AD71" t="s">
        <v>32</v>
      </c>
      <c r="AE71" t="s">
        <v>42</v>
      </c>
      <c r="AF71" t="s">
        <v>43</v>
      </c>
      <c r="AG71">
        <f>IF(HR_Data[[#This Row],[Attrition]]="Yes",1,0)</f>
        <v>0</v>
      </c>
      <c r="AH71" t="str">
        <f>IF(HR_Data[Date_of_termination]="","Active","Left")</f>
        <v>Active</v>
      </c>
      <c r="AI71" t="str">
        <f>IF(HR_Data[YearsAtCompany]&lt;=2,"Fresher", IF(HR_Data[YearsAtCompany]&lt;=5,"Junior", IF(HR_Data[YearsAtCompany]&lt;=10, "Mid","Senior")))</f>
        <v>Fresher</v>
      </c>
      <c r="AJ71" s="2" t="str">
        <f>IF(HR_Data[MonthlyIncome]&lt;=300,"Low", IF(HR_Data[MonthlyIncome]&lt;=7000,"Medium", "High"))</f>
        <v>Medium</v>
      </c>
      <c r="AK71" s="2" t="str">
        <f>VLOOKUP(HR_Data[JobRole], JobRole_Map[], 2, FALSE)</f>
        <v>Technical</v>
      </c>
    </row>
    <row r="72" spans="1:37" x14ac:dyDescent="0.25">
      <c r="A72" s="2">
        <v>19</v>
      </c>
      <c r="B72" t="s">
        <v>32</v>
      </c>
      <c r="C72" t="s">
        <v>33</v>
      </c>
      <c r="D72" t="s">
        <v>34</v>
      </c>
      <c r="E72">
        <v>2</v>
      </c>
      <c r="F72" t="s">
        <v>35</v>
      </c>
      <c r="G72">
        <v>2</v>
      </c>
      <c r="H72">
        <v>1</v>
      </c>
      <c r="I72" t="s">
        <v>36</v>
      </c>
      <c r="J72">
        <v>4</v>
      </c>
      <c r="K72" t="s">
        <v>37</v>
      </c>
      <c r="L72">
        <v>1102</v>
      </c>
      <c r="M72">
        <v>1</v>
      </c>
      <c r="N72" t="s">
        <v>41</v>
      </c>
      <c r="O72">
        <v>22</v>
      </c>
      <c r="P72">
        <v>4</v>
      </c>
      <c r="Q72">
        <v>0</v>
      </c>
      <c r="R72">
        <v>1</v>
      </c>
      <c r="S72">
        <v>3</v>
      </c>
      <c r="T72">
        <v>1</v>
      </c>
      <c r="U72">
        <v>1</v>
      </c>
      <c r="V72">
        <v>0</v>
      </c>
      <c r="W72" t="s">
        <v>51</v>
      </c>
      <c r="X72" s="1" t="d">
        <v>2020-04-04</v>
      </c>
      <c r="Z72" t="s">
        <v>63</v>
      </c>
      <c r="AA72" t="s">
        <v>40</v>
      </c>
      <c r="AB72">
        <v>0</v>
      </c>
      <c r="AC72">
        <v>1</v>
      </c>
      <c r="AD72" t="s">
        <v>41</v>
      </c>
      <c r="AE72" t="s">
        <v>60</v>
      </c>
      <c r="AF72" t="s">
        <v>43</v>
      </c>
      <c r="AG72">
        <f>IF(HR_Data[[#This Row],[Attrition]]="Yes",1,0)</f>
        <v>1</v>
      </c>
      <c r="AH72" t="str">
        <f>IF(HR_Data[Date_of_termination]="","Active","Left")</f>
        <v>Active</v>
      </c>
      <c r="AI72" t="str">
        <f>IF(HR_Data[YearsAtCompany]&lt;=2,"Fresher", IF(HR_Data[YearsAtCompany]&lt;=5,"Junior", IF(HR_Data[YearsAtCompany]&lt;=10, "Mid","Senior")))</f>
        <v>Fresher</v>
      </c>
      <c r="AJ72" s="2" t="str">
        <f>IF(HR_Data[MonthlyIncome]&lt;=300,"Low", IF(HR_Data[MonthlyIncome]&lt;=7000,"Medium", "High"))</f>
        <v>Medium</v>
      </c>
      <c r="AK72" s="2" t="str">
        <f>VLOOKUP(HR_Data[JobRole], JobRole_Map[], 2, FALSE)</f>
        <v>Technical</v>
      </c>
    </row>
    <row r="73" spans="1:37" x14ac:dyDescent="0.25">
      <c r="A73" s="2">
        <v>35</v>
      </c>
      <c r="B73" t="s">
        <v>32</v>
      </c>
      <c r="C73" t="s">
        <v>33</v>
      </c>
      <c r="D73" t="s">
        <v>34</v>
      </c>
      <c r="E73">
        <v>23</v>
      </c>
      <c r="F73" t="s">
        <v>35</v>
      </c>
      <c r="G73">
        <v>2</v>
      </c>
      <c r="H73">
        <v>2</v>
      </c>
      <c r="I73" t="s">
        <v>67</v>
      </c>
      <c r="J73">
        <v>3</v>
      </c>
      <c r="K73" t="s">
        <v>50</v>
      </c>
      <c r="L73">
        <v>5916</v>
      </c>
      <c r="M73">
        <v>3</v>
      </c>
      <c r="N73" t="s">
        <v>32</v>
      </c>
      <c r="O73">
        <v>13</v>
      </c>
      <c r="P73">
        <v>3</v>
      </c>
      <c r="Q73">
        <v>0</v>
      </c>
      <c r="R73">
        <v>8</v>
      </c>
      <c r="S73">
        <v>1</v>
      </c>
      <c r="T73">
        <v>1</v>
      </c>
      <c r="U73">
        <v>0</v>
      </c>
      <c r="V73">
        <v>1</v>
      </c>
      <c r="W73" t="s">
        <v>56</v>
      </c>
      <c r="X73" s="1" t="d">
        <v>2020-03-18</v>
      </c>
      <c r="Z73" t="s">
        <v>39</v>
      </c>
      <c r="AA73" t="s">
        <v>46</v>
      </c>
      <c r="AB73">
        <v>0</v>
      </c>
      <c r="AC73">
        <v>0</v>
      </c>
      <c r="AD73" t="s">
        <v>32</v>
      </c>
      <c r="AE73" t="s">
        <v>47</v>
      </c>
      <c r="AF73" t="s">
        <v>57</v>
      </c>
      <c r="AG73">
        <f>IF(HR_Data[[#This Row],[Attrition]]="Yes",1,0)</f>
        <v>1</v>
      </c>
      <c r="AH73" t="str">
        <f>IF(HR_Data[Date_of_termination]="","Active","Left")</f>
        <v>Active</v>
      </c>
      <c r="AI73" t="str">
        <f>IF(HR_Data[YearsAtCompany]&lt;=2,"Fresher", IF(HR_Data[YearsAtCompany]&lt;=5,"Junior", IF(HR_Data[YearsAtCompany]&lt;=10, "Mid","Senior")))</f>
        <v>Fresher</v>
      </c>
      <c r="AJ73" s="2" t="str">
        <f>IF(HR_Data[MonthlyIncome]&lt;=300,"Low", IF(HR_Data[MonthlyIncome]&lt;=7000,"Medium", "High"))</f>
        <v>Medium</v>
      </c>
      <c r="AK73" s="2" t="str">
        <f>VLOOKUP(HR_Data[JobRole], JobRole_Map[], 2, FALSE)</f>
        <v>Operations</v>
      </c>
    </row>
    <row r="74" spans="1:37" x14ac:dyDescent="0.25">
      <c r="A74" s="2">
        <v>38</v>
      </c>
      <c r="B74" t="s">
        <v>41</v>
      </c>
      <c r="C74" t="s">
        <v>33</v>
      </c>
      <c r="D74" t="s">
        <v>34</v>
      </c>
      <c r="E74">
        <v>2</v>
      </c>
      <c r="F74" t="s">
        <v>35</v>
      </c>
      <c r="G74">
        <v>3</v>
      </c>
      <c r="H74">
        <v>2</v>
      </c>
      <c r="I74" t="s">
        <v>67</v>
      </c>
      <c r="J74">
        <v>3</v>
      </c>
      <c r="K74" t="s">
        <v>50</v>
      </c>
      <c r="L74">
        <v>6553</v>
      </c>
      <c r="M74">
        <v>9</v>
      </c>
      <c r="N74" t="s">
        <v>41</v>
      </c>
      <c r="O74">
        <v>14</v>
      </c>
      <c r="P74">
        <v>3</v>
      </c>
      <c r="Q74">
        <v>0</v>
      </c>
      <c r="R74">
        <v>14</v>
      </c>
      <c r="S74">
        <v>3</v>
      </c>
      <c r="T74">
        <v>1</v>
      </c>
      <c r="U74">
        <v>0</v>
      </c>
      <c r="V74">
        <v>0</v>
      </c>
      <c r="W74" t="s">
        <v>51</v>
      </c>
      <c r="X74" s="1" t="d">
        <v>2020-05-18</v>
      </c>
      <c r="Z74" t="s">
        <v>59</v>
      </c>
      <c r="AA74" t="s">
        <v>40</v>
      </c>
      <c r="AB74">
        <v>3</v>
      </c>
      <c r="AC74">
        <v>2</v>
      </c>
      <c r="AD74" t="s">
        <v>32</v>
      </c>
      <c r="AE74" t="s">
        <v>42</v>
      </c>
      <c r="AF74" t="s">
        <v>57</v>
      </c>
      <c r="AG74">
        <f>IF(HR_Data[[#This Row],[Attrition]]="Yes",1,0)</f>
        <v>0</v>
      </c>
      <c r="AH74" t="str">
        <f>IF(HR_Data[Date_of_termination]="","Active","Left")</f>
        <v>Active</v>
      </c>
      <c r="AI74" t="str">
        <f>IF(HR_Data[YearsAtCompany]&lt;=2,"Fresher", IF(HR_Data[YearsAtCompany]&lt;=5,"Junior", IF(HR_Data[YearsAtCompany]&lt;=10, "Mid","Senior")))</f>
        <v>Fresher</v>
      </c>
      <c r="AJ74" s="2" t="str">
        <f>IF(HR_Data[MonthlyIncome]&lt;=300,"Low", IF(HR_Data[MonthlyIncome]&lt;=7000,"Medium", "High"))</f>
        <v>Medium</v>
      </c>
      <c r="AK74" s="2" t="str">
        <f>VLOOKUP(HR_Data[JobRole], JobRole_Map[], 2, FALSE)</f>
        <v>Operations</v>
      </c>
    </row>
    <row r="75" spans="1:37" x14ac:dyDescent="0.25">
      <c r="A75" s="2">
        <v>38</v>
      </c>
      <c r="B75" t="s">
        <v>32</v>
      </c>
      <c r="C75" t="s">
        <v>33</v>
      </c>
      <c r="D75" t="s">
        <v>34</v>
      </c>
      <c r="E75">
        <v>29</v>
      </c>
      <c r="F75" t="s">
        <v>35</v>
      </c>
      <c r="G75">
        <v>3</v>
      </c>
      <c r="H75">
        <v>2</v>
      </c>
      <c r="I75" t="s">
        <v>69</v>
      </c>
      <c r="J75">
        <v>1</v>
      </c>
      <c r="K75" t="s">
        <v>50</v>
      </c>
      <c r="L75">
        <v>6673</v>
      </c>
      <c r="M75">
        <v>7</v>
      </c>
      <c r="N75" t="s">
        <v>32</v>
      </c>
      <c r="O75">
        <v>19</v>
      </c>
      <c r="P75">
        <v>3</v>
      </c>
      <c r="Q75">
        <v>0</v>
      </c>
      <c r="R75">
        <v>17</v>
      </c>
      <c r="S75">
        <v>2</v>
      </c>
      <c r="T75">
        <v>1</v>
      </c>
      <c r="U75">
        <v>0</v>
      </c>
      <c r="V75">
        <v>0</v>
      </c>
      <c r="W75" t="s">
        <v>51</v>
      </c>
      <c r="X75" s="1" t="d">
        <v>2020-01-05</v>
      </c>
      <c r="Z75" t="s">
        <v>59</v>
      </c>
      <c r="AA75" t="s">
        <v>40</v>
      </c>
      <c r="AB75">
        <v>3</v>
      </c>
      <c r="AC75">
        <v>2</v>
      </c>
      <c r="AD75" t="s">
        <v>41</v>
      </c>
      <c r="AE75" t="s">
        <v>47</v>
      </c>
      <c r="AF75" t="s">
        <v>48</v>
      </c>
      <c r="AG75">
        <f>IF(HR_Data[[#This Row],[Attrition]]="Yes",1,0)</f>
        <v>1</v>
      </c>
      <c r="AH75" t="str">
        <f>IF(HR_Data[Date_of_termination]="","Active","Left")</f>
        <v>Active</v>
      </c>
      <c r="AI75" t="str">
        <f>IF(HR_Data[YearsAtCompany]&lt;=2,"Fresher", IF(HR_Data[YearsAtCompany]&lt;=5,"Junior", IF(HR_Data[YearsAtCompany]&lt;=10, "Mid","Senior")))</f>
        <v>Fresher</v>
      </c>
      <c r="AJ75" s="2" t="str">
        <f>IF(HR_Data[MonthlyIncome]&lt;=300,"Low", IF(HR_Data[MonthlyIncome]&lt;=7000,"Medium", "High"))</f>
        <v>Medium</v>
      </c>
      <c r="AK75" s="2" t="str">
        <f>VLOOKUP(HR_Data[JobRole], JobRole_Map[], 2, FALSE)</f>
        <v>Operations</v>
      </c>
    </row>
    <row r="76" spans="1:37" x14ac:dyDescent="0.25">
      <c r="A76" s="2">
        <v>41</v>
      </c>
      <c r="B76" t="s">
        <v>41</v>
      </c>
      <c r="C76" t="s">
        <v>33</v>
      </c>
      <c r="D76" t="s">
        <v>53</v>
      </c>
      <c r="E76">
        <v>6</v>
      </c>
      <c r="F76" t="s">
        <v>58</v>
      </c>
      <c r="G76">
        <v>3</v>
      </c>
      <c r="H76">
        <v>3</v>
      </c>
      <c r="I76" t="s">
        <v>66</v>
      </c>
      <c r="J76">
        <v>4</v>
      </c>
      <c r="K76" t="s">
        <v>37</v>
      </c>
      <c r="L76">
        <v>13591</v>
      </c>
      <c r="M76">
        <v>3</v>
      </c>
      <c r="N76" t="s">
        <v>32</v>
      </c>
      <c r="O76">
        <v>18</v>
      </c>
      <c r="P76">
        <v>3</v>
      </c>
      <c r="Q76">
        <v>0</v>
      </c>
      <c r="R76">
        <v>16</v>
      </c>
      <c r="S76">
        <v>3</v>
      </c>
      <c r="T76">
        <v>1</v>
      </c>
      <c r="U76">
        <v>0</v>
      </c>
      <c r="V76">
        <v>0</v>
      </c>
      <c r="W76" t="s">
        <v>56</v>
      </c>
      <c r="X76" s="1" t="d">
        <v>2020-05-16</v>
      </c>
      <c r="Z76" t="s">
        <v>45</v>
      </c>
      <c r="AA76" t="s">
        <v>46</v>
      </c>
      <c r="AB76">
        <v>5</v>
      </c>
      <c r="AC76">
        <v>1</v>
      </c>
      <c r="AD76" t="s">
        <v>32</v>
      </c>
      <c r="AE76" t="s">
        <v>62</v>
      </c>
      <c r="AF76" t="s">
        <v>48</v>
      </c>
      <c r="AG76">
        <f>IF(HR_Data[[#This Row],[Attrition]]="Yes",1,0)</f>
        <v>0</v>
      </c>
      <c r="AH76" t="str">
        <f>IF(HR_Data[Date_of_termination]="","Active","Left")</f>
        <v>Active</v>
      </c>
      <c r="AI76" t="str">
        <f>IF(HR_Data[YearsAtCompany]&lt;=2,"Fresher", IF(HR_Data[YearsAtCompany]&lt;=5,"Junior", IF(HR_Data[YearsAtCompany]&lt;=10, "Mid","Senior")))</f>
        <v>Fresher</v>
      </c>
      <c r="AJ76" s="2" t="str">
        <f>IF(HR_Data[MonthlyIncome]&lt;=300,"Low", IF(HR_Data[MonthlyIncome]&lt;=7000,"Medium", "High"))</f>
        <v>High</v>
      </c>
      <c r="AK76" s="2" t="str">
        <f>VLOOKUP(HR_Data[JobRole], JobRole_Map[], 2, FALSE)</f>
        <v>Management</v>
      </c>
    </row>
    <row r="77" spans="1:37" x14ac:dyDescent="0.25">
      <c r="A77" s="2">
        <v>59</v>
      </c>
      <c r="B77" t="s">
        <v>41</v>
      </c>
      <c r="C77" t="s">
        <v>33</v>
      </c>
      <c r="D77" t="s">
        <v>34</v>
      </c>
      <c r="E77">
        <v>3</v>
      </c>
      <c r="F77" t="s">
        <v>35</v>
      </c>
      <c r="G77">
        <v>2</v>
      </c>
      <c r="H77">
        <v>1</v>
      </c>
      <c r="I77" t="s">
        <v>44</v>
      </c>
      <c r="J77">
        <v>4</v>
      </c>
      <c r="K77" t="s">
        <v>50</v>
      </c>
      <c r="L77">
        <v>2177</v>
      </c>
      <c r="M77">
        <v>3</v>
      </c>
      <c r="N77" t="s">
        <v>41</v>
      </c>
      <c r="O77">
        <v>17</v>
      </c>
      <c r="P77">
        <v>3</v>
      </c>
      <c r="Q77">
        <v>1</v>
      </c>
      <c r="R77">
        <v>7</v>
      </c>
      <c r="S77">
        <v>6</v>
      </c>
      <c r="T77">
        <v>1</v>
      </c>
      <c r="U77">
        <v>0</v>
      </c>
      <c r="V77">
        <v>0</v>
      </c>
      <c r="W77" t="s">
        <v>56</v>
      </c>
      <c r="X77" s="1" t="d">
        <v>2020-05-17</v>
      </c>
      <c r="Z77" t="s">
        <v>52</v>
      </c>
      <c r="AA77" t="s">
        <v>40</v>
      </c>
      <c r="AB77">
        <v>4</v>
      </c>
      <c r="AC77">
        <v>1</v>
      </c>
      <c r="AD77" t="s">
        <v>32</v>
      </c>
      <c r="AE77" t="s">
        <v>47</v>
      </c>
      <c r="AF77" t="s">
        <v>43</v>
      </c>
      <c r="AG77">
        <f>IF(HR_Data[[#This Row],[Attrition]]="Yes",1,0)</f>
        <v>0</v>
      </c>
      <c r="AH77" t="str">
        <f>IF(HR_Data[Date_of_termination]="","Active","Left")</f>
        <v>Active</v>
      </c>
      <c r="AI77" t="str">
        <f>IF(HR_Data[YearsAtCompany]&lt;=2,"Fresher", IF(HR_Data[YearsAtCompany]&lt;=5,"Junior", IF(HR_Data[YearsAtCompany]&lt;=10, "Mid","Senior")))</f>
        <v>Fresher</v>
      </c>
      <c r="AJ77" s="2" t="str">
        <f>IF(HR_Data[MonthlyIncome]&lt;=300,"Low", IF(HR_Data[MonthlyIncome]&lt;=7000,"Medium", "High"))</f>
        <v>Medium</v>
      </c>
      <c r="AK77" s="2" t="str">
        <f>VLOOKUP(HR_Data[JobRole], JobRole_Map[], 2, FALSE)</f>
        <v>Technical</v>
      </c>
    </row>
    <row r="78" spans="1:37" x14ac:dyDescent="0.25">
      <c r="A78" s="2">
        <v>41</v>
      </c>
      <c r="B78" t="s">
        <v>41</v>
      </c>
      <c r="C78" t="s">
        <v>33</v>
      </c>
      <c r="D78" t="s">
        <v>34</v>
      </c>
      <c r="E78">
        <v>19</v>
      </c>
      <c r="F78" t="s">
        <v>35</v>
      </c>
      <c r="G78">
        <v>3</v>
      </c>
      <c r="H78">
        <v>2</v>
      </c>
      <c r="I78" t="s">
        <v>44</v>
      </c>
      <c r="J78">
        <v>1</v>
      </c>
      <c r="K78" t="s">
        <v>55</v>
      </c>
      <c r="L78">
        <v>3072</v>
      </c>
      <c r="M78">
        <v>2</v>
      </c>
      <c r="N78" t="s">
        <v>41</v>
      </c>
      <c r="O78">
        <v>16</v>
      </c>
      <c r="P78">
        <v>3</v>
      </c>
      <c r="Q78">
        <v>2</v>
      </c>
      <c r="R78">
        <v>17</v>
      </c>
      <c r="S78">
        <v>2</v>
      </c>
      <c r="T78">
        <v>1</v>
      </c>
      <c r="U78">
        <v>0</v>
      </c>
      <c r="V78">
        <v>0</v>
      </c>
      <c r="W78" t="s">
        <v>38</v>
      </c>
      <c r="X78" s="1" t="d">
        <v>2020-05-31</v>
      </c>
      <c r="Z78" t="s">
        <v>52</v>
      </c>
      <c r="AA78" t="s">
        <v>46</v>
      </c>
      <c r="AB78">
        <v>0</v>
      </c>
      <c r="AC78">
        <v>1</v>
      </c>
      <c r="AD78" t="s">
        <v>32</v>
      </c>
      <c r="AE78" t="s">
        <v>42</v>
      </c>
      <c r="AF78" t="s">
        <v>48</v>
      </c>
      <c r="AG78">
        <f>IF(HR_Data[[#This Row],[Attrition]]="Yes",1,0)</f>
        <v>0</v>
      </c>
      <c r="AH78" t="str">
        <f>IF(HR_Data[Date_of_termination]="","Active","Left")</f>
        <v>Active</v>
      </c>
      <c r="AI78" t="str">
        <f>IF(HR_Data[YearsAtCompany]&lt;=2,"Fresher", IF(HR_Data[YearsAtCompany]&lt;=5,"Junior", IF(HR_Data[YearsAtCompany]&lt;=10, "Mid","Senior")))</f>
        <v>Fresher</v>
      </c>
      <c r="AJ78" s="2" t="str">
        <f>IF(HR_Data[MonthlyIncome]&lt;=300,"Low", IF(HR_Data[MonthlyIncome]&lt;=7000,"Medium", "High"))</f>
        <v>Medium</v>
      </c>
      <c r="AK78" s="2" t="str">
        <f>VLOOKUP(HR_Data[JobRole], JobRole_Map[], 2, FALSE)</f>
        <v>Technical</v>
      </c>
    </row>
    <row r="79" spans="1:37" x14ac:dyDescent="0.25">
      <c r="A79" s="2">
        <v>37</v>
      </c>
      <c r="B79" t="s">
        <v>32</v>
      </c>
      <c r="C79" t="s">
        <v>61</v>
      </c>
      <c r="D79" t="s">
        <v>34</v>
      </c>
      <c r="E79">
        <v>10</v>
      </c>
      <c r="F79" t="s">
        <v>35</v>
      </c>
      <c r="G79">
        <v>3</v>
      </c>
      <c r="H79">
        <v>3</v>
      </c>
      <c r="I79" t="s">
        <v>67</v>
      </c>
      <c r="J79">
        <v>3</v>
      </c>
      <c r="K79" t="s">
        <v>55</v>
      </c>
      <c r="L79">
        <v>10048</v>
      </c>
      <c r="M79">
        <v>6</v>
      </c>
      <c r="N79" t="s">
        <v>41</v>
      </c>
      <c r="O79">
        <v>11</v>
      </c>
      <c r="P79">
        <v>3</v>
      </c>
      <c r="Q79">
        <v>2</v>
      </c>
      <c r="R79">
        <v>17</v>
      </c>
      <c r="S79">
        <v>5</v>
      </c>
      <c r="T79">
        <v>1</v>
      </c>
      <c r="U79">
        <v>0</v>
      </c>
      <c r="V79">
        <v>0</v>
      </c>
      <c r="W79" t="s">
        <v>38</v>
      </c>
      <c r="X79" s="1" t="d">
        <v>2020-05-29</v>
      </c>
      <c r="Z79" t="s">
        <v>39</v>
      </c>
      <c r="AA79" t="s">
        <v>46</v>
      </c>
      <c r="AB79">
        <v>0</v>
      </c>
      <c r="AC79">
        <v>1</v>
      </c>
      <c r="AD79" t="s">
        <v>32</v>
      </c>
      <c r="AE79" t="s">
        <v>47</v>
      </c>
      <c r="AF79" t="s">
        <v>48</v>
      </c>
      <c r="AG79">
        <f>IF(HR_Data[[#This Row],[Attrition]]="Yes",1,0)</f>
        <v>1</v>
      </c>
      <c r="AH79" t="str">
        <f>IF(HR_Data[Date_of_termination]="","Active","Left")</f>
        <v>Active</v>
      </c>
      <c r="AI79" t="str">
        <f>IF(HR_Data[YearsAtCompany]&lt;=2,"Fresher", IF(HR_Data[YearsAtCompany]&lt;=5,"Junior", IF(HR_Data[YearsAtCompany]&lt;=10, "Mid","Senior")))</f>
        <v>Fresher</v>
      </c>
      <c r="AJ79" s="2" t="str">
        <f>IF(HR_Data[MonthlyIncome]&lt;=300,"Low", IF(HR_Data[MonthlyIncome]&lt;=7000,"Medium", "High"))</f>
        <v>High</v>
      </c>
      <c r="AK79" s="2" t="str">
        <f>VLOOKUP(HR_Data[JobRole], JobRole_Map[], 2, FALSE)</f>
        <v>Operations</v>
      </c>
    </row>
    <row r="80" spans="1:37" x14ac:dyDescent="0.25">
      <c r="A80" s="2">
        <v>51</v>
      </c>
      <c r="B80" t="s">
        <v>41</v>
      </c>
      <c r="C80" t="s">
        <v>33</v>
      </c>
      <c r="D80" t="s">
        <v>34</v>
      </c>
      <c r="E80">
        <v>1</v>
      </c>
      <c r="F80" t="s">
        <v>35</v>
      </c>
      <c r="G80">
        <v>3</v>
      </c>
      <c r="H80">
        <v>1</v>
      </c>
      <c r="I80" t="s">
        <v>44</v>
      </c>
      <c r="J80">
        <v>4</v>
      </c>
      <c r="K80" t="s">
        <v>50</v>
      </c>
      <c r="L80">
        <v>2723</v>
      </c>
      <c r="M80">
        <v>1</v>
      </c>
      <c r="N80" t="s">
        <v>41</v>
      </c>
      <c r="O80">
        <v>11</v>
      </c>
      <c r="P80">
        <v>3</v>
      </c>
      <c r="Q80">
        <v>0</v>
      </c>
      <c r="R80">
        <v>1</v>
      </c>
      <c r="S80">
        <v>0</v>
      </c>
      <c r="T80">
        <v>1</v>
      </c>
      <c r="U80">
        <v>0</v>
      </c>
      <c r="V80">
        <v>0</v>
      </c>
      <c r="W80" t="s">
        <v>65</v>
      </c>
      <c r="X80" s="1" t="d">
        <v>2020-04-02</v>
      </c>
      <c r="Z80" t="s">
        <v>59</v>
      </c>
      <c r="AA80" t="s">
        <v>46</v>
      </c>
      <c r="AB80">
        <v>2</v>
      </c>
      <c r="AC80">
        <v>1</v>
      </c>
      <c r="AD80" t="s">
        <v>32</v>
      </c>
      <c r="AE80" t="s">
        <v>47</v>
      </c>
      <c r="AF80" t="s">
        <v>48</v>
      </c>
      <c r="AG80">
        <f>IF(HR_Data[[#This Row],[Attrition]]="Yes",1,0)</f>
        <v>0</v>
      </c>
      <c r="AH80" t="str">
        <f>IF(HR_Data[Date_of_termination]="","Active","Left")</f>
        <v>Active</v>
      </c>
      <c r="AI80" t="str">
        <f>IF(HR_Data[YearsAtCompany]&lt;=2,"Fresher", IF(HR_Data[YearsAtCompany]&lt;=5,"Junior", IF(HR_Data[YearsAtCompany]&lt;=10, "Mid","Senior")))</f>
        <v>Fresher</v>
      </c>
      <c r="AJ80" s="2" t="str">
        <f>IF(HR_Data[MonthlyIncome]&lt;=300,"Low", IF(HR_Data[MonthlyIncome]&lt;=7000,"Medium", "High"))</f>
        <v>Medium</v>
      </c>
      <c r="AK80" s="2" t="str">
        <f>VLOOKUP(HR_Data[JobRole], JobRole_Map[], 2, FALSE)</f>
        <v>Technical</v>
      </c>
    </row>
    <row r="81" spans="1:37" x14ac:dyDescent="0.25">
      <c r="A81" s="2">
        <v>44</v>
      </c>
      <c r="B81" t="s">
        <v>32</v>
      </c>
      <c r="C81" t="s">
        <v>61</v>
      </c>
      <c r="D81" t="s">
        <v>34</v>
      </c>
      <c r="E81">
        <v>24</v>
      </c>
      <c r="F81" t="s">
        <v>35</v>
      </c>
      <c r="G81">
        <v>3</v>
      </c>
      <c r="H81">
        <v>1</v>
      </c>
      <c r="I81" t="s">
        <v>36</v>
      </c>
      <c r="J81">
        <v>3</v>
      </c>
      <c r="K81" t="s">
        <v>55</v>
      </c>
      <c r="L81">
        <v>3161</v>
      </c>
      <c r="M81">
        <v>3</v>
      </c>
      <c r="N81" t="s">
        <v>32</v>
      </c>
      <c r="O81">
        <v>22</v>
      </c>
      <c r="P81">
        <v>4</v>
      </c>
      <c r="Q81">
        <v>1</v>
      </c>
      <c r="R81">
        <v>19</v>
      </c>
      <c r="S81">
        <v>0</v>
      </c>
      <c r="T81">
        <v>1</v>
      </c>
      <c r="U81">
        <v>0</v>
      </c>
      <c r="V81">
        <v>0</v>
      </c>
      <c r="W81" t="s">
        <v>51</v>
      </c>
      <c r="X81" s="1" t="d">
        <v>2020-01-29</v>
      </c>
      <c r="Z81" t="s">
        <v>45</v>
      </c>
      <c r="AA81" t="s">
        <v>40</v>
      </c>
      <c r="AB81">
        <v>0</v>
      </c>
      <c r="AC81">
        <v>2</v>
      </c>
      <c r="AD81" t="s">
        <v>41</v>
      </c>
      <c r="AE81" t="s">
        <v>47</v>
      </c>
      <c r="AF81" t="s">
        <v>43</v>
      </c>
      <c r="AG81">
        <f>IF(HR_Data[[#This Row],[Attrition]]="Yes",1,0)</f>
        <v>1</v>
      </c>
      <c r="AH81" t="str">
        <f>IF(HR_Data[Date_of_termination]="","Active","Left")</f>
        <v>Active</v>
      </c>
      <c r="AI81" t="str">
        <f>IF(HR_Data[YearsAtCompany]&lt;=2,"Fresher", IF(HR_Data[YearsAtCompany]&lt;=5,"Junior", IF(HR_Data[YearsAtCompany]&lt;=10, "Mid","Senior")))</f>
        <v>Fresher</v>
      </c>
      <c r="AJ81" s="2" t="str">
        <f>IF(HR_Data[MonthlyIncome]&lt;=300,"Low", IF(HR_Data[MonthlyIncome]&lt;=7000,"Medium", "High"))</f>
        <v>Medium</v>
      </c>
      <c r="AK81" s="2" t="str">
        <f>VLOOKUP(HR_Data[JobRole], JobRole_Map[], 2, FALSE)</f>
        <v>Technical</v>
      </c>
    </row>
    <row r="82" spans="1:37" x14ac:dyDescent="0.25">
      <c r="A82" s="2">
        <v>36</v>
      </c>
      <c r="B82" t="s">
        <v>41</v>
      </c>
      <c r="C82" t="s">
        <v>61</v>
      </c>
      <c r="D82" t="s">
        <v>34</v>
      </c>
      <c r="E82">
        <v>18</v>
      </c>
      <c r="F82" t="s">
        <v>35</v>
      </c>
      <c r="G82">
        <v>4</v>
      </c>
      <c r="H82">
        <v>1</v>
      </c>
      <c r="I82" t="s">
        <v>36</v>
      </c>
      <c r="J82">
        <v>4</v>
      </c>
      <c r="K82" t="s">
        <v>50</v>
      </c>
      <c r="L82">
        <v>3688</v>
      </c>
      <c r="M82">
        <v>4</v>
      </c>
      <c r="N82" t="s">
        <v>41</v>
      </c>
      <c r="O82">
        <v>18</v>
      </c>
      <c r="P82">
        <v>3</v>
      </c>
      <c r="Q82">
        <v>2</v>
      </c>
      <c r="R82">
        <v>4</v>
      </c>
      <c r="S82">
        <v>2</v>
      </c>
      <c r="T82">
        <v>1</v>
      </c>
      <c r="U82">
        <v>0</v>
      </c>
      <c r="V82">
        <v>0</v>
      </c>
      <c r="W82" t="s">
        <v>65</v>
      </c>
      <c r="X82" s="1" t="d">
        <v>2020-01-06</v>
      </c>
      <c r="Z82" t="s">
        <v>59</v>
      </c>
      <c r="AA82" t="s">
        <v>40</v>
      </c>
      <c r="AB82">
        <v>4</v>
      </c>
      <c r="AC82">
        <v>0</v>
      </c>
      <c r="AD82" t="s">
        <v>41</v>
      </c>
      <c r="AE82" t="s">
        <v>47</v>
      </c>
      <c r="AF82" t="s">
        <v>57</v>
      </c>
      <c r="AG82">
        <f>IF(HR_Data[[#This Row],[Attrition]]="Yes",1,0)</f>
        <v>0</v>
      </c>
      <c r="AH82" t="str">
        <f>IF(HR_Data[Date_of_termination]="","Active","Left")</f>
        <v>Active</v>
      </c>
      <c r="AI82" t="str">
        <f>IF(HR_Data[YearsAtCompany]&lt;=2,"Fresher", IF(HR_Data[YearsAtCompany]&lt;=5,"Junior", IF(HR_Data[YearsAtCompany]&lt;=10, "Mid","Senior")))</f>
        <v>Fresher</v>
      </c>
      <c r="AJ82" s="2" t="str">
        <f>IF(HR_Data[MonthlyIncome]&lt;=300,"Low", IF(HR_Data[MonthlyIncome]&lt;=7000,"Medium", "High"))</f>
        <v>Medium</v>
      </c>
      <c r="AK82" s="2" t="str">
        <f>VLOOKUP(HR_Data[JobRole], JobRole_Map[], 2, FALSE)</f>
        <v>Technical</v>
      </c>
    </row>
    <row r="83" spans="1:37" x14ac:dyDescent="0.25">
      <c r="A83" s="2">
        <v>39</v>
      </c>
      <c r="B83" t="s">
        <v>32</v>
      </c>
      <c r="C83" t="s">
        <v>33</v>
      </c>
      <c r="D83" t="s">
        <v>53</v>
      </c>
      <c r="E83">
        <v>3</v>
      </c>
      <c r="F83" t="s">
        <v>58</v>
      </c>
      <c r="G83">
        <v>3</v>
      </c>
      <c r="H83">
        <v>2</v>
      </c>
      <c r="I83" t="s">
        <v>64</v>
      </c>
      <c r="J83">
        <v>3</v>
      </c>
      <c r="K83" t="s">
        <v>50</v>
      </c>
      <c r="L83">
        <v>5238</v>
      </c>
      <c r="M83">
        <v>4</v>
      </c>
      <c r="N83" t="s">
        <v>32</v>
      </c>
      <c r="O83">
        <v>18</v>
      </c>
      <c r="P83">
        <v>3</v>
      </c>
      <c r="Q83">
        <v>0</v>
      </c>
      <c r="R83">
        <v>12</v>
      </c>
      <c r="S83">
        <v>3</v>
      </c>
      <c r="T83">
        <v>1</v>
      </c>
      <c r="U83">
        <v>0</v>
      </c>
      <c r="V83">
        <v>0</v>
      </c>
      <c r="W83" t="s">
        <v>56</v>
      </c>
      <c r="X83" s="1" t="d">
        <v>2020-05-01</v>
      </c>
      <c r="Z83" t="s">
        <v>45</v>
      </c>
      <c r="AA83" t="s">
        <v>40</v>
      </c>
      <c r="AB83">
        <v>0</v>
      </c>
      <c r="AC83">
        <v>1</v>
      </c>
      <c r="AD83" t="s">
        <v>32</v>
      </c>
      <c r="AE83" t="s">
        <v>42</v>
      </c>
      <c r="AF83" t="s">
        <v>57</v>
      </c>
      <c r="AG83">
        <f>IF(HR_Data[[#This Row],[Attrition]]="Yes",1,0)</f>
        <v>1</v>
      </c>
      <c r="AH83" t="str">
        <f>IF(HR_Data[Date_of_termination]="","Active","Left")</f>
        <v>Active</v>
      </c>
      <c r="AI83" t="str">
        <f>IF(HR_Data[YearsAtCompany]&lt;=2,"Fresher", IF(HR_Data[YearsAtCompany]&lt;=5,"Junior", IF(HR_Data[YearsAtCompany]&lt;=10, "Mid","Senior")))</f>
        <v>Fresher</v>
      </c>
      <c r="AJ83" s="2" t="str">
        <f>IF(HR_Data[MonthlyIncome]&lt;=300,"Low", IF(HR_Data[MonthlyIncome]&lt;=7000,"Medium", "High"))</f>
        <v>Medium</v>
      </c>
      <c r="AK83" s="2" t="str">
        <f>VLOOKUP(HR_Data[JobRole], JobRole_Map[], 2, FALSE)</f>
        <v>Sales</v>
      </c>
    </row>
    <row r="84" spans="1:37" x14ac:dyDescent="0.25">
      <c r="A84" s="2">
        <v>43</v>
      </c>
      <c r="B84" t="s">
        <v>41</v>
      </c>
      <c r="C84" t="s">
        <v>33</v>
      </c>
      <c r="D84" t="s">
        <v>34</v>
      </c>
      <c r="E84">
        <v>7</v>
      </c>
      <c r="F84" t="s">
        <v>58</v>
      </c>
      <c r="G84">
        <v>3</v>
      </c>
      <c r="H84">
        <v>3</v>
      </c>
      <c r="I84" t="s">
        <v>69</v>
      </c>
      <c r="J84">
        <v>1</v>
      </c>
      <c r="K84" t="s">
        <v>50</v>
      </c>
      <c r="L84">
        <v>9985</v>
      </c>
      <c r="M84">
        <v>8</v>
      </c>
      <c r="N84" t="s">
        <v>41</v>
      </c>
      <c r="O84">
        <v>16</v>
      </c>
      <c r="P84">
        <v>3</v>
      </c>
      <c r="Q84">
        <v>1</v>
      </c>
      <c r="R84">
        <v>10</v>
      </c>
      <c r="S84">
        <v>1</v>
      </c>
      <c r="T84">
        <v>1</v>
      </c>
      <c r="U84">
        <v>0</v>
      </c>
      <c r="V84">
        <v>0</v>
      </c>
      <c r="W84" t="s">
        <v>38</v>
      </c>
      <c r="X84" s="1" t="d">
        <v>2020-04-15</v>
      </c>
      <c r="Z84" t="s">
        <v>52</v>
      </c>
      <c r="AA84" t="s">
        <v>46</v>
      </c>
      <c r="AB84">
        <v>1</v>
      </c>
      <c r="AC84">
        <v>3</v>
      </c>
      <c r="AD84" t="s">
        <v>41</v>
      </c>
      <c r="AE84" t="s">
        <v>47</v>
      </c>
      <c r="AF84" t="s">
        <v>57</v>
      </c>
      <c r="AG84">
        <f>IF(HR_Data[[#This Row],[Attrition]]="Yes",1,0)</f>
        <v>0</v>
      </c>
      <c r="AH84" t="str">
        <f>IF(HR_Data[Date_of_termination]="","Active","Left")</f>
        <v>Active</v>
      </c>
      <c r="AI84" t="str">
        <f>IF(HR_Data[YearsAtCompany]&lt;=2,"Fresher", IF(HR_Data[YearsAtCompany]&lt;=5,"Junior", IF(HR_Data[YearsAtCompany]&lt;=10, "Mid","Senior")))</f>
        <v>Fresher</v>
      </c>
      <c r="AJ84" s="2" t="str">
        <f>IF(HR_Data[MonthlyIncome]&lt;=300,"Low", IF(HR_Data[MonthlyIncome]&lt;=7000,"Medium", "High"))</f>
        <v>High</v>
      </c>
      <c r="AK84" s="2" t="str">
        <f>VLOOKUP(HR_Data[JobRole], JobRole_Map[], 2, FALSE)</f>
        <v>Operations</v>
      </c>
    </row>
    <row r="85" spans="1:37" x14ac:dyDescent="0.25">
      <c r="A85" s="2">
        <v>42</v>
      </c>
      <c r="B85" t="s">
        <v>41</v>
      </c>
      <c r="C85" t="s">
        <v>33</v>
      </c>
      <c r="D85" t="s">
        <v>34</v>
      </c>
      <c r="E85">
        <v>23</v>
      </c>
      <c r="F85" t="s">
        <v>58</v>
      </c>
      <c r="G85">
        <v>3</v>
      </c>
      <c r="H85">
        <v>4</v>
      </c>
      <c r="I85" t="s">
        <v>49</v>
      </c>
      <c r="J85">
        <v>4</v>
      </c>
      <c r="K85" t="s">
        <v>37</v>
      </c>
      <c r="L85">
        <v>15992</v>
      </c>
      <c r="M85">
        <v>2</v>
      </c>
      <c r="N85" t="s">
        <v>41</v>
      </c>
      <c r="O85">
        <v>14</v>
      </c>
      <c r="P85">
        <v>3</v>
      </c>
      <c r="Q85">
        <v>0</v>
      </c>
      <c r="R85">
        <v>16</v>
      </c>
      <c r="S85">
        <v>2</v>
      </c>
      <c r="T85">
        <v>1</v>
      </c>
      <c r="U85">
        <v>0</v>
      </c>
      <c r="V85">
        <v>0</v>
      </c>
      <c r="W85" t="s">
        <v>38</v>
      </c>
      <c r="X85" s="1" t="d">
        <v>2020-01-11</v>
      </c>
      <c r="Z85" t="s">
        <v>45</v>
      </c>
      <c r="AA85" t="s">
        <v>46</v>
      </c>
      <c r="AB85">
        <v>1</v>
      </c>
      <c r="AC85">
        <v>0</v>
      </c>
      <c r="AD85" t="s">
        <v>41</v>
      </c>
      <c r="AE85" t="s">
        <v>42</v>
      </c>
      <c r="AF85" t="s">
        <v>57</v>
      </c>
      <c r="AG85">
        <f>IF(HR_Data[[#This Row],[Attrition]]="Yes",1,0)</f>
        <v>0</v>
      </c>
      <c r="AH85" t="str">
        <f>IF(HR_Data[Date_of_termination]="","Active","Left")</f>
        <v>Active</v>
      </c>
      <c r="AI85" t="str">
        <f>IF(HR_Data[YearsAtCompany]&lt;=2,"Fresher", IF(HR_Data[YearsAtCompany]&lt;=5,"Junior", IF(HR_Data[YearsAtCompany]&lt;=10, "Mid","Senior")))</f>
        <v>Fresher</v>
      </c>
      <c r="AJ85" s="2" t="str">
        <f>IF(HR_Data[MonthlyIncome]&lt;=300,"Low", IF(HR_Data[MonthlyIncome]&lt;=7000,"Medium", "High"))</f>
        <v>High</v>
      </c>
      <c r="AK85" s="2" t="str">
        <f>VLOOKUP(HR_Data[JobRole], JobRole_Map[], 2, FALSE)</f>
        <v>Management</v>
      </c>
    </row>
    <row r="86" spans="1:37" x14ac:dyDescent="0.25">
      <c r="A86" s="2">
        <v>42</v>
      </c>
      <c r="B86" t="s">
        <v>41</v>
      </c>
      <c r="C86" t="s">
        <v>33</v>
      </c>
      <c r="D86" t="s">
        <v>34</v>
      </c>
      <c r="E86">
        <v>2</v>
      </c>
      <c r="F86" t="s">
        <v>35</v>
      </c>
      <c r="G86">
        <v>2</v>
      </c>
      <c r="H86">
        <v>2</v>
      </c>
      <c r="I86" t="s">
        <v>69</v>
      </c>
      <c r="J86">
        <v>4</v>
      </c>
      <c r="K86" t="s">
        <v>37</v>
      </c>
      <c r="L86">
        <v>6781</v>
      </c>
      <c r="M86">
        <v>3</v>
      </c>
      <c r="N86" t="s">
        <v>41</v>
      </c>
      <c r="O86">
        <v>23</v>
      </c>
      <c r="P86">
        <v>4</v>
      </c>
      <c r="Q86">
        <v>0</v>
      </c>
      <c r="R86">
        <v>14</v>
      </c>
      <c r="S86">
        <v>6</v>
      </c>
      <c r="T86">
        <v>1</v>
      </c>
      <c r="U86">
        <v>0</v>
      </c>
      <c r="V86">
        <v>0</v>
      </c>
      <c r="W86" t="s">
        <v>65</v>
      </c>
      <c r="X86" s="1" t="d">
        <v>2020-04-26</v>
      </c>
      <c r="Z86" t="s">
        <v>45</v>
      </c>
      <c r="AA86" t="s">
        <v>46</v>
      </c>
      <c r="AB86">
        <v>3</v>
      </c>
      <c r="AC86">
        <v>0</v>
      </c>
      <c r="AD86" t="s">
        <v>32</v>
      </c>
      <c r="AE86" t="s">
        <v>42</v>
      </c>
      <c r="AF86" t="s">
        <v>43</v>
      </c>
      <c r="AG86">
        <f>IF(HR_Data[[#This Row],[Attrition]]="Yes",1,0)</f>
        <v>0</v>
      </c>
      <c r="AH86" t="str">
        <f>IF(HR_Data[Date_of_termination]="","Active","Left")</f>
        <v>Active</v>
      </c>
      <c r="AI86" t="str">
        <f>IF(HR_Data[YearsAtCompany]&lt;=2,"Fresher", IF(HR_Data[YearsAtCompany]&lt;=5,"Junior", IF(HR_Data[YearsAtCompany]&lt;=10, "Mid","Senior")))</f>
        <v>Fresher</v>
      </c>
      <c r="AJ86" s="2" t="str">
        <f>IF(HR_Data[MonthlyIncome]&lt;=300,"Low", IF(HR_Data[MonthlyIncome]&lt;=7000,"Medium", "High"))</f>
        <v>Medium</v>
      </c>
      <c r="AK86" s="2" t="str">
        <f>VLOOKUP(HR_Data[JobRole], JobRole_Map[], 2, FALSE)</f>
        <v>Operations</v>
      </c>
    </row>
    <row r="87" spans="1:37" x14ac:dyDescent="0.25">
      <c r="A87" s="2">
        <v>36</v>
      </c>
      <c r="B87" t="s">
        <v>41</v>
      </c>
      <c r="C87" t="s">
        <v>68</v>
      </c>
      <c r="D87" t="s">
        <v>53</v>
      </c>
      <c r="E87">
        <v>1</v>
      </c>
      <c r="F87" t="s">
        <v>58</v>
      </c>
      <c r="G87">
        <v>3</v>
      </c>
      <c r="H87">
        <v>2</v>
      </c>
      <c r="I87" t="s">
        <v>64</v>
      </c>
      <c r="J87">
        <v>4</v>
      </c>
      <c r="K87" t="s">
        <v>37</v>
      </c>
      <c r="L87">
        <v>6653</v>
      </c>
      <c r="M87">
        <v>4</v>
      </c>
      <c r="N87" t="s">
        <v>41</v>
      </c>
      <c r="O87">
        <v>15</v>
      </c>
      <c r="P87">
        <v>3</v>
      </c>
      <c r="Q87">
        <v>0</v>
      </c>
      <c r="R87">
        <v>7</v>
      </c>
      <c r="S87">
        <v>6</v>
      </c>
      <c r="T87">
        <v>1</v>
      </c>
      <c r="U87">
        <v>0</v>
      </c>
      <c r="V87">
        <v>0</v>
      </c>
      <c r="W87" t="s">
        <v>51</v>
      </c>
      <c r="X87" s="1" t="d">
        <v>2020-04-26</v>
      </c>
      <c r="Z87" t="s">
        <v>63</v>
      </c>
      <c r="AA87" t="s">
        <v>46</v>
      </c>
      <c r="AB87">
        <v>3</v>
      </c>
      <c r="AC87">
        <v>0</v>
      </c>
      <c r="AD87" t="s">
        <v>41</v>
      </c>
      <c r="AE87" t="s">
        <v>47</v>
      </c>
      <c r="AF87" t="s">
        <v>43</v>
      </c>
      <c r="AG87">
        <f>IF(HR_Data[[#This Row],[Attrition]]="Yes",1,0)</f>
        <v>0</v>
      </c>
      <c r="AH87" t="str">
        <f>IF(HR_Data[Date_of_termination]="","Active","Left")</f>
        <v>Active</v>
      </c>
      <c r="AI87" t="str">
        <f>IF(HR_Data[YearsAtCompany]&lt;=2,"Fresher", IF(HR_Data[YearsAtCompany]&lt;=5,"Junior", IF(HR_Data[YearsAtCompany]&lt;=10, "Mid","Senior")))</f>
        <v>Fresher</v>
      </c>
      <c r="AJ87" s="2" t="str">
        <f>IF(HR_Data[MonthlyIncome]&lt;=300,"Low", IF(HR_Data[MonthlyIncome]&lt;=7000,"Medium", "High"))</f>
        <v>Medium</v>
      </c>
      <c r="AK87" s="2" t="str">
        <f>VLOOKUP(HR_Data[JobRole], JobRole_Map[], 2, FALSE)</f>
        <v>Sales</v>
      </c>
    </row>
    <row r="88" spans="1:37" x14ac:dyDescent="0.25">
      <c r="A88" s="2">
        <v>33</v>
      </c>
      <c r="B88" t="s">
        <v>32</v>
      </c>
      <c r="C88" t="s">
        <v>33</v>
      </c>
      <c r="D88" t="s">
        <v>53</v>
      </c>
      <c r="E88">
        <v>5</v>
      </c>
      <c r="F88" t="s">
        <v>58</v>
      </c>
      <c r="G88">
        <v>3</v>
      </c>
      <c r="H88">
        <v>1</v>
      </c>
      <c r="I88" t="s">
        <v>54</v>
      </c>
      <c r="J88">
        <v>3</v>
      </c>
      <c r="K88" t="s">
        <v>37</v>
      </c>
      <c r="L88">
        <v>2851</v>
      </c>
      <c r="M88">
        <v>1</v>
      </c>
      <c r="N88" t="s">
        <v>32</v>
      </c>
      <c r="O88">
        <v>13</v>
      </c>
      <c r="P88">
        <v>3</v>
      </c>
      <c r="Q88">
        <v>0</v>
      </c>
      <c r="R88">
        <v>1</v>
      </c>
      <c r="S88">
        <v>2</v>
      </c>
      <c r="T88">
        <v>1</v>
      </c>
      <c r="U88">
        <v>0</v>
      </c>
      <c r="V88">
        <v>0</v>
      </c>
      <c r="W88" t="s">
        <v>56</v>
      </c>
      <c r="X88" s="1" t="d">
        <v>2020-02-23</v>
      </c>
      <c r="Z88" t="s">
        <v>63</v>
      </c>
      <c r="AA88" t="s">
        <v>40</v>
      </c>
      <c r="AB88">
        <v>0</v>
      </c>
      <c r="AC88">
        <v>1</v>
      </c>
      <c r="AD88" t="s">
        <v>41</v>
      </c>
      <c r="AE88" t="s">
        <v>47</v>
      </c>
      <c r="AF88" t="s">
        <v>43</v>
      </c>
      <c r="AG88">
        <f>IF(HR_Data[[#This Row],[Attrition]]="Yes",1,0)</f>
        <v>1</v>
      </c>
      <c r="AH88" t="str">
        <f>IF(HR_Data[Date_of_termination]="","Active","Left")</f>
        <v>Active</v>
      </c>
      <c r="AI88" t="str">
        <f>IF(HR_Data[YearsAtCompany]&lt;=2,"Fresher", IF(HR_Data[YearsAtCompany]&lt;=5,"Junior", IF(HR_Data[YearsAtCompany]&lt;=10, "Mid","Senior")))</f>
        <v>Fresher</v>
      </c>
      <c r="AJ88" s="2" t="str">
        <f>IF(HR_Data[MonthlyIncome]&lt;=300,"Low", IF(HR_Data[MonthlyIncome]&lt;=7000,"Medium", "High"))</f>
        <v>Medium</v>
      </c>
      <c r="AK88" s="2" t="str">
        <f>VLOOKUP(HR_Data[JobRole], JobRole_Map[], 2, FALSE)</f>
        <v>Sales</v>
      </c>
    </row>
    <row r="89" spans="1:37" x14ac:dyDescent="0.25">
      <c r="A89" s="2">
        <v>46</v>
      </c>
      <c r="B89" t="s">
        <v>41</v>
      </c>
      <c r="C89" t="s">
        <v>68</v>
      </c>
      <c r="D89" t="s">
        <v>34</v>
      </c>
      <c r="E89">
        <v>7</v>
      </c>
      <c r="F89" t="s">
        <v>58</v>
      </c>
      <c r="G89">
        <v>3</v>
      </c>
      <c r="H89">
        <v>2</v>
      </c>
      <c r="I89" t="s">
        <v>67</v>
      </c>
      <c r="J89">
        <v>3</v>
      </c>
      <c r="K89" t="s">
        <v>50</v>
      </c>
      <c r="L89">
        <v>5258</v>
      </c>
      <c r="M89">
        <v>2</v>
      </c>
      <c r="N89" t="s">
        <v>41</v>
      </c>
      <c r="O89">
        <v>14</v>
      </c>
      <c r="P89">
        <v>3</v>
      </c>
      <c r="Q89">
        <v>0</v>
      </c>
      <c r="R89">
        <v>7</v>
      </c>
      <c r="S89">
        <v>2</v>
      </c>
      <c r="T89">
        <v>1</v>
      </c>
      <c r="U89">
        <v>0</v>
      </c>
      <c r="V89">
        <v>0</v>
      </c>
      <c r="W89" t="s">
        <v>38</v>
      </c>
      <c r="X89" s="1" t="d">
        <v>2020-05-21</v>
      </c>
      <c r="Z89" t="s">
        <v>59</v>
      </c>
      <c r="AA89" t="s">
        <v>46</v>
      </c>
      <c r="AB89">
        <v>1</v>
      </c>
      <c r="AC89">
        <v>3</v>
      </c>
      <c r="AD89" t="s">
        <v>41</v>
      </c>
      <c r="AE89" t="s">
        <v>62</v>
      </c>
      <c r="AF89" t="s">
        <v>43</v>
      </c>
      <c r="AG89">
        <f>IF(HR_Data[[#This Row],[Attrition]]="Yes",1,0)</f>
        <v>0</v>
      </c>
      <c r="AH89" t="str">
        <f>IF(HR_Data[Date_of_termination]="","Active","Left")</f>
        <v>Active</v>
      </c>
      <c r="AI89" t="str">
        <f>IF(HR_Data[YearsAtCompany]&lt;=2,"Fresher", IF(HR_Data[YearsAtCompany]&lt;=5,"Junior", IF(HR_Data[YearsAtCompany]&lt;=10, "Mid","Senior")))</f>
        <v>Fresher</v>
      </c>
      <c r="AJ89" s="2" t="str">
        <f>IF(HR_Data[MonthlyIncome]&lt;=300,"Low", IF(HR_Data[MonthlyIncome]&lt;=7000,"Medium", "High"))</f>
        <v>Medium</v>
      </c>
      <c r="AK89" s="2" t="str">
        <f>VLOOKUP(HR_Data[JobRole], JobRole_Map[], 2, FALSE)</f>
        <v>Operations</v>
      </c>
    </row>
    <row r="90" spans="1:37" x14ac:dyDescent="0.25">
      <c r="A90" s="2">
        <v>21</v>
      </c>
      <c r="B90" t="s">
        <v>32</v>
      </c>
      <c r="C90" t="s">
        <v>33</v>
      </c>
      <c r="D90" t="s">
        <v>53</v>
      </c>
      <c r="E90">
        <v>12</v>
      </c>
      <c r="F90" t="s">
        <v>58</v>
      </c>
      <c r="G90">
        <v>4</v>
      </c>
      <c r="H90">
        <v>1</v>
      </c>
      <c r="I90" t="s">
        <v>54</v>
      </c>
      <c r="J90">
        <v>2</v>
      </c>
      <c r="K90" t="s">
        <v>37</v>
      </c>
      <c r="L90">
        <v>2716</v>
      </c>
      <c r="M90">
        <v>1</v>
      </c>
      <c r="N90" t="s">
        <v>41</v>
      </c>
      <c r="O90">
        <v>15</v>
      </c>
      <c r="P90">
        <v>3</v>
      </c>
      <c r="Q90">
        <v>0</v>
      </c>
      <c r="R90">
        <v>1</v>
      </c>
      <c r="S90">
        <v>0</v>
      </c>
      <c r="T90">
        <v>1</v>
      </c>
      <c r="U90">
        <v>0</v>
      </c>
      <c r="V90">
        <v>0</v>
      </c>
      <c r="W90" t="s">
        <v>65</v>
      </c>
      <c r="X90" s="1" t="d">
        <v>2020-05-19</v>
      </c>
      <c r="Z90" t="s">
        <v>39</v>
      </c>
      <c r="AA90" t="s">
        <v>46</v>
      </c>
      <c r="AB90">
        <v>1</v>
      </c>
      <c r="AC90">
        <v>1</v>
      </c>
      <c r="AD90" t="s">
        <v>32</v>
      </c>
      <c r="AE90" t="s">
        <v>47</v>
      </c>
      <c r="AF90" t="s">
        <v>48</v>
      </c>
      <c r="AG90">
        <f>IF(HR_Data[[#This Row],[Attrition]]="Yes",1,0)</f>
        <v>1</v>
      </c>
      <c r="AH90" t="str">
        <f>IF(HR_Data[Date_of_termination]="","Active","Left")</f>
        <v>Active</v>
      </c>
      <c r="AI90" t="str">
        <f>IF(HR_Data[YearsAtCompany]&lt;=2,"Fresher", IF(HR_Data[YearsAtCompany]&lt;=5,"Junior", IF(HR_Data[YearsAtCompany]&lt;=10, "Mid","Senior")))</f>
        <v>Fresher</v>
      </c>
      <c r="AJ90" s="2" t="str">
        <f>IF(HR_Data[MonthlyIncome]&lt;=300,"Low", IF(HR_Data[MonthlyIncome]&lt;=7000,"Medium", "High"))</f>
        <v>Medium</v>
      </c>
      <c r="AK90" s="2" t="str">
        <f>VLOOKUP(HR_Data[JobRole], JobRole_Map[], 2, FALSE)</f>
        <v>Sales</v>
      </c>
    </row>
    <row r="91" spans="1:37" x14ac:dyDescent="0.25">
      <c r="A91" s="2">
        <v>35</v>
      </c>
      <c r="B91" t="s">
        <v>41</v>
      </c>
      <c r="C91" t="s">
        <v>33</v>
      </c>
      <c r="D91" t="s">
        <v>34</v>
      </c>
      <c r="E91">
        <v>9</v>
      </c>
      <c r="F91" t="s">
        <v>35</v>
      </c>
      <c r="G91">
        <v>2</v>
      </c>
      <c r="H91">
        <v>2</v>
      </c>
      <c r="I91" t="s">
        <v>69</v>
      </c>
      <c r="J91">
        <v>2</v>
      </c>
      <c r="K91" t="s">
        <v>37</v>
      </c>
      <c r="L91">
        <v>6540</v>
      </c>
      <c r="M91">
        <v>9</v>
      </c>
      <c r="N91" t="s">
        <v>41</v>
      </c>
      <c r="O91">
        <v>19</v>
      </c>
      <c r="P91">
        <v>3</v>
      </c>
      <c r="Q91">
        <v>0</v>
      </c>
      <c r="R91">
        <v>10</v>
      </c>
      <c r="S91">
        <v>5</v>
      </c>
      <c r="T91">
        <v>1</v>
      </c>
      <c r="U91">
        <v>0</v>
      </c>
      <c r="V91">
        <v>0</v>
      </c>
      <c r="W91" t="s">
        <v>51</v>
      </c>
      <c r="X91" s="1" t="d">
        <v>2020-04-12</v>
      </c>
      <c r="Z91" t="s">
        <v>45</v>
      </c>
      <c r="AA91" t="s">
        <v>40</v>
      </c>
      <c r="AB91">
        <v>1</v>
      </c>
      <c r="AC91">
        <v>2</v>
      </c>
      <c r="AD91" t="s">
        <v>41</v>
      </c>
      <c r="AE91" t="s">
        <v>42</v>
      </c>
      <c r="AF91" t="s">
        <v>57</v>
      </c>
      <c r="AG91">
        <f>IF(HR_Data[[#This Row],[Attrition]]="Yes",1,0)</f>
        <v>0</v>
      </c>
      <c r="AH91" t="str">
        <f>IF(HR_Data[Date_of_termination]="","Active","Left")</f>
        <v>Active</v>
      </c>
      <c r="AI91" t="str">
        <f>IF(HR_Data[YearsAtCompany]&lt;=2,"Fresher", IF(HR_Data[YearsAtCompany]&lt;=5,"Junior", IF(HR_Data[YearsAtCompany]&lt;=10, "Mid","Senior")))</f>
        <v>Fresher</v>
      </c>
      <c r="AJ91" s="2" t="str">
        <f>IF(HR_Data[MonthlyIncome]&lt;=300,"Low", IF(HR_Data[MonthlyIncome]&lt;=7000,"Medium", "High"))</f>
        <v>Medium</v>
      </c>
      <c r="AK91" s="2" t="str">
        <f>VLOOKUP(HR_Data[JobRole], JobRole_Map[], 2, FALSE)</f>
        <v>Operations</v>
      </c>
    </row>
    <row r="92" spans="1:37" x14ac:dyDescent="0.25">
      <c r="A92" s="2">
        <v>30</v>
      </c>
      <c r="B92" t="s">
        <v>41</v>
      </c>
      <c r="C92" t="s">
        <v>33</v>
      </c>
      <c r="D92" t="s">
        <v>53</v>
      </c>
      <c r="E92">
        <v>2</v>
      </c>
      <c r="F92" t="s">
        <v>35</v>
      </c>
      <c r="G92">
        <v>3</v>
      </c>
      <c r="H92">
        <v>1</v>
      </c>
      <c r="I92" t="s">
        <v>54</v>
      </c>
      <c r="J92">
        <v>2</v>
      </c>
      <c r="K92" t="s">
        <v>50</v>
      </c>
      <c r="L92">
        <v>2476</v>
      </c>
      <c r="M92">
        <v>1</v>
      </c>
      <c r="N92" t="s">
        <v>41</v>
      </c>
      <c r="O92">
        <v>18</v>
      </c>
      <c r="P92">
        <v>3</v>
      </c>
      <c r="Q92">
        <v>1</v>
      </c>
      <c r="R92">
        <v>1</v>
      </c>
      <c r="S92">
        <v>3</v>
      </c>
      <c r="T92">
        <v>1</v>
      </c>
      <c r="U92">
        <v>0</v>
      </c>
      <c r="V92">
        <v>0</v>
      </c>
      <c r="W92" t="s">
        <v>56</v>
      </c>
      <c r="X92" s="1" t="d">
        <v>2020-02-10</v>
      </c>
      <c r="Z92" t="s">
        <v>52</v>
      </c>
      <c r="AA92" t="s">
        <v>46</v>
      </c>
      <c r="AB92">
        <v>4</v>
      </c>
      <c r="AC92">
        <v>2</v>
      </c>
      <c r="AD92" t="s">
        <v>41</v>
      </c>
      <c r="AE92" t="s">
        <v>42</v>
      </c>
      <c r="AF92" t="s">
        <v>57</v>
      </c>
      <c r="AG92">
        <f>IF(HR_Data[[#This Row],[Attrition]]="Yes",1,0)</f>
        <v>0</v>
      </c>
      <c r="AH92" t="str">
        <f>IF(HR_Data[Date_of_termination]="","Active","Left")</f>
        <v>Active</v>
      </c>
      <c r="AI92" t="str">
        <f>IF(HR_Data[YearsAtCompany]&lt;=2,"Fresher", IF(HR_Data[YearsAtCompany]&lt;=5,"Junior", IF(HR_Data[YearsAtCompany]&lt;=10, "Mid","Senior")))</f>
        <v>Fresher</v>
      </c>
      <c r="AJ92" s="2" t="str">
        <f>IF(HR_Data[MonthlyIncome]&lt;=300,"Low", IF(HR_Data[MonthlyIncome]&lt;=7000,"Medium", "High"))</f>
        <v>Medium</v>
      </c>
      <c r="AK92" s="2" t="str">
        <f>VLOOKUP(HR_Data[JobRole], JobRole_Map[], 2, FALSE)</f>
        <v>Sales</v>
      </c>
    </row>
    <row r="93" spans="1:37" x14ac:dyDescent="0.25">
      <c r="A93" s="2">
        <v>30</v>
      </c>
      <c r="B93" t="s">
        <v>32</v>
      </c>
      <c r="C93" t="s">
        <v>61</v>
      </c>
      <c r="D93" t="s">
        <v>34</v>
      </c>
      <c r="E93">
        <v>4</v>
      </c>
      <c r="F93" t="s">
        <v>35</v>
      </c>
      <c r="G93">
        <v>3</v>
      </c>
      <c r="H93">
        <v>1</v>
      </c>
      <c r="I93" t="s">
        <v>44</v>
      </c>
      <c r="J93">
        <v>4</v>
      </c>
      <c r="K93" t="s">
        <v>37</v>
      </c>
      <c r="L93">
        <v>2285</v>
      </c>
      <c r="M93">
        <v>9</v>
      </c>
      <c r="N93" t="s">
        <v>32</v>
      </c>
      <c r="O93">
        <v>23</v>
      </c>
      <c r="P93">
        <v>4</v>
      </c>
      <c r="Q93">
        <v>0</v>
      </c>
      <c r="R93">
        <v>3</v>
      </c>
      <c r="S93">
        <v>4</v>
      </c>
      <c r="T93">
        <v>1</v>
      </c>
      <c r="U93">
        <v>0</v>
      </c>
      <c r="V93">
        <v>0</v>
      </c>
      <c r="W93" t="s">
        <v>65</v>
      </c>
      <c r="X93" s="1" t="d">
        <v>2020-02-07</v>
      </c>
      <c r="Z93" t="s">
        <v>45</v>
      </c>
      <c r="AA93" t="s">
        <v>46</v>
      </c>
      <c r="AB93">
        <v>4</v>
      </c>
      <c r="AC93">
        <v>1</v>
      </c>
      <c r="AD93" t="s">
        <v>32</v>
      </c>
      <c r="AE93" t="s">
        <v>42</v>
      </c>
      <c r="AF93" t="s">
        <v>57</v>
      </c>
      <c r="AG93">
        <f>IF(HR_Data[[#This Row],[Attrition]]="Yes",1,0)</f>
        <v>1</v>
      </c>
      <c r="AH93" t="str">
        <f>IF(HR_Data[Date_of_termination]="","Active","Left")</f>
        <v>Active</v>
      </c>
      <c r="AI93" t="str">
        <f>IF(HR_Data[YearsAtCompany]&lt;=2,"Fresher", IF(HR_Data[YearsAtCompany]&lt;=5,"Junior", IF(HR_Data[YearsAtCompany]&lt;=10, "Mid","Senior")))</f>
        <v>Fresher</v>
      </c>
      <c r="AJ93" s="2" t="str">
        <f>IF(HR_Data[MonthlyIncome]&lt;=300,"Low", IF(HR_Data[MonthlyIncome]&lt;=7000,"Medium", "High"))</f>
        <v>Medium</v>
      </c>
      <c r="AK93" s="2" t="str">
        <f>VLOOKUP(HR_Data[JobRole], JobRole_Map[], 2, FALSE)</f>
        <v>Technical</v>
      </c>
    </row>
    <row r="94" spans="1:37" x14ac:dyDescent="0.25">
      <c r="A94" s="2">
        <v>37</v>
      </c>
      <c r="B94" t="s">
        <v>41</v>
      </c>
      <c r="C94" t="s">
        <v>33</v>
      </c>
      <c r="D94" t="s">
        <v>34</v>
      </c>
      <c r="E94">
        <v>10</v>
      </c>
      <c r="F94" t="s">
        <v>35</v>
      </c>
      <c r="G94">
        <v>3</v>
      </c>
      <c r="H94">
        <v>2</v>
      </c>
      <c r="I94" t="s">
        <v>67</v>
      </c>
      <c r="J94">
        <v>2</v>
      </c>
      <c r="K94" t="s">
        <v>37</v>
      </c>
      <c r="L94">
        <v>4197</v>
      </c>
      <c r="M94">
        <v>2</v>
      </c>
      <c r="N94" t="s">
        <v>32</v>
      </c>
      <c r="O94">
        <v>12</v>
      </c>
      <c r="P94">
        <v>3</v>
      </c>
      <c r="Q94">
        <v>0</v>
      </c>
      <c r="R94">
        <v>18</v>
      </c>
      <c r="S94">
        <v>2</v>
      </c>
      <c r="T94">
        <v>1</v>
      </c>
      <c r="U94">
        <v>0</v>
      </c>
      <c r="V94">
        <v>1</v>
      </c>
      <c r="W94" t="s">
        <v>38</v>
      </c>
      <c r="X94" s="1" t="d">
        <v>2020-05-12</v>
      </c>
      <c r="Z94" t="s">
        <v>45</v>
      </c>
      <c r="AA94" t="s">
        <v>40</v>
      </c>
      <c r="AB94">
        <v>3</v>
      </c>
      <c r="AC94">
        <v>3</v>
      </c>
      <c r="AD94" t="s">
        <v>41</v>
      </c>
      <c r="AE94" t="s">
        <v>42</v>
      </c>
      <c r="AF94" t="s">
        <v>57</v>
      </c>
      <c r="AG94">
        <f>IF(HR_Data[[#This Row],[Attrition]]="Yes",1,0)</f>
        <v>0</v>
      </c>
      <c r="AH94" t="str">
        <f>IF(HR_Data[Date_of_termination]="","Active","Left")</f>
        <v>Active</v>
      </c>
      <c r="AI94" t="str">
        <f>IF(HR_Data[YearsAtCompany]&lt;=2,"Fresher", IF(HR_Data[YearsAtCompany]&lt;=5,"Junior", IF(HR_Data[YearsAtCompany]&lt;=10, "Mid","Senior")))</f>
        <v>Fresher</v>
      </c>
      <c r="AJ94" s="2" t="str">
        <f>IF(HR_Data[MonthlyIncome]&lt;=300,"Low", IF(HR_Data[MonthlyIncome]&lt;=7000,"Medium", "High"))</f>
        <v>Medium</v>
      </c>
      <c r="AK94" s="2" t="str">
        <f>VLOOKUP(HR_Data[JobRole], JobRole_Map[], 2, FALSE)</f>
        <v>Operations</v>
      </c>
    </row>
    <row r="95" spans="1:37" x14ac:dyDescent="0.25">
      <c r="A95" s="2">
        <v>40</v>
      </c>
      <c r="B95" t="s">
        <v>41</v>
      </c>
      <c r="C95" t="s">
        <v>33</v>
      </c>
      <c r="D95" t="s">
        <v>34</v>
      </c>
      <c r="E95">
        <v>2</v>
      </c>
      <c r="F95" t="s">
        <v>58</v>
      </c>
      <c r="G95">
        <v>2</v>
      </c>
      <c r="H95">
        <v>2</v>
      </c>
      <c r="I95" t="s">
        <v>36</v>
      </c>
      <c r="J95">
        <v>3</v>
      </c>
      <c r="K95" t="s">
        <v>50</v>
      </c>
      <c r="L95">
        <v>3448</v>
      </c>
      <c r="M95">
        <v>6</v>
      </c>
      <c r="N95" t="s">
        <v>41</v>
      </c>
      <c r="O95">
        <v>22</v>
      </c>
      <c r="P95">
        <v>4</v>
      </c>
      <c r="Q95">
        <v>1</v>
      </c>
      <c r="R95">
        <v>20</v>
      </c>
      <c r="S95">
        <v>3</v>
      </c>
      <c r="T95">
        <v>1</v>
      </c>
      <c r="U95">
        <v>0</v>
      </c>
      <c r="V95">
        <v>0</v>
      </c>
      <c r="W95" t="s">
        <v>38</v>
      </c>
      <c r="X95" s="1" t="d">
        <v>2020-03-02</v>
      </c>
      <c r="Z95" t="s">
        <v>39</v>
      </c>
      <c r="AA95" t="s">
        <v>46</v>
      </c>
      <c r="AB95">
        <v>5</v>
      </c>
      <c r="AC95">
        <v>1</v>
      </c>
      <c r="AD95" t="s">
        <v>41</v>
      </c>
      <c r="AE95" t="s">
        <v>47</v>
      </c>
      <c r="AF95" t="s">
        <v>43</v>
      </c>
      <c r="AG95">
        <f>IF(HR_Data[[#This Row],[Attrition]]="Yes",1,0)</f>
        <v>0</v>
      </c>
      <c r="AH95" t="str">
        <f>IF(HR_Data[Date_of_termination]="","Active","Left")</f>
        <v>Active</v>
      </c>
      <c r="AI95" t="str">
        <f>IF(HR_Data[YearsAtCompany]&lt;=2,"Fresher", IF(HR_Data[YearsAtCompany]&lt;=5,"Junior", IF(HR_Data[YearsAtCompany]&lt;=10, "Mid","Senior")))</f>
        <v>Fresher</v>
      </c>
      <c r="AJ95" s="2" t="str">
        <f>IF(HR_Data[MonthlyIncome]&lt;=300,"Low", IF(HR_Data[MonthlyIncome]&lt;=7000,"Medium", "High"))</f>
        <v>Medium</v>
      </c>
      <c r="AK95" s="2" t="str">
        <f>VLOOKUP(HR_Data[JobRole], JobRole_Map[], 2, FALSE)</f>
        <v>Technical</v>
      </c>
    </row>
    <row r="96" spans="1:37" x14ac:dyDescent="0.25">
      <c r="A96" s="2">
        <v>38</v>
      </c>
      <c r="B96" t="s">
        <v>41</v>
      </c>
      <c r="C96" t="s">
        <v>61</v>
      </c>
      <c r="D96" t="s">
        <v>34</v>
      </c>
      <c r="E96">
        <v>2</v>
      </c>
      <c r="F96" t="s">
        <v>35</v>
      </c>
      <c r="G96">
        <v>3</v>
      </c>
      <c r="H96">
        <v>1</v>
      </c>
      <c r="I96" t="s">
        <v>36</v>
      </c>
      <c r="J96">
        <v>4</v>
      </c>
      <c r="K96" t="s">
        <v>50</v>
      </c>
      <c r="L96">
        <v>1702</v>
      </c>
      <c r="M96">
        <v>1</v>
      </c>
      <c r="N96" t="s">
        <v>32</v>
      </c>
      <c r="O96">
        <v>23</v>
      </c>
      <c r="P96">
        <v>4</v>
      </c>
      <c r="Q96">
        <v>1</v>
      </c>
      <c r="R96">
        <v>1</v>
      </c>
      <c r="S96">
        <v>3</v>
      </c>
      <c r="T96">
        <v>1</v>
      </c>
      <c r="U96">
        <v>0</v>
      </c>
      <c r="V96">
        <v>0</v>
      </c>
      <c r="W96" t="s">
        <v>65</v>
      </c>
      <c r="X96" s="1" t="d">
        <v>2020-04-21</v>
      </c>
      <c r="Z96" t="s">
        <v>39</v>
      </c>
      <c r="AA96" t="s">
        <v>46</v>
      </c>
      <c r="AB96">
        <v>5</v>
      </c>
      <c r="AC96">
        <v>2</v>
      </c>
      <c r="AD96" t="s">
        <v>41</v>
      </c>
      <c r="AE96" t="s">
        <v>47</v>
      </c>
      <c r="AF96" t="s">
        <v>57</v>
      </c>
      <c r="AG96">
        <f>IF(HR_Data[[#This Row],[Attrition]]="Yes",1,0)</f>
        <v>0</v>
      </c>
      <c r="AH96" t="str">
        <f>IF(HR_Data[Date_of_termination]="","Active","Left")</f>
        <v>Active</v>
      </c>
      <c r="AI96" t="str">
        <f>IF(HR_Data[YearsAtCompany]&lt;=2,"Fresher", IF(HR_Data[YearsAtCompany]&lt;=5,"Junior", IF(HR_Data[YearsAtCompany]&lt;=10, "Mid","Senior")))</f>
        <v>Fresher</v>
      </c>
      <c r="AJ96" s="2" t="str">
        <f>IF(HR_Data[MonthlyIncome]&lt;=300,"Low", IF(HR_Data[MonthlyIncome]&lt;=7000,"Medium", "High"))</f>
        <v>Medium</v>
      </c>
      <c r="AK96" s="2" t="str">
        <f>VLOOKUP(HR_Data[JobRole], JobRole_Map[], 2, FALSE)</f>
        <v>Technical</v>
      </c>
    </row>
    <row r="97" spans="1:37" x14ac:dyDescent="0.25">
      <c r="A97" s="2">
        <v>19</v>
      </c>
      <c r="B97" t="s">
        <v>32</v>
      </c>
      <c r="C97" t="s">
        <v>33</v>
      </c>
      <c r="D97" t="s">
        <v>70</v>
      </c>
      <c r="E97">
        <v>2</v>
      </c>
      <c r="F97" t="s">
        <v>35</v>
      </c>
      <c r="G97">
        <v>2</v>
      </c>
      <c r="H97">
        <v>1</v>
      </c>
      <c r="I97" t="s">
        <v>70</v>
      </c>
      <c r="J97">
        <v>4</v>
      </c>
      <c r="K97" t="s">
        <v>37</v>
      </c>
      <c r="L97">
        <v>2564</v>
      </c>
      <c r="M97">
        <v>1</v>
      </c>
      <c r="N97" t="s">
        <v>41</v>
      </c>
      <c r="O97">
        <v>12</v>
      </c>
      <c r="P97">
        <v>3</v>
      </c>
      <c r="Q97">
        <v>0</v>
      </c>
      <c r="R97">
        <v>1</v>
      </c>
      <c r="S97">
        <v>3</v>
      </c>
      <c r="T97">
        <v>1</v>
      </c>
      <c r="U97">
        <v>0</v>
      </c>
      <c r="V97">
        <v>0</v>
      </c>
      <c r="W97" t="s">
        <v>51</v>
      </c>
      <c r="X97" s="1" t="d">
        <v>2020-01-21</v>
      </c>
      <c r="Z97" t="s">
        <v>45</v>
      </c>
      <c r="AA97" t="s">
        <v>46</v>
      </c>
      <c r="AB97">
        <v>0</v>
      </c>
      <c r="AC97">
        <v>0</v>
      </c>
      <c r="AD97" t="s">
        <v>32</v>
      </c>
      <c r="AE97" t="s">
        <v>62</v>
      </c>
      <c r="AF97" t="s">
        <v>57</v>
      </c>
      <c r="AG97">
        <f>IF(HR_Data[[#This Row],[Attrition]]="Yes",1,0)</f>
        <v>1</v>
      </c>
      <c r="AH97" t="str">
        <f>IF(HR_Data[Date_of_termination]="","Active","Left")</f>
        <v>Active</v>
      </c>
      <c r="AI97" t="str">
        <f>IF(HR_Data[YearsAtCompany]&lt;=2,"Fresher", IF(HR_Data[YearsAtCompany]&lt;=5,"Junior", IF(HR_Data[YearsAtCompany]&lt;=10, "Mid","Senior")))</f>
        <v>Fresher</v>
      </c>
      <c r="AJ97" s="2" t="str">
        <f>IF(HR_Data[MonthlyIncome]&lt;=300,"Low", IF(HR_Data[MonthlyIncome]&lt;=7000,"Medium", "High"))</f>
        <v>Medium</v>
      </c>
      <c r="AK97" s="2" t="str">
        <f>VLOOKUP(HR_Data[JobRole], JobRole_Map[], 2, FALSE)</f>
        <v>HR</v>
      </c>
    </row>
    <row r="98" spans="1:37" x14ac:dyDescent="0.25">
      <c r="A98" s="2">
        <v>57</v>
      </c>
      <c r="B98" t="s">
        <v>41</v>
      </c>
      <c r="C98" t="s">
        <v>33</v>
      </c>
      <c r="D98" t="s">
        <v>53</v>
      </c>
      <c r="E98">
        <v>29</v>
      </c>
      <c r="F98" t="s">
        <v>35</v>
      </c>
      <c r="G98">
        <v>2</v>
      </c>
      <c r="H98">
        <v>4</v>
      </c>
      <c r="I98" t="s">
        <v>66</v>
      </c>
      <c r="J98">
        <v>4</v>
      </c>
      <c r="K98" t="s">
        <v>55</v>
      </c>
      <c r="L98">
        <v>14118</v>
      </c>
      <c r="M98">
        <v>3</v>
      </c>
      <c r="N98" t="s">
        <v>41</v>
      </c>
      <c r="O98">
        <v>12</v>
      </c>
      <c r="P98">
        <v>3</v>
      </c>
      <c r="Q98">
        <v>1</v>
      </c>
      <c r="R98">
        <v>32</v>
      </c>
      <c r="S98">
        <v>3</v>
      </c>
      <c r="T98">
        <v>1</v>
      </c>
      <c r="U98">
        <v>0</v>
      </c>
      <c r="V98">
        <v>0</v>
      </c>
      <c r="W98" t="s">
        <v>51</v>
      </c>
      <c r="X98" s="1" t="d">
        <v>2020-02-22</v>
      </c>
      <c r="Z98" t="s">
        <v>45</v>
      </c>
      <c r="AA98" t="s">
        <v>46</v>
      </c>
      <c r="AB98">
        <v>2</v>
      </c>
      <c r="AC98">
        <v>3</v>
      </c>
      <c r="AD98" t="s">
        <v>41</v>
      </c>
      <c r="AE98" t="s">
        <v>62</v>
      </c>
      <c r="AF98" t="s">
        <v>43</v>
      </c>
      <c r="AG98">
        <f>IF(HR_Data[[#This Row],[Attrition]]="Yes",1,0)</f>
        <v>0</v>
      </c>
      <c r="AH98" t="str">
        <f>IF(HR_Data[Date_of_termination]="","Active","Left")</f>
        <v>Active</v>
      </c>
      <c r="AI98" t="str">
        <f>IF(HR_Data[YearsAtCompany]&lt;=2,"Fresher", IF(HR_Data[YearsAtCompany]&lt;=5,"Junior", IF(HR_Data[YearsAtCompany]&lt;=10, "Mid","Senior")))</f>
        <v>Fresher</v>
      </c>
      <c r="AJ98" s="2" t="str">
        <f>IF(HR_Data[MonthlyIncome]&lt;=300,"Low", IF(HR_Data[MonthlyIncome]&lt;=7000,"Medium", "High"))</f>
        <v>High</v>
      </c>
      <c r="AK98" s="2" t="str">
        <f>VLOOKUP(HR_Data[JobRole], JobRole_Map[], 2, FALSE)</f>
        <v>Management</v>
      </c>
    </row>
    <row r="99" spans="1:37" x14ac:dyDescent="0.25">
      <c r="A99" s="2">
        <v>54</v>
      </c>
      <c r="B99" t="s">
        <v>41</v>
      </c>
      <c r="C99" t="s">
        <v>33</v>
      </c>
      <c r="D99" t="s">
        <v>34</v>
      </c>
      <c r="E99">
        <v>8</v>
      </c>
      <c r="F99" t="s">
        <v>58</v>
      </c>
      <c r="G99">
        <v>3</v>
      </c>
      <c r="H99">
        <v>2</v>
      </c>
      <c r="I99" t="s">
        <v>36</v>
      </c>
      <c r="J99">
        <v>3</v>
      </c>
      <c r="K99" t="s">
        <v>37</v>
      </c>
      <c r="L99">
        <v>3780</v>
      </c>
      <c r="M99">
        <v>7</v>
      </c>
      <c r="N99" t="s">
        <v>41</v>
      </c>
      <c r="O99">
        <v>11</v>
      </c>
      <c r="P99">
        <v>3</v>
      </c>
      <c r="Q99">
        <v>0</v>
      </c>
      <c r="R99">
        <v>19</v>
      </c>
      <c r="S99">
        <v>3</v>
      </c>
      <c r="T99">
        <v>1</v>
      </c>
      <c r="U99">
        <v>0</v>
      </c>
      <c r="V99">
        <v>0</v>
      </c>
      <c r="W99" t="s">
        <v>38</v>
      </c>
      <c r="X99" s="1" t="d">
        <v>2020-02-17</v>
      </c>
      <c r="Z99" t="s">
        <v>59</v>
      </c>
      <c r="AA99" t="s">
        <v>46</v>
      </c>
      <c r="AB99">
        <v>0</v>
      </c>
      <c r="AC99">
        <v>3</v>
      </c>
      <c r="AD99" t="s">
        <v>41</v>
      </c>
      <c r="AE99" t="s">
        <v>42</v>
      </c>
      <c r="AF99" t="s">
        <v>57</v>
      </c>
      <c r="AG99">
        <f>IF(HR_Data[[#This Row],[Attrition]]="Yes",1,0)</f>
        <v>0</v>
      </c>
      <c r="AH99" t="str">
        <f>IF(HR_Data[Date_of_termination]="","Active","Left")</f>
        <v>Active</v>
      </c>
      <c r="AI99" t="str">
        <f>IF(HR_Data[YearsAtCompany]&lt;=2,"Fresher", IF(HR_Data[YearsAtCompany]&lt;=5,"Junior", IF(HR_Data[YearsAtCompany]&lt;=10, "Mid","Senior")))</f>
        <v>Fresher</v>
      </c>
      <c r="AJ99" s="2" t="str">
        <f>IF(HR_Data[MonthlyIncome]&lt;=300,"Low", IF(HR_Data[MonthlyIncome]&lt;=7000,"Medium", "High"))</f>
        <v>Medium</v>
      </c>
      <c r="AK99" s="2" t="str">
        <f>VLOOKUP(HR_Data[JobRole], JobRole_Map[], 2, FALSE)</f>
        <v>Technical</v>
      </c>
    </row>
    <row r="100" spans="1:37" x14ac:dyDescent="0.25">
      <c r="A100" s="2">
        <v>31</v>
      </c>
      <c r="B100" t="s">
        <v>32</v>
      </c>
      <c r="C100" t="s">
        <v>61</v>
      </c>
      <c r="D100" t="s">
        <v>34</v>
      </c>
      <c r="E100">
        <v>20</v>
      </c>
      <c r="F100" t="s">
        <v>35</v>
      </c>
      <c r="G100">
        <v>3</v>
      </c>
      <c r="H100">
        <v>3</v>
      </c>
      <c r="I100" t="s">
        <v>69</v>
      </c>
      <c r="J100">
        <v>3</v>
      </c>
      <c r="K100" t="s">
        <v>50</v>
      </c>
      <c r="L100">
        <v>9824</v>
      </c>
      <c r="M100">
        <v>3</v>
      </c>
      <c r="N100" t="s">
        <v>41</v>
      </c>
      <c r="O100">
        <v>12</v>
      </c>
      <c r="P100">
        <v>3</v>
      </c>
      <c r="Q100">
        <v>0</v>
      </c>
      <c r="R100">
        <v>12</v>
      </c>
      <c r="S100">
        <v>2</v>
      </c>
      <c r="T100">
        <v>1</v>
      </c>
      <c r="U100">
        <v>0</v>
      </c>
      <c r="V100">
        <v>0</v>
      </c>
      <c r="W100" t="s">
        <v>38</v>
      </c>
      <c r="X100" s="1" t="d">
        <v>2020-04-12</v>
      </c>
      <c r="Z100" t="s">
        <v>39</v>
      </c>
      <c r="AA100" t="s">
        <v>46</v>
      </c>
      <c r="AB100">
        <v>4</v>
      </c>
      <c r="AC100">
        <v>0</v>
      </c>
      <c r="AD100" t="s">
        <v>32</v>
      </c>
      <c r="AE100" t="s">
        <v>60</v>
      </c>
      <c r="AF100" t="s">
        <v>57</v>
      </c>
      <c r="AG100">
        <f>IF(HR_Data[[#This Row],[Attrition]]="Yes",1,0)</f>
        <v>1</v>
      </c>
      <c r="AH100" t="str">
        <f>IF(HR_Data[Date_of_termination]="","Active","Left")</f>
        <v>Active</v>
      </c>
      <c r="AI100" t="str">
        <f>IF(HR_Data[YearsAtCompany]&lt;=2,"Fresher", IF(HR_Data[YearsAtCompany]&lt;=5,"Junior", IF(HR_Data[YearsAtCompany]&lt;=10, "Mid","Senior")))</f>
        <v>Fresher</v>
      </c>
      <c r="AJ100" s="2" t="str">
        <f>IF(HR_Data[MonthlyIncome]&lt;=300,"Low", IF(HR_Data[MonthlyIncome]&lt;=7000,"Medium", "High"))</f>
        <v>High</v>
      </c>
      <c r="AK100" s="2" t="str">
        <f>VLOOKUP(HR_Data[JobRole], JobRole_Map[], 2, FALSE)</f>
        <v>Operations</v>
      </c>
    </row>
    <row r="101" spans="1:37" x14ac:dyDescent="0.25">
      <c r="A101" s="2">
        <v>40</v>
      </c>
      <c r="B101" t="s">
        <v>41</v>
      </c>
      <c r="C101" t="s">
        <v>68</v>
      </c>
      <c r="D101" t="s">
        <v>53</v>
      </c>
      <c r="E101">
        <v>28</v>
      </c>
      <c r="F101" t="s">
        <v>35</v>
      </c>
      <c r="G101">
        <v>1</v>
      </c>
      <c r="H101">
        <v>3</v>
      </c>
      <c r="I101" t="s">
        <v>64</v>
      </c>
      <c r="J101">
        <v>1</v>
      </c>
      <c r="K101" t="s">
        <v>55</v>
      </c>
      <c r="L101">
        <v>10932</v>
      </c>
      <c r="M101">
        <v>3</v>
      </c>
      <c r="N101" t="s">
        <v>41</v>
      </c>
      <c r="O101">
        <v>15</v>
      </c>
      <c r="P101">
        <v>3</v>
      </c>
      <c r="Q101">
        <v>1</v>
      </c>
      <c r="R101">
        <v>20</v>
      </c>
      <c r="S101">
        <v>2</v>
      </c>
      <c r="T101">
        <v>1</v>
      </c>
      <c r="U101">
        <v>0</v>
      </c>
      <c r="V101">
        <v>1</v>
      </c>
      <c r="W101" t="s">
        <v>56</v>
      </c>
      <c r="X101" s="1" t="d">
        <v>2020-06-26</v>
      </c>
      <c r="Z101" t="s">
        <v>52</v>
      </c>
      <c r="AA101" t="s">
        <v>46</v>
      </c>
      <c r="AB101">
        <v>3</v>
      </c>
      <c r="AC101">
        <v>3</v>
      </c>
      <c r="AD101" t="s">
        <v>41</v>
      </c>
      <c r="AE101" t="s">
        <v>62</v>
      </c>
      <c r="AF101" t="s">
        <v>57</v>
      </c>
      <c r="AG101">
        <f>IF(HR_Data[[#This Row],[Attrition]]="Yes",1,0)</f>
        <v>0</v>
      </c>
      <c r="AH101" t="str">
        <f>IF(HR_Data[Date_of_termination]="","Active","Left")</f>
        <v>Active</v>
      </c>
      <c r="AI101" t="str">
        <f>IF(HR_Data[YearsAtCompany]&lt;=2,"Fresher", IF(HR_Data[YearsAtCompany]&lt;=5,"Junior", IF(HR_Data[YearsAtCompany]&lt;=10, "Mid","Senior")))</f>
        <v>Fresher</v>
      </c>
      <c r="AJ101" s="2" t="str">
        <f>IF(HR_Data[MonthlyIncome]&lt;=300,"Low", IF(HR_Data[MonthlyIncome]&lt;=7000,"Medium", "High"))</f>
        <v>High</v>
      </c>
      <c r="AK101" s="2" t="str">
        <f>VLOOKUP(HR_Data[JobRole], JobRole_Map[], 2, FALSE)</f>
        <v>Sales</v>
      </c>
    </row>
    <row r="102" spans="1:37" x14ac:dyDescent="0.25">
      <c r="A102" s="2">
        <v>26</v>
      </c>
      <c r="B102" t="s">
        <v>32</v>
      </c>
      <c r="C102" t="s">
        <v>33</v>
      </c>
      <c r="D102" t="s">
        <v>34</v>
      </c>
      <c r="E102">
        <v>24</v>
      </c>
      <c r="F102" t="s">
        <v>35</v>
      </c>
      <c r="G102">
        <v>1</v>
      </c>
      <c r="H102">
        <v>1</v>
      </c>
      <c r="I102" t="s">
        <v>36</v>
      </c>
      <c r="J102">
        <v>4</v>
      </c>
      <c r="K102" t="s">
        <v>37</v>
      </c>
      <c r="L102">
        <v>2340</v>
      </c>
      <c r="M102">
        <v>1</v>
      </c>
      <c r="N102" t="s">
        <v>32</v>
      </c>
      <c r="O102">
        <v>18</v>
      </c>
      <c r="P102">
        <v>3</v>
      </c>
      <c r="Q102">
        <v>0</v>
      </c>
      <c r="R102">
        <v>1</v>
      </c>
      <c r="S102">
        <v>3</v>
      </c>
      <c r="T102">
        <v>1</v>
      </c>
      <c r="U102">
        <v>0</v>
      </c>
      <c r="V102">
        <v>0</v>
      </c>
      <c r="W102" t="s">
        <v>65</v>
      </c>
      <c r="X102" s="1" t="d">
        <v>2020-04-30</v>
      </c>
      <c r="Z102" t="s">
        <v>39</v>
      </c>
      <c r="AA102" t="s">
        <v>46</v>
      </c>
      <c r="AB102">
        <v>2</v>
      </c>
      <c r="AC102">
        <v>2</v>
      </c>
      <c r="AD102" t="s">
        <v>41</v>
      </c>
      <c r="AE102" t="s">
        <v>60</v>
      </c>
      <c r="AF102" t="s">
        <v>43</v>
      </c>
      <c r="AG102">
        <f>IF(HR_Data[[#This Row],[Attrition]]="Yes",1,0)</f>
        <v>1</v>
      </c>
      <c r="AH102" t="str">
        <f>IF(HR_Data[Date_of_termination]="","Active","Left")</f>
        <v>Active</v>
      </c>
      <c r="AI102" t="str">
        <f>IF(HR_Data[YearsAtCompany]&lt;=2,"Fresher", IF(HR_Data[YearsAtCompany]&lt;=5,"Junior", IF(HR_Data[YearsAtCompany]&lt;=10, "Mid","Senior")))</f>
        <v>Fresher</v>
      </c>
      <c r="AJ102" s="2" t="str">
        <f>IF(HR_Data[MonthlyIncome]&lt;=300,"Low", IF(HR_Data[MonthlyIncome]&lt;=7000,"Medium", "High"))</f>
        <v>Medium</v>
      </c>
      <c r="AK102" s="2" t="str">
        <f>VLOOKUP(HR_Data[JobRole], JobRole_Map[], 2, FALSE)</f>
        <v>Technical</v>
      </c>
    </row>
    <row r="103" spans="1:37" x14ac:dyDescent="0.25">
      <c r="A103" s="2">
        <v>38</v>
      </c>
      <c r="B103" t="s">
        <v>41</v>
      </c>
      <c r="C103" t="s">
        <v>33</v>
      </c>
      <c r="D103" t="s">
        <v>34</v>
      </c>
      <c r="E103">
        <v>10</v>
      </c>
      <c r="F103" t="s">
        <v>58</v>
      </c>
      <c r="G103">
        <v>3</v>
      </c>
      <c r="H103">
        <v>2</v>
      </c>
      <c r="I103" t="s">
        <v>69</v>
      </c>
      <c r="J103">
        <v>3</v>
      </c>
      <c r="K103" t="s">
        <v>50</v>
      </c>
      <c r="L103">
        <v>9824</v>
      </c>
      <c r="M103">
        <v>3</v>
      </c>
      <c r="N103" t="s">
        <v>41</v>
      </c>
      <c r="O103">
        <v>19</v>
      </c>
      <c r="P103">
        <v>3</v>
      </c>
      <c r="Q103">
        <v>1</v>
      </c>
      <c r="R103">
        <v>18</v>
      </c>
      <c r="S103">
        <v>4</v>
      </c>
      <c r="T103">
        <v>1</v>
      </c>
      <c r="U103">
        <v>0</v>
      </c>
      <c r="V103">
        <v>0</v>
      </c>
      <c r="W103" t="s">
        <v>65</v>
      </c>
      <c r="X103" s="1" t="d">
        <v>2020-03-04</v>
      </c>
      <c r="Z103" t="s">
        <v>39</v>
      </c>
      <c r="AA103" t="s">
        <v>46</v>
      </c>
      <c r="AB103">
        <v>0</v>
      </c>
      <c r="AC103">
        <v>3</v>
      </c>
      <c r="AD103" t="s">
        <v>41</v>
      </c>
      <c r="AE103" t="s">
        <v>62</v>
      </c>
      <c r="AF103" t="s">
        <v>43</v>
      </c>
      <c r="AG103">
        <f>IF(HR_Data[[#This Row],[Attrition]]="Yes",1,0)</f>
        <v>0</v>
      </c>
      <c r="AH103" t="str">
        <f>IF(HR_Data[Date_of_termination]="","Active","Left")</f>
        <v>Active</v>
      </c>
      <c r="AI103" t="str">
        <f>IF(HR_Data[YearsAtCompany]&lt;=2,"Fresher", IF(HR_Data[YearsAtCompany]&lt;=5,"Junior", IF(HR_Data[YearsAtCompany]&lt;=10, "Mid","Senior")))</f>
        <v>Fresher</v>
      </c>
      <c r="AJ103" s="2" t="str">
        <f>IF(HR_Data[MonthlyIncome]&lt;=300,"Low", IF(HR_Data[MonthlyIncome]&lt;=7000,"Medium", "High"))</f>
        <v>High</v>
      </c>
      <c r="AK103" s="2" t="str">
        <f>VLOOKUP(HR_Data[JobRole], JobRole_Map[], 2, FALSE)</f>
        <v>Operations</v>
      </c>
    </row>
    <row r="104" spans="1:37" x14ac:dyDescent="0.25">
      <c r="A104" s="2">
        <v>24</v>
      </c>
      <c r="B104" t="s">
        <v>41</v>
      </c>
      <c r="C104" t="s">
        <v>33</v>
      </c>
      <c r="D104" t="s">
        <v>34</v>
      </c>
      <c r="E104">
        <v>17</v>
      </c>
      <c r="F104" t="s">
        <v>35</v>
      </c>
      <c r="G104">
        <v>2</v>
      </c>
      <c r="H104">
        <v>1</v>
      </c>
      <c r="I104" t="s">
        <v>36</v>
      </c>
      <c r="J104">
        <v>2</v>
      </c>
      <c r="K104" t="s">
        <v>50</v>
      </c>
      <c r="L104">
        <v>2127</v>
      </c>
      <c r="M104">
        <v>1</v>
      </c>
      <c r="N104" t="s">
        <v>41</v>
      </c>
      <c r="O104">
        <v>21</v>
      </c>
      <c r="P104">
        <v>4</v>
      </c>
      <c r="Q104">
        <v>1</v>
      </c>
      <c r="R104">
        <v>1</v>
      </c>
      <c r="S104">
        <v>2</v>
      </c>
      <c r="T104">
        <v>1</v>
      </c>
      <c r="U104">
        <v>0</v>
      </c>
      <c r="V104">
        <v>0</v>
      </c>
      <c r="W104" t="s">
        <v>56</v>
      </c>
      <c r="X104" s="1" t="d">
        <v>2020-02-25</v>
      </c>
      <c r="Z104" t="s">
        <v>45</v>
      </c>
      <c r="AA104" t="s">
        <v>40</v>
      </c>
      <c r="AB104">
        <v>5</v>
      </c>
      <c r="AC104">
        <v>3</v>
      </c>
      <c r="AD104" t="s">
        <v>32</v>
      </c>
      <c r="AE104" t="s">
        <v>60</v>
      </c>
      <c r="AF104" t="s">
        <v>57</v>
      </c>
      <c r="AG104">
        <f>IF(HR_Data[[#This Row],[Attrition]]="Yes",1,0)</f>
        <v>0</v>
      </c>
      <c r="AH104" t="str">
        <f>IF(HR_Data[Date_of_termination]="","Active","Left")</f>
        <v>Active</v>
      </c>
      <c r="AI104" t="str">
        <f>IF(HR_Data[YearsAtCompany]&lt;=2,"Fresher", IF(HR_Data[YearsAtCompany]&lt;=5,"Junior", IF(HR_Data[YearsAtCompany]&lt;=10, "Mid","Senior")))</f>
        <v>Fresher</v>
      </c>
      <c r="AJ104" s="2" t="str">
        <f>IF(HR_Data[MonthlyIncome]&lt;=300,"Low", IF(HR_Data[MonthlyIncome]&lt;=7000,"Medium", "High"))</f>
        <v>Medium</v>
      </c>
      <c r="AK104" s="2" t="str">
        <f>VLOOKUP(HR_Data[JobRole], JobRole_Map[], 2, FALSE)</f>
        <v>Technical</v>
      </c>
    </row>
    <row r="105" spans="1:37" x14ac:dyDescent="0.25">
      <c r="A105" s="2">
        <v>30</v>
      </c>
      <c r="B105" t="s">
        <v>32</v>
      </c>
      <c r="C105" t="s">
        <v>61</v>
      </c>
      <c r="D105" t="s">
        <v>53</v>
      </c>
      <c r="E105">
        <v>12</v>
      </c>
      <c r="F105" t="s">
        <v>35</v>
      </c>
      <c r="G105">
        <v>2</v>
      </c>
      <c r="H105">
        <v>1</v>
      </c>
      <c r="I105" t="s">
        <v>54</v>
      </c>
      <c r="J105">
        <v>1</v>
      </c>
      <c r="K105" t="s">
        <v>50</v>
      </c>
      <c r="L105">
        <v>2033</v>
      </c>
      <c r="M105">
        <v>1</v>
      </c>
      <c r="N105" t="s">
        <v>41</v>
      </c>
      <c r="O105">
        <v>18</v>
      </c>
      <c r="P105">
        <v>3</v>
      </c>
      <c r="Q105">
        <v>1</v>
      </c>
      <c r="R105">
        <v>1</v>
      </c>
      <c r="S105">
        <v>2</v>
      </c>
      <c r="T105">
        <v>1</v>
      </c>
      <c r="U105">
        <v>0</v>
      </c>
      <c r="V105">
        <v>0</v>
      </c>
      <c r="W105" t="s">
        <v>38</v>
      </c>
      <c r="X105" s="1" t="d">
        <v>2020-01-21</v>
      </c>
      <c r="Z105" t="s">
        <v>39</v>
      </c>
      <c r="AA105" t="s">
        <v>46</v>
      </c>
      <c r="AB105">
        <v>4</v>
      </c>
      <c r="AC105">
        <v>3</v>
      </c>
      <c r="AD105" t="s">
        <v>32</v>
      </c>
      <c r="AE105" t="s">
        <v>42</v>
      </c>
      <c r="AF105" t="s">
        <v>43</v>
      </c>
      <c r="AG105">
        <f>IF(HR_Data[[#This Row],[Attrition]]="Yes",1,0)</f>
        <v>1</v>
      </c>
      <c r="AH105" t="str">
        <f>IF(HR_Data[Date_of_termination]="","Active","Left")</f>
        <v>Active</v>
      </c>
      <c r="AI105" t="str">
        <f>IF(HR_Data[YearsAtCompany]&lt;=2,"Fresher", IF(HR_Data[YearsAtCompany]&lt;=5,"Junior", IF(HR_Data[YearsAtCompany]&lt;=10, "Mid","Senior")))</f>
        <v>Fresher</v>
      </c>
      <c r="AJ105" s="2" t="str">
        <f>IF(HR_Data[MonthlyIncome]&lt;=300,"Low", IF(HR_Data[MonthlyIncome]&lt;=7000,"Medium", "High"))</f>
        <v>Medium</v>
      </c>
      <c r="AK105" s="2" t="str">
        <f>VLOOKUP(HR_Data[JobRole], JobRole_Map[], 2, FALSE)</f>
        <v>Sales</v>
      </c>
    </row>
    <row r="106" spans="1:37" x14ac:dyDescent="0.25">
      <c r="A106" s="2">
        <v>20</v>
      </c>
      <c r="B106" t="s">
        <v>41</v>
      </c>
      <c r="C106" t="s">
        <v>33</v>
      </c>
      <c r="D106" t="s">
        <v>34</v>
      </c>
      <c r="E106">
        <v>1</v>
      </c>
      <c r="F106" t="s">
        <v>58</v>
      </c>
      <c r="G106">
        <v>2</v>
      </c>
      <c r="H106">
        <v>1</v>
      </c>
      <c r="I106" t="s">
        <v>44</v>
      </c>
      <c r="J106">
        <v>2</v>
      </c>
      <c r="K106" t="s">
        <v>37</v>
      </c>
      <c r="L106">
        <v>2836</v>
      </c>
      <c r="M106">
        <v>1</v>
      </c>
      <c r="N106" t="s">
        <v>41</v>
      </c>
      <c r="O106">
        <v>13</v>
      </c>
      <c r="P106">
        <v>3</v>
      </c>
      <c r="Q106">
        <v>0</v>
      </c>
      <c r="R106">
        <v>1</v>
      </c>
      <c r="S106">
        <v>0</v>
      </c>
      <c r="T106">
        <v>1</v>
      </c>
      <c r="U106">
        <v>0</v>
      </c>
      <c r="V106">
        <v>0</v>
      </c>
      <c r="W106" t="s">
        <v>65</v>
      </c>
      <c r="X106" s="1" t="d">
        <v>2020-05-08</v>
      </c>
      <c r="Z106" t="s">
        <v>39</v>
      </c>
      <c r="AA106" t="s">
        <v>46</v>
      </c>
      <c r="AB106">
        <v>0</v>
      </c>
      <c r="AC106">
        <v>2</v>
      </c>
      <c r="AD106" t="s">
        <v>41</v>
      </c>
      <c r="AE106" t="s">
        <v>60</v>
      </c>
      <c r="AF106" t="s">
        <v>48</v>
      </c>
      <c r="AG106">
        <f>IF(HR_Data[[#This Row],[Attrition]]="Yes",1,0)</f>
        <v>0</v>
      </c>
      <c r="AH106" t="str">
        <f>IF(HR_Data[Date_of_termination]="","Active","Left")</f>
        <v>Active</v>
      </c>
      <c r="AI106" t="str">
        <f>IF(HR_Data[YearsAtCompany]&lt;=2,"Fresher", IF(HR_Data[YearsAtCompany]&lt;=5,"Junior", IF(HR_Data[YearsAtCompany]&lt;=10, "Mid","Senior")))</f>
        <v>Fresher</v>
      </c>
      <c r="AJ106" s="2" t="str">
        <f>IF(HR_Data[MonthlyIncome]&lt;=300,"Low", IF(HR_Data[MonthlyIncome]&lt;=7000,"Medium", "High"))</f>
        <v>Medium</v>
      </c>
      <c r="AK106" s="2" t="str">
        <f>VLOOKUP(HR_Data[JobRole], JobRole_Map[], 2, FALSE)</f>
        <v>Technical</v>
      </c>
    </row>
    <row r="107" spans="1:37" x14ac:dyDescent="0.25">
      <c r="A107" s="2">
        <v>43</v>
      </c>
      <c r="B107" t="s">
        <v>41</v>
      </c>
      <c r="C107" t="s">
        <v>33</v>
      </c>
      <c r="D107" t="s">
        <v>34</v>
      </c>
      <c r="E107">
        <v>6</v>
      </c>
      <c r="F107" t="s">
        <v>35</v>
      </c>
      <c r="G107">
        <v>2</v>
      </c>
      <c r="H107">
        <v>4</v>
      </c>
      <c r="I107" t="s">
        <v>49</v>
      </c>
      <c r="J107">
        <v>4</v>
      </c>
      <c r="K107" t="s">
        <v>55</v>
      </c>
      <c r="L107">
        <v>16627</v>
      </c>
      <c r="M107">
        <v>4</v>
      </c>
      <c r="N107" t="s">
        <v>32</v>
      </c>
      <c r="O107">
        <v>14</v>
      </c>
      <c r="P107">
        <v>3</v>
      </c>
      <c r="Q107">
        <v>1</v>
      </c>
      <c r="R107">
        <v>21</v>
      </c>
      <c r="S107">
        <v>3</v>
      </c>
      <c r="T107">
        <v>1</v>
      </c>
      <c r="U107">
        <v>0</v>
      </c>
      <c r="V107">
        <v>0</v>
      </c>
      <c r="W107" t="s">
        <v>65</v>
      </c>
      <c r="X107" s="1" t="d">
        <v>2020-02-13</v>
      </c>
      <c r="Z107" t="s">
        <v>52</v>
      </c>
      <c r="AA107" t="s">
        <v>46</v>
      </c>
      <c r="AB107">
        <v>4</v>
      </c>
      <c r="AC107">
        <v>3</v>
      </c>
      <c r="AD107" t="s">
        <v>41</v>
      </c>
      <c r="AE107" t="s">
        <v>42</v>
      </c>
      <c r="AF107" t="s">
        <v>43</v>
      </c>
      <c r="AG107">
        <f>IF(HR_Data[[#This Row],[Attrition]]="Yes",1,0)</f>
        <v>0</v>
      </c>
      <c r="AH107" t="str">
        <f>IF(HR_Data[Date_of_termination]="","Active","Left")</f>
        <v>Active</v>
      </c>
      <c r="AI107" t="str">
        <f>IF(HR_Data[YearsAtCompany]&lt;=2,"Fresher", IF(HR_Data[YearsAtCompany]&lt;=5,"Junior", IF(HR_Data[YearsAtCompany]&lt;=10, "Mid","Senior")))</f>
        <v>Fresher</v>
      </c>
      <c r="AJ107" s="2" t="str">
        <f>IF(HR_Data[MonthlyIncome]&lt;=300,"Low", IF(HR_Data[MonthlyIncome]&lt;=7000,"Medium", "High"))</f>
        <v>High</v>
      </c>
      <c r="AK107" s="2" t="str">
        <f>VLOOKUP(HR_Data[JobRole], JobRole_Map[], 2, FALSE)</f>
        <v>Management</v>
      </c>
    </row>
    <row r="108" spans="1:37" x14ac:dyDescent="0.25">
      <c r="A108" s="2">
        <v>30</v>
      </c>
      <c r="B108" t="s">
        <v>41</v>
      </c>
      <c r="C108" t="s">
        <v>61</v>
      </c>
      <c r="D108" t="s">
        <v>34</v>
      </c>
      <c r="E108">
        <v>3</v>
      </c>
      <c r="F108" t="s">
        <v>58</v>
      </c>
      <c r="G108">
        <v>3</v>
      </c>
      <c r="H108">
        <v>1</v>
      </c>
      <c r="I108" t="s">
        <v>44</v>
      </c>
      <c r="J108">
        <v>3</v>
      </c>
      <c r="K108" t="s">
        <v>55</v>
      </c>
      <c r="L108">
        <v>2083</v>
      </c>
      <c r="M108">
        <v>1</v>
      </c>
      <c r="N108" t="s">
        <v>41</v>
      </c>
      <c r="O108">
        <v>20</v>
      </c>
      <c r="P108">
        <v>4</v>
      </c>
      <c r="Q108">
        <v>1</v>
      </c>
      <c r="R108">
        <v>1</v>
      </c>
      <c r="S108">
        <v>2</v>
      </c>
      <c r="T108">
        <v>1</v>
      </c>
      <c r="U108">
        <v>0</v>
      </c>
      <c r="V108">
        <v>0</v>
      </c>
      <c r="W108" t="s">
        <v>38</v>
      </c>
      <c r="X108" s="1" t="d">
        <v>2020-05-28</v>
      </c>
      <c r="Z108" t="s">
        <v>63</v>
      </c>
      <c r="AA108" t="s">
        <v>46</v>
      </c>
      <c r="AB108">
        <v>4</v>
      </c>
      <c r="AC108">
        <v>0</v>
      </c>
      <c r="AD108" t="s">
        <v>32</v>
      </c>
      <c r="AE108" t="s">
        <v>62</v>
      </c>
      <c r="AF108" t="s">
        <v>57</v>
      </c>
      <c r="AG108">
        <f>IF(HR_Data[[#This Row],[Attrition]]="Yes",1,0)</f>
        <v>0</v>
      </c>
      <c r="AH108" t="str">
        <f>IF(HR_Data[Date_of_termination]="","Active","Left")</f>
        <v>Active</v>
      </c>
      <c r="AI108" t="str">
        <f>IF(HR_Data[YearsAtCompany]&lt;=2,"Fresher", IF(HR_Data[YearsAtCompany]&lt;=5,"Junior", IF(HR_Data[YearsAtCompany]&lt;=10, "Mid","Senior")))</f>
        <v>Fresher</v>
      </c>
      <c r="AJ108" s="2" t="str">
        <f>IF(HR_Data[MonthlyIncome]&lt;=300,"Low", IF(HR_Data[MonthlyIncome]&lt;=7000,"Medium", "High"))</f>
        <v>Medium</v>
      </c>
      <c r="AK108" s="2" t="str">
        <f>VLOOKUP(HR_Data[JobRole], JobRole_Map[], 2, FALSE)</f>
        <v>Technical</v>
      </c>
    </row>
    <row r="109" spans="1:37" x14ac:dyDescent="0.25">
      <c r="A109" s="2">
        <v>45</v>
      </c>
      <c r="B109" t="s">
        <v>32</v>
      </c>
      <c r="C109" t="s">
        <v>61</v>
      </c>
      <c r="D109" t="s">
        <v>53</v>
      </c>
      <c r="E109">
        <v>26</v>
      </c>
      <c r="F109" t="s">
        <v>58</v>
      </c>
      <c r="G109">
        <v>3</v>
      </c>
      <c r="H109">
        <v>2</v>
      </c>
      <c r="I109" t="s">
        <v>64</v>
      </c>
      <c r="J109">
        <v>1</v>
      </c>
      <c r="K109" t="s">
        <v>50</v>
      </c>
      <c r="L109">
        <v>4286</v>
      </c>
      <c r="M109">
        <v>2</v>
      </c>
      <c r="N109" t="s">
        <v>41</v>
      </c>
      <c r="O109">
        <v>14</v>
      </c>
      <c r="P109">
        <v>3</v>
      </c>
      <c r="Q109">
        <v>2</v>
      </c>
      <c r="R109">
        <v>5</v>
      </c>
      <c r="S109">
        <v>4</v>
      </c>
      <c r="T109">
        <v>1</v>
      </c>
      <c r="U109">
        <v>0</v>
      </c>
      <c r="V109">
        <v>0</v>
      </c>
      <c r="W109" t="s">
        <v>51</v>
      </c>
      <c r="X109" s="1" t="d">
        <v>2020-01-30</v>
      </c>
      <c r="Z109" t="s">
        <v>52</v>
      </c>
      <c r="AA109" t="s">
        <v>40</v>
      </c>
      <c r="AB109">
        <v>0</v>
      </c>
      <c r="AC109">
        <v>3</v>
      </c>
      <c r="AD109" t="s">
        <v>32</v>
      </c>
      <c r="AE109" t="s">
        <v>60</v>
      </c>
      <c r="AF109" t="s">
        <v>43</v>
      </c>
      <c r="AG109">
        <f>IF(HR_Data[[#This Row],[Attrition]]="Yes",1,0)</f>
        <v>1</v>
      </c>
      <c r="AH109" t="str">
        <f>IF(HR_Data[Date_of_termination]="","Active","Left")</f>
        <v>Active</v>
      </c>
      <c r="AI109" t="str">
        <f>IF(HR_Data[YearsAtCompany]&lt;=2,"Fresher", IF(HR_Data[YearsAtCompany]&lt;=5,"Junior", IF(HR_Data[YearsAtCompany]&lt;=10, "Mid","Senior")))</f>
        <v>Fresher</v>
      </c>
      <c r="AJ109" s="2" t="str">
        <f>IF(HR_Data[MonthlyIncome]&lt;=300,"Low", IF(HR_Data[MonthlyIncome]&lt;=7000,"Medium", "High"))</f>
        <v>Medium</v>
      </c>
      <c r="AK109" s="2" t="str">
        <f>VLOOKUP(HR_Data[JobRole], JobRole_Map[], 2, FALSE)</f>
        <v>Sales</v>
      </c>
    </row>
    <row r="110" spans="1:37" x14ac:dyDescent="0.25">
      <c r="A110" s="2">
        <v>20</v>
      </c>
      <c r="B110" t="s">
        <v>32</v>
      </c>
      <c r="C110" t="s">
        <v>33</v>
      </c>
      <c r="D110" t="s">
        <v>34</v>
      </c>
      <c r="E110">
        <v>10</v>
      </c>
      <c r="F110" t="s">
        <v>35</v>
      </c>
      <c r="G110">
        <v>3</v>
      </c>
      <c r="H110">
        <v>1</v>
      </c>
      <c r="I110" t="s">
        <v>44</v>
      </c>
      <c r="J110">
        <v>3</v>
      </c>
      <c r="K110" t="s">
        <v>37</v>
      </c>
      <c r="L110">
        <v>1009</v>
      </c>
      <c r="M110">
        <v>1</v>
      </c>
      <c r="N110" t="s">
        <v>32</v>
      </c>
      <c r="O110">
        <v>11</v>
      </c>
      <c r="P110">
        <v>3</v>
      </c>
      <c r="Q110">
        <v>0</v>
      </c>
      <c r="R110">
        <v>1</v>
      </c>
      <c r="S110">
        <v>5</v>
      </c>
      <c r="T110">
        <v>1</v>
      </c>
      <c r="U110">
        <v>1</v>
      </c>
      <c r="V110">
        <v>1</v>
      </c>
      <c r="W110" t="s">
        <v>38</v>
      </c>
      <c r="X110" s="1" t="d">
        <v>2020-06-09</v>
      </c>
      <c r="Z110" t="s">
        <v>39</v>
      </c>
      <c r="AA110" t="s">
        <v>40</v>
      </c>
      <c r="AB110">
        <v>1</v>
      </c>
      <c r="AC110">
        <v>3</v>
      </c>
      <c r="AD110" t="s">
        <v>41</v>
      </c>
      <c r="AE110" t="s">
        <v>60</v>
      </c>
      <c r="AF110" t="s">
        <v>57</v>
      </c>
      <c r="AG110">
        <f>IF(HR_Data[[#This Row],[Attrition]]="Yes",1,0)</f>
        <v>1</v>
      </c>
      <c r="AH110" t="str">
        <f>IF(HR_Data[Date_of_termination]="","Active","Left")</f>
        <v>Active</v>
      </c>
      <c r="AI110" t="str">
        <f>IF(HR_Data[YearsAtCompany]&lt;=2,"Fresher", IF(HR_Data[YearsAtCompany]&lt;=5,"Junior", IF(HR_Data[YearsAtCompany]&lt;=10, "Mid","Senior")))</f>
        <v>Fresher</v>
      </c>
      <c r="AJ110" s="2" t="str">
        <f>IF(HR_Data[MonthlyIncome]&lt;=300,"Low", IF(HR_Data[MonthlyIncome]&lt;=7000,"Medium", "High"))</f>
        <v>Medium</v>
      </c>
      <c r="AK110" s="2" t="str">
        <f>VLOOKUP(HR_Data[JobRole], JobRole_Map[], 2, FALSE)</f>
        <v>Technical</v>
      </c>
    </row>
    <row r="111" spans="1:37" x14ac:dyDescent="0.25">
      <c r="A111" s="2">
        <v>35</v>
      </c>
      <c r="B111" t="s">
        <v>41</v>
      </c>
      <c r="C111" t="s">
        <v>68</v>
      </c>
      <c r="D111" t="s">
        <v>34</v>
      </c>
      <c r="E111">
        <v>3</v>
      </c>
      <c r="F111" t="s">
        <v>35</v>
      </c>
      <c r="G111">
        <v>2</v>
      </c>
      <c r="H111">
        <v>1</v>
      </c>
      <c r="I111" t="s">
        <v>36</v>
      </c>
      <c r="J111">
        <v>3</v>
      </c>
      <c r="K111" t="s">
        <v>50</v>
      </c>
      <c r="L111">
        <v>1281</v>
      </c>
      <c r="M111">
        <v>1</v>
      </c>
      <c r="N111" t="s">
        <v>41</v>
      </c>
      <c r="O111">
        <v>18</v>
      </c>
      <c r="P111">
        <v>3</v>
      </c>
      <c r="Q111">
        <v>2</v>
      </c>
      <c r="R111">
        <v>1</v>
      </c>
      <c r="S111">
        <v>3</v>
      </c>
      <c r="T111">
        <v>1</v>
      </c>
      <c r="U111">
        <v>0</v>
      </c>
      <c r="V111">
        <v>0</v>
      </c>
      <c r="W111" t="s">
        <v>38</v>
      </c>
      <c r="X111" s="1" t="d">
        <v>2020-05-24</v>
      </c>
      <c r="Z111" t="s">
        <v>39</v>
      </c>
      <c r="AA111" t="s">
        <v>46</v>
      </c>
      <c r="AB111">
        <v>0</v>
      </c>
      <c r="AC111">
        <v>1</v>
      </c>
      <c r="AD111" t="s">
        <v>32</v>
      </c>
      <c r="AE111" t="s">
        <v>42</v>
      </c>
      <c r="AF111" t="s">
        <v>57</v>
      </c>
      <c r="AG111">
        <f>IF(HR_Data[[#This Row],[Attrition]]="Yes",1,0)</f>
        <v>0</v>
      </c>
      <c r="AH111" t="str">
        <f>IF(HR_Data[Date_of_termination]="","Active","Left")</f>
        <v>Active</v>
      </c>
      <c r="AI111" t="str">
        <f>IF(HR_Data[YearsAtCompany]&lt;=2,"Fresher", IF(HR_Data[YearsAtCompany]&lt;=5,"Junior", IF(HR_Data[YearsAtCompany]&lt;=10, "Mid","Senior")))</f>
        <v>Fresher</v>
      </c>
      <c r="AJ111" s="2" t="str">
        <f>IF(HR_Data[MonthlyIncome]&lt;=300,"Low", IF(HR_Data[MonthlyIncome]&lt;=7000,"Medium", "High"))</f>
        <v>Medium</v>
      </c>
      <c r="AK111" s="2" t="str">
        <f>VLOOKUP(HR_Data[JobRole], JobRole_Map[], 2, FALSE)</f>
        <v>Technical</v>
      </c>
    </row>
    <row r="112" spans="1:37" x14ac:dyDescent="0.25">
      <c r="A112" s="2">
        <v>37</v>
      </c>
      <c r="B112" t="s">
        <v>41</v>
      </c>
      <c r="C112" t="s">
        <v>33</v>
      </c>
      <c r="D112" t="s">
        <v>34</v>
      </c>
      <c r="E112">
        <v>10</v>
      </c>
      <c r="F112" t="s">
        <v>35</v>
      </c>
      <c r="G112">
        <v>4</v>
      </c>
      <c r="H112">
        <v>1</v>
      </c>
      <c r="I112" t="s">
        <v>44</v>
      </c>
      <c r="J112">
        <v>4</v>
      </c>
      <c r="K112" t="s">
        <v>37</v>
      </c>
      <c r="L112">
        <v>4680</v>
      </c>
      <c r="M112">
        <v>3</v>
      </c>
      <c r="N112" t="s">
        <v>41</v>
      </c>
      <c r="O112">
        <v>17</v>
      </c>
      <c r="P112">
        <v>3</v>
      </c>
      <c r="Q112">
        <v>0</v>
      </c>
      <c r="R112">
        <v>4</v>
      </c>
      <c r="S112">
        <v>2</v>
      </c>
      <c r="T112">
        <v>1</v>
      </c>
      <c r="U112">
        <v>0</v>
      </c>
      <c r="V112">
        <v>0</v>
      </c>
      <c r="W112" t="s">
        <v>38</v>
      </c>
      <c r="X112" s="1" t="d">
        <v>2020-04-04</v>
      </c>
      <c r="Z112" t="s">
        <v>45</v>
      </c>
      <c r="AA112" t="s">
        <v>46</v>
      </c>
      <c r="AB112">
        <v>5</v>
      </c>
      <c r="AC112">
        <v>3</v>
      </c>
      <c r="AD112" t="s">
        <v>32</v>
      </c>
      <c r="AE112" t="s">
        <v>47</v>
      </c>
      <c r="AF112" t="s">
        <v>57</v>
      </c>
      <c r="AG112">
        <f>IF(HR_Data[[#This Row],[Attrition]]="Yes",1,0)</f>
        <v>0</v>
      </c>
      <c r="AH112" t="str">
        <f>IF(HR_Data[Date_of_termination]="","Active","Left")</f>
        <v>Active</v>
      </c>
      <c r="AI112" t="str">
        <f>IF(HR_Data[YearsAtCompany]&lt;=2,"Fresher", IF(HR_Data[YearsAtCompany]&lt;=5,"Junior", IF(HR_Data[YearsAtCompany]&lt;=10, "Mid","Senior")))</f>
        <v>Fresher</v>
      </c>
      <c r="AJ112" s="2" t="str">
        <f>IF(HR_Data[MonthlyIncome]&lt;=300,"Low", IF(HR_Data[MonthlyIncome]&lt;=7000,"Medium", "High"))</f>
        <v>Medium</v>
      </c>
      <c r="AK112" s="2" t="str">
        <f>VLOOKUP(HR_Data[JobRole], JobRole_Map[], 2, FALSE)</f>
        <v>Technical</v>
      </c>
    </row>
    <row r="113" spans="1:37" x14ac:dyDescent="0.25">
      <c r="A113" s="2">
        <v>38</v>
      </c>
      <c r="B113" t="s">
        <v>41</v>
      </c>
      <c r="C113" t="s">
        <v>33</v>
      </c>
      <c r="D113" t="s">
        <v>34</v>
      </c>
      <c r="E113">
        <v>1</v>
      </c>
      <c r="F113" t="s">
        <v>58</v>
      </c>
      <c r="G113">
        <v>3</v>
      </c>
      <c r="H113">
        <v>3</v>
      </c>
      <c r="I113" t="s">
        <v>67</v>
      </c>
      <c r="J113">
        <v>3</v>
      </c>
      <c r="K113" t="s">
        <v>37</v>
      </c>
      <c r="L113">
        <v>7861</v>
      </c>
      <c r="M113">
        <v>4</v>
      </c>
      <c r="N113" t="s">
        <v>32</v>
      </c>
      <c r="O113">
        <v>14</v>
      </c>
      <c r="P113">
        <v>3</v>
      </c>
      <c r="Q113">
        <v>0</v>
      </c>
      <c r="R113">
        <v>10</v>
      </c>
      <c r="S113">
        <v>4</v>
      </c>
      <c r="T113">
        <v>1</v>
      </c>
      <c r="U113">
        <v>0</v>
      </c>
      <c r="V113">
        <v>0</v>
      </c>
      <c r="W113" t="s">
        <v>51</v>
      </c>
      <c r="X113" s="1" t="d">
        <v>2020-06-12</v>
      </c>
      <c r="Z113" t="s">
        <v>59</v>
      </c>
      <c r="AA113" t="s">
        <v>40</v>
      </c>
      <c r="AB113">
        <v>4</v>
      </c>
      <c r="AC113">
        <v>2</v>
      </c>
      <c r="AD113" t="s">
        <v>41</v>
      </c>
      <c r="AE113" t="s">
        <v>42</v>
      </c>
      <c r="AF113" t="s">
        <v>43</v>
      </c>
      <c r="AG113">
        <f>IF(HR_Data[[#This Row],[Attrition]]="Yes",1,0)</f>
        <v>0</v>
      </c>
      <c r="AH113" t="str">
        <f>IF(HR_Data[Date_of_termination]="","Active","Left")</f>
        <v>Active</v>
      </c>
      <c r="AI113" t="str">
        <f>IF(HR_Data[YearsAtCompany]&lt;=2,"Fresher", IF(HR_Data[YearsAtCompany]&lt;=5,"Junior", IF(HR_Data[YearsAtCompany]&lt;=10, "Mid","Senior")))</f>
        <v>Fresher</v>
      </c>
      <c r="AJ113" s="2" t="str">
        <f>IF(HR_Data[MonthlyIncome]&lt;=300,"Low", IF(HR_Data[MonthlyIncome]&lt;=7000,"Medium", "High"))</f>
        <v>High</v>
      </c>
      <c r="AK113" s="2" t="str">
        <f>VLOOKUP(HR_Data[JobRole], JobRole_Map[], 2, FALSE)</f>
        <v>Operations</v>
      </c>
    </row>
    <row r="114" spans="1:37" x14ac:dyDescent="0.25">
      <c r="A114" s="2">
        <v>29</v>
      </c>
      <c r="B114" t="s">
        <v>41</v>
      </c>
      <c r="C114" t="s">
        <v>33</v>
      </c>
      <c r="D114" t="s">
        <v>53</v>
      </c>
      <c r="E114">
        <v>10</v>
      </c>
      <c r="F114" t="s">
        <v>35</v>
      </c>
      <c r="G114">
        <v>3</v>
      </c>
      <c r="H114">
        <v>1</v>
      </c>
      <c r="I114" t="s">
        <v>54</v>
      </c>
      <c r="J114">
        <v>3</v>
      </c>
      <c r="K114" t="s">
        <v>37</v>
      </c>
      <c r="L114">
        <v>2642</v>
      </c>
      <c r="M114">
        <v>1</v>
      </c>
      <c r="N114" t="s">
        <v>41</v>
      </c>
      <c r="O114">
        <v>11</v>
      </c>
      <c r="P114">
        <v>3</v>
      </c>
      <c r="Q114">
        <v>0</v>
      </c>
      <c r="R114">
        <v>1</v>
      </c>
      <c r="S114">
        <v>6</v>
      </c>
      <c r="T114">
        <v>1</v>
      </c>
      <c r="U114">
        <v>0</v>
      </c>
      <c r="V114">
        <v>0</v>
      </c>
      <c r="W114" t="s">
        <v>65</v>
      </c>
      <c r="X114" s="1" t="d">
        <v>2020-04-14</v>
      </c>
      <c r="Z114" t="s">
        <v>39</v>
      </c>
      <c r="AA114" t="s">
        <v>46</v>
      </c>
      <c r="AB114">
        <v>5</v>
      </c>
      <c r="AC114">
        <v>2</v>
      </c>
      <c r="AD114" t="s">
        <v>41</v>
      </c>
      <c r="AE114" t="s">
        <v>42</v>
      </c>
      <c r="AF114" t="s">
        <v>43</v>
      </c>
      <c r="AG114">
        <f>IF(HR_Data[[#This Row],[Attrition]]="Yes",1,0)</f>
        <v>0</v>
      </c>
      <c r="AH114" t="str">
        <f>IF(HR_Data[Date_of_termination]="","Active","Left")</f>
        <v>Active</v>
      </c>
      <c r="AI114" t="str">
        <f>IF(HR_Data[YearsAtCompany]&lt;=2,"Fresher", IF(HR_Data[YearsAtCompany]&lt;=5,"Junior", IF(HR_Data[YearsAtCompany]&lt;=10, "Mid","Senior")))</f>
        <v>Fresher</v>
      </c>
      <c r="AJ114" s="2" t="str">
        <f>IF(HR_Data[MonthlyIncome]&lt;=300,"Low", IF(HR_Data[MonthlyIncome]&lt;=7000,"Medium", "High"))</f>
        <v>Medium</v>
      </c>
      <c r="AK114" s="2" t="str">
        <f>VLOOKUP(HR_Data[JobRole], JobRole_Map[], 2, FALSE)</f>
        <v>Sales</v>
      </c>
    </row>
    <row r="115" spans="1:37" x14ac:dyDescent="0.25">
      <c r="A115" s="2">
        <v>35</v>
      </c>
      <c r="B115" t="s">
        <v>41</v>
      </c>
      <c r="C115" t="s">
        <v>68</v>
      </c>
      <c r="D115" t="s">
        <v>34</v>
      </c>
      <c r="E115">
        <v>2</v>
      </c>
      <c r="F115" t="s">
        <v>58</v>
      </c>
      <c r="G115">
        <v>3</v>
      </c>
      <c r="H115">
        <v>2</v>
      </c>
      <c r="I115" t="s">
        <v>69</v>
      </c>
      <c r="J115">
        <v>1</v>
      </c>
      <c r="K115" t="s">
        <v>55</v>
      </c>
      <c r="L115">
        <v>5093</v>
      </c>
      <c r="M115">
        <v>2</v>
      </c>
      <c r="N115" t="s">
        <v>41</v>
      </c>
      <c r="O115">
        <v>11</v>
      </c>
      <c r="P115">
        <v>3</v>
      </c>
      <c r="Q115">
        <v>1</v>
      </c>
      <c r="R115">
        <v>16</v>
      </c>
      <c r="S115">
        <v>2</v>
      </c>
      <c r="T115">
        <v>1</v>
      </c>
      <c r="U115">
        <v>0</v>
      </c>
      <c r="V115">
        <v>0</v>
      </c>
      <c r="W115" t="s">
        <v>51</v>
      </c>
      <c r="X115" s="1" t="d">
        <v>2020-06-30</v>
      </c>
      <c r="Z115" t="s">
        <v>45</v>
      </c>
      <c r="AA115" t="s">
        <v>46</v>
      </c>
      <c r="AB115">
        <v>0</v>
      </c>
      <c r="AC115">
        <v>0</v>
      </c>
      <c r="AD115" t="s">
        <v>41</v>
      </c>
      <c r="AE115" t="s">
        <v>62</v>
      </c>
      <c r="AF115" t="s">
        <v>48</v>
      </c>
      <c r="AG115">
        <f>IF(HR_Data[[#This Row],[Attrition]]="Yes",1,0)</f>
        <v>0</v>
      </c>
      <c r="AH115" t="str">
        <f>IF(HR_Data[Date_of_termination]="","Active","Left")</f>
        <v>Active</v>
      </c>
      <c r="AI115" t="str">
        <f>IF(HR_Data[YearsAtCompany]&lt;=2,"Fresher", IF(HR_Data[YearsAtCompany]&lt;=5,"Junior", IF(HR_Data[YearsAtCompany]&lt;=10, "Mid","Senior")))</f>
        <v>Fresher</v>
      </c>
      <c r="AJ115" s="2" t="str">
        <f>IF(HR_Data[MonthlyIncome]&lt;=300,"Low", IF(HR_Data[MonthlyIncome]&lt;=7000,"Medium", "High"))</f>
        <v>Medium</v>
      </c>
      <c r="AK115" s="2" t="str">
        <f>VLOOKUP(HR_Data[JobRole], JobRole_Map[], 2, FALSE)</f>
        <v>Operations</v>
      </c>
    </row>
    <row r="116" spans="1:37" x14ac:dyDescent="0.25">
      <c r="A116" s="2">
        <v>38</v>
      </c>
      <c r="B116" t="s">
        <v>41</v>
      </c>
      <c r="C116" t="s">
        <v>33</v>
      </c>
      <c r="D116" t="s">
        <v>34</v>
      </c>
      <c r="E116">
        <v>2</v>
      </c>
      <c r="F116" t="s">
        <v>35</v>
      </c>
      <c r="G116">
        <v>3</v>
      </c>
      <c r="H116">
        <v>1</v>
      </c>
      <c r="I116" t="s">
        <v>44</v>
      </c>
      <c r="J116">
        <v>3</v>
      </c>
      <c r="K116" t="s">
        <v>50</v>
      </c>
      <c r="L116">
        <v>3057</v>
      </c>
      <c r="M116">
        <v>6</v>
      </c>
      <c r="N116" t="s">
        <v>32</v>
      </c>
      <c r="O116">
        <v>13</v>
      </c>
      <c r="P116">
        <v>3</v>
      </c>
      <c r="Q116">
        <v>1</v>
      </c>
      <c r="R116">
        <v>6</v>
      </c>
      <c r="S116">
        <v>0</v>
      </c>
      <c r="T116">
        <v>1</v>
      </c>
      <c r="U116">
        <v>0</v>
      </c>
      <c r="V116">
        <v>1</v>
      </c>
      <c r="W116" t="s">
        <v>51</v>
      </c>
      <c r="X116" s="1" t="d">
        <v>2020-04-04</v>
      </c>
      <c r="Z116" t="s">
        <v>59</v>
      </c>
      <c r="AA116" t="s">
        <v>40</v>
      </c>
      <c r="AB116">
        <v>1</v>
      </c>
      <c r="AC116">
        <v>0</v>
      </c>
      <c r="AD116" t="s">
        <v>41</v>
      </c>
      <c r="AE116" t="s">
        <v>62</v>
      </c>
      <c r="AF116" t="s">
        <v>57</v>
      </c>
      <c r="AG116">
        <f>IF(HR_Data[[#This Row],[Attrition]]="Yes",1,0)</f>
        <v>0</v>
      </c>
      <c r="AH116" t="str">
        <f>IF(HR_Data[Date_of_termination]="","Active","Left")</f>
        <v>Active</v>
      </c>
      <c r="AI116" t="str">
        <f>IF(HR_Data[YearsAtCompany]&lt;=2,"Fresher", IF(HR_Data[YearsAtCompany]&lt;=5,"Junior", IF(HR_Data[YearsAtCompany]&lt;=10, "Mid","Senior")))</f>
        <v>Fresher</v>
      </c>
      <c r="AJ116" s="2" t="str">
        <f>IF(HR_Data[MonthlyIncome]&lt;=300,"Low", IF(HR_Data[MonthlyIncome]&lt;=7000,"Medium", "High"))</f>
        <v>Medium</v>
      </c>
      <c r="AK116" s="2" t="str">
        <f>VLOOKUP(HR_Data[JobRole], JobRole_Map[], 2, FALSE)</f>
        <v>Technical</v>
      </c>
    </row>
    <row r="117" spans="1:37" x14ac:dyDescent="0.25">
      <c r="A117" s="2">
        <v>24</v>
      </c>
      <c r="B117" t="s">
        <v>41</v>
      </c>
      <c r="C117" t="s">
        <v>68</v>
      </c>
      <c r="D117" t="s">
        <v>34</v>
      </c>
      <c r="E117">
        <v>9</v>
      </c>
      <c r="F117" t="s">
        <v>35</v>
      </c>
      <c r="G117">
        <v>2</v>
      </c>
      <c r="H117">
        <v>1</v>
      </c>
      <c r="I117" t="s">
        <v>36</v>
      </c>
      <c r="J117">
        <v>2</v>
      </c>
      <c r="K117" t="s">
        <v>55</v>
      </c>
      <c r="L117">
        <v>2694</v>
      </c>
      <c r="M117">
        <v>1</v>
      </c>
      <c r="N117" t="s">
        <v>41</v>
      </c>
      <c r="O117">
        <v>11</v>
      </c>
      <c r="P117">
        <v>3</v>
      </c>
      <c r="Q117">
        <v>3</v>
      </c>
      <c r="R117">
        <v>1</v>
      </c>
      <c r="S117">
        <v>4</v>
      </c>
      <c r="T117">
        <v>1</v>
      </c>
      <c r="U117">
        <v>0</v>
      </c>
      <c r="V117">
        <v>0</v>
      </c>
      <c r="W117" t="s">
        <v>38</v>
      </c>
      <c r="X117" s="1" t="d">
        <v>2020-06-10</v>
      </c>
      <c r="Z117" t="s">
        <v>63</v>
      </c>
      <c r="AA117" t="s">
        <v>40</v>
      </c>
      <c r="AB117">
        <v>3</v>
      </c>
      <c r="AC117">
        <v>2</v>
      </c>
      <c r="AD117" t="s">
        <v>41</v>
      </c>
      <c r="AE117" t="s">
        <v>42</v>
      </c>
      <c r="AF117" t="s">
        <v>48</v>
      </c>
      <c r="AG117">
        <f>IF(HR_Data[[#This Row],[Attrition]]="Yes",1,0)</f>
        <v>0</v>
      </c>
      <c r="AH117" t="str">
        <f>IF(HR_Data[Date_of_termination]="","Active","Left")</f>
        <v>Active</v>
      </c>
      <c r="AI117" t="str">
        <f>IF(HR_Data[YearsAtCompany]&lt;=2,"Fresher", IF(HR_Data[YearsAtCompany]&lt;=5,"Junior", IF(HR_Data[YearsAtCompany]&lt;=10, "Mid","Senior")))</f>
        <v>Fresher</v>
      </c>
      <c r="AJ117" s="2" t="str">
        <f>IF(HR_Data[MonthlyIncome]&lt;=300,"Low", IF(HR_Data[MonthlyIncome]&lt;=7000,"Medium", "High"))</f>
        <v>Medium</v>
      </c>
      <c r="AK117" s="2" t="str">
        <f>VLOOKUP(HR_Data[JobRole], JobRole_Map[], 2, FALSE)</f>
        <v>Technical</v>
      </c>
    </row>
    <row r="118" spans="1:37" x14ac:dyDescent="0.25">
      <c r="A118" s="2">
        <v>29</v>
      </c>
      <c r="B118" t="s">
        <v>32</v>
      </c>
      <c r="C118" t="s">
        <v>33</v>
      </c>
      <c r="D118" t="s">
        <v>34</v>
      </c>
      <c r="E118">
        <v>1</v>
      </c>
      <c r="F118" t="s">
        <v>58</v>
      </c>
      <c r="G118">
        <v>2</v>
      </c>
      <c r="H118">
        <v>1</v>
      </c>
      <c r="I118" t="s">
        <v>36</v>
      </c>
      <c r="J118">
        <v>1</v>
      </c>
      <c r="K118" t="s">
        <v>50</v>
      </c>
      <c r="L118">
        <v>2319</v>
      </c>
      <c r="M118">
        <v>1</v>
      </c>
      <c r="N118" t="s">
        <v>32</v>
      </c>
      <c r="O118">
        <v>11</v>
      </c>
      <c r="P118">
        <v>3</v>
      </c>
      <c r="Q118">
        <v>1</v>
      </c>
      <c r="R118">
        <v>1</v>
      </c>
      <c r="S118">
        <v>1</v>
      </c>
      <c r="T118">
        <v>1</v>
      </c>
      <c r="U118">
        <v>0</v>
      </c>
      <c r="V118">
        <v>0</v>
      </c>
      <c r="W118" t="s">
        <v>51</v>
      </c>
      <c r="X118" s="1" t="d">
        <v>2020-04-13</v>
      </c>
      <c r="Z118" t="s">
        <v>39</v>
      </c>
      <c r="AA118" t="s">
        <v>40</v>
      </c>
      <c r="AB118">
        <v>3</v>
      </c>
      <c r="AC118">
        <v>1</v>
      </c>
      <c r="AD118" t="s">
        <v>41</v>
      </c>
      <c r="AE118" t="s">
        <v>62</v>
      </c>
      <c r="AF118" t="s">
        <v>48</v>
      </c>
      <c r="AG118">
        <f>IF(HR_Data[[#This Row],[Attrition]]="Yes",1,0)</f>
        <v>1</v>
      </c>
      <c r="AH118" t="str">
        <f>IF(HR_Data[Date_of_termination]="","Active","Left")</f>
        <v>Active</v>
      </c>
      <c r="AI118" t="str">
        <f>IF(HR_Data[YearsAtCompany]&lt;=2,"Fresher", IF(HR_Data[YearsAtCompany]&lt;=5,"Junior", IF(HR_Data[YearsAtCompany]&lt;=10, "Mid","Senior")))</f>
        <v>Fresher</v>
      </c>
      <c r="AJ118" s="2" t="str">
        <f>IF(HR_Data[MonthlyIncome]&lt;=300,"Low", IF(HR_Data[MonthlyIncome]&lt;=7000,"Medium", "High"))</f>
        <v>Medium</v>
      </c>
      <c r="AK118" s="2" t="str">
        <f>VLOOKUP(HR_Data[JobRole], JobRole_Map[], 2, FALSE)</f>
        <v>Technical</v>
      </c>
    </row>
    <row r="119" spans="1:37" x14ac:dyDescent="0.25">
      <c r="A119" s="2">
        <v>40</v>
      </c>
      <c r="B119" t="s">
        <v>41</v>
      </c>
      <c r="C119" t="s">
        <v>61</v>
      </c>
      <c r="D119" t="s">
        <v>34</v>
      </c>
      <c r="E119">
        <v>16</v>
      </c>
      <c r="F119" t="s">
        <v>35</v>
      </c>
      <c r="G119">
        <v>2</v>
      </c>
      <c r="H119">
        <v>2</v>
      </c>
      <c r="I119" t="s">
        <v>36</v>
      </c>
      <c r="J119">
        <v>3</v>
      </c>
      <c r="K119" t="s">
        <v>37</v>
      </c>
      <c r="L119">
        <v>5094</v>
      </c>
      <c r="M119">
        <v>6</v>
      </c>
      <c r="N119" t="s">
        <v>41</v>
      </c>
      <c r="O119">
        <v>14</v>
      </c>
      <c r="P119">
        <v>3</v>
      </c>
      <c r="Q119">
        <v>0</v>
      </c>
      <c r="R119">
        <v>10</v>
      </c>
      <c r="S119">
        <v>6</v>
      </c>
      <c r="T119">
        <v>1</v>
      </c>
      <c r="U119">
        <v>0</v>
      </c>
      <c r="V119">
        <v>0</v>
      </c>
      <c r="W119" t="s">
        <v>65</v>
      </c>
      <c r="X119" s="1" t="d">
        <v>2020-01-26</v>
      </c>
      <c r="Z119" t="s">
        <v>52</v>
      </c>
      <c r="AA119" t="s">
        <v>40</v>
      </c>
      <c r="AB119">
        <v>2</v>
      </c>
      <c r="AC119">
        <v>2</v>
      </c>
      <c r="AD119" t="s">
        <v>32</v>
      </c>
      <c r="AE119" t="s">
        <v>47</v>
      </c>
      <c r="AF119" t="s">
        <v>48</v>
      </c>
      <c r="AG119">
        <f>IF(HR_Data[[#This Row],[Attrition]]="Yes",1,0)</f>
        <v>0</v>
      </c>
      <c r="AH119" t="str">
        <f>IF(HR_Data[Date_of_termination]="","Active","Left")</f>
        <v>Active</v>
      </c>
      <c r="AI119" t="str">
        <f>IF(HR_Data[YearsAtCompany]&lt;=2,"Fresher", IF(HR_Data[YearsAtCompany]&lt;=5,"Junior", IF(HR_Data[YearsAtCompany]&lt;=10, "Mid","Senior")))</f>
        <v>Fresher</v>
      </c>
      <c r="AJ119" s="2" t="str">
        <f>IF(HR_Data[MonthlyIncome]&lt;=300,"Low", IF(HR_Data[MonthlyIncome]&lt;=7000,"Medium", "High"))</f>
        <v>Medium</v>
      </c>
      <c r="AK119" s="2" t="str">
        <f>VLOOKUP(HR_Data[JobRole], JobRole_Map[], 2, FALSE)</f>
        <v>Technical</v>
      </c>
    </row>
    <row r="120" spans="1:37" x14ac:dyDescent="0.25">
      <c r="A120" s="2">
        <v>45</v>
      </c>
      <c r="B120" t="s">
        <v>41</v>
      </c>
      <c r="C120" t="s">
        <v>33</v>
      </c>
      <c r="D120" t="s">
        <v>34</v>
      </c>
      <c r="E120">
        <v>2</v>
      </c>
      <c r="F120" t="s">
        <v>58</v>
      </c>
      <c r="G120">
        <v>2</v>
      </c>
      <c r="H120">
        <v>1</v>
      </c>
      <c r="I120" t="s">
        <v>44</v>
      </c>
      <c r="J120">
        <v>3</v>
      </c>
      <c r="K120" t="s">
        <v>37</v>
      </c>
      <c r="L120">
        <v>2274</v>
      </c>
      <c r="M120">
        <v>1</v>
      </c>
      <c r="N120" t="s">
        <v>41</v>
      </c>
      <c r="O120">
        <v>14</v>
      </c>
      <c r="P120">
        <v>3</v>
      </c>
      <c r="Q120">
        <v>0</v>
      </c>
      <c r="R120">
        <v>1</v>
      </c>
      <c r="S120">
        <v>3</v>
      </c>
      <c r="T120">
        <v>1</v>
      </c>
      <c r="U120">
        <v>0</v>
      </c>
      <c r="V120">
        <v>0</v>
      </c>
      <c r="W120" t="s">
        <v>51</v>
      </c>
      <c r="X120" s="1" t="d">
        <v>2020-06-04</v>
      </c>
      <c r="Z120" t="s">
        <v>52</v>
      </c>
      <c r="AA120" t="s">
        <v>40</v>
      </c>
      <c r="AB120">
        <v>4</v>
      </c>
      <c r="AC120">
        <v>3</v>
      </c>
      <c r="AD120" t="s">
        <v>32</v>
      </c>
      <c r="AE120" t="s">
        <v>62</v>
      </c>
      <c r="AF120" t="s">
        <v>43</v>
      </c>
      <c r="AG120">
        <f>IF(HR_Data[[#This Row],[Attrition]]="Yes",1,0)</f>
        <v>0</v>
      </c>
      <c r="AH120" t="str">
        <f>IF(HR_Data[Date_of_termination]="","Active","Left")</f>
        <v>Active</v>
      </c>
      <c r="AI120" t="str">
        <f>IF(HR_Data[YearsAtCompany]&lt;=2,"Fresher", IF(HR_Data[YearsAtCompany]&lt;=5,"Junior", IF(HR_Data[YearsAtCompany]&lt;=10, "Mid","Senior")))</f>
        <v>Fresher</v>
      </c>
      <c r="AJ120" s="2" t="str">
        <f>IF(HR_Data[MonthlyIncome]&lt;=300,"Low", IF(HR_Data[MonthlyIncome]&lt;=7000,"Medium", "High"))</f>
        <v>Medium</v>
      </c>
      <c r="AK120" s="2" t="str">
        <f>VLOOKUP(HR_Data[JobRole], JobRole_Map[], 2, FALSE)</f>
        <v>Technical</v>
      </c>
    </row>
    <row r="121" spans="1:37" x14ac:dyDescent="0.25">
      <c r="A121" s="2">
        <v>37</v>
      </c>
      <c r="B121" t="s">
        <v>41</v>
      </c>
      <c r="C121" t="s">
        <v>33</v>
      </c>
      <c r="D121" t="s">
        <v>53</v>
      </c>
      <c r="E121">
        <v>16</v>
      </c>
      <c r="F121" t="s">
        <v>35</v>
      </c>
      <c r="G121">
        <v>2</v>
      </c>
      <c r="H121">
        <v>2</v>
      </c>
      <c r="I121" t="s">
        <v>64</v>
      </c>
      <c r="J121">
        <v>3</v>
      </c>
      <c r="K121" t="s">
        <v>55</v>
      </c>
      <c r="L121">
        <v>6334</v>
      </c>
      <c r="M121">
        <v>4</v>
      </c>
      <c r="N121" t="s">
        <v>41</v>
      </c>
      <c r="O121">
        <v>19</v>
      </c>
      <c r="P121">
        <v>3</v>
      </c>
      <c r="Q121">
        <v>2</v>
      </c>
      <c r="R121">
        <v>9</v>
      </c>
      <c r="S121">
        <v>2</v>
      </c>
      <c r="T121">
        <v>1</v>
      </c>
      <c r="U121">
        <v>0</v>
      </c>
      <c r="V121">
        <v>0</v>
      </c>
      <c r="W121" t="s">
        <v>65</v>
      </c>
      <c r="X121" s="1" t="d">
        <v>2020-01-08</v>
      </c>
      <c r="Z121" t="s">
        <v>45</v>
      </c>
      <c r="AA121" t="s">
        <v>40</v>
      </c>
      <c r="AB121">
        <v>0</v>
      </c>
      <c r="AC121">
        <v>0</v>
      </c>
      <c r="AD121" t="s">
        <v>41</v>
      </c>
      <c r="AE121" t="s">
        <v>62</v>
      </c>
      <c r="AF121" t="s">
        <v>48</v>
      </c>
      <c r="AG121">
        <f>IF(HR_Data[[#This Row],[Attrition]]="Yes",1,0)</f>
        <v>0</v>
      </c>
      <c r="AH121" t="str">
        <f>IF(HR_Data[Date_of_termination]="","Active","Left")</f>
        <v>Active</v>
      </c>
      <c r="AI121" t="str">
        <f>IF(HR_Data[YearsAtCompany]&lt;=2,"Fresher", IF(HR_Data[YearsAtCompany]&lt;=5,"Junior", IF(HR_Data[YearsAtCompany]&lt;=10, "Mid","Senior")))</f>
        <v>Fresher</v>
      </c>
      <c r="AJ121" s="2" t="str">
        <f>IF(HR_Data[MonthlyIncome]&lt;=300,"Low", IF(HR_Data[MonthlyIncome]&lt;=7000,"Medium", "High"))</f>
        <v>Medium</v>
      </c>
      <c r="AK121" s="2" t="str">
        <f>VLOOKUP(HR_Data[JobRole], JobRole_Map[], 2, FALSE)</f>
        <v>Sales</v>
      </c>
    </row>
    <row r="122" spans="1:37" x14ac:dyDescent="0.25">
      <c r="A122" s="2">
        <v>32</v>
      </c>
      <c r="B122" t="s">
        <v>32</v>
      </c>
      <c r="C122" t="s">
        <v>33</v>
      </c>
      <c r="D122" t="s">
        <v>34</v>
      </c>
      <c r="E122">
        <v>25</v>
      </c>
      <c r="F122" t="s">
        <v>35</v>
      </c>
      <c r="G122">
        <v>3</v>
      </c>
      <c r="H122">
        <v>1</v>
      </c>
      <c r="I122" t="s">
        <v>36</v>
      </c>
      <c r="J122">
        <v>4</v>
      </c>
      <c r="K122" t="s">
        <v>37</v>
      </c>
      <c r="L122">
        <v>2795</v>
      </c>
      <c r="M122">
        <v>1</v>
      </c>
      <c r="N122" t="s">
        <v>32</v>
      </c>
      <c r="O122">
        <v>24</v>
      </c>
      <c r="P122">
        <v>4</v>
      </c>
      <c r="Q122">
        <v>0</v>
      </c>
      <c r="R122">
        <v>1</v>
      </c>
      <c r="S122">
        <v>2</v>
      </c>
      <c r="T122">
        <v>1</v>
      </c>
      <c r="U122">
        <v>0</v>
      </c>
      <c r="V122">
        <v>1</v>
      </c>
      <c r="W122" t="s">
        <v>65</v>
      </c>
      <c r="X122" s="1" t="d">
        <v>2020-04-30</v>
      </c>
      <c r="Z122" t="s">
        <v>45</v>
      </c>
      <c r="AA122" t="s">
        <v>46</v>
      </c>
      <c r="AB122">
        <v>2</v>
      </c>
      <c r="AC122">
        <v>1</v>
      </c>
      <c r="AD122" t="s">
        <v>32</v>
      </c>
      <c r="AE122" t="s">
        <v>60</v>
      </c>
      <c r="AF122" t="s">
        <v>48</v>
      </c>
      <c r="AG122">
        <f>IF(HR_Data[[#This Row],[Attrition]]="Yes",1,0)</f>
        <v>1</v>
      </c>
      <c r="AH122" t="str">
        <f>IF(HR_Data[Date_of_termination]="","Active","Left")</f>
        <v>Active</v>
      </c>
      <c r="AI122" t="str">
        <f>IF(HR_Data[YearsAtCompany]&lt;=2,"Fresher", IF(HR_Data[YearsAtCompany]&lt;=5,"Junior", IF(HR_Data[YearsAtCompany]&lt;=10, "Mid","Senior")))</f>
        <v>Fresher</v>
      </c>
      <c r="AJ122" s="2" t="str">
        <f>IF(HR_Data[MonthlyIncome]&lt;=300,"Low", IF(HR_Data[MonthlyIncome]&lt;=7000,"Medium", "High"))</f>
        <v>Medium</v>
      </c>
      <c r="AK122" s="2" t="str">
        <f>VLOOKUP(HR_Data[JobRole], JobRole_Map[], 2, FALSE)</f>
        <v>Technical</v>
      </c>
    </row>
    <row r="123" spans="1:37" x14ac:dyDescent="0.25">
      <c r="A123" s="2">
        <v>58</v>
      </c>
      <c r="B123" t="s">
        <v>32</v>
      </c>
      <c r="C123" t="s">
        <v>61</v>
      </c>
      <c r="D123" t="s">
        <v>34</v>
      </c>
      <c r="E123">
        <v>2</v>
      </c>
      <c r="F123" t="s">
        <v>35</v>
      </c>
      <c r="G123">
        <v>2</v>
      </c>
      <c r="H123">
        <v>1</v>
      </c>
      <c r="I123" t="s">
        <v>36</v>
      </c>
      <c r="J123">
        <v>4</v>
      </c>
      <c r="K123" t="s">
        <v>55</v>
      </c>
      <c r="L123">
        <v>2380</v>
      </c>
      <c r="M123">
        <v>9</v>
      </c>
      <c r="N123" t="s">
        <v>32</v>
      </c>
      <c r="O123">
        <v>14</v>
      </c>
      <c r="P123">
        <v>3</v>
      </c>
      <c r="Q123">
        <v>1</v>
      </c>
      <c r="R123">
        <v>3</v>
      </c>
      <c r="S123">
        <v>3</v>
      </c>
      <c r="T123">
        <v>1</v>
      </c>
      <c r="U123">
        <v>0</v>
      </c>
      <c r="V123">
        <v>0</v>
      </c>
      <c r="W123" t="s">
        <v>56</v>
      </c>
      <c r="X123" s="1" t="d">
        <v>2020-06-08</v>
      </c>
      <c r="Z123" t="s">
        <v>59</v>
      </c>
      <c r="AA123" t="s">
        <v>40</v>
      </c>
      <c r="AB123">
        <v>0</v>
      </c>
      <c r="AC123">
        <v>2</v>
      </c>
      <c r="AD123" t="s">
        <v>32</v>
      </c>
      <c r="AE123" t="s">
        <v>47</v>
      </c>
      <c r="AF123" t="s">
        <v>43</v>
      </c>
      <c r="AG123">
        <f>IF(HR_Data[[#This Row],[Attrition]]="Yes",1,0)</f>
        <v>1</v>
      </c>
      <c r="AH123" t="str">
        <f>IF(HR_Data[Date_of_termination]="","Active","Left")</f>
        <v>Active</v>
      </c>
      <c r="AI123" t="str">
        <f>IF(HR_Data[YearsAtCompany]&lt;=2,"Fresher", IF(HR_Data[YearsAtCompany]&lt;=5,"Junior", IF(HR_Data[YearsAtCompany]&lt;=10, "Mid","Senior")))</f>
        <v>Fresher</v>
      </c>
      <c r="AJ123" s="2" t="str">
        <f>IF(HR_Data[MonthlyIncome]&lt;=300,"Low", IF(HR_Data[MonthlyIncome]&lt;=7000,"Medium", "High"))</f>
        <v>Medium</v>
      </c>
      <c r="AK123" s="2" t="str">
        <f>VLOOKUP(HR_Data[JobRole], JobRole_Map[], 2, FALSE)</f>
        <v>Technical</v>
      </c>
    </row>
    <row r="124" spans="1:37" x14ac:dyDescent="0.25">
      <c r="A124" s="2">
        <v>43</v>
      </c>
      <c r="B124" t="s">
        <v>41</v>
      </c>
      <c r="C124" t="s">
        <v>33</v>
      </c>
      <c r="D124" t="s">
        <v>34</v>
      </c>
      <c r="E124">
        <v>8</v>
      </c>
      <c r="F124" t="s">
        <v>58</v>
      </c>
      <c r="G124">
        <v>3</v>
      </c>
      <c r="H124">
        <v>2</v>
      </c>
      <c r="I124" t="s">
        <v>67</v>
      </c>
      <c r="J124">
        <v>2</v>
      </c>
      <c r="K124" t="s">
        <v>55</v>
      </c>
      <c r="L124">
        <v>4765</v>
      </c>
      <c r="M124">
        <v>4</v>
      </c>
      <c r="N124" t="s">
        <v>41</v>
      </c>
      <c r="O124">
        <v>21</v>
      </c>
      <c r="P124">
        <v>4</v>
      </c>
      <c r="Q124">
        <v>1</v>
      </c>
      <c r="R124">
        <v>4</v>
      </c>
      <c r="S124">
        <v>2</v>
      </c>
      <c r="T124">
        <v>1</v>
      </c>
      <c r="U124">
        <v>0</v>
      </c>
      <c r="V124">
        <v>0</v>
      </c>
      <c r="W124" t="s">
        <v>51</v>
      </c>
      <c r="X124" s="1" t="d">
        <v>2020-02-02</v>
      </c>
      <c r="Z124" t="s">
        <v>59</v>
      </c>
      <c r="AA124" t="s">
        <v>40</v>
      </c>
      <c r="AB124">
        <v>3</v>
      </c>
      <c r="AC124">
        <v>3</v>
      </c>
      <c r="AD124" t="s">
        <v>41</v>
      </c>
      <c r="AE124" t="s">
        <v>60</v>
      </c>
      <c r="AF124" t="s">
        <v>57</v>
      </c>
      <c r="AG124">
        <f>IF(HR_Data[[#This Row],[Attrition]]="Yes",1,0)</f>
        <v>0</v>
      </c>
      <c r="AH124" t="str">
        <f>IF(HR_Data[Date_of_termination]="","Active","Left")</f>
        <v>Active</v>
      </c>
      <c r="AI124" t="str">
        <f>IF(HR_Data[YearsAtCompany]&lt;=2,"Fresher", IF(HR_Data[YearsAtCompany]&lt;=5,"Junior", IF(HR_Data[YearsAtCompany]&lt;=10, "Mid","Senior")))</f>
        <v>Fresher</v>
      </c>
      <c r="AJ124" s="2" t="str">
        <f>IF(HR_Data[MonthlyIncome]&lt;=300,"Low", IF(HR_Data[MonthlyIncome]&lt;=7000,"Medium", "High"))</f>
        <v>Medium</v>
      </c>
      <c r="AK124" s="2" t="str">
        <f>VLOOKUP(HR_Data[JobRole], JobRole_Map[], 2, FALSE)</f>
        <v>Operations</v>
      </c>
    </row>
    <row r="125" spans="1:37" x14ac:dyDescent="0.25">
      <c r="A125" s="2">
        <v>21</v>
      </c>
      <c r="B125" t="s">
        <v>32</v>
      </c>
      <c r="C125" t="s">
        <v>33</v>
      </c>
      <c r="D125" t="s">
        <v>34</v>
      </c>
      <c r="E125">
        <v>18</v>
      </c>
      <c r="F125" t="s">
        <v>58</v>
      </c>
      <c r="G125">
        <v>3</v>
      </c>
      <c r="H125">
        <v>1</v>
      </c>
      <c r="I125" t="s">
        <v>44</v>
      </c>
      <c r="J125">
        <v>4</v>
      </c>
      <c r="K125" t="s">
        <v>37</v>
      </c>
      <c r="L125">
        <v>2693</v>
      </c>
      <c r="M125">
        <v>1</v>
      </c>
      <c r="N125" t="s">
        <v>41</v>
      </c>
      <c r="O125">
        <v>19</v>
      </c>
      <c r="P125">
        <v>3</v>
      </c>
      <c r="Q125">
        <v>0</v>
      </c>
      <c r="R125">
        <v>1</v>
      </c>
      <c r="S125">
        <v>3</v>
      </c>
      <c r="T125">
        <v>1</v>
      </c>
      <c r="U125">
        <v>0</v>
      </c>
      <c r="V125">
        <v>0</v>
      </c>
      <c r="W125" t="s">
        <v>51</v>
      </c>
      <c r="X125" s="1" t="d">
        <v>2020-06-08</v>
      </c>
      <c r="Z125" t="s">
        <v>63</v>
      </c>
      <c r="AA125" t="s">
        <v>46</v>
      </c>
      <c r="AB125">
        <v>4</v>
      </c>
      <c r="AC125">
        <v>0</v>
      </c>
      <c r="AD125" t="s">
        <v>41</v>
      </c>
      <c r="AE125" t="s">
        <v>62</v>
      </c>
      <c r="AF125" t="s">
        <v>48</v>
      </c>
      <c r="AG125">
        <f>IF(HR_Data[[#This Row],[Attrition]]="Yes",1,0)</f>
        <v>1</v>
      </c>
      <c r="AH125" t="str">
        <f>IF(HR_Data[Date_of_termination]="","Active","Left")</f>
        <v>Active</v>
      </c>
      <c r="AI125" t="str">
        <f>IF(HR_Data[YearsAtCompany]&lt;=2,"Fresher", IF(HR_Data[YearsAtCompany]&lt;=5,"Junior", IF(HR_Data[YearsAtCompany]&lt;=10, "Mid","Senior")))</f>
        <v>Fresher</v>
      </c>
      <c r="AJ125" s="2" t="str">
        <f>IF(HR_Data[MonthlyIncome]&lt;=300,"Low", IF(HR_Data[MonthlyIncome]&lt;=7000,"Medium", "High"))</f>
        <v>Medium</v>
      </c>
      <c r="AK125" s="2" t="str">
        <f>VLOOKUP(HR_Data[JobRole], JobRole_Map[], 2, FALSE)</f>
        <v>Technical</v>
      </c>
    </row>
    <row r="126" spans="1:37" x14ac:dyDescent="0.25">
      <c r="A126" s="2">
        <v>27</v>
      </c>
      <c r="B126" t="s">
        <v>41</v>
      </c>
      <c r="C126" t="s">
        <v>33</v>
      </c>
      <c r="D126" t="s">
        <v>34</v>
      </c>
      <c r="E126">
        <v>4</v>
      </c>
      <c r="F126" t="s">
        <v>58</v>
      </c>
      <c r="G126">
        <v>3</v>
      </c>
      <c r="H126">
        <v>1</v>
      </c>
      <c r="I126" t="s">
        <v>44</v>
      </c>
      <c r="J126">
        <v>3</v>
      </c>
      <c r="K126" t="s">
        <v>37</v>
      </c>
      <c r="L126">
        <v>2318</v>
      </c>
      <c r="M126">
        <v>1</v>
      </c>
      <c r="N126" t="s">
        <v>41</v>
      </c>
      <c r="O126">
        <v>19</v>
      </c>
      <c r="P126">
        <v>3</v>
      </c>
      <c r="Q126">
        <v>0</v>
      </c>
      <c r="R126">
        <v>1</v>
      </c>
      <c r="S126">
        <v>2</v>
      </c>
      <c r="T126">
        <v>1</v>
      </c>
      <c r="U126">
        <v>0</v>
      </c>
      <c r="V126">
        <v>0</v>
      </c>
      <c r="W126" t="s">
        <v>65</v>
      </c>
      <c r="X126" s="1" t="d">
        <v>2020-04-26</v>
      </c>
      <c r="Z126" t="s">
        <v>59</v>
      </c>
      <c r="AA126" t="s">
        <v>40</v>
      </c>
      <c r="AB126">
        <v>4</v>
      </c>
      <c r="AC126">
        <v>3</v>
      </c>
      <c r="AD126" t="s">
        <v>32</v>
      </c>
      <c r="AE126" t="s">
        <v>60</v>
      </c>
      <c r="AF126" t="s">
        <v>57</v>
      </c>
      <c r="AG126">
        <f>IF(HR_Data[[#This Row],[Attrition]]="Yes",1,0)</f>
        <v>0</v>
      </c>
      <c r="AH126" t="str">
        <f>IF(HR_Data[Date_of_termination]="","Active","Left")</f>
        <v>Active</v>
      </c>
      <c r="AI126" t="str">
        <f>IF(HR_Data[YearsAtCompany]&lt;=2,"Fresher", IF(HR_Data[YearsAtCompany]&lt;=5,"Junior", IF(HR_Data[YearsAtCompany]&lt;=10, "Mid","Senior")))</f>
        <v>Fresher</v>
      </c>
      <c r="AJ126" s="2" t="str">
        <f>IF(HR_Data[MonthlyIncome]&lt;=300,"Low", IF(HR_Data[MonthlyIncome]&lt;=7000,"Medium", "High"))</f>
        <v>Medium</v>
      </c>
      <c r="AK126" s="2" t="str">
        <f>VLOOKUP(HR_Data[JobRole], JobRole_Map[], 2, FALSE)</f>
        <v>Technical</v>
      </c>
    </row>
    <row r="127" spans="1:37" x14ac:dyDescent="0.25">
      <c r="A127" s="2">
        <v>34</v>
      </c>
      <c r="B127" t="s">
        <v>41</v>
      </c>
      <c r="C127" t="s">
        <v>33</v>
      </c>
      <c r="D127" t="s">
        <v>34</v>
      </c>
      <c r="E127">
        <v>10</v>
      </c>
      <c r="F127" t="s">
        <v>35</v>
      </c>
      <c r="G127">
        <v>3</v>
      </c>
      <c r="H127">
        <v>1</v>
      </c>
      <c r="I127" t="s">
        <v>36</v>
      </c>
      <c r="J127">
        <v>2</v>
      </c>
      <c r="K127" t="s">
        <v>55</v>
      </c>
      <c r="L127">
        <v>2008</v>
      </c>
      <c r="M127">
        <v>1</v>
      </c>
      <c r="N127" t="s">
        <v>41</v>
      </c>
      <c r="O127">
        <v>14</v>
      </c>
      <c r="P127">
        <v>3</v>
      </c>
      <c r="Q127">
        <v>2</v>
      </c>
      <c r="R127">
        <v>1</v>
      </c>
      <c r="S127">
        <v>3</v>
      </c>
      <c r="T127">
        <v>1</v>
      </c>
      <c r="U127">
        <v>1</v>
      </c>
      <c r="V127">
        <v>0</v>
      </c>
      <c r="W127" t="s">
        <v>65</v>
      </c>
      <c r="X127" s="1" t="d">
        <v>2020-06-26</v>
      </c>
      <c r="Z127" t="s">
        <v>52</v>
      </c>
      <c r="AA127" t="s">
        <v>46</v>
      </c>
      <c r="AB127">
        <v>4</v>
      </c>
      <c r="AC127">
        <v>1</v>
      </c>
      <c r="AD127" t="s">
        <v>41</v>
      </c>
      <c r="AE127" t="s">
        <v>62</v>
      </c>
      <c r="AF127" t="s">
        <v>57</v>
      </c>
      <c r="AG127">
        <f>IF(HR_Data[[#This Row],[Attrition]]="Yes",1,0)</f>
        <v>0</v>
      </c>
      <c r="AH127" t="str">
        <f>IF(HR_Data[Date_of_termination]="","Active","Left")</f>
        <v>Active</v>
      </c>
      <c r="AI127" t="str">
        <f>IF(HR_Data[YearsAtCompany]&lt;=2,"Fresher", IF(HR_Data[YearsAtCompany]&lt;=5,"Junior", IF(HR_Data[YearsAtCompany]&lt;=10, "Mid","Senior")))</f>
        <v>Fresher</v>
      </c>
      <c r="AJ127" s="2" t="str">
        <f>IF(HR_Data[MonthlyIncome]&lt;=300,"Low", IF(HR_Data[MonthlyIncome]&lt;=7000,"Medium", "High"))</f>
        <v>Medium</v>
      </c>
      <c r="AK127" s="2" t="str">
        <f>VLOOKUP(HR_Data[JobRole], JobRole_Map[], 2, FALSE)</f>
        <v>Technical</v>
      </c>
    </row>
    <row r="128" spans="1:37" x14ac:dyDescent="0.25">
      <c r="A128" s="2">
        <v>25</v>
      </c>
      <c r="B128" t="s">
        <v>32</v>
      </c>
      <c r="C128" t="s">
        <v>33</v>
      </c>
      <c r="D128" t="s">
        <v>53</v>
      </c>
      <c r="E128">
        <v>19</v>
      </c>
      <c r="F128" t="s">
        <v>35</v>
      </c>
      <c r="G128">
        <v>2</v>
      </c>
      <c r="H128">
        <v>1</v>
      </c>
      <c r="I128" t="s">
        <v>54</v>
      </c>
      <c r="J128">
        <v>2</v>
      </c>
      <c r="K128" t="s">
        <v>50</v>
      </c>
      <c r="L128">
        <v>2413</v>
      </c>
      <c r="M128">
        <v>1</v>
      </c>
      <c r="N128" t="s">
        <v>32</v>
      </c>
      <c r="O128">
        <v>18</v>
      </c>
      <c r="P128">
        <v>3</v>
      </c>
      <c r="Q128">
        <v>3</v>
      </c>
      <c r="R128">
        <v>1</v>
      </c>
      <c r="S128">
        <v>2</v>
      </c>
      <c r="T128">
        <v>1</v>
      </c>
      <c r="U128">
        <v>0</v>
      </c>
      <c r="V128">
        <v>0</v>
      </c>
      <c r="W128" t="s">
        <v>51</v>
      </c>
      <c r="X128" s="1" t="d">
        <v>2020-04-24</v>
      </c>
      <c r="Z128" t="s">
        <v>45</v>
      </c>
      <c r="AA128" t="s">
        <v>46</v>
      </c>
      <c r="AB128">
        <v>5</v>
      </c>
      <c r="AC128">
        <v>3</v>
      </c>
      <c r="AD128" t="s">
        <v>32</v>
      </c>
      <c r="AE128" t="s">
        <v>62</v>
      </c>
      <c r="AF128" t="s">
        <v>57</v>
      </c>
      <c r="AG128">
        <f>IF(HR_Data[[#This Row],[Attrition]]="Yes",1,0)</f>
        <v>1</v>
      </c>
      <c r="AH128" t="str">
        <f>IF(HR_Data[Date_of_termination]="","Active","Left")</f>
        <v>Active</v>
      </c>
      <c r="AI128" t="str">
        <f>IF(HR_Data[YearsAtCompany]&lt;=2,"Fresher", IF(HR_Data[YearsAtCompany]&lt;=5,"Junior", IF(HR_Data[YearsAtCompany]&lt;=10, "Mid","Senior")))</f>
        <v>Fresher</v>
      </c>
      <c r="AJ128" s="2" t="str">
        <f>IF(HR_Data[MonthlyIncome]&lt;=300,"Low", IF(HR_Data[MonthlyIncome]&lt;=7000,"Medium", "High"))</f>
        <v>Medium</v>
      </c>
      <c r="AK128" s="2" t="str">
        <f>VLOOKUP(HR_Data[JobRole], JobRole_Map[], 2, FALSE)</f>
        <v>Sales</v>
      </c>
    </row>
    <row r="129" spans="1:37" x14ac:dyDescent="0.25">
      <c r="A129" s="2">
        <v>40</v>
      </c>
      <c r="B129" t="s">
        <v>41</v>
      </c>
      <c r="C129" t="s">
        <v>33</v>
      </c>
      <c r="D129" t="s">
        <v>53</v>
      </c>
      <c r="E129">
        <v>10</v>
      </c>
      <c r="F129" t="s">
        <v>35</v>
      </c>
      <c r="G129">
        <v>2</v>
      </c>
      <c r="H129">
        <v>3</v>
      </c>
      <c r="I129" t="s">
        <v>64</v>
      </c>
      <c r="J129">
        <v>2</v>
      </c>
      <c r="K129" t="s">
        <v>55</v>
      </c>
      <c r="L129">
        <v>9705</v>
      </c>
      <c r="M129">
        <v>2</v>
      </c>
      <c r="N129" t="s">
        <v>41</v>
      </c>
      <c r="O129">
        <v>12</v>
      </c>
      <c r="P129">
        <v>3</v>
      </c>
      <c r="Q129">
        <v>1</v>
      </c>
      <c r="R129">
        <v>11</v>
      </c>
      <c r="S129">
        <v>2</v>
      </c>
      <c r="T129">
        <v>1</v>
      </c>
      <c r="U129">
        <v>0</v>
      </c>
      <c r="V129">
        <v>0</v>
      </c>
      <c r="W129" t="s">
        <v>51</v>
      </c>
      <c r="X129" s="1" t="d">
        <v>2020-03-09</v>
      </c>
      <c r="Z129" t="s">
        <v>52</v>
      </c>
      <c r="AA129" t="s">
        <v>40</v>
      </c>
      <c r="AB129">
        <v>4</v>
      </c>
      <c r="AC129">
        <v>2</v>
      </c>
      <c r="AD129" t="s">
        <v>41</v>
      </c>
      <c r="AE129" t="s">
        <v>42</v>
      </c>
      <c r="AF129" t="s">
        <v>57</v>
      </c>
      <c r="AG129">
        <f>IF(HR_Data[[#This Row],[Attrition]]="Yes",1,0)</f>
        <v>0</v>
      </c>
      <c r="AH129" t="str">
        <f>IF(HR_Data[Date_of_termination]="","Active","Left")</f>
        <v>Active</v>
      </c>
      <c r="AI129" t="str">
        <f>IF(HR_Data[YearsAtCompany]&lt;=2,"Fresher", IF(HR_Data[YearsAtCompany]&lt;=5,"Junior", IF(HR_Data[YearsAtCompany]&lt;=10, "Mid","Senior")))</f>
        <v>Fresher</v>
      </c>
      <c r="AJ129" s="2" t="str">
        <f>IF(HR_Data[MonthlyIncome]&lt;=300,"Low", IF(HR_Data[MonthlyIncome]&lt;=7000,"Medium", "High"))</f>
        <v>High</v>
      </c>
      <c r="AK129" s="2" t="str">
        <f>VLOOKUP(HR_Data[JobRole], JobRole_Map[], 2, FALSE)</f>
        <v>Sales</v>
      </c>
    </row>
    <row r="130" spans="1:37" x14ac:dyDescent="0.25">
      <c r="A130" s="2">
        <v>19</v>
      </c>
      <c r="B130" t="s">
        <v>32</v>
      </c>
      <c r="C130" t="s">
        <v>33</v>
      </c>
      <c r="D130" t="s">
        <v>53</v>
      </c>
      <c r="E130">
        <v>21</v>
      </c>
      <c r="F130" t="s">
        <v>35</v>
      </c>
      <c r="G130">
        <v>2</v>
      </c>
      <c r="H130">
        <v>1</v>
      </c>
      <c r="I130" t="s">
        <v>54</v>
      </c>
      <c r="J130">
        <v>2</v>
      </c>
      <c r="K130" t="s">
        <v>37</v>
      </c>
      <c r="L130">
        <v>2121</v>
      </c>
      <c r="M130">
        <v>1</v>
      </c>
      <c r="N130" t="s">
        <v>32</v>
      </c>
      <c r="O130">
        <v>13</v>
      </c>
      <c r="P130">
        <v>3</v>
      </c>
      <c r="Q130">
        <v>0</v>
      </c>
      <c r="R130">
        <v>1</v>
      </c>
      <c r="S130">
        <v>3</v>
      </c>
      <c r="T130">
        <v>1</v>
      </c>
      <c r="U130">
        <v>0</v>
      </c>
      <c r="V130">
        <v>0</v>
      </c>
      <c r="W130" t="s">
        <v>56</v>
      </c>
      <c r="X130" s="1" t="d">
        <v>2020-03-07</v>
      </c>
      <c r="Z130" t="s">
        <v>63</v>
      </c>
      <c r="AA130" t="s">
        <v>40</v>
      </c>
      <c r="AB130">
        <v>2</v>
      </c>
      <c r="AC130">
        <v>0</v>
      </c>
      <c r="AD130" t="s">
        <v>41</v>
      </c>
      <c r="AE130" t="s">
        <v>47</v>
      </c>
      <c r="AF130" t="s">
        <v>43</v>
      </c>
      <c r="AG130">
        <f>IF(HR_Data[[#This Row],[Attrition]]="Yes",1,0)</f>
        <v>1</v>
      </c>
      <c r="AH130" t="str">
        <f>IF(HR_Data[Date_of_termination]="","Active","Left")</f>
        <v>Active</v>
      </c>
      <c r="AI130" t="str">
        <f>IF(HR_Data[YearsAtCompany]&lt;=2,"Fresher", IF(HR_Data[YearsAtCompany]&lt;=5,"Junior", IF(HR_Data[YearsAtCompany]&lt;=10, "Mid","Senior")))</f>
        <v>Fresher</v>
      </c>
      <c r="AJ130" s="2" t="str">
        <f>IF(HR_Data[MonthlyIncome]&lt;=300,"Low", IF(HR_Data[MonthlyIncome]&lt;=7000,"Medium", "High"))</f>
        <v>Medium</v>
      </c>
      <c r="AK130" s="2" t="str">
        <f>VLOOKUP(HR_Data[JobRole], JobRole_Map[], 2, FALSE)</f>
        <v>Sales</v>
      </c>
    </row>
    <row r="131" spans="1:37" x14ac:dyDescent="0.25">
      <c r="A131" s="2">
        <v>40</v>
      </c>
      <c r="B131" t="s">
        <v>41</v>
      </c>
      <c r="C131" t="s">
        <v>61</v>
      </c>
      <c r="D131" t="s">
        <v>34</v>
      </c>
      <c r="E131">
        <v>9</v>
      </c>
      <c r="F131" t="s">
        <v>35</v>
      </c>
      <c r="G131">
        <v>3</v>
      </c>
      <c r="H131">
        <v>1</v>
      </c>
      <c r="I131" t="s">
        <v>44</v>
      </c>
      <c r="J131">
        <v>2</v>
      </c>
      <c r="K131" t="s">
        <v>55</v>
      </c>
      <c r="L131">
        <v>3617</v>
      </c>
      <c r="M131">
        <v>8</v>
      </c>
      <c r="N131" t="s">
        <v>32</v>
      </c>
      <c r="O131">
        <v>14</v>
      </c>
      <c r="P131">
        <v>3</v>
      </c>
      <c r="Q131">
        <v>1</v>
      </c>
      <c r="R131">
        <v>3</v>
      </c>
      <c r="S131">
        <v>2</v>
      </c>
      <c r="T131">
        <v>1</v>
      </c>
      <c r="U131">
        <v>0</v>
      </c>
      <c r="V131">
        <v>0</v>
      </c>
      <c r="W131" t="s">
        <v>38</v>
      </c>
      <c r="X131" s="1" t="d">
        <v>2020-03-07</v>
      </c>
      <c r="Z131" t="s">
        <v>63</v>
      </c>
      <c r="AA131" t="s">
        <v>46</v>
      </c>
      <c r="AB131">
        <v>2</v>
      </c>
      <c r="AC131">
        <v>0</v>
      </c>
      <c r="AD131" t="s">
        <v>41</v>
      </c>
      <c r="AE131" t="s">
        <v>47</v>
      </c>
      <c r="AF131" t="s">
        <v>43</v>
      </c>
      <c r="AG131">
        <f>IF(HR_Data[[#This Row],[Attrition]]="Yes",1,0)</f>
        <v>0</v>
      </c>
      <c r="AH131" t="str">
        <f>IF(HR_Data[Date_of_termination]="","Active","Left")</f>
        <v>Active</v>
      </c>
      <c r="AI131" t="str">
        <f>IF(HR_Data[YearsAtCompany]&lt;=2,"Fresher", IF(HR_Data[YearsAtCompany]&lt;=5,"Junior", IF(HR_Data[YearsAtCompany]&lt;=10, "Mid","Senior")))</f>
        <v>Fresher</v>
      </c>
      <c r="AJ131" s="2" t="str">
        <f>IF(HR_Data[MonthlyIncome]&lt;=300,"Low", IF(HR_Data[MonthlyIncome]&lt;=7000,"Medium", "High"))</f>
        <v>Medium</v>
      </c>
      <c r="AK131" s="2" t="str">
        <f>VLOOKUP(HR_Data[JobRole], JobRole_Map[], 2, FALSE)</f>
        <v>Technical</v>
      </c>
    </row>
    <row r="132" spans="1:37" x14ac:dyDescent="0.25">
      <c r="A132" s="2">
        <v>58</v>
      </c>
      <c r="B132" t="s">
        <v>32</v>
      </c>
      <c r="C132" t="s">
        <v>33</v>
      </c>
      <c r="D132" t="s">
        <v>34</v>
      </c>
      <c r="E132">
        <v>2</v>
      </c>
      <c r="F132" t="s">
        <v>35</v>
      </c>
      <c r="G132">
        <v>3</v>
      </c>
      <c r="H132">
        <v>1</v>
      </c>
      <c r="I132" t="s">
        <v>44</v>
      </c>
      <c r="J132">
        <v>3</v>
      </c>
      <c r="K132" t="s">
        <v>37</v>
      </c>
      <c r="L132">
        <v>2479</v>
      </c>
      <c r="M132">
        <v>4</v>
      </c>
      <c r="N132" t="s">
        <v>41</v>
      </c>
      <c r="O132">
        <v>24</v>
      </c>
      <c r="P132">
        <v>4</v>
      </c>
      <c r="Q132">
        <v>0</v>
      </c>
      <c r="R132">
        <v>7</v>
      </c>
      <c r="S132">
        <v>4</v>
      </c>
      <c r="T132">
        <v>1</v>
      </c>
      <c r="U132">
        <v>0</v>
      </c>
      <c r="V132">
        <v>0</v>
      </c>
      <c r="W132" t="s">
        <v>38</v>
      </c>
      <c r="X132" s="1" t="d">
        <v>2020-05-03</v>
      </c>
      <c r="Z132" t="s">
        <v>45</v>
      </c>
      <c r="AA132" t="s">
        <v>46</v>
      </c>
      <c r="AB132">
        <v>4</v>
      </c>
      <c r="AC132">
        <v>2</v>
      </c>
      <c r="AD132" t="s">
        <v>32</v>
      </c>
      <c r="AE132" t="s">
        <v>62</v>
      </c>
      <c r="AF132" t="s">
        <v>43</v>
      </c>
      <c r="AG132">
        <f>IF(HR_Data[[#This Row],[Attrition]]="Yes",1,0)</f>
        <v>1</v>
      </c>
      <c r="AH132" t="str">
        <f>IF(HR_Data[Date_of_termination]="","Active","Left")</f>
        <v>Active</v>
      </c>
      <c r="AI132" t="str">
        <f>IF(HR_Data[YearsAtCompany]&lt;=2,"Fresher", IF(HR_Data[YearsAtCompany]&lt;=5,"Junior", IF(HR_Data[YearsAtCompany]&lt;=10, "Mid","Senior")))</f>
        <v>Fresher</v>
      </c>
      <c r="AJ132" s="2" t="str">
        <f>IF(HR_Data[MonthlyIncome]&lt;=300,"Low", IF(HR_Data[MonthlyIncome]&lt;=7000,"Medium", "High"))</f>
        <v>Medium</v>
      </c>
      <c r="AK132" s="2" t="str">
        <f>VLOOKUP(HR_Data[JobRole], JobRole_Map[], 2, FALSE)</f>
        <v>Technical</v>
      </c>
    </row>
    <row r="133" spans="1:37" x14ac:dyDescent="0.25">
      <c r="A133" s="2">
        <v>40</v>
      </c>
      <c r="B133" t="s">
        <v>32</v>
      </c>
      <c r="C133" t="s">
        <v>68</v>
      </c>
      <c r="D133" t="s">
        <v>53</v>
      </c>
      <c r="E133">
        <v>24</v>
      </c>
      <c r="F133" t="s">
        <v>58</v>
      </c>
      <c r="G133">
        <v>4</v>
      </c>
      <c r="H133">
        <v>4</v>
      </c>
      <c r="I133" t="s">
        <v>64</v>
      </c>
      <c r="J133">
        <v>2</v>
      </c>
      <c r="K133" t="s">
        <v>37</v>
      </c>
      <c r="L133">
        <v>13194</v>
      </c>
      <c r="M133">
        <v>4</v>
      </c>
      <c r="N133" t="s">
        <v>32</v>
      </c>
      <c r="O133">
        <v>16</v>
      </c>
      <c r="P133">
        <v>3</v>
      </c>
      <c r="Q133">
        <v>0</v>
      </c>
      <c r="R133">
        <v>22</v>
      </c>
      <c r="S133">
        <v>2</v>
      </c>
      <c r="T133">
        <v>1</v>
      </c>
      <c r="U133">
        <v>0</v>
      </c>
      <c r="V133">
        <v>0</v>
      </c>
      <c r="W133" t="s">
        <v>38</v>
      </c>
      <c r="X133" s="1" t="d">
        <v>2020-06-27</v>
      </c>
      <c r="Z133" t="s">
        <v>52</v>
      </c>
      <c r="AA133" t="s">
        <v>40</v>
      </c>
      <c r="AB133">
        <v>4</v>
      </c>
      <c r="AC133">
        <v>3</v>
      </c>
      <c r="AD133" t="s">
        <v>32</v>
      </c>
      <c r="AE133" t="s">
        <v>47</v>
      </c>
      <c r="AF133" t="s">
        <v>57</v>
      </c>
      <c r="AG133">
        <f>IF(HR_Data[[#This Row],[Attrition]]="Yes",1,0)</f>
        <v>1</v>
      </c>
      <c r="AH133" t="str">
        <f>IF(HR_Data[Date_of_termination]="","Active","Left")</f>
        <v>Active</v>
      </c>
      <c r="AI133" t="str">
        <f>IF(HR_Data[YearsAtCompany]&lt;=2,"Fresher", IF(HR_Data[YearsAtCompany]&lt;=5,"Junior", IF(HR_Data[YearsAtCompany]&lt;=10, "Mid","Senior")))</f>
        <v>Fresher</v>
      </c>
      <c r="AJ133" s="2" t="str">
        <f>IF(HR_Data[MonthlyIncome]&lt;=300,"Low", IF(HR_Data[MonthlyIncome]&lt;=7000,"Medium", "High"))</f>
        <v>High</v>
      </c>
      <c r="AK133" s="2" t="str">
        <f>VLOOKUP(HR_Data[JobRole], JobRole_Map[], 2, FALSE)</f>
        <v>Sales</v>
      </c>
    </row>
    <row r="134" spans="1:37" x14ac:dyDescent="0.25">
      <c r="A134" s="2">
        <v>20</v>
      </c>
      <c r="B134" t="s">
        <v>32</v>
      </c>
      <c r="C134" t="s">
        <v>33</v>
      </c>
      <c r="D134" t="s">
        <v>34</v>
      </c>
      <c r="E134">
        <v>11</v>
      </c>
      <c r="F134" t="s">
        <v>58</v>
      </c>
      <c r="G134">
        <v>2</v>
      </c>
      <c r="H134">
        <v>1</v>
      </c>
      <c r="I134" t="s">
        <v>44</v>
      </c>
      <c r="J134">
        <v>1</v>
      </c>
      <c r="K134" t="s">
        <v>37</v>
      </c>
      <c r="L134">
        <v>2600</v>
      </c>
      <c r="M134">
        <v>1</v>
      </c>
      <c r="N134" t="s">
        <v>32</v>
      </c>
      <c r="O134">
        <v>15</v>
      </c>
      <c r="P134">
        <v>3</v>
      </c>
      <c r="Q134">
        <v>0</v>
      </c>
      <c r="R134">
        <v>1</v>
      </c>
      <c r="S134">
        <v>2</v>
      </c>
      <c r="T134">
        <v>1</v>
      </c>
      <c r="U134">
        <v>0</v>
      </c>
      <c r="V134">
        <v>0</v>
      </c>
      <c r="W134" t="s">
        <v>38</v>
      </c>
      <c r="X134" s="1" t="d">
        <v>2020-01-21</v>
      </c>
      <c r="Z134" t="s">
        <v>59</v>
      </c>
      <c r="AA134" t="s">
        <v>40</v>
      </c>
      <c r="AB134">
        <v>0</v>
      </c>
      <c r="AC134">
        <v>2</v>
      </c>
      <c r="AD134" t="s">
        <v>32</v>
      </c>
      <c r="AE134" t="s">
        <v>60</v>
      </c>
      <c r="AF134" t="s">
        <v>57</v>
      </c>
      <c r="AG134">
        <f>IF(HR_Data[[#This Row],[Attrition]]="Yes",1,0)</f>
        <v>1</v>
      </c>
      <c r="AH134" t="str">
        <f>IF(HR_Data[Date_of_termination]="","Active","Left")</f>
        <v>Active</v>
      </c>
      <c r="AI134" t="str">
        <f>IF(HR_Data[YearsAtCompany]&lt;=2,"Fresher", IF(HR_Data[YearsAtCompany]&lt;=5,"Junior", IF(HR_Data[YearsAtCompany]&lt;=10, "Mid","Senior")))</f>
        <v>Fresher</v>
      </c>
      <c r="AJ134" s="2" t="str">
        <f>IF(HR_Data[MonthlyIncome]&lt;=300,"Low", IF(HR_Data[MonthlyIncome]&lt;=7000,"Medium", "High"))</f>
        <v>Medium</v>
      </c>
      <c r="AK134" s="2" t="str">
        <f>VLOOKUP(HR_Data[JobRole], JobRole_Map[], 2, FALSE)</f>
        <v>Technical</v>
      </c>
    </row>
    <row r="135" spans="1:37" x14ac:dyDescent="0.25">
      <c r="A135" s="2">
        <v>42</v>
      </c>
      <c r="B135" t="s">
        <v>41</v>
      </c>
      <c r="C135" t="s">
        <v>33</v>
      </c>
      <c r="D135" t="s">
        <v>53</v>
      </c>
      <c r="E135">
        <v>5</v>
      </c>
      <c r="F135" t="s">
        <v>35</v>
      </c>
      <c r="G135">
        <v>3</v>
      </c>
      <c r="H135">
        <v>5</v>
      </c>
      <c r="I135" t="s">
        <v>66</v>
      </c>
      <c r="J135">
        <v>3</v>
      </c>
      <c r="K135" t="s">
        <v>50</v>
      </c>
      <c r="L135">
        <v>18303</v>
      </c>
      <c r="M135">
        <v>6</v>
      </c>
      <c r="N135" t="s">
        <v>41</v>
      </c>
      <c r="O135">
        <v>13</v>
      </c>
      <c r="P135">
        <v>3</v>
      </c>
      <c r="Q135">
        <v>0</v>
      </c>
      <c r="R135">
        <v>21</v>
      </c>
      <c r="S135">
        <v>3</v>
      </c>
      <c r="T135">
        <v>1</v>
      </c>
      <c r="U135">
        <v>0</v>
      </c>
      <c r="V135">
        <v>0</v>
      </c>
      <c r="W135" t="s">
        <v>38</v>
      </c>
      <c r="X135" s="1" t="d">
        <v>2020-05-17</v>
      </c>
      <c r="Z135" t="s">
        <v>63</v>
      </c>
      <c r="AA135" t="s">
        <v>46</v>
      </c>
      <c r="AB135">
        <v>4</v>
      </c>
      <c r="AC135">
        <v>2</v>
      </c>
      <c r="AD135" t="s">
        <v>41</v>
      </c>
      <c r="AE135" t="s">
        <v>42</v>
      </c>
      <c r="AF135" t="s">
        <v>48</v>
      </c>
      <c r="AG135">
        <f>IF(HR_Data[[#This Row],[Attrition]]="Yes",1,0)</f>
        <v>0</v>
      </c>
      <c r="AH135" t="str">
        <f>IF(HR_Data[Date_of_termination]="","Active","Left")</f>
        <v>Active</v>
      </c>
      <c r="AI135" t="str">
        <f>IF(HR_Data[YearsAtCompany]&lt;=2,"Fresher", IF(HR_Data[YearsAtCompany]&lt;=5,"Junior", IF(HR_Data[YearsAtCompany]&lt;=10, "Mid","Senior")))</f>
        <v>Fresher</v>
      </c>
      <c r="AJ135" s="2" t="str">
        <f>IF(HR_Data[MonthlyIncome]&lt;=300,"Low", IF(HR_Data[MonthlyIncome]&lt;=7000,"Medium", "High"))</f>
        <v>High</v>
      </c>
      <c r="AK135" s="2" t="str">
        <f>VLOOKUP(HR_Data[JobRole], JobRole_Map[], 2, FALSE)</f>
        <v>Management</v>
      </c>
    </row>
    <row r="136" spans="1:37" x14ac:dyDescent="0.25">
      <c r="A136" s="2">
        <v>50</v>
      </c>
      <c r="B136" t="s">
        <v>41</v>
      </c>
      <c r="C136" t="s">
        <v>33</v>
      </c>
      <c r="D136" t="s">
        <v>34</v>
      </c>
      <c r="E136">
        <v>9</v>
      </c>
      <c r="F136" t="s">
        <v>35</v>
      </c>
      <c r="G136">
        <v>3</v>
      </c>
      <c r="H136">
        <v>1</v>
      </c>
      <c r="I136" t="s">
        <v>36</v>
      </c>
      <c r="J136">
        <v>4</v>
      </c>
      <c r="K136" t="s">
        <v>50</v>
      </c>
      <c r="L136">
        <v>2380</v>
      </c>
      <c r="M136">
        <v>4</v>
      </c>
      <c r="N136" t="s">
        <v>41</v>
      </c>
      <c r="O136">
        <v>18</v>
      </c>
      <c r="P136">
        <v>3</v>
      </c>
      <c r="Q136">
        <v>0</v>
      </c>
      <c r="R136">
        <v>8</v>
      </c>
      <c r="S136">
        <v>5</v>
      </c>
      <c r="T136">
        <v>1</v>
      </c>
      <c r="U136">
        <v>0</v>
      </c>
      <c r="V136">
        <v>0</v>
      </c>
      <c r="W136" t="s">
        <v>38</v>
      </c>
      <c r="X136" s="1" t="d">
        <v>2020-06-11</v>
      </c>
      <c r="Z136" t="s">
        <v>39</v>
      </c>
      <c r="AA136" t="s">
        <v>46</v>
      </c>
      <c r="AB136">
        <v>3</v>
      </c>
      <c r="AC136">
        <v>0</v>
      </c>
      <c r="AD136" t="s">
        <v>41</v>
      </c>
      <c r="AE136" t="s">
        <v>62</v>
      </c>
      <c r="AF136" t="s">
        <v>57</v>
      </c>
      <c r="AG136">
        <f>IF(HR_Data[[#This Row],[Attrition]]="Yes",1,0)</f>
        <v>0</v>
      </c>
      <c r="AH136" t="str">
        <f>IF(HR_Data[Date_of_termination]="","Active","Left")</f>
        <v>Active</v>
      </c>
      <c r="AI136" t="str">
        <f>IF(HR_Data[YearsAtCompany]&lt;=2,"Fresher", IF(HR_Data[YearsAtCompany]&lt;=5,"Junior", IF(HR_Data[YearsAtCompany]&lt;=10, "Mid","Senior")))</f>
        <v>Fresher</v>
      </c>
      <c r="AJ136" s="2" t="str">
        <f>IF(HR_Data[MonthlyIncome]&lt;=300,"Low", IF(HR_Data[MonthlyIncome]&lt;=7000,"Medium", "High"))</f>
        <v>Medium</v>
      </c>
      <c r="AK136" s="2" t="str">
        <f>VLOOKUP(HR_Data[JobRole], JobRole_Map[], 2, FALSE)</f>
        <v>Technical</v>
      </c>
    </row>
    <row r="137" spans="1:37" x14ac:dyDescent="0.25">
      <c r="A137" s="2">
        <v>37</v>
      </c>
      <c r="B137" t="s">
        <v>32</v>
      </c>
      <c r="C137" t="s">
        <v>33</v>
      </c>
      <c r="D137" t="s">
        <v>34</v>
      </c>
      <c r="E137">
        <v>11</v>
      </c>
      <c r="F137" t="s">
        <v>58</v>
      </c>
      <c r="G137">
        <v>1</v>
      </c>
      <c r="H137">
        <v>2</v>
      </c>
      <c r="I137" t="s">
        <v>69</v>
      </c>
      <c r="J137">
        <v>2</v>
      </c>
      <c r="K137" t="s">
        <v>50</v>
      </c>
      <c r="L137">
        <v>4777</v>
      </c>
      <c r="M137">
        <v>5</v>
      </c>
      <c r="N137" t="s">
        <v>41</v>
      </c>
      <c r="O137">
        <v>15</v>
      </c>
      <c r="P137">
        <v>3</v>
      </c>
      <c r="Q137">
        <v>0</v>
      </c>
      <c r="R137">
        <v>15</v>
      </c>
      <c r="S137">
        <v>2</v>
      </c>
      <c r="T137">
        <v>1</v>
      </c>
      <c r="U137">
        <v>0</v>
      </c>
      <c r="V137">
        <v>0</v>
      </c>
      <c r="W137" t="s">
        <v>51</v>
      </c>
      <c r="X137" s="1" t="d">
        <v>2020-01-09</v>
      </c>
      <c r="Z137" t="s">
        <v>59</v>
      </c>
      <c r="AA137" t="s">
        <v>40</v>
      </c>
      <c r="AB137">
        <v>2</v>
      </c>
      <c r="AC137">
        <v>0</v>
      </c>
      <c r="AD137" t="s">
        <v>41</v>
      </c>
      <c r="AE137" t="s">
        <v>47</v>
      </c>
      <c r="AF137" t="s">
        <v>57</v>
      </c>
      <c r="AG137">
        <f>IF(HR_Data[[#This Row],[Attrition]]="Yes",1,0)</f>
        <v>1</v>
      </c>
      <c r="AH137" t="str">
        <f>IF(HR_Data[Date_of_termination]="","Active","Left")</f>
        <v>Active</v>
      </c>
      <c r="AI137" t="str">
        <f>IF(HR_Data[YearsAtCompany]&lt;=2,"Fresher", IF(HR_Data[YearsAtCompany]&lt;=5,"Junior", IF(HR_Data[YearsAtCompany]&lt;=10, "Mid","Senior")))</f>
        <v>Fresher</v>
      </c>
      <c r="AJ137" s="2" t="str">
        <f>IF(HR_Data[MonthlyIncome]&lt;=300,"Low", IF(HR_Data[MonthlyIncome]&lt;=7000,"Medium", "High"))</f>
        <v>Medium</v>
      </c>
      <c r="AK137" s="2" t="str">
        <f>VLOOKUP(HR_Data[JobRole], JobRole_Map[], 2, FALSE)</f>
        <v>Operations</v>
      </c>
    </row>
    <row r="138" spans="1:37" x14ac:dyDescent="0.25">
      <c r="A138" s="2">
        <v>38</v>
      </c>
      <c r="B138" t="s">
        <v>41</v>
      </c>
      <c r="C138" t="s">
        <v>33</v>
      </c>
      <c r="D138" t="s">
        <v>53</v>
      </c>
      <c r="E138">
        <v>3</v>
      </c>
      <c r="F138" t="s">
        <v>35</v>
      </c>
      <c r="G138">
        <v>3</v>
      </c>
      <c r="H138">
        <v>2</v>
      </c>
      <c r="I138" t="s">
        <v>64</v>
      </c>
      <c r="J138">
        <v>4</v>
      </c>
      <c r="K138" t="s">
        <v>37</v>
      </c>
      <c r="L138">
        <v>6861</v>
      </c>
      <c r="M138">
        <v>8</v>
      </c>
      <c r="N138" t="s">
        <v>32</v>
      </c>
      <c r="O138">
        <v>12</v>
      </c>
      <c r="P138">
        <v>3</v>
      </c>
      <c r="Q138">
        <v>0</v>
      </c>
      <c r="R138">
        <v>19</v>
      </c>
      <c r="S138">
        <v>1</v>
      </c>
      <c r="T138">
        <v>1</v>
      </c>
      <c r="U138">
        <v>0</v>
      </c>
      <c r="V138">
        <v>0</v>
      </c>
      <c r="W138" t="s">
        <v>56</v>
      </c>
      <c r="X138" s="1" t="d">
        <v>2020-04-16</v>
      </c>
      <c r="Z138" t="s">
        <v>52</v>
      </c>
      <c r="AA138" t="s">
        <v>46</v>
      </c>
      <c r="AB138">
        <v>1</v>
      </c>
      <c r="AC138">
        <v>1</v>
      </c>
      <c r="AD138" t="s">
        <v>41</v>
      </c>
      <c r="AE138" t="s">
        <v>47</v>
      </c>
      <c r="AF138" t="s">
        <v>43</v>
      </c>
      <c r="AG138">
        <f>IF(HR_Data[[#This Row],[Attrition]]="Yes",1,0)</f>
        <v>0</v>
      </c>
      <c r="AH138" t="str">
        <f>IF(HR_Data[Date_of_termination]="","Active","Left")</f>
        <v>Active</v>
      </c>
      <c r="AI138" t="str">
        <f>IF(HR_Data[YearsAtCompany]&lt;=2,"Fresher", IF(HR_Data[YearsAtCompany]&lt;=5,"Junior", IF(HR_Data[YearsAtCompany]&lt;=10, "Mid","Senior")))</f>
        <v>Fresher</v>
      </c>
      <c r="AJ138" s="2" t="str">
        <f>IF(HR_Data[MonthlyIncome]&lt;=300,"Low", IF(HR_Data[MonthlyIncome]&lt;=7000,"Medium", "High"))</f>
        <v>Medium</v>
      </c>
      <c r="AK138" s="2" t="str">
        <f>VLOOKUP(HR_Data[JobRole], JobRole_Map[], 2, FALSE)</f>
        <v>Sales</v>
      </c>
    </row>
    <row r="139" spans="1:37" x14ac:dyDescent="0.25">
      <c r="A139" s="2">
        <v>36</v>
      </c>
      <c r="B139" t="s">
        <v>32</v>
      </c>
      <c r="C139" t="s">
        <v>33</v>
      </c>
      <c r="D139" t="s">
        <v>34</v>
      </c>
      <c r="E139">
        <v>15</v>
      </c>
      <c r="F139" t="s">
        <v>35</v>
      </c>
      <c r="G139">
        <v>3</v>
      </c>
      <c r="H139">
        <v>2</v>
      </c>
      <c r="I139" t="s">
        <v>36</v>
      </c>
      <c r="J139">
        <v>3</v>
      </c>
      <c r="K139" t="s">
        <v>55</v>
      </c>
      <c r="L139">
        <v>4834</v>
      </c>
      <c r="M139">
        <v>7</v>
      </c>
      <c r="N139" t="s">
        <v>41</v>
      </c>
      <c r="O139">
        <v>14</v>
      </c>
      <c r="P139">
        <v>3</v>
      </c>
      <c r="Q139">
        <v>1</v>
      </c>
      <c r="R139">
        <v>9</v>
      </c>
      <c r="S139">
        <v>3</v>
      </c>
      <c r="T139">
        <v>1</v>
      </c>
      <c r="U139">
        <v>0</v>
      </c>
      <c r="V139">
        <v>0</v>
      </c>
      <c r="W139" t="s">
        <v>38</v>
      </c>
      <c r="X139" s="1" t="d">
        <v>2020-05-13</v>
      </c>
      <c r="Z139" t="s">
        <v>63</v>
      </c>
      <c r="AA139" t="s">
        <v>40</v>
      </c>
      <c r="AB139">
        <v>4</v>
      </c>
      <c r="AC139">
        <v>2</v>
      </c>
      <c r="AD139" t="s">
        <v>32</v>
      </c>
      <c r="AE139" t="s">
        <v>62</v>
      </c>
      <c r="AF139" t="s">
        <v>57</v>
      </c>
      <c r="AG139">
        <f>IF(HR_Data[[#This Row],[Attrition]]="Yes",1,0)</f>
        <v>1</v>
      </c>
      <c r="AH139" t="str">
        <f>IF(HR_Data[Date_of_termination]="","Active","Left")</f>
        <v>Active</v>
      </c>
      <c r="AI139" t="str">
        <f>IF(HR_Data[YearsAtCompany]&lt;=2,"Fresher", IF(HR_Data[YearsAtCompany]&lt;=5,"Junior", IF(HR_Data[YearsAtCompany]&lt;=10, "Mid","Senior")))</f>
        <v>Fresher</v>
      </c>
      <c r="AJ139" s="2" t="str">
        <f>IF(HR_Data[MonthlyIncome]&lt;=300,"Low", IF(HR_Data[MonthlyIncome]&lt;=7000,"Medium", "High"))</f>
        <v>Medium</v>
      </c>
      <c r="AK139" s="2" t="str">
        <f>VLOOKUP(HR_Data[JobRole], JobRole_Map[], 2, FALSE)</f>
        <v>Technical</v>
      </c>
    </row>
    <row r="140" spans="1:37" x14ac:dyDescent="0.25">
      <c r="A140" s="2">
        <v>34</v>
      </c>
      <c r="B140" t="s">
        <v>41</v>
      </c>
      <c r="C140" t="s">
        <v>33</v>
      </c>
      <c r="D140" t="s">
        <v>53</v>
      </c>
      <c r="E140">
        <v>10</v>
      </c>
      <c r="F140" t="s">
        <v>58</v>
      </c>
      <c r="G140">
        <v>3</v>
      </c>
      <c r="H140">
        <v>1</v>
      </c>
      <c r="I140" t="s">
        <v>54</v>
      </c>
      <c r="J140">
        <v>3</v>
      </c>
      <c r="K140" t="s">
        <v>50</v>
      </c>
      <c r="L140">
        <v>2220</v>
      </c>
      <c r="M140">
        <v>1</v>
      </c>
      <c r="N140" t="s">
        <v>32</v>
      </c>
      <c r="O140">
        <v>19</v>
      </c>
      <c r="P140">
        <v>3</v>
      </c>
      <c r="Q140">
        <v>1</v>
      </c>
      <c r="R140">
        <v>1</v>
      </c>
      <c r="S140">
        <v>2</v>
      </c>
      <c r="T140">
        <v>1</v>
      </c>
      <c r="U140">
        <v>0</v>
      </c>
      <c r="V140">
        <v>0</v>
      </c>
      <c r="W140" t="s">
        <v>51</v>
      </c>
      <c r="X140" s="1" t="d">
        <v>2020-02-18</v>
      </c>
      <c r="Z140" t="s">
        <v>39</v>
      </c>
      <c r="AA140" t="s">
        <v>40</v>
      </c>
      <c r="AB140">
        <v>0</v>
      </c>
      <c r="AC140">
        <v>3</v>
      </c>
      <c r="AD140" t="s">
        <v>32</v>
      </c>
      <c r="AE140" t="s">
        <v>42</v>
      </c>
      <c r="AF140" t="s">
        <v>57</v>
      </c>
      <c r="AG140">
        <f>IF(HR_Data[[#This Row],[Attrition]]="Yes",1,0)</f>
        <v>0</v>
      </c>
      <c r="AH140" t="str">
        <f>IF(HR_Data[Date_of_termination]="","Active","Left")</f>
        <v>Active</v>
      </c>
      <c r="AI140" t="str">
        <f>IF(HR_Data[YearsAtCompany]&lt;=2,"Fresher", IF(HR_Data[YearsAtCompany]&lt;=5,"Junior", IF(HR_Data[YearsAtCompany]&lt;=10, "Mid","Senior")))</f>
        <v>Fresher</v>
      </c>
      <c r="AJ140" s="2" t="str">
        <f>IF(HR_Data[MonthlyIncome]&lt;=300,"Low", IF(HR_Data[MonthlyIncome]&lt;=7000,"Medium", "High"))</f>
        <v>Medium</v>
      </c>
      <c r="AK140" s="2" t="str">
        <f>VLOOKUP(HR_Data[JobRole], JobRole_Map[], 2, FALSE)</f>
        <v>Sales</v>
      </c>
    </row>
    <row r="141" spans="1:37" x14ac:dyDescent="0.25">
      <c r="A141" s="2">
        <v>28</v>
      </c>
      <c r="B141" t="s">
        <v>41</v>
      </c>
      <c r="C141" t="s">
        <v>33</v>
      </c>
      <c r="D141" t="s">
        <v>53</v>
      </c>
      <c r="E141">
        <v>10</v>
      </c>
      <c r="F141" t="s">
        <v>35</v>
      </c>
      <c r="G141">
        <v>3</v>
      </c>
      <c r="H141">
        <v>1</v>
      </c>
      <c r="I141" t="s">
        <v>54</v>
      </c>
      <c r="J141">
        <v>2</v>
      </c>
      <c r="K141" t="s">
        <v>50</v>
      </c>
      <c r="L141">
        <v>1052</v>
      </c>
      <c r="M141">
        <v>1</v>
      </c>
      <c r="N141" t="s">
        <v>41</v>
      </c>
      <c r="O141">
        <v>22</v>
      </c>
      <c r="P141">
        <v>4</v>
      </c>
      <c r="Q141">
        <v>0</v>
      </c>
      <c r="R141">
        <v>1</v>
      </c>
      <c r="S141">
        <v>5</v>
      </c>
      <c r="T141">
        <v>1</v>
      </c>
      <c r="U141">
        <v>0</v>
      </c>
      <c r="V141">
        <v>0</v>
      </c>
      <c r="W141" t="s">
        <v>51</v>
      </c>
      <c r="X141" s="1" t="d">
        <v>2020-04-25</v>
      </c>
      <c r="Z141" t="s">
        <v>63</v>
      </c>
      <c r="AA141" t="s">
        <v>46</v>
      </c>
      <c r="AB141">
        <v>0</v>
      </c>
      <c r="AC141">
        <v>0</v>
      </c>
      <c r="AD141" t="s">
        <v>32</v>
      </c>
      <c r="AE141" t="s">
        <v>42</v>
      </c>
      <c r="AF141" t="s">
        <v>43</v>
      </c>
      <c r="AG141">
        <f>IF(HR_Data[[#This Row],[Attrition]]="Yes",1,0)</f>
        <v>0</v>
      </c>
      <c r="AH141" t="str">
        <f>IF(HR_Data[Date_of_termination]="","Active","Left")</f>
        <v>Active</v>
      </c>
      <c r="AI141" t="str">
        <f>IF(HR_Data[YearsAtCompany]&lt;=2,"Fresher", IF(HR_Data[YearsAtCompany]&lt;=5,"Junior", IF(HR_Data[YearsAtCompany]&lt;=10, "Mid","Senior")))</f>
        <v>Fresher</v>
      </c>
      <c r="AJ141" s="2" t="str">
        <f>IF(HR_Data[MonthlyIncome]&lt;=300,"Low", IF(HR_Data[MonthlyIncome]&lt;=7000,"Medium", "High"))</f>
        <v>Medium</v>
      </c>
      <c r="AK141" s="2" t="str">
        <f>VLOOKUP(HR_Data[JobRole], JobRole_Map[], 2, FALSE)</f>
        <v>Sales</v>
      </c>
    </row>
    <row r="142" spans="1:37" x14ac:dyDescent="0.25">
      <c r="A142" s="2">
        <v>43</v>
      </c>
      <c r="B142" t="s">
        <v>41</v>
      </c>
      <c r="C142" t="s">
        <v>33</v>
      </c>
      <c r="D142" t="s">
        <v>53</v>
      </c>
      <c r="E142">
        <v>25</v>
      </c>
      <c r="F142" t="s">
        <v>35</v>
      </c>
      <c r="G142">
        <v>2</v>
      </c>
      <c r="H142">
        <v>3</v>
      </c>
      <c r="I142" t="s">
        <v>64</v>
      </c>
      <c r="J142">
        <v>4</v>
      </c>
      <c r="K142" t="s">
        <v>55</v>
      </c>
      <c r="L142">
        <v>10798</v>
      </c>
      <c r="M142">
        <v>5</v>
      </c>
      <c r="N142" t="s">
        <v>41</v>
      </c>
      <c r="O142">
        <v>13</v>
      </c>
      <c r="P142">
        <v>3</v>
      </c>
      <c r="Q142">
        <v>1</v>
      </c>
      <c r="R142">
        <v>18</v>
      </c>
      <c r="S142">
        <v>5</v>
      </c>
      <c r="T142">
        <v>1</v>
      </c>
      <c r="U142">
        <v>0</v>
      </c>
      <c r="V142">
        <v>0</v>
      </c>
      <c r="W142" t="s">
        <v>51</v>
      </c>
      <c r="X142" s="1" t="d">
        <v>2020-06-27</v>
      </c>
      <c r="Z142" t="s">
        <v>45</v>
      </c>
      <c r="AA142" t="s">
        <v>40</v>
      </c>
      <c r="AB142">
        <v>4</v>
      </c>
      <c r="AC142">
        <v>2</v>
      </c>
      <c r="AD142" t="s">
        <v>41</v>
      </c>
      <c r="AE142" t="s">
        <v>62</v>
      </c>
      <c r="AF142" t="s">
        <v>48</v>
      </c>
      <c r="AG142">
        <f>IF(HR_Data[[#This Row],[Attrition]]="Yes",1,0)</f>
        <v>0</v>
      </c>
      <c r="AH142" t="str">
        <f>IF(HR_Data[Date_of_termination]="","Active","Left")</f>
        <v>Active</v>
      </c>
      <c r="AI142" t="str">
        <f>IF(HR_Data[YearsAtCompany]&lt;=2,"Fresher", IF(HR_Data[YearsAtCompany]&lt;=5,"Junior", IF(HR_Data[YearsAtCompany]&lt;=10, "Mid","Senior")))</f>
        <v>Fresher</v>
      </c>
      <c r="AJ142" s="2" t="str">
        <f>IF(HR_Data[MonthlyIncome]&lt;=300,"Low", IF(HR_Data[MonthlyIncome]&lt;=7000,"Medium", "High"))</f>
        <v>High</v>
      </c>
      <c r="AK142" s="2" t="str">
        <f>VLOOKUP(HR_Data[JobRole], JobRole_Map[], 2, FALSE)</f>
        <v>Sales</v>
      </c>
    </row>
    <row r="143" spans="1:37" x14ac:dyDescent="0.25">
      <c r="A143" s="2">
        <v>21</v>
      </c>
      <c r="B143" t="s">
        <v>32</v>
      </c>
      <c r="C143" t="s">
        <v>33</v>
      </c>
      <c r="D143" t="s">
        <v>34</v>
      </c>
      <c r="E143">
        <v>10</v>
      </c>
      <c r="F143" t="s">
        <v>58</v>
      </c>
      <c r="G143">
        <v>2</v>
      </c>
      <c r="H143">
        <v>1</v>
      </c>
      <c r="I143" t="s">
        <v>36</v>
      </c>
      <c r="J143">
        <v>1</v>
      </c>
      <c r="K143" t="s">
        <v>37</v>
      </c>
      <c r="L143">
        <v>1416</v>
      </c>
      <c r="M143">
        <v>1</v>
      </c>
      <c r="N143" t="s">
        <v>41</v>
      </c>
      <c r="O143">
        <v>13</v>
      </c>
      <c r="P143">
        <v>3</v>
      </c>
      <c r="Q143">
        <v>0</v>
      </c>
      <c r="R143">
        <v>1</v>
      </c>
      <c r="S143">
        <v>6</v>
      </c>
      <c r="T143">
        <v>1</v>
      </c>
      <c r="U143">
        <v>1</v>
      </c>
      <c r="V143">
        <v>0</v>
      </c>
      <c r="W143" t="s">
        <v>65</v>
      </c>
      <c r="X143" s="1" t="d">
        <v>2020-06-25</v>
      </c>
      <c r="Z143" t="s">
        <v>63</v>
      </c>
      <c r="AA143" t="s">
        <v>40</v>
      </c>
      <c r="AB143">
        <v>1</v>
      </c>
      <c r="AC143">
        <v>1</v>
      </c>
      <c r="AD143" t="s">
        <v>32</v>
      </c>
      <c r="AE143" t="s">
        <v>47</v>
      </c>
      <c r="AF143" t="s">
        <v>43</v>
      </c>
      <c r="AG143">
        <f>IF(HR_Data[[#This Row],[Attrition]]="Yes",1,0)</f>
        <v>1</v>
      </c>
      <c r="AH143" t="str">
        <f>IF(HR_Data[Date_of_termination]="","Active","Left")</f>
        <v>Active</v>
      </c>
      <c r="AI143" t="str">
        <f>IF(HR_Data[YearsAtCompany]&lt;=2,"Fresher", IF(HR_Data[YearsAtCompany]&lt;=5,"Junior", IF(HR_Data[YearsAtCompany]&lt;=10, "Mid","Senior")))</f>
        <v>Fresher</v>
      </c>
      <c r="AJ143" s="2" t="str">
        <f>IF(HR_Data[MonthlyIncome]&lt;=300,"Low", IF(HR_Data[MonthlyIncome]&lt;=7000,"Medium", "High"))</f>
        <v>Medium</v>
      </c>
      <c r="AK143" s="2" t="str">
        <f>VLOOKUP(HR_Data[JobRole], JobRole_Map[], 2, FALSE)</f>
        <v>Technical</v>
      </c>
    </row>
    <row r="144" spans="1:37" x14ac:dyDescent="0.25">
      <c r="A144" s="2">
        <v>37</v>
      </c>
      <c r="B144" t="s">
        <v>41</v>
      </c>
      <c r="C144" t="s">
        <v>33</v>
      </c>
      <c r="D144" t="s">
        <v>53</v>
      </c>
      <c r="E144">
        <v>10</v>
      </c>
      <c r="F144" t="s">
        <v>58</v>
      </c>
      <c r="G144">
        <v>2</v>
      </c>
      <c r="H144">
        <v>2</v>
      </c>
      <c r="I144" t="s">
        <v>64</v>
      </c>
      <c r="J144">
        <v>4</v>
      </c>
      <c r="K144" t="s">
        <v>55</v>
      </c>
      <c r="L144">
        <v>6694</v>
      </c>
      <c r="M144">
        <v>2</v>
      </c>
      <c r="N144" t="s">
        <v>32</v>
      </c>
      <c r="O144">
        <v>14</v>
      </c>
      <c r="P144">
        <v>3</v>
      </c>
      <c r="Q144">
        <v>3</v>
      </c>
      <c r="R144">
        <v>8</v>
      </c>
      <c r="S144">
        <v>5</v>
      </c>
      <c r="T144">
        <v>1</v>
      </c>
      <c r="U144">
        <v>0</v>
      </c>
      <c r="V144">
        <v>0</v>
      </c>
      <c r="W144" t="s">
        <v>51</v>
      </c>
      <c r="X144" s="1" t="d">
        <v>2020-06-25</v>
      </c>
      <c r="Z144" t="s">
        <v>39</v>
      </c>
      <c r="AA144" t="s">
        <v>46</v>
      </c>
      <c r="AB144">
        <v>3</v>
      </c>
      <c r="AC144">
        <v>2</v>
      </c>
      <c r="AD144" t="s">
        <v>32</v>
      </c>
      <c r="AE144" t="s">
        <v>47</v>
      </c>
      <c r="AF144" t="s">
        <v>48</v>
      </c>
      <c r="AG144">
        <f>IF(HR_Data[[#This Row],[Attrition]]="Yes",1,0)</f>
        <v>0</v>
      </c>
      <c r="AH144" t="str">
        <f>IF(HR_Data[Date_of_termination]="","Active","Left")</f>
        <v>Active</v>
      </c>
      <c r="AI144" t="str">
        <f>IF(HR_Data[YearsAtCompany]&lt;=2,"Fresher", IF(HR_Data[YearsAtCompany]&lt;=5,"Junior", IF(HR_Data[YearsAtCompany]&lt;=10, "Mid","Senior")))</f>
        <v>Fresher</v>
      </c>
      <c r="AJ144" s="2" t="str">
        <f>IF(HR_Data[MonthlyIncome]&lt;=300,"Low", IF(HR_Data[MonthlyIncome]&lt;=7000,"Medium", "High"))</f>
        <v>Medium</v>
      </c>
      <c r="AK144" s="2" t="str">
        <f>VLOOKUP(HR_Data[JobRole], JobRole_Map[], 2, FALSE)</f>
        <v>Sales</v>
      </c>
    </row>
    <row r="145" spans="1:37" x14ac:dyDescent="0.25">
      <c r="A145" s="2">
        <v>26</v>
      </c>
      <c r="B145" t="s">
        <v>32</v>
      </c>
      <c r="C145" t="s">
        <v>33</v>
      </c>
      <c r="D145" t="s">
        <v>34</v>
      </c>
      <c r="E145">
        <v>21</v>
      </c>
      <c r="F145" t="s">
        <v>35</v>
      </c>
      <c r="G145">
        <v>3</v>
      </c>
      <c r="H145">
        <v>1</v>
      </c>
      <c r="I145" t="s">
        <v>36</v>
      </c>
      <c r="J145">
        <v>3</v>
      </c>
      <c r="K145" t="s">
        <v>55</v>
      </c>
      <c r="L145">
        <v>2377</v>
      </c>
      <c r="M145">
        <v>1</v>
      </c>
      <c r="N145" t="s">
        <v>41</v>
      </c>
      <c r="O145">
        <v>20</v>
      </c>
      <c r="P145">
        <v>4</v>
      </c>
      <c r="Q145">
        <v>1</v>
      </c>
      <c r="R145">
        <v>1</v>
      </c>
      <c r="S145">
        <v>0</v>
      </c>
      <c r="T145">
        <v>1</v>
      </c>
      <c r="U145">
        <v>0</v>
      </c>
      <c r="V145">
        <v>0</v>
      </c>
      <c r="W145" t="s">
        <v>65</v>
      </c>
      <c r="X145" s="1" t="d">
        <v>2020-03-31</v>
      </c>
      <c r="Z145" t="s">
        <v>63</v>
      </c>
      <c r="AA145" t="s">
        <v>40</v>
      </c>
      <c r="AB145">
        <v>0</v>
      </c>
      <c r="AC145">
        <v>0</v>
      </c>
      <c r="AD145" t="s">
        <v>41</v>
      </c>
      <c r="AE145" t="s">
        <v>62</v>
      </c>
      <c r="AF145" t="s">
        <v>57</v>
      </c>
      <c r="AG145">
        <f>IF(HR_Data[[#This Row],[Attrition]]="Yes",1,0)</f>
        <v>1</v>
      </c>
      <c r="AH145" t="str">
        <f>IF(HR_Data[Date_of_termination]="","Active","Left")</f>
        <v>Active</v>
      </c>
      <c r="AI145" t="str">
        <f>IF(HR_Data[YearsAtCompany]&lt;=2,"Fresher", IF(HR_Data[YearsAtCompany]&lt;=5,"Junior", IF(HR_Data[YearsAtCompany]&lt;=10, "Mid","Senior")))</f>
        <v>Fresher</v>
      </c>
      <c r="AJ145" s="2" t="str">
        <f>IF(HR_Data[MonthlyIncome]&lt;=300,"Low", IF(HR_Data[MonthlyIncome]&lt;=7000,"Medium", "High"))</f>
        <v>Medium</v>
      </c>
      <c r="AK145" s="2" t="str">
        <f>VLOOKUP(HR_Data[JobRole], JobRole_Map[], 2, FALSE)</f>
        <v>Technical</v>
      </c>
    </row>
    <row r="146" spans="1:37" x14ac:dyDescent="0.25">
      <c r="A146" s="2">
        <v>28</v>
      </c>
      <c r="B146" t="s">
        <v>32</v>
      </c>
      <c r="C146" t="s">
        <v>61</v>
      </c>
      <c r="D146" t="s">
        <v>34</v>
      </c>
      <c r="E146">
        <v>1</v>
      </c>
      <c r="F146" t="s">
        <v>35</v>
      </c>
      <c r="G146">
        <v>2</v>
      </c>
      <c r="H146">
        <v>1</v>
      </c>
      <c r="I146" t="s">
        <v>36</v>
      </c>
      <c r="J146">
        <v>2</v>
      </c>
      <c r="K146" t="s">
        <v>55</v>
      </c>
      <c r="L146">
        <v>2596</v>
      </c>
      <c r="M146">
        <v>1</v>
      </c>
      <c r="N146" t="s">
        <v>41</v>
      </c>
      <c r="O146">
        <v>15</v>
      </c>
      <c r="P146">
        <v>3</v>
      </c>
      <c r="Q146">
        <v>2</v>
      </c>
      <c r="R146">
        <v>1</v>
      </c>
      <c r="S146">
        <v>2</v>
      </c>
      <c r="T146">
        <v>1</v>
      </c>
      <c r="U146">
        <v>0</v>
      </c>
      <c r="V146">
        <v>0</v>
      </c>
      <c r="W146" t="s">
        <v>56</v>
      </c>
      <c r="X146" s="1" t="d">
        <v>2020-06-23</v>
      </c>
      <c r="Z146" t="s">
        <v>63</v>
      </c>
      <c r="AA146" t="s">
        <v>46</v>
      </c>
      <c r="AB146">
        <v>0</v>
      </c>
      <c r="AC146">
        <v>2</v>
      </c>
      <c r="AD146" t="s">
        <v>41</v>
      </c>
      <c r="AE146" t="s">
        <v>47</v>
      </c>
      <c r="AF146" t="s">
        <v>43</v>
      </c>
      <c r="AG146">
        <f>IF(HR_Data[[#This Row],[Attrition]]="Yes",1,0)</f>
        <v>1</v>
      </c>
      <c r="AH146" t="str">
        <f>IF(HR_Data[Date_of_termination]="","Active","Left")</f>
        <v>Active</v>
      </c>
      <c r="AI146" t="str">
        <f>IF(HR_Data[YearsAtCompany]&lt;=2,"Fresher", IF(HR_Data[YearsAtCompany]&lt;=5,"Junior", IF(HR_Data[YearsAtCompany]&lt;=10, "Mid","Senior")))</f>
        <v>Fresher</v>
      </c>
      <c r="AJ146" s="2" t="str">
        <f>IF(HR_Data[MonthlyIncome]&lt;=300,"Low", IF(HR_Data[MonthlyIncome]&lt;=7000,"Medium", "High"))</f>
        <v>Medium</v>
      </c>
      <c r="AK146" s="2" t="str">
        <f>VLOOKUP(HR_Data[JobRole], JobRole_Map[], 2, FALSE)</f>
        <v>Technical</v>
      </c>
    </row>
    <row r="147" spans="1:37" x14ac:dyDescent="0.25">
      <c r="A147" s="2">
        <v>38</v>
      </c>
      <c r="B147" t="s">
        <v>41</v>
      </c>
      <c r="C147" t="s">
        <v>33</v>
      </c>
      <c r="D147" t="s">
        <v>53</v>
      </c>
      <c r="E147">
        <v>2</v>
      </c>
      <c r="F147" t="s">
        <v>35</v>
      </c>
      <c r="G147">
        <v>3</v>
      </c>
      <c r="H147">
        <v>3</v>
      </c>
      <c r="I147" t="s">
        <v>64</v>
      </c>
      <c r="J147">
        <v>2</v>
      </c>
      <c r="K147" t="s">
        <v>37</v>
      </c>
      <c r="L147">
        <v>7351</v>
      </c>
      <c r="M147">
        <v>7</v>
      </c>
      <c r="N147" t="s">
        <v>41</v>
      </c>
      <c r="O147">
        <v>16</v>
      </c>
      <c r="P147">
        <v>3</v>
      </c>
      <c r="Q147">
        <v>0</v>
      </c>
      <c r="R147">
        <v>10</v>
      </c>
      <c r="S147">
        <v>2</v>
      </c>
      <c r="T147">
        <v>1</v>
      </c>
      <c r="U147">
        <v>0</v>
      </c>
      <c r="V147">
        <v>0</v>
      </c>
      <c r="W147" t="s">
        <v>65</v>
      </c>
      <c r="X147" s="1" t="d">
        <v>2020-03-29</v>
      </c>
      <c r="Z147" t="s">
        <v>39</v>
      </c>
      <c r="AA147" t="s">
        <v>46</v>
      </c>
      <c r="AB147">
        <v>3</v>
      </c>
      <c r="AC147">
        <v>0</v>
      </c>
      <c r="AD147" t="s">
        <v>41</v>
      </c>
      <c r="AE147" t="s">
        <v>47</v>
      </c>
      <c r="AF147" t="s">
        <v>48</v>
      </c>
      <c r="AG147">
        <f>IF(HR_Data[[#This Row],[Attrition]]="Yes",1,0)</f>
        <v>0</v>
      </c>
      <c r="AH147" t="str">
        <f>IF(HR_Data[Date_of_termination]="","Active","Left")</f>
        <v>Active</v>
      </c>
      <c r="AI147" t="str">
        <f>IF(HR_Data[YearsAtCompany]&lt;=2,"Fresher", IF(HR_Data[YearsAtCompany]&lt;=5,"Junior", IF(HR_Data[YearsAtCompany]&lt;=10, "Mid","Senior")))</f>
        <v>Fresher</v>
      </c>
      <c r="AJ147" s="2" t="str">
        <f>IF(HR_Data[MonthlyIncome]&lt;=300,"Low", IF(HR_Data[MonthlyIncome]&lt;=7000,"Medium", "High"))</f>
        <v>High</v>
      </c>
      <c r="AK147" s="2" t="str">
        <f>VLOOKUP(HR_Data[JobRole], JobRole_Map[], 2, FALSE)</f>
        <v>Sales</v>
      </c>
    </row>
    <row r="148" spans="1:37" x14ac:dyDescent="0.25">
      <c r="A148" s="2">
        <v>42</v>
      </c>
      <c r="B148" t="s">
        <v>41</v>
      </c>
      <c r="C148" t="s">
        <v>33</v>
      </c>
      <c r="D148" t="s">
        <v>34</v>
      </c>
      <c r="E148">
        <v>29</v>
      </c>
      <c r="F148" t="s">
        <v>35</v>
      </c>
      <c r="G148">
        <v>1</v>
      </c>
      <c r="H148">
        <v>2</v>
      </c>
      <c r="I148" t="s">
        <v>36</v>
      </c>
      <c r="J148">
        <v>4</v>
      </c>
      <c r="K148" t="s">
        <v>37</v>
      </c>
      <c r="L148">
        <v>4272</v>
      </c>
      <c r="M148">
        <v>4</v>
      </c>
      <c r="N148" t="s">
        <v>41</v>
      </c>
      <c r="O148">
        <v>19</v>
      </c>
      <c r="P148">
        <v>3</v>
      </c>
      <c r="Q148">
        <v>0</v>
      </c>
      <c r="R148">
        <v>16</v>
      </c>
      <c r="S148">
        <v>3</v>
      </c>
      <c r="T148">
        <v>1</v>
      </c>
      <c r="U148">
        <v>0</v>
      </c>
      <c r="V148">
        <v>0</v>
      </c>
      <c r="W148" t="s">
        <v>51</v>
      </c>
      <c r="X148" s="1" t="d">
        <v>2020-03-17</v>
      </c>
      <c r="Z148" t="s">
        <v>63</v>
      </c>
      <c r="AA148" t="s">
        <v>46</v>
      </c>
      <c r="AB148">
        <v>0</v>
      </c>
      <c r="AC148">
        <v>1</v>
      </c>
      <c r="AD148" t="s">
        <v>41</v>
      </c>
      <c r="AE148" t="s">
        <v>62</v>
      </c>
      <c r="AF148" t="s">
        <v>57</v>
      </c>
      <c r="AG148">
        <f>IF(HR_Data[[#This Row],[Attrition]]="Yes",1,0)</f>
        <v>0</v>
      </c>
      <c r="AH148" t="str">
        <f>IF(HR_Data[Date_of_termination]="","Active","Left")</f>
        <v>Active</v>
      </c>
      <c r="AI148" t="str">
        <f>IF(HR_Data[YearsAtCompany]&lt;=2,"Fresher", IF(HR_Data[YearsAtCompany]&lt;=5,"Junior", IF(HR_Data[YearsAtCompany]&lt;=10, "Mid","Senior")))</f>
        <v>Fresher</v>
      </c>
      <c r="AJ148" s="2" t="str">
        <f>IF(HR_Data[MonthlyIncome]&lt;=300,"Low", IF(HR_Data[MonthlyIncome]&lt;=7000,"Medium", "High"))</f>
        <v>Medium</v>
      </c>
      <c r="AK148" s="2" t="str">
        <f>VLOOKUP(HR_Data[JobRole], JobRole_Map[], 2, FALSE)</f>
        <v>Technical</v>
      </c>
    </row>
    <row r="149" spans="1:37" x14ac:dyDescent="0.25">
      <c r="A149" s="2">
        <v>41</v>
      </c>
      <c r="B149" t="s">
        <v>41</v>
      </c>
      <c r="C149" t="s">
        <v>33</v>
      </c>
      <c r="D149" t="s">
        <v>34</v>
      </c>
      <c r="E149">
        <v>12</v>
      </c>
      <c r="F149" t="s">
        <v>35</v>
      </c>
      <c r="G149">
        <v>3</v>
      </c>
      <c r="H149">
        <v>1</v>
      </c>
      <c r="I149" t="s">
        <v>36</v>
      </c>
      <c r="J149">
        <v>4</v>
      </c>
      <c r="K149" t="s">
        <v>50</v>
      </c>
      <c r="L149">
        <v>4766</v>
      </c>
      <c r="M149">
        <v>3</v>
      </c>
      <c r="N149" t="s">
        <v>32</v>
      </c>
      <c r="O149">
        <v>11</v>
      </c>
      <c r="P149">
        <v>3</v>
      </c>
      <c r="Q149">
        <v>1</v>
      </c>
      <c r="R149">
        <v>6</v>
      </c>
      <c r="S149">
        <v>4</v>
      </c>
      <c r="T149">
        <v>1</v>
      </c>
      <c r="U149">
        <v>0</v>
      </c>
      <c r="V149">
        <v>0</v>
      </c>
      <c r="W149" t="s">
        <v>65</v>
      </c>
      <c r="X149" s="1" t="d">
        <v>2020-01-30</v>
      </c>
      <c r="Z149" t="s">
        <v>59</v>
      </c>
      <c r="AA149" t="s">
        <v>40</v>
      </c>
      <c r="AB149">
        <v>1</v>
      </c>
      <c r="AC149">
        <v>0</v>
      </c>
      <c r="AD149" t="s">
        <v>41</v>
      </c>
      <c r="AE149" t="s">
        <v>47</v>
      </c>
      <c r="AF149" t="s">
        <v>57</v>
      </c>
      <c r="AG149">
        <f>IF(HR_Data[[#This Row],[Attrition]]="Yes",1,0)</f>
        <v>0</v>
      </c>
      <c r="AH149" t="str">
        <f>IF(HR_Data[Date_of_termination]="","Active","Left")</f>
        <v>Active</v>
      </c>
      <c r="AI149" t="str">
        <f>IF(HR_Data[YearsAtCompany]&lt;=2,"Fresher", IF(HR_Data[YearsAtCompany]&lt;=5,"Junior", IF(HR_Data[YearsAtCompany]&lt;=10, "Mid","Senior")))</f>
        <v>Fresher</v>
      </c>
      <c r="AJ149" s="2" t="str">
        <f>IF(HR_Data[MonthlyIncome]&lt;=300,"Low", IF(HR_Data[MonthlyIncome]&lt;=7000,"Medium", "High"))</f>
        <v>Medium</v>
      </c>
      <c r="AK149" s="2" t="str">
        <f>VLOOKUP(HR_Data[JobRole], JobRole_Map[], 2, FALSE)</f>
        <v>Technical</v>
      </c>
    </row>
    <row r="150" spans="1:37" x14ac:dyDescent="0.25">
      <c r="A150" s="2">
        <v>28</v>
      </c>
      <c r="B150" t="s">
        <v>32</v>
      </c>
      <c r="C150" t="s">
        <v>33</v>
      </c>
      <c r="D150" t="s">
        <v>34</v>
      </c>
      <c r="E150">
        <v>12</v>
      </c>
      <c r="F150" t="s">
        <v>58</v>
      </c>
      <c r="G150">
        <v>3</v>
      </c>
      <c r="H150">
        <v>1</v>
      </c>
      <c r="I150" t="s">
        <v>36</v>
      </c>
      <c r="J150">
        <v>4</v>
      </c>
      <c r="K150" t="s">
        <v>50</v>
      </c>
      <c r="L150">
        <v>2515</v>
      </c>
      <c r="M150">
        <v>1</v>
      </c>
      <c r="N150" t="s">
        <v>32</v>
      </c>
      <c r="O150">
        <v>11</v>
      </c>
      <c r="P150">
        <v>3</v>
      </c>
      <c r="Q150">
        <v>0</v>
      </c>
      <c r="R150">
        <v>1</v>
      </c>
      <c r="S150">
        <v>4</v>
      </c>
      <c r="T150">
        <v>1</v>
      </c>
      <c r="U150">
        <v>0</v>
      </c>
      <c r="V150">
        <v>0</v>
      </c>
      <c r="W150" t="s">
        <v>51</v>
      </c>
      <c r="X150" s="1" t="d">
        <v>2020-01-14</v>
      </c>
      <c r="Z150" t="s">
        <v>63</v>
      </c>
      <c r="AA150" t="s">
        <v>40</v>
      </c>
      <c r="AB150">
        <v>4</v>
      </c>
      <c r="AC150">
        <v>1</v>
      </c>
      <c r="AD150" t="s">
        <v>32</v>
      </c>
      <c r="AE150" t="s">
        <v>60</v>
      </c>
      <c r="AF150" t="s">
        <v>57</v>
      </c>
      <c r="AG150">
        <f>IF(HR_Data[[#This Row],[Attrition]]="Yes",1,0)</f>
        <v>1</v>
      </c>
      <c r="AH150" t="str">
        <f>IF(HR_Data[Date_of_termination]="","Active","Left")</f>
        <v>Active</v>
      </c>
      <c r="AI150" t="str">
        <f>IF(HR_Data[YearsAtCompany]&lt;=2,"Fresher", IF(HR_Data[YearsAtCompany]&lt;=5,"Junior", IF(HR_Data[YearsAtCompany]&lt;=10, "Mid","Senior")))</f>
        <v>Fresher</v>
      </c>
      <c r="AJ150" s="2" t="str">
        <f>IF(HR_Data[MonthlyIncome]&lt;=300,"Low", IF(HR_Data[MonthlyIncome]&lt;=7000,"Medium", "High"))</f>
        <v>Medium</v>
      </c>
      <c r="AK150" s="2" t="str">
        <f>VLOOKUP(HR_Data[JobRole], JobRole_Map[], 2, FALSE)</f>
        <v>Technical</v>
      </c>
    </row>
    <row r="151" spans="1:37" x14ac:dyDescent="0.25">
      <c r="A151" s="2">
        <v>40</v>
      </c>
      <c r="B151" t="s">
        <v>41</v>
      </c>
      <c r="C151" t="s">
        <v>61</v>
      </c>
      <c r="D151" t="s">
        <v>34</v>
      </c>
      <c r="E151">
        <v>26</v>
      </c>
      <c r="F151" t="s">
        <v>58</v>
      </c>
      <c r="G151">
        <v>2</v>
      </c>
      <c r="H151">
        <v>2</v>
      </c>
      <c r="I151" t="s">
        <v>44</v>
      </c>
      <c r="J151">
        <v>4</v>
      </c>
      <c r="K151" t="s">
        <v>50</v>
      </c>
      <c r="L151">
        <v>4422</v>
      </c>
      <c r="M151">
        <v>3</v>
      </c>
      <c r="N151" t="s">
        <v>32</v>
      </c>
      <c r="O151">
        <v>13</v>
      </c>
      <c r="P151">
        <v>3</v>
      </c>
      <c r="Q151">
        <v>1</v>
      </c>
      <c r="R151">
        <v>16</v>
      </c>
      <c r="S151">
        <v>3</v>
      </c>
      <c r="T151">
        <v>1</v>
      </c>
      <c r="U151">
        <v>0</v>
      </c>
      <c r="V151">
        <v>0</v>
      </c>
      <c r="W151" t="s">
        <v>38</v>
      </c>
      <c r="X151" s="1" t="d">
        <v>2020-05-29</v>
      </c>
      <c r="Z151" t="s">
        <v>39</v>
      </c>
      <c r="AA151" t="s">
        <v>46</v>
      </c>
      <c r="AB151">
        <v>5</v>
      </c>
      <c r="AC151">
        <v>3</v>
      </c>
      <c r="AD151" t="s">
        <v>41</v>
      </c>
      <c r="AE151" t="s">
        <v>47</v>
      </c>
      <c r="AF151" t="s">
        <v>48</v>
      </c>
      <c r="AG151">
        <f>IF(HR_Data[[#This Row],[Attrition]]="Yes",1,0)</f>
        <v>0</v>
      </c>
      <c r="AH151" t="str">
        <f>IF(HR_Data[Date_of_termination]="","Active","Left")</f>
        <v>Active</v>
      </c>
      <c r="AI151" t="str">
        <f>IF(HR_Data[YearsAtCompany]&lt;=2,"Fresher", IF(HR_Data[YearsAtCompany]&lt;=5,"Junior", IF(HR_Data[YearsAtCompany]&lt;=10, "Mid","Senior")))</f>
        <v>Fresher</v>
      </c>
      <c r="AJ151" s="2" t="str">
        <f>IF(HR_Data[MonthlyIncome]&lt;=300,"Low", IF(HR_Data[MonthlyIncome]&lt;=7000,"Medium", "High"))</f>
        <v>Medium</v>
      </c>
      <c r="AK151" s="2" t="str">
        <f>VLOOKUP(HR_Data[JobRole], JobRole_Map[], 2, FALSE)</f>
        <v>Technical</v>
      </c>
    </row>
    <row r="152" spans="1:37" x14ac:dyDescent="0.25">
      <c r="A152" s="2">
        <v>32</v>
      </c>
      <c r="B152" t="s">
        <v>41</v>
      </c>
      <c r="C152" t="s">
        <v>68</v>
      </c>
      <c r="D152" t="s">
        <v>53</v>
      </c>
      <c r="E152">
        <v>2</v>
      </c>
      <c r="F152" t="s">
        <v>58</v>
      </c>
      <c r="G152">
        <v>3</v>
      </c>
      <c r="H152">
        <v>1</v>
      </c>
      <c r="I152" t="s">
        <v>54</v>
      </c>
      <c r="J152">
        <v>1</v>
      </c>
      <c r="K152" t="s">
        <v>55</v>
      </c>
      <c r="L152">
        <v>2827</v>
      </c>
      <c r="M152">
        <v>1</v>
      </c>
      <c r="N152" t="s">
        <v>41</v>
      </c>
      <c r="O152">
        <v>12</v>
      </c>
      <c r="P152">
        <v>3</v>
      </c>
      <c r="Q152">
        <v>3</v>
      </c>
      <c r="R152">
        <v>1</v>
      </c>
      <c r="S152">
        <v>3</v>
      </c>
      <c r="T152">
        <v>1</v>
      </c>
      <c r="U152">
        <v>0</v>
      </c>
      <c r="V152">
        <v>0</v>
      </c>
      <c r="W152" t="s">
        <v>51</v>
      </c>
      <c r="X152" s="1" t="d">
        <v>2020-02-07</v>
      </c>
      <c r="Z152" t="s">
        <v>52</v>
      </c>
      <c r="AA152" t="s">
        <v>40</v>
      </c>
      <c r="AB152">
        <v>4</v>
      </c>
      <c r="AC152">
        <v>0</v>
      </c>
      <c r="AD152" t="s">
        <v>41</v>
      </c>
      <c r="AE152" t="s">
        <v>60</v>
      </c>
      <c r="AF152" t="s">
        <v>57</v>
      </c>
      <c r="AG152">
        <f>IF(HR_Data[[#This Row],[Attrition]]="Yes",1,0)</f>
        <v>0</v>
      </c>
      <c r="AH152" t="str">
        <f>IF(HR_Data[Date_of_termination]="","Active","Left")</f>
        <v>Active</v>
      </c>
      <c r="AI152" t="str">
        <f>IF(HR_Data[YearsAtCompany]&lt;=2,"Fresher", IF(HR_Data[YearsAtCompany]&lt;=5,"Junior", IF(HR_Data[YearsAtCompany]&lt;=10, "Mid","Senior")))</f>
        <v>Fresher</v>
      </c>
      <c r="AJ152" s="2" t="str">
        <f>IF(HR_Data[MonthlyIncome]&lt;=300,"Low", IF(HR_Data[MonthlyIncome]&lt;=7000,"Medium", "High"))</f>
        <v>Medium</v>
      </c>
      <c r="AK152" s="2" t="str">
        <f>VLOOKUP(HR_Data[JobRole], JobRole_Map[], 2, FALSE)</f>
        <v>Sales</v>
      </c>
    </row>
    <row r="153" spans="1:37" x14ac:dyDescent="0.25">
      <c r="A153" s="2">
        <v>19</v>
      </c>
      <c r="B153" t="s">
        <v>41</v>
      </c>
      <c r="C153" t="s">
        <v>33</v>
      </c>
      <c r="D153" t="s">
        <v>34</v>
      </c>
      <c r="E153">
        <v>9</v>
      </c>
      <c r="F153" t="s">
        <v>35</v>
      </c>
      <c r="G153">
        <v>3</v>
      </c>
      <c r="H153">
        <v>1</v>
      </c>
      <c r="I153" t="s">
        <v>44</v>
      </c>
      <c r="J153">
        <v>1</v>
      </c>
      <c r="K153" t="s">
        <v>37</v>
      </c>
      <c r="L153">
        <v>2552</v>
      </c>
      <c r="M153">
        <v>1</v>
      </c>
      <c r="N153" t="s">
        <v>41</v>
      </c>
      <c r="O153">
        <v>25</v>
      </c>
      <c r="P153">
        <v>4</v>
      </c>
      <c r="Q153">
        <v>0</v>
      </c>
      <c r="R153">
        <v>1</v>
      </c>
      <c r="S153">
        <v>4</v>
      </c>
      <c r="T153">
        <v>1</v>
      </c>
      <c r="U153">
        <v>0</v>
      </c>
      <c r="V153">
        <v>0</v>
      </c>
      <c r="W153" t="s">
        <v>51</v>
      </c>
      <c r="X153" s="1" t="d">
        <v>2020-01-26</v>
      </c>
      <c r="Z153" t="s">
        <v>63</v>
      </c>
      <c r="AA153" t="s">
        <v>46</v>
      </c>
      <c r="AB153">
        <v>5</v>
      </c>
      <c r="AC153">
        <v>1</v>
      </c>
      <c r="AD153" t="s">
        <v>32</v>
      </c>
      <c r="AE153" t="s">
        <v>62</v>
      </c>
      <c r="AF153" t="s">
        <v>43</v>
      </c>
      <c r="AG153">
        <f>IF(HR_Data[[#This Row],[Attrition]]="Yes",1,0)</f>
        <v>0</v>
      </c>
      <c r="AH153" t="str">
        <f>IF(HR_Data[Date_of_termination]="","Active","Left")</f>
        <v>Active</v>
      </c>
      <c r="AI153" t="str">
        <f>IF(HR_Data[YearsAtCompany]&lt;=2,"Fresher", IF(HR_Data[YearsAtCompany]&lt;=5,"Junior", IF(HR_Data[YearsAtCompany]&lt;=10, "Mid","Senior")))</f>
        <v>Fresher</v>
      </c>
      <c r="AJ153" s="2" t="str">
        <f>IF(HR_Data[MonthlyIncome]&lt;=300,"Low", IF(HR_Data[MonthlyIncome]&lt;=7000,"Medium", "High"))</f>
        <v>Medium</v>
      </c>
      <c r="AK153" s="2" t="str">
        <f>VLOOKUP(HR_Data[JobRole], JobRole_Map[], 2, FALSE)</f>
        <v>Technical</v>
      </c>
    </row>
    <row r="154" spans="1:37" x14ac:dyDescent="0.25">
      <c r="A154" s="2">
        <v>41</v>
      </c>
      <c r="B154" t="s">
        <v>32</v>
      </c>
      <c r="C154" t="s">
        <v>68</v>
      </c>
      <c r="D154" t="s">
        <v>34</v>
      </c>
      <c r="E154">
        <v>5</v>
      </c>
      <c r="F154" t="s">
        <v>35</v>
      </c>
      <c r="G154">
        <v>2</v>
      </c>
      <c r="H154">
        <v>1</v>
      </c>
      <c r="I154" t="s">
        <v>44</v>
      </c>
      <c r="J154">
        <v>1</v>
      </c>
      <c r="K154" t="s">
        <v>55</v>
      </c>
      <c r="L154">
        <v>2107</v>
      </c>
      <c r="M154">
        <v>6</v>
      </c>
      <c r="N154" t="s">
        <v>41</v>
      </c>
      <c r="O154">
        <v>17</v>
      </c>
      <c r="P154">
        <v>3</v>
      </c>
      <c r="Q154">
        <v>1</v>
      </c>
      <c r="R154">
        <v>5</v>
      </c>
      <c r="S154">
        <v>2</v>
      </c>
      <c r="T154">
        <v>1</v>
      </c>
      <c r="U154">
        <v>0</v>
      </c>
      <c r="V154">
        <v>0</v>
      </c>
      <c r="W154" t="s">
        <v>65</v>
      </c>
      <c r="X154" s="1" t="d">
        <v>2020-03-01</v>
      </c>
      <c r="Z154" t="s">
        <v>45</v>
      </c>
      <c r="AA154" t="s">
        <v>46</v>
      </c>
      <c r="AB154">
        <v>0</v>
      </c>
      <c r="AC154">
        <v>3</v>
      </c>
      <c r="AD154" t="s">
        <v>32</v>
      </c>
      <c r="AE154" t="s">
        <v>60</v>
      </c>
      <c r="AF154" t="s">
        <v>43</v>
      </c>
      <c r="AG154">
        <f>IF(HR_Data[[#This Row],[Attrition]]="Yes",1,0)</f>
        <v>1</v>
      </c>
      <c r="AH154" t="str">
        <f>IF(HR_Data[Date_of_termination]="","Active","Left")</f>
        <v>Active</v>
      </c>
      <c r="AI154" t="str">
        <f>IF(HR_Data[YearsAtCompany]&lt;=2,"Fresher", IF(HR_Data[YearsAtCompany]&lt;=5,"Junior", IF(HR_Data[YearsAtCompany]&lt;=10, "Mid","Senior")))</f>
        <v>Fresher</v>
      </c>
      <c r="AJ154" s="2" t="str">
        <f>IF(HR_Data[MonthlyIncome]&lt;=300,"Low", IF(HR_Data[MonthlyIncome]&lt;=7000,"Medium", "High"))</f>
        <v>Medium</v>
      </c>
      <c r="AK154" s="2" t="str">
        <f>VLOOKUP(HR_Data[JobRole], JobRole_Map[], 2, FALSE)</f>
        <v>Technical</v>
      </c>
    </row>
    <row r="155" spans="1:37" x14ac:dyDescent="0.25">
      <c r="A155" s="2">
        <v>24</v>
      </c>
      <c r="B155" t="s">
        <v>32</v>
      </c>
      <c r="C155" t="s">
        <v>33</v>
      </c>
      <c r="D155" t="s">
        <v>34</v>
      </c>
      <c r="E155">
        <v>17</v>
      </c>
      <c r="F155" t="s">
        <v>58</v>
      </c>
      <c r="G155">
        <v>3</v>
      </c>
      <c r="H155">
        <v>1</v>
      </c>
      <c r="I155" t="s">
        <v>36</v>
      </c>
      <c r="J155">
        <v>2</v>
      </c>
      <c r="K155" t="s">
        <v>50</v>
      </c>
      <c r="L155">
        <v>2210</v>
      </c>
      <c r="M155">
        <v>1</v>
      </c>
      <c r="N155" t="s">
        <v>41</v>
      </c>
      <c r="O155">
        <v>13</v>
      </c>
      <c r="P155">
        <v>3</v>
      </c>
      <c r="Q155">
        <v>1</v>
      </c>
      <c r="R155">
        <v>1</v>
      </c>
      <c r="S155">
        <v>3</v>
      </c>
      <c r="T155">
        <v>1</v>
      </c>
      <c r="U155">
        <v>0</v>
      </c>
      <c r="V155">
        <v>0</v>
      </c>
      <c r="W155" t="s">
        <v>51</v>
      </c>
      <c r="X155" s="1" t="d">
        <v>2020-01-19</v>
      </c>
      <c r="Z155" t="s">
        <v>63</v>
      </c>
      <c r="AA155" t="s">
        <v>40</v>
      </c>
      <c r="AB155">
        <v>5</v>
      </c>
      <c r="AC155">
        <v>3</v>
      </c>
      <c r="AD155" t="s">
        <v>41</v>
      </c>
      <c r="AE155" t="s">
        <v>62</v>
      </c>
      <c r="AF155" t="s">
        <v>57</v>
      </c>
      <c r="AG155">
        <f>IF(HR_Data[[#This Row],[Attrition]]="Yes",1,0)</f>
        <v>1</v>
      </c>
      <c r="AH155" t="str">
        <f>IF(HR_Data[Date_of_termination]="","Active","Left")</f>
        <v>Active</v>
      </c>
      <c r="AI155" t="str">
        <f>IF(HR_Data[YearsAtCompany]&lt;=2,"Fresher", IF(HR_Data[YearsAtCompany]&lt;=5,"Junior", IF(HR_Data[YearsAtCompany]&lt;=10, "Mid","Senior")))</f>
        <v>Fresher</v>
      </c>
      <c r="AJ155" s="2" t="str">
        <f>IF(HR_Data[MonthlyIncome]&lt;=300,"Low", IF(HR_Data[MonthlyIncome]&lt;=7000,"Medium", "High"))</f>
        <v>Medium</v>
      </c>
      <c r="AK155" s="2" t="str">
        <f>VLOOKUP(HR_Data[JobRole], JobRole_Map[], 2, FALSE)</f>
        <v>Technical</v>
      </c>
    </row>
    <row r="156" spans="1:37" x14ac:dyDescent="0.25">
      <c r="A156" s="2">
        <v>42</v>
      </c>
      <c r="B156" t="s">
        <v>41</v>
      </c>
      <c r="C156" t="s">
        <v>61</v>
      </c>
      <c r="D156" t="s">
        <v>34</v>
      </c>
      <c r="E156">
        <v>26</v>
      </c>
      <c r="F156" t="s">
        <v>58</v>
      </c>
      <c r="G156">
        <v>3</v>
      </c>
      <c r="H156">
        <v>3</v>
      </c>
      <c r="I156" t="s">
        <v>49</v>
      </c>
      <c r="J156">
        <v>1</v>
      </c>
      <c r="K156" t="s">
        <v>50</v>
      </c>
      <c r="L156">
        <v>13191</v>
      </c>
      <c r="M156">
        <v>3</v>
      </c>
      <c r="N156" t="s">
        <v>32</v>
      </c>
      <c r="O156">
        <v>17</v>
      </c>
      <c r="P156">
        <v>3</v>
      </c>
      <c r="Q156">
        <v>0</v>
      </c>
      <c r="R156">
        <v>20</v>
      </c>
      <c r="S156">
        <v>6</v>
      </c>
      <c r="T156">
        <v>1</v>
      </c>
      <c r="U156">
        <v>0</v>
      </c>
      <c r="V156">
        <v>0</v>
      </c>
      <c r="W156" t="s">
        <v>38</v>
      </c>
      <c r="X156" s="1" t="d">
        <v>2020-03-21</v>
      </c>
      <c r="Z156" t="s">
        <v>59</v>
      </c>
      <c r="AA156" t="s">
        <v>40</v>
      </c>
      <c r="AB156">
        <v>1</v>
      </c>
      <c r="AC156">
        <v>3</v>
      </c>
      <c r="AD156" t="s">
        <v>41</v>
      </c>
      <c r="AE156" t="s">
        <v>47</v>
      </c>
      <c r="AF156" t="s">
        <v>48</v>
      </c>
      <c r="AG156">
        <f>IF(HR_Data[[#This Row],[Attrition]]="Yes",1,0)</f>
        <v>0</v>
      </c>
      <c r="AH156" t="str">
        <f>IF(HR_Data[Date_of_termination]="","Active","Left")</f>
        <v>Active</v>
      </c>
      <c r="AI156" t="str">
        <f>IF(HR_Data[YearsAtCompany]&lt;=2,"Fresher", IF(HR_Data[YearsAtCompany]&lt;=5,"Junior", IF(HR_Data[YearsAtCompany]&lt;=10, "Mid","Senior")))</f>
        <v>Fresher</v>
      </c>
      <c r="AJ156" s="2" t="str">
        <f>IF(HR_Data[MonthlyIncome]&lt;=300,"Low", IF(HR_Data[MonthlyIncome]&lt;=7000,"Medium", "High"))</f>
        <v>High</v>
      </c>
      <c r="AK156" s="2" t="str">
        <f>VLOOKUP(HR_Data[JobRole], JobRole_Map[], 2, FALSE)</f>
        <v>Management</v>
      </c>
    </row>
    <row r="157" spans="1:37" x14ac:dyDescent="0.25">
      <c r="A157" s="2">
        <v>19</v>
      </c>
      <c r="B157" t="s">
        <v>32</v>
      </c>
      <c r="C157" t="s">
        <v>68</v>
      </c>
      <c r="D157" t="s">
        <v>34</v>
      </c>
      <c r="E157">
        <v>10</v>
      </c>
      <c r="F157" t="s">
        <v>58</v>
      </c>
      <c r="G157">
        <v>2</v>
      </c>
      <c r="H157">
        <v>1</v>
      </c>
      <c r="I157" t="s">
        <v>44</v>
      </c>
      <c r="J157">
        <v>2</v>
      </c>
      <c r="K157" t="s">
        <v>37</v>
      </c>
      <c r="L157">
        <v>1859</v>
      </c>
      <c r="M157">
        <v>1</v>
      </c>
      <c r="N157" t="s">
        <v>32</v>
      </c>
      <c r="O157">
        <v>25</v>
      </c>
      <c r="P157">
        <v>4</v>
      </c>
      <c r="Q157">
        <v>0</v>
      </c>
      <c r="R157">
        <v>1</v>
      </c>
      <c r="S157">
        <v>2</v>
      </c>
      <c r="T157">
        <v>1</v>
      </c>
      <c r="U157">
        <v>0</v>
      </c>
      <c r="V157">
        <v>0</v>
      </c>
      <c r="W157" t="s">
        <v>38</v>
      </c>
      <c r="X157" s="1" t="d">
        <v>2020-04-01</v>
      </c>
      <c r="Z157" t="s">
        <v>45</v>
      </c>
      <c r="AA157" t="s">
        <v>40</v>
      </c>
      <c r="AB157">
        <v>1</v>
      </c>
      <c r="AC157">
        <v>1</v>
      </c>
      <c r="AD157" t="s">
        <v>32</v>
      </c>
      <c r="AE157" t="s">
        <v>62</v>
      </c>
      <c r="AF157" t="s">
        <v>48</v>
      </c>
      <c r="AG157">
        <f>IF(HR_Data[[#This Row],[Attrition]]="Yes",1,0)</f>
        <v>1</v>
      </c>
      <c r="AH157" t="str">
        <f>IF(HR_Data[Date_of_termination]="","Active","Left")</f>
        <v>Active</v>
      </c>
      <c r="AI157" t="str">
        <f>IF(HR_Data[YearsAtCompany]&lt;=2,"Fresher", IF(HR_Data[YearsAtCompany]&lt;=5,"Junior", IF(HR_Data[YearsAtCompany]&lt;=10, "Mid","Senior")))</f>
        <v>Fresher</v>
      </c>
      <c r="AJ157" s="2" t="str">
        <f>IF(HR_Data[MonthlyIncome]&lt;=300,"Low", IF(HR_Data[MonthlyIncome]&lt;=7000,"Medium", "High"))</f>
        <v>Medium</v>
      </c>
      <c r="AK157" s="2" t="str">
        <f>VLOOKUP(HR_Data[JobRole], JobRole_Map[], 2, FALSE)</f>
        <v>Technical</v>
      </c>
    </row>
    <row r="158" spans="1:37" x14ac:dyDescent="0.25">
      <c r="A158" s="2">
        <v>49</v>
      </c>
      <c r="B158" t="s">
        <v>41</v>
      </c>
      <c r="C158" t="s">
        <v>33</v>
      </c>
      <c r="D158" t="s">
        <v>34</v>
      </c>
      <c r="E158">
        <v>4</v>
      </c>
      <c r="F158" t="s">
        <v>35</v>
      </c>
      <c r="G158">
        <v>2</v>
      </c>
      <c r="H158">
        <v>5</v>
      </c>
      <c r="I158" t="s">
        <v>66</v>
      </c>
      <c r="J158">
        <v>3</v>
      </c>
      <c r="K158" t="s">
        <v>50</v>
      </c>
      <c r="L158">
        <v>18711</v>
      </c>
      <c r="M158">
        <v>2</v>
      </c>
      <c r="N158" t="s">
        <v>41</v>
      </c>
      <c r="O158">
        <v>13</v>
      </c>
      <c r="P158">
        <v>3</v>
      </c>
      <c r="Q158">
        <v>1</v>
      </c>
      <c r="R158">
        <v>23</v>
      </c>
      <c r="S158">
        <v>2</v>
      </c>
      <c r="T158">
        <v>1</v>
      </c>
      <c r="U158">
        <v>0</v>
      </c>
      <c r="V158">
        <v>0</v>
      </c>
      <c r="W158" t="s">
        <v>51</v>
      </c>
      <c r="X158" s="1" t="d">
        <v>2020-05-22</v>
      </c>
      <c r="Z158" t="s">
        <v>39</v>
      </c>
      <c r="AA158" t="s">
        <v>40</v>
      </c>
      <c r="AB158">
        <v>4</v>
      </c>
      <c r="AC158">
        <v>1</v>
      </c>
      <c r="AD158" t="s">
        <v>41</v>
      </c>
      <c r="AE158" t="s">
        <v>47</v>
      </c>
      <c r="AF158" t="s">
        <v>43</v>
      </c>
      <c r="AG158">
        <f>IF(HR_Data[[#This Row],[Attrition]]="Yes",1,0)</f>
        <v>0</v>
      </c>
      <c r="AH158" t="str">
        <f>IF(HR_Data[Date_of_termination]="","Active","Left")</f>
        <v>Active</v>
      </c>
      <c r="AI158" t="str">
        <f>IF(HR_Data[YearsAtCompany]&lt;=2,"Fresher", IF(HR_Data[YearsAtCompany]&lt;=5,"Junior", IF(HR_Data[YearsAtCompany]&lt;=10, "Mid","Senior")))</f>
        <v>Fresher</v>
      </c>
      <c r="AJ158" s="2" t="str">
        <f>IF(HR_Data[MonthlyIncome]&lt;=300,"Low", IF(HR_Data[MonthlyIncome]&lt;=7000,"Medium", "High"))</f>
        <v>High</v>
      </c>
      <c r="AK158" s="2" t="str">
        <f>VLOOKUP(HR_Data[JobRole], JobRole_Map[], 2, FALSE)</f>
        <v>Management</v>
      </c>
    </row>
    <row r="159" spans="1:37" x14ac:dyDescent="0.25">
      <c r="A159" s="2">
        <v>48</v>
      </c>
      <c r="B159" t="s">
        <v>41</v>
      </c>
      <c r="C159" t="s">
        <v>33</v>
      </c>
      <c r="D159" t="s">
        <v>34</v>
      </c>
      <c r="E159">
        <v>2</v>
      </c>
      <c r="F159" t="s">
        <v>35</v>
      </c>
      <c r="G159">
        <v>4</v>
      </c>
      <c r="H159">
        <v>1</v>
      </c>
      <c r="I159" t="s">
        <v>36</v>
      </c>
      <c r="J159">
        <v>2</v>
      </c>
      <c r="K159" t="s">
        <v>37</v>
      </c>
      <c r="L159">
        <v>2559</v>
      </c>
      <c r="M159">
        <v>5</v>
      </c>
      <c r="N159" t="s">
        <v>41</v>
      </c>
      <c r="O159">
        <v>11</v>
      </c>
      <c r="P159">
        <v>3</v>
      </c>
      <c r="Q159">
        <v>0</v>
      </c>
      <c r="R159">
        <v>7</v>
      </c>
      <c r="S159">
        <v>4</v>
      </c>
      <c r="T159">
        <v>1</v>
      </c>
      <c r="U159">
        <v>0</v>
      </c>
      <c r="V159">
        <v>0</v>
      </c>
      <c r="W159" t="s">
        <v>38</v>
      </c>
      <c r="X159" s="1" t="d">
        <v>2020-01-06</v>
      </c>
      <c r="Z159" t="s">
        <v>63</v>
      </c>
      <c r="AA159" t="s">
        <v>40</v>
      </c>
      <c r="AB159">
        <v>3</v>
      </c>
      <c r="AC159">
        <v>0</v>
      </c>
      <c r="AD159" t="s">
        <v>41</v>
      </c>
      <c r="AE159" t="s">
        <v>47</v>
      </c>
      <c r="AF159" t="s">
        <v>48</v>
      </c>
      <c r="AG159">
        <f>IF(HR_Data[[#This Row],[Attrition]]="Yes",1,0)</f>
        <v>0</v>
      </c>
      <c r="AH159" t="str">
        <f>IF(HR_Data[Date_of_termination]="","Active","Left")</f>
        <v>Active</v>
      </c>
      <c r="AI159" t="str">
        <f>IF(HR_Data[YearsAtCompany]&lt;=2,"Fresher", IF(HR_Data[YearsAtCompany]&lt;=5,"Junior", IF(HR_Data[YearsAtCompany]&lt;=10, "Mid","Senior")))</f>
        <v>Fresher</v>
      </c>
      <c r="AJ159" s="2" t="str">
        <f>IF(HR_Data[MonthlyIncome]&lt;=300,"Low", IF(HR_Data[MonthlyIncome]&lt;=7000,"Medium", "High"))</f>
        <v>Medium</v>
      </c>
      <c r="AK159" s="2" t="str">
        <f>VLOOKUP(HR_Data[JobRole], JobRole_Map[], 2, FALSE)</f>
        <v>Technical</v>
      </c>
    </row>
    <row r="160" spans="1:37" x14ac:dyDescent="0.25">
      <c r="A160" s="2">
        <v>48</v>
      </c>
      <c r="B160" t="s">
        <v>41</v>
      </c>
      <c r="C160" t="s">
        <v>33</v>
      </c>
      <c r="D160" t="s">
        <v>34</v>
      </c>
      <c r="E160">
        <v>1</v>
      </c>
      <c r="F160" t="s">
        <v>35</v>
      </c>
      <c r="G160">
        <v>2</v>
      </c>
      <c r="H160">
        <v>5</v>
      </c>
      <c r="I160" t="s">
        <v>49</v>
      </c>
      <c r="J160">
        <v>4</v>
      </c>
      <c r="K160" t="s">
        <v>37</v>
      </c>
      <c r="L160">
        <v>18265</v>
      </c>
      <c r="M160">
        <v>6</v>
      </c>
      <c r="N160" t="s">
        <v>41</v>
      </c>
      <c r="O160">
        <v>12</v>
      </c>
      <c r="P160">
        <v>3</v>
      </c>
      <c r="Q160">
        <v>0</v>
      </c>
      <c r="R160">
        <v>25</v>
      </c>
      <c r="S160">
        <v>3</v>
      </c>
      <c r="T160">
        <v>1</v>
      </c>
      <c r="U160">
        <v>0</v>
      </c>
      <c r="V160">
        <v>0</v>
      </c>
      <c r="W160" t="s">
        <v>38</v>
      </c>
      <c r="X160" s="1" t="d">
        <v>2020-02-03</v>
      </c>
      <c r="Z160" t="s">
        <v>63</v>
      </c>
      <c r="AA160" t="s">
        <v>46</v>
      </c>
      <c r="AB160">
        <v>5</v>
      </c>
      <c r="AC160">
        <v>0</v>
      </c>
      <c r="AD160" t="s">
        <v>32</v>
      </c>
      <c r="AE160" t="s">
        <v>62</v>
      </c>
      <c r="AF160" t="s">
        <v>48</v>
      </c>
      <c r="AG160">
        <f>IF(HR_Data[[#This Row],[Attrition]]="Yes",1,0)</f>
        <v>0</v>
      </c>
      <c r="AH160" t="str">
        <f>IF(HR_Data[Date_of_termination]="","Active","Left")</f>
        <v>Active</v>
      </c>
      <c r="AI160" t="str">
        <f>IF(HR_Data[YearsAtCompany]&lt;=2,"Fresher", IF(HR_Data[YearsAtCompany]&lt;=5,"Junior", IF(HR_Data[YearsAtCompany]&lt;=10, "Mid","Senior")))</f>
        <v>Fresher</v>
      </c>
      <c r="AJ160" s="2" t="str">
        <f>IF(HR_Data[MonthlyIncome]&lt;=300,"Low", IF(HR_Data[MonthlyIncome]&lt;=7000,"Medium", "High"))</f>
        <v>High</v>
      </c>
      <c r="AK160" s="2" t="str">
        <f>VLOOKUP(HR_Data[JobRole], JobRole_Map[], 2, FALSE)</f>
        <v>Management</v>
      </c>
    </row>
    <row r="161" spans="1:37" x14ac:dyDescent="0.25">
      <c r="A161" s="2">
        <v>34</v>
      </c>
      <c r="B161" t="s">
        <v>41</v>
      </c>
      <c r="C161" t="s">
        <v>33</v>
      </c>
      <c r="D161" t="s">
        <v>34</v>
      </c>
      <c r="E161">
        <v>20</v>
      </c>
      <c r="F161" t="s">
        <v>58</v>
      </c>
      <c r="G161">
        <v>4</v>
      </c>
      <c r="H161">
        <v>1</v>
      </c>
      <c r="I161" t="s">
        <v>44</v>
      </c>
      <c r="J161">
        <v>3</v>
      </c>
      <c r="K161" t="s">
        <v>50</v>
      </c>
      <c r="L161">
        <v>2585</v>
      </c>
      <c r="M161">
        <v>0</v>
      </c>
      <c r="N161" t="s">
        <v>41</v>
      </c>
      <c r="O161">
        <v>17</v>
      </c>
      <c r="P161">
        <v>3</v>
      </c>
      <c r="Q161">
        <v>0</v>
      </c>
      <c r="R161">
        <v>2</v>
      </c>
      <c r="S161">
        <v>5</v>
      </c>
      <c r="T161">
        <v>1</v>
      </c>
      <c r="U161">
        <v>0</v>
      </c>
      <c r="V161">
        <v>0</v>
      </c>
      <c r="W161" t="s">
        <v>65</v>
      </c>
      <c r="X161" s="1" t="d">
        <v>2020-04-10</v>
      </c>
      <c r="Z161" t="s">
        <v>52</v>
      </c>
      <c r="AA161" t="s">
        <v>46</v>
      </c>
      <c r="AB161">
        <v>5</v>
      </c>
      <c r="AC161">
        <v>2</v>
      </c>
      <c r="AD161" t="s">
        <v>32</v>
      </c>
      <c r="AE161" t="s">
        <v>47</v>
      </c>
      <c r="AF161" t="s">
        <v>57</v>
      </c>
      <c r="AG161">
        <f>IF(HR_Data[[#This Row],[Attrition]]="Yes",1,0)</f>
        <v>0</v>
      </c>
      <c r="AH161" t="str">
        <f>IF(HR_Data[Date_of_termination]="","Active","Left")</f>
        <v>Active</v>
      </c>
      <c r="AI161" t="str">
        <f>IF(HR_Data[YearsAtCompany]&lt;=2,"Fresher", IF(HR_Data[YearsAtCompany]&lt;=5,"Junior", IF(HR_Data[YearsAtCompany]&lt;=10, "Mid","Senior")))</f>
        <v>Fresher</v>
      </c>
      <c r="AJ161" s="2" t="str">
        <f>IF(HR_Data[MonthlyIncome]&lt;=300,"Low", IF(HR_Data[MonthlyIncome]&lt;=7000,"Medium", "High"))</f>
        <v>Medium</v>
      </c>
      <c r="AK161" s="2" t="str">
        <f>VLOOKUP(HR_Data[JobRole], JobRole_Map[], 2, FALSE)</f>
        <v>Technical</v>
      </c>
    </row>
    <row r="162" spans="1:37" x14ac:dyDescent="0.25">
      <c r="A162" s="2">
        <v>19</v>
      </c>
      <c r="B162" t="s">
        <v>41</v>
      </c>
      <c r="C162" t="s">
        <v>33</v>
      </c>
      <c r="D162" t="s">
        <v>34</v>
      </c>
      <c r="E162">
        <v>25</v>
      </c>
      <c r="F162" t="s">
        <v>58</v>
      </c>
      <c r="G162">
        <v>4</v>
      </c>
      <c r="H162">
        <v>1</v>
      </c>
      <c r="I162" t="s">
        <v>44</v>
      </c>
      <c r="J162">
        <v>4</v>
      </c>
      <c r="K162" t="s">
        <v>37</v>
      </c>
      <c r="L162">
        <v>2994</v>
      </c>
      <c r="M162">
        <v>1</v>
      </c>
      <c r="N162" t="s">
        <v>32</v>
      </c>
      <c r="O162">
        <v>12</v>
      </c>
      <c r="P162">
        <v>3</v>
      </c>
      <c r="Q162">
        <v>0</v>
      </c>
      <c r="R162">
        <v>1</v>
      </c>
      <c r="S162">
        <v>2</v>
      </c>
      <c r="T162">
        <v>1</v>
      </c>
      <c r="U162">
        <v>0</v>
      </c>
      <c r="V162">
        <v>1</v>
      </c>
      <c r="W162" t="s">
        <v>51</v>
      </c>
      <c r="X162" s="1" t="d">
        <v>2020-03-21</v>
      </c>
      <c r="Z162" t="s">
        <v>63</v>
      </c>
      <c r="AA162" t="s">
        <v>46</v>
      </c>
      <c r="AB162">
        <v>3</v>
      </c>
      <c r="AC162">
        <v>0</v>
      </c>
      <c r="AD162" t="s">
        <v>41</v>
      </c>
      <c r="AE162" t="s">
        <v>62</v>
      </c>
      <c r="AF162" t="s">
        <v>43</v>
      </c>
      <c r="AG162">
        <f>IF(HR_Data[[#This Row],[Attrition]]="Yes",1,0)</f>
        <v>0</v>
      </c>
      <c r="AH162" t="str">
        <f>IF(HR_Data[Date_of_termination]="","Active","Left")</f>
        <v>Active</v>
      </c>
      <c r="AI162" t="str">
        <f>IF(HR_Data[YearsAtCompany]&lt;=2,"Fresher", IF(HR_Data[YearsAtCompany]&lt;=5,"Junior", IF(HR_Data[YearsAtCompany]&lt;=10, "Mid","Senior")))</f>
        <v>Fresher</v>
      </c>
      <c r="AJ162" s="2" t="str">
        <f>IF(HR_Data[MonthlyIncome]&lt;=300,"Low", IF(HR_Data[MonthlyIncome]&lt;=7000,"Medium", "High"))</f>
        <v>Medium</v>
      </c>
      <c r="AK162" s="2" t="str">
        <f>VLOOKUP(HR_Data[JobRole], JobRole_Map[], 2, FALSE)</f>
        <v>Technical</v>
      </c>
    </row>
    <row r="163" spans="1:37" x14ac:dyDescent="0.25">
      <c r="A163" s="2">
        <v>23</v>
      </c>
      <c r="B163" t="s">
        <v>41</v>
      </c>
      <c r="C163" t="s">
        <v>33</v>
      </c>
      <c r="D163" t="s">
        <v>34</v>
      </c>
      <c r="E163">
        <v>1</v>
      </c>
      <c r="F163" t="s">
        <v>35</v>
      </c>
      <c r="G163">
        <v>3</v>
      </c>
      <c r="H163">
        <v>1</v>
      </c>
      <c r="I163" t="s">
        <v>44</v>
      </c>
      <c r="J163">
        <v>3</v>
      </c>
      <c r="K163" t="s">
        <v>50</v>
      </c>
      <c r="L163">
        <v>1223</v>
      </c>
      <c r="M163">
        <v>1</v>
      </c>
      <c r="N163" t="s">
        <v>41</v>
      </c>
      <c r="O163">
        <v>22</v>
      </c>
      <c r="P163">
        <v>4</v>
      </c>
      <c r="Q163">
        <v>1</v>
      </c>
      <c r="R163">
        <v>1</v>
      </c>
      <c r="S163">
        <v>2</v>
      </c>
      <c r="T163">
        <v>1</v>
      </c>
      <c r="U163">
        <v>0</v>
      </c>
      <c r="V163">
        <v>1</v>
      </c>
      <c r="W163" t="s">
        <v>38</v>
      </c>
      <c r="X163" s="1" t="d">
        <v>2020-03-30</v>
      </c>
      <c r="Z163" t="s">
        <v>59</v>
      </c>
      <c r="AA163" t="s">
        <v>40</v>
      </c>
      <c r="AB163">
        <v>2</v>
      </c>
      <c r="AC163">
        <v>1</v>
      </c>
      <c r="AD163" t="s">
        <v>32</v>
      </c>
      <c r="AE163" t="s">
        <v>42</v>
      </c>
      <c r="AF163" t="s">
        <v>57</v>
      </c>
      <c r="AG163">
        <f>IF(HR_Data[[#This Row],[Attrition]]="Yes",1,0)</f>
        <v>0</v>
      </c>
      <c r="AH163" t="str">
        <f>IF(HR_Data[Date_of_termination]="","Active","Left")</f>
        <v>Active</v>
      </c>
      <c r="AI163" t="str">
        <f>IF(HR_Data[YearsAtCompany]&lt;=2,"Fresher", IF(HR_Data[YearsAtCompany]&lt;=5,"Junior", IF(HR_Data[YearsAtCompany]&lt;=10, "Mid","Senior")))</f>
        <v>Fresher</v>
      </c>
      <c r="AJ163" s="2" t="str">
        <f>IF(HR_Data[MonthlyIncome]&lt;=300,"Low", IF(HR_Data[MonthlyIncome]&lt;=7000,"Medium", "High"))</f>
        <v>Medium</v>
      </c>
      <c r="AK163" s="2" t="str">
        <f>VLOOKUP(HR_Data[JobRole], JobRole_Map[], 2, FALSE)</f>
        <v>Technical</v>
      </c>
    </row>
    <row r="164" spans="1:37" x14ac:dyDescent="0.25">
      <c r="A164" s="2">
        <v>25</v>
      </c>
      <c r="B164" t="s">
        <v>32</v>
      </c>
      <c r="C164" t="s">
        <v>61</v>
      </c>
      <c r="D164" t="s">
        <v>53</v>
      </c>
      <c r="E164">
        <v>24</v>
      </c>
      <c r="F164" t="s">
        <v>35</v>
      </c>
      <c r="G164">
        <v>1</v>
      </c>
      <c r="H164">
        <v>1</v>
      </c>
      <c r="I164" t="s">
        <v>54</v>
      </c>
      <c r="J164">
        <v>4</v>
      </c>
      <c r="K164" t="s">
        <v>37</v>
      </c>
      <c r="L164">
        <v>1118</v>
      </c>
      <c r="M164">
        <v>1</v>
      </c>
      <c r="N164" t="s">
        <v>32</v>
      </c>
      <c r="O164">
        <v>14</v>
      </c>
      <c r="P164">
        <v>3</v>
      </c>
      <c r="Q164">
        <v>0</v>
      </c>
      <c r="R164">
        <v>1</v>
      </c>
      <c r="S164">
        <v>4</v>
      </c>
      <c r="T164">
        <v>1</v>
      </c>
      <c r="U164">
        <v>1</v>
      </c>
      <c r="V164">
        <v>0</v>
      </c>
      <c r="W164" t="s">
        <v>56</v>
      </c>
      <c r="X164" s="1" t="d">
        <v>2020-06-27</v>
      </c>
      <c r="Z164" t="s">
        <v>59</v>
      </c>
      <c r="AA164" t="s">
        <v>40</v>
      </c>
      <c r="AB164">
        <v>0</v>
      </c>
      <c r="AC164">
        <v>1</v>
      </c>
      <c r="AD164" t="s">
        <v>41</v>
      </c>
      <c r="AE164" t="s">
        <v>62</v>
      </c>
      <c r="AF164" t="s">
        <v>57</v>
      </c>
      <c r="AG164">
        <f>IF(HR_Data[[#This Row],[Attrition]]="Yes",1,0)</f>
        <v>1</v>
      </c>
      <c r="AH164" t="str">
        <f>IF(HR_Data[Date_of_termination]="","Active","Left")</f>
        <v>Active</v>
      </c>
      <c r="AI164" t="str">
        <f>IF(HR_Data[YearsAtCompany]&lt;=2,"Fresher", IF(HR_Data[YearsAtCompany]&lt;=5,"Junior", IF(HR_Data[YearsAtCompany]&lt;=10, "Mid","Senior")))</f>
        <v>Fresher</v>
      </c>
      <c r="AJ164" s="2" t="str">
        <f>IF(HR_Data[MonthlyIncome]&lt;=300,"Low", IF(HR_Data[MonthlyIncome]&lt;=7000,"Medium", "High"))</f>
        <v>Medium</v>
      </c>
      <c r="AK164" s="2" t="str">
        <f>VLOOKUP(HR_Data[JobRole], JobRole_Map[], 2, FALSE)</f>
        <v>Sales</v>
      </c>
    </row>
    <row r="165" spans="1:37" x14ac:dyDescent="0.25">
      <c r="A165" s="2">
        <v>42</v>
      </c>
      <c r="B165" t="s">
        <v>41</v>
      </c>
      <c r="C165" t="s">
        <v>33</v>
      </c>
      <c r="D165" t="s">
        <v>34</v>
      </c>
      <c r="E165">
        <v>7</v>
      </c>
      <c r="F165" t="s">
        <v>58</v>
      </c>
      <c r="G165">
        <v>4</v>
      </c>
      <c r="H165">
        <v>2</v>
      </c>
      <c r="I165" t="s">
        <v>44</v>
      </c>
      <c r="J165">
        <v>2</v>
      </c>
      <c r="K165" t="s">
        <v>50</v>
      </c>
      <c r="L165">
        <v>2372</v>
      </c>
      <c r="M165">
        <v>6</v>
      </c>
      <c r="N165" t="s">
        <v>32</v>
      </c>
      <c r="O165">
        <v>16</v>
      </c>
      <c r="P165">
        <v>3</v>
      </c>
      <c r="Q165">
        <v>0</v>
      </c>
      <c r="R165">
        <v>18</v>
      </c>
      <c r="S165">
        <v>2</v>
      </c>
      <c r="T165">
        <v>1</v>
      </c>
      <c r="U165">
        <v>0</v>
      </c>
      <c r="V165">
        <v>0</v>
      </c>
      <c r="W165" t="s">
        <v>65</v>
      </c>
      <c r="X165" s="1" t="d">
        <v>2020-04-18</v>
      </c>
      <c r="Z165" t="s">
        <v>45</v>
      </c>
      <c r="AA165" t="s">
        <v>46</v>
      </c>
      <c r="AB165">
        <v>5</v>
      </c>
      <c r="AC165">
        <v>3</v>
      </c>
      <c r="AD165" t="s">
        <v>32</v>
      </c>
      <c r="AE165" t="s">
        <v>62</v>
      </c>
      <c r="AF165" t="s">
        <v>57</v>
      </c>
      <c r="AG165">
        <f>IF(HR_Data[[#This Row],[Attrition]]="Yes",1,0)</f>
        <v>0</v>
      </c>
      <c r="AH165" t="str">
        <f>IF(HR_Data[Date_of_termination]="","Active","Left")</f>
        <v>Active</v>
      </c>
      <c r="AI165" t="str">
        <f>IF(HR_Data[YearsAtCompany]&lt;=2,"Fresher", IF(HR_Data[YearsAtCompany]&lt;=5,"Junior", IF(HR_Data[YearsAtCompany]&lt;=10, "Mid","Senior")))</f>
        <v>Fresher</v>
      </c>
      <c r="AJ165" s="2" t="str">
        <f>IF(HR_Data[MonthlyIncome]&lt;=300,"Low", IF(HR_Data[MonthlyIncome]&lt;=7000,"Medium", "High"))</f>
        <v>Medium</v>
      </c>
      <c r="AK165" s="2" t="str">
        <f>VLOOKUP(HR_Data[JobRole], JobRole_Map[], 2, FALSE)</f>
        <v>Technical</v>
      </c>
    </row>
    <row r="166" spans="1:37" x14ac:dyDescent="0.25">
      <c r="A166" s="2">
        <v>27</v>
      </c>
      <c r="B166" t="s">
        <v>41</v>
      </c>
      <c r="C166" t="s">
        <v>33</v>
      </c>
      <c r="D166" t="s">
        <v>53</v>
      </c>
      <c r="E166">
        <v>11</v>
      </c>
      <c r="F166" t="s">
        <v>58</v>
      </c>
      <c r="G166">
        <v>4</v>
      </c>
      <c r="H166">
        <v>1</v>
      </c>
      <c r="I166" t="s">
        <v>54</v>
      </c>
      <c r="J166">
        <v>4</v>
      </c>
      <c r="K166" t="s">
        <v>50</v>
      </c>
      <c r="L166">
        <v>2534</v>
      </c>
      <c r="M166">
        <v>8</v>
      </c>
      <c r="N166" t="s">
        <v>41</v>
      </c>
      <c r="O166">
        <v>14</v>
      </c>
      <c r="P166">
        <v>3</v>
      </c>
      <c r="Q166">
        <v>1</v>
      </c>
      <c r="R166">
        <v>5</v>
      </c>
      <c r="S166">
        <v>4</v>
      </c>
      <c r="T166">
        <v>1</v>
      </c>
      <c r="U166">
        <v>0</v>
      </c>
      <c r="V166">
        <v>0</v>
      </c>
      <c r="W166" t="s">
        <v>51</v>
      </c>
      <c r="X166" s="1" t="d">
        <v>2020-01-28</v>
      </c>
      <c r="Z166" t="s">
        <v>45</v>
      </c>
      <c r="AA166" t="s">
        <v>40</v>
      </c>
      <c r="AB166">
        <v>2</v>
      </c>
      <c r="AC166">
        <v>1</v>
      </c>
      <c r="AD166" t="s">
        <v>32</v>
      </c>
      <c r="AE166" t="s">
        <v>60</v>
      </c>
      <c r="AF166" t="s">
        <v>43</v>
      </c>
      <c r="AG166">
        <f>IF(HR_Data[[#This Row],[Attrition]]="Yes",1,0)</f>
        <v>0</v>
      </c>
      <c r="AH166" t="str">
        <f>IF(HR_Data[Date_of_termination]="","Active","Left")</f>
        <v>Active</v>
      </c>
      <c r="AI166" t="str">
        <f>IF(HR_Data[YearsAtCompany]&lt;=2,"Fresher", IF(HR_Data[YearsAtCompany]&lt;=5,"Junior", IF(HR_Data[YearsAtCompany]&lt;=10, "Mid","Senior")))</f>
        <v>Fresher</v>
      </c>
      <c r="AJ166" s="2" t="str">
        <f>IF(HR_Data[MonthlyIncome]&lt;=300,"Low", IF(HR_Data[MonthlyIncome]&lt;=7000,"Medium", "High"))</f>
        <v>Medium</v>
      </c>
      <c r="AK166" s="2" t="str">
        <f>VLOOKUP(HR_Data[JobRole], JobRole_Map[], 2, FALSE)</f>
        <v>Sales</v>
      </c>
    </row>
    <row r="167" spans="1:37" x14ac:dyDescent="0.25">
      <c r="A167" s="2">
        <v>31</v>
      </c>
      <c r="B167" t="s">
        <v>32</v>
      </c>
      <c r="C167" t="s">
        <v>61</v>
      </c>
      <c r="D167" t="s">
        <v>53</v>
      </c>
      <c r="E167">
        <v>2</v>
      </c>
      <c r="F167" t="s">
        <v>58</v>
      </c>
      <c r="G167">
        <v>2</v>
      </c>
      <c r="H167">
        <v>1</v>
      </c>
      <c r="I167" t="s">
        <v>54</v>
      </c>
      <c r="J167">
        <v>4</v>
      </c>
      <c r="K167" t="s">
        <v>37</v>
      </c>
      <c r="L167">
        <v>2785</v>
      </c>
      <c r="M167">
        <v>7</v>
      </c>
      <c r="N167" t="s">
        <v>41</v>
      </c>
      <c r="O167">
        <v>14</v>
      </c>
      <c r="P167">
        <v>3</v>
      </c>
      <c r="Q167">
        <v>0</v>
      </c>
      <c r="R167">
        <v>3</v>
      </c>
      <c r="S167">
        <v>3</v>
      </c>
      <c r="T167">
        <v>1</v>
      </c>
      <c r="U167">
        <v>0</v>
      </c>
      <c r="V167">
        <v>0</v>
      </c>
      <c r="W167" t="s">
        <v>65</v>
      </c>
      <c r="X167" s="1" t="d">
        <v>2020-06-27</v>
      </c>
      <c r="Z167" t="s">
        <v>52</v>
      </c>
      <c r="AA167" t="s">
        <v>46</v>
      </c>
      <c r="AB167">
        <v>1</v>
      </c>
      <c r="AC167">
        <v>1</v>
      </c>
      <c r="AD167" t="s">
        <v>41</v>
      </c>
      <c r="AE167" t="s">
        <v>47</v>
      </c>
      <c r="AF167" t="s">
        <v>43</v>
      </c>
      <c r="AG167">
        <f>IF(HR_Data[[#This Row],[Attrition]]="Yes",1,0)</f>
        <v>1</v>
      </c>
      <c r="AH167" t="str">
        <f>IF(HR_Data[Date_of_termination]="","Active","Left")</f>
        <v>Active</v>
      </c>
      <c r="AI167" t="str">
        <f>IF(HR_Data[YearsAtCompany]&lt;=2,"Fresher", IF(HR_Data[YearsAtCompany]&lt;=5,"Junior", IF(HR_Data[YearsAtCompany]&lt;=10, "Mid","Senior")))</f>
        <v>Fresher</v>
      </c>
      <c r="AJ167" s="2" t="str">
        <f>IF(HR_Data[MonthlyIncome]&lt;=300,"Low", IF(HR_Data[MonthlyIncome]&lt;=7000,"Medium", "High"))</f>
        <v>Medium</v>
      </c>
      <c r="AK167" s="2" t="str">
        <f>VLOOKUP(HR_Data[JobRole], JobRole_Map[], 2, FALSE)</f>
        <v>Sales</v>
      </c>
    </row>
    <row r="168" spans="1:37" x14ac:dyDescent="0.25">
      <c r="A168" s="2">
        <v>31</v>
      </c>
      <c r="B168" t="s">
        <v>32</v>
      </c>
      <c r="C168" t="s">
        <v>33</v>
      </c>
      <c r="D168" t="s">
        <v>34</v>
      </c>
      <c r="E168">
        <v>8</v>
      </c>
      <c r="F168" t="s">
        <v>58</v>
      </c>
      <c r="G168">
        <v>2</v>
      </c>
      <c r="H168">
        <v>1</v>
      </c>
      <c r="I168" t="s">
        <v>44</v>
      </c>
      <c r="J168">
        <v>2</v>
      </c>
      <c r="K168" t="s">
        <v>37</v>
      </c>
      <c r="L168">
        <v>1261</v>
      </c>
      <c r="M168">
        <v>1</v>
      </c>
      <c r="N168" t="s">
        <v>41</v>
      </c>
      <c r="O168">
        <v>12</v>
      </c>
      <c r="P168">
        <v>3</v>
      </c>
      <c r="Q168">
        <v>0</v>
      </c>
      <c r="R168">
        <v>1</v>
      </c>
      <c r="S168">
        <v>3</v>
      </c>
      <c r="T168">
        <v>1</v>
      </c>
      <c r="U168">
        <v>0</v>
      </c>
      <c r="V168">
        <v>0</v>
      </c>
      <c r="W168" t="s">
        <v>38</v>
      </c>
      <c r="X168" s="1" t="d">
        <v>2020-01-17</v>
      </c>
      <c r="Z168" t="s">
        <v>39</v>
      </c>
      <c r="AA168" t="s">
        <v>46</v>
      </c>
      <c r="AB168">
        <v>5</v>
      </c>
      <c r="AC168">
        <v>2</v>
      </c>
      <c r="AD168" t="s">
        <v>32</v>
      </c>
      <c r="AE168" t="s">
        <v>60</v>
      </c>
      <c r="AF168" t="s">
        <v>43</v>
      </c>
      <c r="AG168">
        <f>IF(HR_Data[[#This Row],[Attrition]]="Yes",1,0)</f>
        <v>1</v>
      </c>
      <c r="AH168" t="str">
        <f>IF(HR_Data[Date_of_termination]="","Active","Left")</f>
        <v>Active</v>
      </c>
      <c r="AI168" t="str">
        <f>IF(HR_Data[YearsAtCompany]&lt;=2,"Fresher", IF(HR_Data[YearsAtCompany]&lt;=5,"Junior", IF(HR_Data[YearsAtCompany]&lt;=10, "Mid","Senior")))</f>
        <v>Fresher</v>
      </c>
      <c r="AJ168" s="2" t="str">
        <f>IF(HR_Data[MonthlyIncome]&lt;=300,"Low", IF(HR_Data[MonthlyIncome]&lt;=7000,"Medium", "High"))</f>
        <v>Medium</v>
      </c>
      <c r="AK168" s="2" t="str">
        <f>VLOOKUP(HR_Data[JobRole], JobRole_Map[], 2, FALSE)</f>
        <v>Technical</v>
      </c>
    </row>
    <row r="169" spans="1:37" x14ac:dyDescent="0.25">
      <c r="A169" s="2">
        <v>39</v>
      </c>
      <c r="B169" t="s">
        <v>32</v>
      </c>
      <c r="C169" t="s">
        <v>68</v>
      </c>
      <c r="D169" t="s">
        <v>34</v>
      </c>
      <c r="E169">
        <v>2</v>
      </c>
      <c r="F169" t="s">
        <v>58</v>
      </c>
      <c r="G169">
        <v>2</v>
      </c>
      <c r="H169">
        <v>1</v>
      </c>
      <c r="I169" t="s">
        <v>36</v>
      </c>
      <c r="J169">
        <v>1</v>
      </c>
      <c r="K169" t="s">
        <v>37</v>
      </c>
      <c r="L169">
        <v>3646</v>
      </c>
      <c r="M169">
        <v>2</v>
      </c>
      <c r="N169" t="s">
        <v>32</v>
      </c>
      <c r="O169">
        <v>23</v>
      </c>
      <c r="P169">
        <v>4</v>
      </c>
      <c r="Q169">
        <v>0</v>
      </c>
      <c r="R169">
        <v>11</v>
      </c>
      <c r="S169">
        <v>2</v>
      </c>
      <c r="T169">
        <v>1</v>
      </c>
      <c r="U169">
        <v>0</v>
      </c>
      <c r="V169">
        <v>0</v>
      </c>
      <c r="W169" t="s">
        <v>56</v>
      </c>
      <c r="X169" s="1" t="d">
        <v>2020-04-18</v>
      </c>
      <c r="Z169" t="s">
        <v>45</v>
      </c>
      <c r="AA169" t="s">
        <v>46</v>
      </c>
      <c r="AB169">
        <v>4</v>
      </c>
      <c r="AC169">
        <v>3</v>
      </c>
      <c r="AD169" t="s">
        <v>32</v>
      </c>
      <c r="AE169" t="s">
        <v>62</v>
      </c>
      <c r="AF169" t="s">
        <v>43</v>
      </c>
      <c r="AG169">
        <f>IF(HR_Data[[#This Row],[Attrition]]="Yes",1,0)</f>
        <v>1</v>
      </c>
      <c r="AH169" t="str">
        <f>IF(HR_Data[Date_of_termination]="","Active","Left")</f>
        <v>Active</v>
      </c>
      <c r="AI169" t="str">
        <f>IF(HR_Data[YearsAtCompany]&lt;=2,"Fresher", IF(HR_Data[YearsAtCompany]&lt;=5,"Junior", IF(HR_Data[YearsAtCompany]&lt;=10, "Mid","Senior")))</f>
        <v>Fresher</v>
      </c>
      <c r="AJ169" s="2" t="str">
        <f>IF(HR_Data[MonthlyIncome]&lt;=300,"Low", IF(HR_Data[MonthlyIncome]&lt;=7000,"Medium", "High"))</f>
        <v>Medium</v>
      </c>
      <c r="AK169" s="2" t="str">
        <f>VLOOKUP(HR_Data[JobRole], JobRole_Map[], 2, FALSE)</f>
        <v>Technical</v>
      </c>
    </row>
    <row r="170" spans="1:37" x14ac:dyDescent="0.25">
      <c r="A170" s="2">
        <v>44</v>
      </c>
      <c r="B170" t="s">
        <v>41</v>
      </c>
      <c r="C170" t="s">
        <v>61</v>
      </c>
      <c r="D170" t="s">
        <v>53</v>
      </c>
      <c r="E170">
        <v>1</v>
      </c>
      <c r="F170" t="s">
        <v>58</v>
      </c>
      <c r="G170">
        <v>3</v>
      </c>
      <c r="H170">
        <v>2</v>
      </c>
      <c r="I170" t="s">
        <v>64</v>
      </c>
      <c r="J170">
        <v>3</v>
      </c>
      <c r="K170" t="s">
        <v>50</v>
      </c>
      <c r="L170">
        <v>4768</v>
      </c>
      <c r="M170">
        <v>7</v>
      </c>
      <c r="N170" t="s">
        <v>41</v>
      </c>
      <c r="O170">
        <v>12</v>
      </c>
      <c r="P170">
        <v>3</v>
      </c>
      <c r="Q170">
        <v>1</v>
      </c>
      <c r="R170">
        <v>11</v>
      </c>
      <c r="S170">
        <v>4</v>
      </c>
      <c r="T170">
        <v>1</v>
      </c>
      <c r="U170">
        <v>0</v>
      </c>
      <c r="V170">
        <v>0</v>
      </c>
      <c r="W170" t="s">
        <v>38</v>
      </c>
      <c r="X170" s="1" t="d">
        <v>2020-04-24</v>
      </c>
      <c r="Z170" t="s">
        <v>45</v>
      </c>
      <c r="AA170" t="s">
        <v>40</v>
      </c>
      <c r="AB170">
        <v>0</v>
      </c>
      <c r="AC170">
        <v>2</v>
      </c>
      <c r="AD170" t="s">
        <v>41</v>
      </c>
      <c r="AE170" t="s">
        <v>60</v>
      </c>
      <c r="AF170" t="s">
        <v>43</v>
      </c>
      <c r="AG170">
        <f>IF(HR_Data[[#This Row],[Attrition]]="Yes",1,0)</f>
        <v>0</v>
      </c>
      <c r="AH170" t="str">
        <f>IF(HR_Data[Date_of_termination]="","Active","Left")</f>
        <v>Active</v>
      </c>
      <c r="AI170" t="str">
        <f>IF(HR_Data[YearsAtCompany]&lt;=2,"Fresher", IF(HR_Data[YearsAtCompany]&lt;=5,"Junior", IF(HR_Data[YearsAtCompany]&lt;=10, "Mid","Senior")))</f>
        <v>Fresher</v>
      </c>
      <c r="AJ170" s="2" t="str">
        <f>IF(HR_Data[MonthlyIncome]&lt;=300,"Low", IF(HR_Data[MonthlyIncome]&lt;=7000,"Medium", "High"))</f>
        <v>Medium</v>
      </c>
      <c r="AK170" s="2" t="str">
        <f>VLOOKUP(HR_Data[JobRole], JobRole_Map[], 2, FALSE)</f>
        <v>Sales</v>
      </c>
    </row>
    <row r="171" spans="1:37" x14ac:dyDescent="0.25">
      <c r="A171" s="2">
        <v>30</v>
      </c>
      <c r="B171" t="s">
        <v>41</v>
      </c>
      <c r="C171" t="s">
        <v>68</v>
      </c>
      <c r="D171" t="s">
        <v>34</v>
      </c>
      <c r="E171">
        <v>7</v>
      </c>
      <c r="F171" t="s">
        <v>35</v>
      </c>
      <c r="G171">
        <v>3</v>
      </c>
      <c r="H171">
        <v>1</v>
      </c>
      <c r="I171" t="s">
        <v>44</v>
      </c>
      <c r="J171">
        <v>3</v>
      </c>
      <c r="K171" t="s">
        <v>55</v>
      </c>
      <c r="L171">
        <v>1274</v>
      </c>
      <c r="M171">
        <v>1</v>
      </c>
      <c r="N171" t="s">
        <v>41</v>
      </c>
      <c r="O171">
        <v>13</v>
      </c>
      <c r="P171">
        <v>3</v>
      </c>
      <c r="Q171">
        <v>2</v>
      </c>
      <c r="R171">
        <v>1</v>
      </c>
      <c r="S171">
        <v>2</v>
      </c>
      <c r="T171">
        <v>1</v>
      </c>
      <c r="U171">
        <v>0</v>
      </c>
      <c r="V171">
        <v>0</v>
      </c>
      <c r="W171" t="s">
        <v>51</v>
      </c>
      <c r="X171" s="1" t="d">
        <v>2020-01-31</v>
      </c>
      <c r="Z171" t="s">
        <v>59</v>
      </c>
      <c r="AA171" t="s">
        <v>46</v>
      </c>
      <c r="AB171">
        <v>4</v>
      </c>
      <c r="AC171">
        <v>1</v>
      </c>
      <c r="AD171" t="s">
        <v>41</v>
      </c>
      <c r="AE171" t="s">
        <v>47</v>
      </c>
      <c r="AF171" t="s">
        <v>43</v>
      </c>
      <c r="AG171">
        <f>IF(HR_Data[[#This Row],[Attrition]]="Yes",1,0)</f>
        <v>0</v>
      </c>
      <c r="AH171" t="str">
        <f>IF(HR_Data[Date_of_termination]="","Active","Left")</f>
        <v>Active</v>
      </c>
      <c r="AI171" t="str">
        <f>IF(HR_Data[YearsAtCompany]&lt;=2,"Fresher", IF(HR_Data[YearsAtCompany]&lt;=5,"Junior", IF(HR_Data[YearsAtCompany]&lt;=10, "Mid","Senior")))</f>
        <v>Fresher</v>
      </c>
      <c r="AJ171" s="2" t="str">
        <f>IF(HR_Data[MonthlyIncome]&lt;=300,"Low", IF(HR_Data[MonthlyIncome]&lt;=7000,"Medium", "High"))</f>
        <v>Medium</v>
      </c>
      <c r="AK171" s="2" t="str">
        <f>VLOOKUP(HR_Data[JobRole], JobRole_Map[], 2, FALSE)</f>
        <v>Technical</v>
      </c>
    </row>
    <row r="172" spans="1:37" x14ac:dyDescent="0.25">
      <c r="A172" s="2">
        <v>35</v>
      </c>
      <c r="B172" t="s">
        <v>41</v>
      </c>
      <c r="C172" t="s">
        <v>33</v>
      </c>
      <c r="D172" t="s">
        <v>53</v>
      </c>
      <c r="E172">
        <v>7</v>
      </c>
      <c r="F172" t="s">
        <v>35</v>
      </c>
      <c r="G172">
        <v>3</v>
      </c>
      <c r="H172">
        <v>1</v>
      </c>
      <c r="I172" t="s">
        <v>54</v>
      </c>
      <c r="J172">
        <v>3</v>
      </c>
      <c r="K172" t="s">
        <v>50</v>
      </c>
      <c r="L172">
        <v>2404</v>
      </c>
      <c r="M172">
        <v>1</v>
      </c>
      <c r="N172" t="s">
        <v>41</v>
      </c>
      <c r="O172">
        <v>13</v>
      </c>
      <c r="P172">
        <v>3</v>
      </c>
      <c r="Q172">
        <v>1</v>
      </c>
      <c r="R172">
        <v>1</v>
      </c>
      <c r="S172">
        <v>3</v>
      </c>
      <c r="T172">
        <v>1</v>
      </c>
      <c r="U172">
        <v>0</v>
      </c>
      <c r="V172">
        <v>0</v>
      </c>
      <c r="W172" t="s">
        <v>56</v>
      </c>
      <c r="X172" s="1" t="d">
        <v>2020-04-05</v>
      </c>
      <c r="Z172" t="s">
        <v>52</v>
      </c>
      <c r="AA172" t="s">
        <v>40</v>
      </c>
      <c r="AB172">
        <v>4</v>
      </c>
      <c r="AC172">
        <v>3</v>
      </c>
      <c r="AD172" t="s">
        <v>32</v>
      </c>
      <c r="AE172" t="s">
        <v>42</v>
      </c>
      <c r="AF172" t="s">
        <v>43</v>
      </c>
      <c r="AG172">
        <f>IF(HR_Data[[#This Row],[Attrition]]="Yes",1,0)</f>
        <v>0</v>
      </c>
      <c r="AH172" t="str">
        <f>IF(HR_Data[Date_of_termination]="","Active","Left")</f>
        <v>Active</v>
      </c>
      <c r="AI172" t="str">
        <f>IF(HR_Data[YearsAtCompany]&lt;=2,"Fresher", IF(HR_Data[YearsAtCompany]&lt;=5,"Junior", IF(HR_Data[YearsAtCompany]&lt;=10, "Mid","Senior")))</f>
        <v>Fresher</v>
      </c>
      <c r="AJ172" s="2" t="str">
        <f>IF(HR_Data[MonthlyIncome]&lt;=300,"Low", IF(HR_Data[MonthlyIncome]&lt;=7000,"Medium", "High"))</f>
        <v>Medium</v>
      </c>
      <c r="AK172" s="2" t="str">
        <f>VLOOKUP(HR_Data[JobRole], JobRole_Map[], 2, FALSE)</f>
        <v>Sales</v>
      </c>
    </row>
    <row r="173" spans="1:37" x14ac:dyDescent="0.25">
      <c r="A173" s="2">
        <v>24</v>
      </c>
      <c r="B173" t="s">
        <v>41</v>
      </c>
      <c r="C173" t="s">
        <v>68</v>
      </c>
      <c r="D173" t="s">
        <v>53</v>
      </c>
      <c r="E173">
        <v>13</v>
      </c>
      <c r="F173" t="s">
        <v>58</v>
      </c>
      <c r="G173">
        <v>3</v>
      </c>
      <c r="H173">
        <v>1</v>
      </c>
      <c r="I173" t="s">
        <v>54</v>
      </c>
      <c r="J173">
        <v>2</v>
      </c>
      <c r="K173" t="s">
        <v>50</v>
      </c>
      <c r="L173">
        <v>2033</v>
      </c>
      <c r="M173">
        <v>1</v>
      </c>
      <c r="N173" t="s">
        <v>41</v>
      </c>
      <c r="O173">
        <v>13</v>
      </c>
      <c r="P173">
        <v>3</v>
      </c>
      <c r="Q173">
        <v>1</v>
      </c>
      <c r="R173">
        <v>1</v>
      </c>
      <c r="S173">
        <v>2</v>
      </c>
      <c r="T173">
        <v>1</v>
      </c>
      <c r="U173">
        <v>0</v>
      </c>
      <c r="V173">
        <v>0</v>
      </c>
      <c r="W173" t="s">
        <v>56</v>
      </c>
      <c r="X173" s="1" t="d">
        <v>2020-03-27</v>
      </c>
      <c r="Z173" t="s">
        <v>52</v>
      </c>
      <c r="AA173" t="s">
        <v>40</v>
      </c>
      <c r="AB173">
        <v>4</v>
      </c>
      <c r="AC173">
        <v>1</v>
      </c>
      <c r="AD173" t="s">
        <v>32</v>
      </c>
      <c r="AE173" t="s">
        <v>47</v>
      </c>
      <c r="AF173" t="s">
        <v>57</v>
      </c>
      <c r="AG173">
        <f>IF(HR_Data[[#This Row],[Attrition]]="Yes",1,0)</f>
        <v>0</v>
      </c>
      <c r="AH173" t="str">
        <f>IF(HR_Data[Date_of_termination]="","Active","Left")</f>
        <v>Active</v>
      </c>
      <c r="AI173" t="str">
        <f>IF(HR_Data[YearsAtCompany]&lt;=2,"Fresher", IF(HR_Data[YearsAtCompany]&lt;=5,"Junior", IF(HR_Data[YearsAtCompany]&lt;=10, "Mid","Senior")))</f>
        <v>Fresher</v>
      </c>
      <c r="AJ173" s="2" t="str">
        <f>IF(HR_Data[MonthlyIncome]&lt;=300,"Low", IF(HR_Data[MonthlyIncome]&lt;=7000,"Medium", "High"))</f>
        <v>Medium</v>
      </c>
      <c r="AK173" s="2" t="str">
        <f>VLOOKUP(HR_Data[JobRole], JobRole_Map[], 2, FALSE)</f>
        <v>Sales</v>
      </c>
    </row>
    <row r="174" spans="1:37" x14ac:dyDescent="0.25">
      <c r="A174" s="2">
        <v>28</v>
      </c>
      <c r="B174" t="s">
        <v>41</v>
      </c>
      <c r="C174" t="s">
        <v>33</v>
      </c>
      <c r="D174" t="s">
        <v>34</v>
      </c>
      <c r="E174">
        <v>1</v>
      </c>
      <c r="F174" t="s">
        <v>35</v>
      </c>
      <c r="G174">
        <v>2</v>
      </c>
      <c r="H174">
        <v>1</v>
      </c>
      <c r="I174" t="s">
        <v>44</v>
      </c>
      <c r="J174">
        <v>3</v>
      </c>
      <c r="K174" t="s">
        <v>55</v>
      </c>
      <c r="L174">
        <v>1563</v>
      </c>
      <c r="M174">
        <v>1</v>
      </c>
      <c r="N174" t="s">
        <v>41</v>
      </c>
      <c r="O174">
        <v>14</v>
      </c>
      <c r="P174">
        <v>3</v>
      </c>
      <c r="Q174">
        <v>1</v>
      </c>
      <c r="R174">
        <v>1</v>
      </c>
      <c r="S174">
        <v>2</v>
      </c>
      <c r="T174">
        <v>1</v>
      </c>
      <c r="U174">
        <v>0</v>
      </c>
      <c r="V174">
        <v>0</v>
      </c>
      <c r="W174" t="s">
        <v>65</v>
      </c>
      <c r="X174" s="1" t="d">
        <v>2020-03-26</v>
      </c>
      <c r="Z174" t="s">
        <v>59</v>
      </c>
      <c r="AA174" t="s">
        <v>40</v>
      </c>
      <c r="AB174">
        <v>4</v>
      </c>
      <c r="AC174">
        <v>3</v>
      </c>
      <c r="AD174" t="s">
        <v>41</v>
      </c>
      <c r="AE174" t="s">
        <v>60</v>
      </c>
      <c r="AF174" t="s">
        <v>43</v>
      </c>
      <c r="AG174">
        <f>IF(HR_Data[[#This Row],[Attrition]]="Yes",1,0)</f>
        <v>0</v>
      </c>
      <c r="AH174" t="str">
        <f>IF(HR_Data[Date_of_termination]="","Active","Left")</f>
        <v>Active</v>
      </c>
      <c r="AI174" t="str">
        <f>IF(HR_Data[YearsAtCompany]&lt;=2,"Fresher", IF(HR_Data[YearsAtCompany]&lt;=5,"Junior", IF(HR_Data[YearsAtCompany]&lt;=10, "Mid","Senior")))</f>
        <v>Fresher</v>
      </c>
      <c r="AJ174" s="2" t="str">
        <f>IF(HR_Data[MonthlyIncome]&lt;=300,"Low", IF(HR_Data[MonthlyIncome]&lt;=7000,"Medium", "High"))</f>
        <v>Medium</v>
      </c>
      <c r="AK174" s="2" t="str">
        <f>VLOOKUP(HR_Data[JobRole], JobRole_Map[], 2, FALSE)</f>
        <v>Technical</v>
      </c>
    </row>
    <row r="175" spans="1:37" x14ac:dyDescent="0.25">
      <c r="A175" s="2">
        <v>42</v>
      </c>
      <c r="B175" t="s">
        <v>41</v>
      </c>
      <c r="C175" t="s">
        <v>33</v>
      </c>
      <c r="D175" t="s">
        <v>34</v>
      </c>
      <c r="E175">
        <v>2</v>
      </c>
      <c r="F175" t="s">
        <v>35</v>
      </c>
      <c r="G175">
        <v>2</v>
      </c>
      <c r="H175">
        <v>1</v>
      </c>
      <c r="I175" t="s">
        <v>36</v>
      </c>
      <c r="J175">
        <v>2</v>
      </c>
      <c r="K175" t="s">
        <v>50</v>
      </c>
      <c r="L175">
        <v>4841</v>
      </c>
      <c r="M175">
        <v>4</v>
      </c>
      <c r="N175" t="s">
        <v>41</v>
      </c>
      <c r="O175">
        <v>14</v>
      </c>
      <c r="P175">
        <v>3</v>
      </c>
      <c r="Q175">
        <v>1</v>
      </c>
      <c r="R175">
        <v>4</v>
      </c>
      <c r="S175">
        <v>3</v>
      </c>
      <c r="T175">
        <v>1</v>
      </c>
      <c r="U175">
        <v>0</v>
      </c>
      <c r="V175">
        <v>0</v>
      </c>
      <c r="W175" t="s">
        <v>51</v>
      </c>
      <c r="X175" s="1" t="d">
        <v>2020-02-19</v>
      </c>
      <c r="Z175" t="s">
        <v>45</v>
      </c>
      <c r="AA175" t="s">
        <v>46</v>
      </c>
      <c r="AB175">
        <v>5</v>
      </c>
      <c r="AC175">
        <v>1</v>
      </c>
      <c r="AD175" t="s">
        <v>32</v>
      </c>
      <c r="AE175" t="s">
        <v>62</v>
      </c>
      <c r="AF175" t="s">
        <v>43</v>
      </c>
      <c r="AG175">
        <f>IF(HR_Data[[#This Row],[Attrition]]="Yes",1,0)</f>
        <v>0</v>
      </c>
      <c r="AH175" t="str">
        <f>IF(HR_Data[Date_of_termination]="","Active","Left")</f>
        <v>Active</v>
      </c>
      <c r="AI175" t="str">
        <f>IF(HR_Data[YearsAtCompany]&lt;=2,"Fresher", IF(HR_Data[YearsAtCompany]&lt;=5,"Junior", IF(HR_Data[YearsAtCompany]&lt;=10, "Mid","Senior")))</f>
        <v>Fresher</v>
      </c>
      <c r="AJ175" s="2" t="str">
        <f>IF(HR_Data[MonthlyIncome]&lt;=300,"Low", IF(HR_Data[MonthlyIncome]&lt;=7000,"Medium", "High"))</f>
        <v>Medium</v>
      </c>
      <c r="AK175" s="2" t="str">
        <f>VLOOKUP(HR_Data[JobRole], JobRole_Map[], 2, FALSE)</f>
        <v>Technical</v>
      </c>
    </row>
    <row r="176" spans="1:37" x14ac:dyDescent="0.25">
      <c r="A176" s="2">
        <v>24</v>
      </c>
      <c r="B176" t="s">
        <v>41</v>
      </c>
      <c r="C176" t="s">
        <v>33</v>
      </c>
      <c r="D176" t="s">
        <v>34</v>
      </c>
      <c r="E176">
        <v>21</v>
      </c>
      <c r="F176" t="s">
        <v>35</v>
      </c>
      <c r="G176">
        <v>2</v>
      </c>
      <c r="H176">
        <v>1</v>
      </c>
      <c r="I176" t="s">
        <v>36</v>
      </c>
      <c r="J176">
        <v>1</v>
      </c>
      <c r="K176" t="s">
        <v>55</v>
      </c>
      <c r="L176">
        <v>2296</v>
      </c>
      <c r="M176">
        <v>0</v>
      </c>
      <c r="N176" t="s">
        <v>41</v>
      </c>
      <c r="O176">
        <v>14</v>
      </c>
      <c r="P176">
        <v>3</v>
      </c>
      <c r="Q176">
        <v>3</v>
      </c>
      <c r="R176">
        <v>2</v>
      </c>
      <c r="S176">
        <v>3</v>
      </c>
      <c r="T176">
        <v>1</v>
      </c>
      <c r="U176">
        <v>0</v>
      </c>
      <c r="V176">
        <v>0</v>
      </c>
      <c r="W176" t="s">
        <v>51</v>
      </c>
      <c r="X176" s="1" t="d">
        <v>2020-03-05</v>
      </c>
      <c r="Z176" t="s">
        <v>59</v>
      </c>
      <c r="AA176" t="s">
        <v>46</v>
      </c>
      <c r="AB176">
        <v>4</v>
      </c>
      <c r="AC176">
        <v>3</v>
      </c>
      <c r="AD176" t="s">
        <v>41</v>
      </c>
      <c r="AE176" t="s">
        <v>42</v>
      </c>
      <c r="AF176" t="s">
        <v>57</v>
      </c>
      <c r="AG176">
        <f>IF(HR_Data[[#This Row],[Attrition]]="Yes",1,0)</f>
        <v>0</v>
      </c>
      <c r="AH176" t="str">
        <f>IF(HR_Data[Date_of_termination]="","Active","Left")</f>
        <v>Active</v>
      </c>
      <c r="AI176" t="str">
        <f>IF(HR_Data[YearsAtCompany]&lt;=2,"Fresher", IF(HR_Data[YearsAtCompany]&lt;=5,"Junior", IF(HR_Data[YearsAtCompany]&lt;=10, "Mid","Senior")))</f>
        <v>Fresher</v>
      </c>
      <c r="AJ176" s="2" t="str">
        <f>IF(HR_Data[MonthlyIncome]&lt;=300,"Low", IF(HR_Data[MonthlyIncome]&lt;=7000,"Medium", "High"))</f>
        <v>Medium</v>
      </c>
      <c r="AK176" s="2" t="str">
        <f>VLOOKUP(HR_Data[JobRole], JobRole_Map[], 2, FALSE)</f>
        <v>Technical</v>
      </c>
    </row>
    <row r="177" spans="1:37" x14ac:dyDescent="0.25">
      <c r="A177" s="2">
        <v>29</v>
      </c>
      <c r="B177" t="s">
        <v>41</v>
      </c>
      <c r="C177" t="s">
        <v>33</v>
      </c>
      <c r="D177" t="s">
        <v>34</v>
      </c>
      <c r="E177">
        <v>9</v>
      </c>
      <c r="F177" t="s">
        <v>35</v>
      </c>
      <c r="G177">
        <v>4</v>
      </c>
      <c r="H177">
        <v>1</v>
      </c>
      <c r="I177" t="s">
        <v>44</v>
      </c>
      <c r="J177">
        <v>3</v>
      </c>
      <c r="K177" t="s">
        <v>50</v>
      </c>
      <c r="L177">
        <v>2451</v>
      </c>
      <c r="M177">
        <v>6</v>
      </c>
      <c r="N177" t="s">
        <v>41</v>
      </c>
      <c r="O177">
        <v>18</v>
      </c>
      <c r="P177">
        <v>3</v>
      </c>
      <c r="Q177">
        <v>2</v>
      </c>
      <c r="R177">
        <v>5</v>
      </c>
      <c r="S177">
        <v>2</v>
      </c>
      <c r="T177">
        <v>1</v>
      </c>
      <c r="U177">
        <v>0</v>
      </c>
      <c r="V177">
        <v>0</v>
      </c>
      <c r="W177" t="s">
        <v>38</v>
      </c>
      <c r="X177" s="1" t="d">
        <v>2020-03-14</v>
      </c>
      <c r="Z177" t="s">
        <v>63</v>
      </c>
      <c r="AA177" t="s">
        <v>40</v>
      </c>
      <c r="AB177">
        <v>3</v>
      </c>
      <c r="AC177">
        <v>1</v>
      </c>
      <c r="AD177" t="s">
        <v>32</v>
      </c>
      <c r="AE177" t="s">
        <v>60</v>
      </c>
      <c r="AF177" t="s">
        <v>43</v>
      </c>
      <c r="AG177">
        <f>IF(HR_Data[[#This Row],[Attrition]]="Yes",1,0)</f>
        <v>0</v>
      </c>
      <c r="AH177" t="str">
        <f>IF(HR_Data[Date_of_termination]="","Active","Left")</f>
        <v>Active</v>
      </c>
      <c r="AI177" t="str">
        <f>IF(HR_Data[YearsAtCompany]&lt;=2,"Fresher", IF(HR_Data[YearsAtCompany]&lt;=5,"Junior", IF(HR_Data[YearsAtCompany]&lt;=10, "Mid","Senior")))</f>
        <v>Fresher</v>
      </c>
      <c r="AJ177" s="2" t="str">
        <f>IF(HR_Data[MonthlyIncome]&lt;=300,"Low", IF(HR_Data[MonthlyIncome]&lt;=7000,"Medium", "High"))</f>
        <v>Medium</v>
      </c>
      <c r="AK177" s="2" t="str">
        <f>VLOOKUP(HR_Data[JobRole], JobRole_Map[], 2, FALSE)</f>
        <v>Technical</v>
      </c>
    </row>
    <row r="178" spans="1:37" x14ac:dyDescent="0.25">
      <c r="A178" s="2">
        <v>35</v>
      </c>
      <c r="B178" t="s">
        <v>32</v>
      </c>
      <c r="C178" t="s">
        <v>33</v>
      </c>
      <c r="D178" t="s">
        <v>34</v>
      </c>
      <c r="E178">
        <v>2</v>
      </c>
      <c r="F178" t="s">
        <v>58</v>
      </c>
      <c r="G178">
        <v>3</v>
      </c>
      <c r="H178">
        <v>1</v>
      </c>
      <c r="I178" t="s">
        <v>36</v>
      </c>
      <c r="J178">
        <v>1</v>
      </c>
      <c r="K178" t="s">
        <v>55</v>
      </c>
      <c r="L178">
        <v>2074</v>
      </c>
      <c r="M178">
        <v>1</v>
      </c>
      <c r="N178" t="s">
        <v>32</v>
      </c>
      <c r="O178">
        <v>12</v>
      </c>
      <c r="P178">
        <v>3</v>
      </c>
      <c r="Q178">
        <v>1</v>
      </c>
      <c r="R178">
        <v>1</v>
      </c>
      <c r="S178">
        <v>2</v>
      </c>
      <c r="T178">
        <v>1</v>
      </c>
      <c r="U178">
        <v>0</v>
      </c>
      <c r="V178">
        <v>0</v>
      </c>
      <c r="W178" t="s">
        <v>56</v>
      </c>
      <c r="X178" s="1" t="d">
        <v>2020-03-15</v>
      </c>
      <c r="Z178" t="s">
        <v>63</v>
      </c>
      <c r="AA178" t="s">
        <v>40</v>
      </c>
      <c r="AB178">
        <v>3</v>
      </c>
      <c r="AC178">
        <v>3</v>
      </c>
      <c r="AD178" t="s">
        <v>41</v>
      </c>
      <c r="AE178" t="s">
        <v>60</v>
      </c>
      <c r="AF178" t="s">
        <v>57</v>
      </c>
      <c r="AG178">
        <f>IF(HR_Data[[#This Row],[Attrition]]="Yes",1,0)</f>
        <v>1</v>
      </c>
      <c r="AH178" t="str">
        <f>IF(HR_Data[Date_of_termination]="","Active","Left")</f>
        <v>Active</v>
      </c>
      <c r="AI178" t="str">
        <f>IF(HR_Data[YearsAtCompany]&lt;=2,"Fresher", IF(HR_Data[YearsAtCompany]&lt;=5,"Junior", IF(HR_Data[YearsAtCompany]&lt;=10, "Mid","Senior")))</f>
        <v>Fresher</v>
      </c>
      <c r="AJ178" s="2" t="str">
        <f>IF(HR_Data[MonthlyIncome]&lt;=300,"Low", IF(HR_Data[MonthlyIncome]&lt;=7000,"Medium", "High"))</f>
        <v>Medium</v>
      </c>
      <c r="AK178" s="2" t="str">
        <f>VLOOKUP(HR_Data[JobRole], JobRole_Map[], 2, FALSE)</f>
        <v>Technical</v>
      </c>
    </row>
    <row r="179" spans="1:37" x14ac:dyDescent="0.25">
      <c r="A179" s="2">
        <v>34</v>
      </c>
      <c r="B179" t="s">
        <v>41</v>
      </c>
      <c r="C179" t="s">
        <v>33</v>
      </c>
      <c r="D179" t="s">
        <v>34</v>
      </c>
      <c r="E179">
        <v>7</v>
      </c>
      <c r="F179" t="s">
        <v>35</v>
      </c>
      <c r="G179">
        <v>3</v>
      </c>
      <c r="H179">
        <v>1</v>
      </c>
      <c r="I179" t="s">
        <v>44</v>
      </c>
      <c r="J179">
        <v>4</v>
      </c>
      <c r="K179" t="s">
        <v>37</v>
      </c>
      <c r="L179">
        <v>2972</v>
      </c>
      <c r="M179">
        <v>1</v>
      </c>
      <c r="N179" t="s">
        <v>41</v>
      </c>
      <c r="O179">
        <v>13</v>
      </c>
      <c r="P179">
        <v>3</v>
      </c>
      <c r="Q179">
        <v>0</v>
      </c>
      <c r="R179">
        <v>1</v>
      </c>
      <c r="S179">
        <v>4</v>
      </c>
      <c r="T179">
        <v>1</v>
      </c>
      <c r="U179">
        <v>0</v>
      </c>
      <c r="V179">
        <v>0</v>
      </c>
      <c r="W179" t="s">
        <v>51</v>
      </c>
      <c r="X179" s="1" t="d">
        <v>2020-05-28</v>
      </c>
      <c r="Z179" t="s">
        <v>39</v>
      </c>
      <c r="AA179" t="s">
        <v>40</v>
      </c>
      <c r="AB179">
        <v>2</v>
      </c>
      <c r="AC179">
        <v>0</v>
      </c>
      <c r="AD179" t="s">
        <v>41</v>
      </c>
      <c r="AE179" t="s">
        <v>60</v>
      </c>
      <c r="AF179" t="s">
        <v>57</v>
      </c>
      <c r="AG179">
        <f>IF(HR_Data[[#This Row],[Attrition]]="Yes",1,0)</f>
        <v>0</v>
      </c>
      <c r="AH179" t="str">
        <f>IF(HR_Data[Date_of_termination]="","Active","Left")</f>
        <v>Active</v>
      </c>
      <c r="AI179" t="str">
        <f>IF(HR_Data[YearsAtCompany]&lt;=2,"Fresher", IF(HR_Data[YearsAtCompany]&lt;=5,"Junior", IF(HR_Data[YearsAtCompany]&lt;=10, "Mid","Senior")))</f>
        <v>Fresher</v>
      </c>
      <c r="AJ179" s="2" t="str">
        <f>IF(HR_Data[MonthlyIncome]&lt;=300,"Low", IF(HR_Data[MonthlyIncome]&lt;=7000,"Medium", "High"))</f>
        <v>Medium</v>
      </c>
      <c r="AK179" s="2" t="str">
        <f>VLOOKUP(HR_Data[JobRole], JobRole_Map[], 2, FALSE)</f>
        <v>Technical</v>
      </c>
    </row>
    <row r="180" spans="1:37" x14ac:dyDescent="0.25">
      <c r="A180" s="2">
        <v>26</v>
      </c>
      <c r="B180" t="s">
        <v>41</v>
      </c>
      <c r="C180" t="s">
        <v>33</v>
      </c>
      <c r="D180" t="s">
        <v>34</v>
      </c>
      <c r="E180">
        <v>3</v>
      </c>
      <c r="F180" t="s">
        <v>58</v>
      </c>
      <c r="G180">
        <v>3</v>
      </c>
      <c r="H180">
        <v>1</v>
      </c>
      <c r="I180" t="s">
        <v>44</v>
      </c>
      <c r="J180">
        <v>4</v>
      </c>
      <c r="K180" t="s">
        <v>50</v>
      </c>
      <c r="L180">
        <v>2061</v>
      </c>
      <c r="M180">
        <v>1</v>
      </c>
      <c r="N180" t="s">
        <v>41</v>
      </c>
      <c r="O180">
        <v>21</v>
      </c>
      <c r="P180">
        <v>4</v>
      </c>
      <c r="Q180">
        <v>0</v>
      </c>
      <c r="R180">
        <v>1</v>
      </c>
      <c r="S180">
        <v>5</v>
      </c>
      <c r="T180">
        <v>1</v>
      </c>
      <c r="U180">
        <v>0</v>
      </c>
      <c r="V180">
        <v>0</v>
      </c>
      <c r="W180" t="s">
        <v>38</v>
      </c>
      <c r="X180" s="1" t="d">
        <v>2020-01-21</v>
      </c>
      <c r="Z180" t="s">
        <v>59</v>
      </c>
      <c r="AA180" t="s">
        <v>46</v>
      </c>
      <c r="AB180">
        <v>2</v>
      </c>
      <c r="AC180">
        <v>2</v>
      </c>
      <c r="AD180" t="s">
        <v>41</v>
      </c>
      <c r="AE180" t="s">
        <v>62</v>
      </c>
      <c r="AF180" t="s">
        <v>43</v>
      </c>
      <c r="AG180">
        <f>IF(HR_Data[[#This Row],[Attrition]]="Yes",1,0)</f>
        <v>0</v>
      </c>
      <c r="AH180" t="str">
        <f>IF(HR_Data[Date_of_termination]="","Active","Left")</f>
        <v>Active</v>
      </c>
      <c r="AI180" t="str">
        <f>IF(HR_Data[YearsAtCompany]&lt;=2,"Fresher", IF(HR_Data[YearsAtCompany]&lt;=5,"Junior", IF(HR_Data[YearsAtCompany]&lt;=10, "Mid","Senior")))</f>
        <v>Fresher</v>
      </c>
      <c r="AJ180" s="2" t="str">
        <f>IF(HR_Data[MonthlyIncome]&lt;=300,"Low", IF(HR_Data[MonthlyIncome]&lt;=7000,"Medium", "High"))</f>
        <v>Medium</v>
      </c>
      <c r="AK180" s="2" t="str">
        <f>VLOOKUP(HR_Data[JobRole], JobRole_Map[], 2, FALSE)</f>
        <v>Technical</v>
      </c>
    </row>
    <row r="181" spans="1:37" x14ac:dyDescent="0.25">
      <c r="A181" s="2">
        <v>36</v>
      </c>
      <c r="B181" t="s">
        <v>41</v>
      </c>
      <c r="C181" t="s">
        <v>33</v>
      </c>
      <c r="D181" t="s">
        <v>53</v>
      </c>
      <c r="E181">
        <v>1</v>
      </c>
      <c r="F181" t="s">
        <v>58</v>
      </c>
      <c r="G181">
        <v>3</v>
      </c>
      <c r="H181">
        <v>2</v>
      </c>
      <c r="I181" t="s">
        <v>64</v>
      </c>
      <c r="J181">
        <v>3</v>
      </c>
      <c r="K181" t="s">
        <v>37</v>
      </c>
      <c r="L181">
        <v>6815</v>
      </c>
      <c r="M181">
        <v>6</v>
      </c>
      <c r="N181" t="s">
        <v>41</v>
      </c>
      <c r="O181">
        <v>13</v>
      </c>
      <c r="P181">
        <v>3</v>
      </c>
      <c r="Q181">
        <v>0</v>
      </c>
      <c r="R181">
        <v>15</v>
      </c>
      <c r="S181">
        <v>5</v>
      </c>
      <c r="T181">
        <v>1</v>
      </c>
      <c r="U181">
        <v>0</v>
      </c>
      <c r="V181">
        <v>0</v>
      </c>
      <c r="W181" t="s">
        <v>51</v>
      </c>
      <c r="X181" s="1" t="d">
        <v>2020-02-01</v>
      </c>
      <c r="Z181" t="s">
        <v>59</v>
      </c>
      <c r="AA181" t="s">
        <v>46</v>
      </c>
      <c r="AB181">
        <v>5</v>
      </c>
      <c r="AC181">
        <v>0</v>
      </c>
      <c r="AD181" t="s">
        <v>41</v>
      </c>
      <c r="AE181" t="s">
        <v>62</v>
      </c>
      <c r="AF181" t="s">
        <v>48</v>
      </c>
      <c r="AG181">
        <f>IF(HR_Data[[#This Row],[Attrition]]="Yes",1,0)</f>
        <v>0</v>
      </c>
      <c r="AH181" t="str">
        <f>IF(HR_Data[Date_of_termination]="","Active","Left")</f>
        <v>Active</v>
      </c>
      <c r="AI181" t="str">
        <f>IF(HR_Data[YearsAtCompany]&lt;=2,"Fresher", IF(HR_Data[YearsAtCompany]&lt;=5,"Junior", IF(HR_Data[YearsAtCompany]&lt;=10, "Mid","Senior")))</f>
        <v>Fresher</v>
      </c>
      <c r="AJ181" s="2" t="str">
        <f>IF(HR_Data[MonthlyIncome]&lt;=300,"Low", IF(HR_Data[MonthlyIncome]&lt;=7000,"Medium", "High"))</f>
        <v>Medium</v>
      </c>
      <c r="AK181" s="2" t="str">
        <f>VLOOKUP(HR_Data[JobRole], JobRole_Map[], 2, FALSE)</f>
        <v>Sales</v>
      </c>
    </row>
    <row r="182" spans="1:37" x14ac:dyDescent="0.25">
      <c r="A182" s="2">
        <v>50</v>
      </c>
      <c r="B182" t="s">
        <v>41</v>
      </c>
      <c r="C182" t="s">
        <v>33</v>
      </c>
      <c r="D182" t="s">
        <v>53</v>
      </c>
      <c r="E182">
        <v>9</v>
      </c>
      <c r="F182" t="s">
        <v>35</v>
      </c>
      <c r="G182">
        <v>3</v>
      </c>
      <c r="H182">
        <v>5</v>
      </c>
      <c r="I182" t="s">
        <v>66</v>
      </c>
      <c r="J182">
        <v>3</v>
      </c>
      <c r="K182" t="s">
        <v>50</v>
      </c>
      <c r="L182">
        <v>19331</v>
      </c>
      <c r="M182">
        <v>4</v>
      </c>
      <c r="N182" t="s">
        <v>32</v>
      </c>
      <c r="O182">
        <v>16</v>
      </c>
      <c r="P182">
        <v>3</v>
      </c>
      <c r="Q182">
        <v>1</v>
      </c>
      <c r="R182">
        <v>27</v>
      </c>
      <c r="S182">
        <v>2</v>
      </c>
      <c r="T182">
        <v>1</v>
      </c>
      <c r="U182">
        <v>0</v>
      </c>
      <c r="V182">
        <v>0</v>
      </c>
      <c r="W182" t="s">
        <v>56</v>
      </c>
      <c r="X182" s="1" t="d">
        <v>2020-06-23</v>
      </c>
      <c r="Z182" t="s">
        <v>39</v>
      </c>
      <c r="AA182" t="s">
        <v>40</v>
      </c>
      <c r="AB182">
        <v>4</v>
      </c>
      <c r="AC182">
        <v>1</v>
      </c>
      <c r="AD182" t="s">
        <v>32</v>
      </c>
      <c r="AE182" t="s">
        <v>47</v>
      </c>
      <c r="AF182" t="s">
        <v>57</v>
      </c>
      <c r="AG182">
        <f>IF(HR_Data[[#This Row],[Attrition]]="Yes",1,0)</f>
        <v>0</v>
      </c>
      <c r="AH182" t="str">
        <f>IF(HR_Data[Date_of_termination]="","Active","Left")</f>
        <v>Active</v>
      </c>
      <c r="AI182" t="str">
        <f>IF(HR_Data[YearsAtCompany]&lt;=2,"Fresher", IF(HR_Data[YearsAtCompany]&lt;=5,"Junior", IF(HR_Data[YearsAtCompany]&lt;=10, "Mid","Senior")))</f>
        <v>Fresher</v>
      </c>
      <c r="AJ182" s="2" t="str">
        <f>IF(HR_Data[MonthlyIncome]&lt;=300,"Low", IF(HR_Data[MonthlyIncome]&lt;=7000,"Medium", "High"))</f>
        <v>High</v>
      </c>
      <c r="AK182" s="2" t="str">
        <f>VLOOKUP(HR_Data[JobRole], JobRole_Map[], 2, FALSE)</f>
        <v>Management</v>
      </c>
    </row>
    <row r="183" spans="1:37" x14ac:dyDescent="0.25">
      <c r="A183" s="2">
        <v>35</v>
      </c>
      <c r="B183" t="s">
        <v>41</v>
      </c>
      <c r="C183" t="s">
        <v>33</v>
      </c>
      <c r="D183" t="s">
        <v>34</v>
      </c>
      <c r="E183">
        <v>7</v>
      </c>
      <c r="F183" t="s">
        <v>35</v>
      </c>
      <c r="G183">
        <v>2</v>
      </c>
      <c r="H183">
        <v>1</v>
      </c>
      <c r="I183" t="s">
        <v>36</v>
      </c>
      <c r="J183">
        <v>4</v>
      </c>
      <c r="K183" t="s">
        <v>50</v>
      </c>
      <c r="L183">
        <v>2690</v>
      </c>
      <c r="M183">
        <v>1</v>
      </c>
      <c r="N183" t="s">
        <v>41</v>
      </c>
      <c r="O183">
        <v>18</v>
      </c>
      <c r="P183">
        <v>3</v>
      </c>
      <c r="Q183">
        <v>1</v>
      </c>
      <c r="R183">
        <v>1</v>
      </c>
      <c r="S183">
        <v>5</v>
      </c>
      <c r="T183">
        <v>1</v>
      </c>
      <c r="U183">
        <v>0</v>
      </c>
      <c r="V183">
        <v>1</v>
      </c>
      <c r="W183" t="s">
        <v>65</v>
      </c>
      <c r="X183" s="1" t="d">
        <v>2020-02-17</v>
      </c>
      <c r="Z183" t="s">
        <v>45</v>
      </c>
      <c r="AA183" t="s">
        <v>46</v>
      </c>
      <c r="AB183">
        <v>1</v>
      </c>
      <c r="AC183">
        <v>0</v>
      </c>
      <c r="AD183" t="s">
        <v>41</v>
      </c>
      <c r="AE183" t="s">
        <v>47</v>
      </c>
      <c r="AF183" t="s">
        <v>43</v>
      </c>
      <c r="AG183">
        <f>IF(HR_Data[[#This Row],[Attrition]]="Yes",1,0)</f>
        <v>0</v>
      </c>
      <c r="AH183" t="str">
        <f>IF(HR_Data[Date_of_termination]="","Active","Left")</f>
        <v>Active</v>
      </c>
      <c r="AI183" t="str">
        <f>IF(HR_Data[YearsAtCompany]&lt;=2,"Fresher", IF(HR_Data[YearsAtCompany]&lt;=5,"Junior", IF(HR_Data[YearsAtCompany]&lt;=10, "Mid","Senior")))</f>
        <v>Fresher</v>
      </c>
      <c r="AJ183" s="2" t="str">
        <f>IF(HR_Data[MonthlyIncome]&lt;=300,"Low", IF(HR_Data[MonthlyIncome]&lt;=7000,"Medium", "High"))</f>
        <v>Medium</v>
      </c>
      <c r="AK183" s="2" t="str">
        <f>VLOOKUP(HR_Data[JobRole], JobRole_Map[], 2, FALSE)</f>
        <v>Technical</v>
      </c>
    </row>
    <row r="184" spans="1:37" x14ac:dyDescent="0.25">
      <c r="A184" s="2">
        <v>28</v>
      </c>
      <c r="B184" t="s">
        <v>32</v>
      </c>
      <c r="C184" t="s">
        <v>33</v>
      </c>
      <c r="D184" t="s">
        <v>34</v>
      </c>
      <c r="E184">
        <v>24</v>
      </c>
      <c r="F184" t="s">
        <v>35</v>
      </c>
      <c r="G184">
        <v>3</v>
      </c>
      <c r="H184">
        <v>1</v>
      </c>
      <c r="I184" t="s">
        <v>36</v>
      </c>
      <c r="J184">
        <v>2</v>
      </c>
      <c r="K184" t="s">
        <v>50</v>
      </c>
      <c r="L184">
        <v>2408</v>
      </c>
      <c r="M184">
        <v>1</v>
      </c>
      <c r="N184" t="s">
        <v>32</v>
      </c>
      <c r="O184">
        <v>17</v>
      </c>
      <c r="P184">
        <v>3</v>
      </c>
      <c r="Q184">
        <v>3</v>
      </c>
      <c r="R184">
        <v>1</v>
      </c>
      <c r="S184">
        <v>3</v>
      </c>
      <c r="T184">
        <v>1</v>
      </c>
      <c r="U184">
        <v>0</v>
      </c>
      <c r="V184">
        <v>0</v>
      </c>
      <c r="W184" t="s">
        <v>65</v>
      </c>
      <c r="X184" s="1" t="d">
        <v>2020-04-08</v>
      </c>
      <c r="Z184" t="s">
        <v>52</v>
      </c>
      <c r="AA184" t="s">
        <v>46</v>
      </c>
      <c r="AB184">
        <v>1</v>
      </c>
      <c r="AC184">
        <v>1</v>
      </c>
      <c r="AD184" t="s">
        <v>32</v>
      </c>
      <c r="AE184" t="s">
        <v>47</v>
      </c>
      <c r="AF184" t="s">
        <v>57</v>
      </c>
      <c r="AG184">
        <f>IF(HR_Data[[#This Row],[Attrition]]="Yes",1,0)</f>
        <v>1</v>
      </c>
      <c r="AH184" t="str">
        <f>IF(HR_Data[Date_of_termination]="","Active","Left")</f>
        <v>Active</v>
      </c>
      <c r="AI184" t="str">
        <f>IF(HR_Data[YearsAtCompany]&lt;=2,"Fresher", IF(HR_Data[YearsAtCompany]&lt;=5,"Junior", IF(HR_Data[YearsAtCompany]&lt;=10, "Mid","Senior")))</f>
        <v>Fresher</v>
      </c>
      <c r="AJ184" s="2" t="str">
        <f>IF(HR_Data[MonthlyIncome]&lt;=300,"Low", IF(HR_Data[MonthlyIncome]&lt;=7000,"Medium", "High"))</f>
        <v>Medium</v>
      </c>
      <c r="AK184" s="2" t="str">
        <f>VLOOKUP(HR_Data[JobRole], JobRole_Map[], 2, FALSE)</f>
        <v>Technical</v>
      </c>
    </row>
    <row r="185" spans="1:37" x14ac:dyDescent="0.25">
      <c r="A185" s="2">
        <v>32</v>
      </c>
      <c r="B185" t="s">
        <v>32</v>
      </c>
      <c r="C185" t="s">
        <v>33</v>
      </c>
      <c r="D185" t="s">
        <v>34</v>
      </c>
      <c r="E185">
        <v>2</v>
      </c>
      <c r="F185" t="s">
        <v>35</v>
      </c>
      <c r="G185">
        <v>3</v>
      </c>
      <c r="H185">
        <v>1</v>
      </c>
      <c r="I185" t="s">
        <v>36</v>
      </c>
      <c r="J185">
        <v>2</v>
      </c>
      <c r="K185" t="s">
        <v>37</v>
      </c>
      <c r="L185">
        <v>1393</v>
      </c>
      <c r="M185">
        <v>1</v>
      </c>
      <c r="N185" t="s">
        <v>41</v>
      </c>
      <c r="O185">
        <v>12</v>
      </c>
      <c r="P185">
        <v>3</v>
      </c>
      <c r="Q185">
        <v>0</v>
      </c>
      <c r="R185">
        <v>1</v>
      </c>
      <c r="S185">
        <v>2</v>
      </c>
      <c r="T185">
        <v>1</v>
      </c>
      <c r="U185">
        <v>0</v>
      </c>
      <c r="V185">
        <v>0</v>
      </c>
      <c r="W185" t="s">
        <v>38</v>
      </c>
      <c r="X185" s="1" t="d">
        <v>2020-02-08</v>
      </c>
      <c r="Z185" t="s">
        <v>39</v>
      </c>
      <c r="AA185" t="s">
        <v>40</v>
      </c>
      <c r="AB185">
        <v>4</v>
      </c>
      <c r="AC185">
        <v>0</v>
      </c>
      <c r="AD185" t="s">
        <v>32</v>
      </c>
      <c r="AE185" t="s">
        <v>62</v>
      </c>
      <c r="AF185" t="s">
        <v>57</v>
      </c>
      <c r="AG185">
        <f>IF(HR_Data[[#This Row],[Attrition]]="Yes",1,0)</f>
        <v>1</v>
      </c>
      <c r="AH185" t="str">
        <f>IF(HR_Data[Date_of_termination]="","Active","Left")</f>
        <v>Active</v>
      </c>
      <c r="AI185" t="str">
        <f>IF(HR_Data[YearsAtCompany]&lt;=2,"Fresher", IF(HR_Data[YearsAtCompany]&lt;=5,"Junior", IF(HR_Data[YearsAtCompany]&lt;=10, "Mid","Senior")))</f>
        <v>Fresher</v>
      </c>
      <c r="AJ185" s="2" t="str">
        <f>IF(HR_Data[MonthlyIncome]&lt;=300,"Low", IF(HR_Data[MonthlyIncome]&lt;=7000,"Medium", "High"))</f>
        <v>Medium</v>
      </c>
      <c r="AK185" s="2" t="str">
        <f>VLOOKUP(HR_Data[JobRole], JobRole_Map[], 2, FALSE)</f>
        <v>Technical</v>
      </c>
    </row>
    <row r="186" spans="1:37" x14ac:dyDescent="0.25">
      <c r="A186" s="2">
        <v>60</v>
      </c>
      <c r="B186" t="s">
        <v>41</v>
      </c>
      <c r="C186" t="s">
        <v>33</v>
      </c>
      <c r="D186" t="s">
        <v>34</v>
      </c>
      <c r="E186">
        <v>1</v>
      </c>
      <c r="F186" t="s">
        <v>35</v>
      </c>
      <c r="G186">
        <v>1</v>
      </c>
      <c r="H186">
        <v>3</v>
      </c>
      <c r="I186" t="s">
        <v>69</v>
      </c>
      <c r="J186">
        <v>4</v>
      </c>
      <c r="K186" t="s">
        <v>55</v>
      </c>
      <c r="L186">
        <v>10883</v>
      </c>
      <c r="M186">
        <v>3</v>
      </c>
      <c r="N186" t="s">
        <v>41</v>
      </c>
      <c r="O186">
        <v>20</v>
      </c>
      <c r="P186">
        <v>4</v>
      </c>
      <c r="Q186">
        <v>1</v>
      </c>
      <c r="R186">
        <v>19</v>
      </c>
      <c r="S186">
        <v>2</v>
      </c>
      <c r="T186">
        <v>1</v>
      </c>
      <c r="U186">
        <v>0</v>
      </c>
      <c r="V186">
        <v>0</v>
      </c>
      <c r="W186" t="s">
        <v>65</v>
      </c>
      <c r="X186" s="1" t="d">
        <v>2020-05-20</v>
      </c>
      <c r="Z186" t="s">
        <v>39</v>
      </c>
      <c r="AA186" t="s">
        <v>40</v>
      </c>
      <c r="AB186">
        <v>1</v>
      </c>
      <c r="AC186">
        <v>1</v>
      </c>
      <c r="AD186" t="s">
        <v>41</v>
      </c>
      <c r="AE186" t="s">
        <v>47</v>
      </c>
      <c r="AF186" t="s">
        <v>43</v>
      </c>
      <c r="AG186">
        <f>IF(HR_Data[[#This Row],[Attrition]]="Yes",1,0)</f>
        <v>0</v>
      </c>
      <c r="AH186" t="str">
        <f>IF(HR_Data[Date_of_termination]="","Active","Left")</f>
        <v>Active</v>
      </c>
      <c r="AI186" t="str">
        <f>IF(HR_Data[YearsAtCompany]&lt;=2,"Fresher", IF(HR_Data[YearsAtCompany]&lt;=5,"Junior", IF(HR_Data[YearsAtCompany]&lt;=10, "Mid","Senior")))</f>
        <v>Fresher</v>
      </c>
      <c r="AJ186" s="2" t="str">
        <f>IF(HR_Data[MonthlyIncome]&lt;=300,"Low", IF(HR_Data[MonthlyIncome]&lt;=7000,"Medium", "High"))</f>
        <v>High</v>
      </c>
      <c r="AK186" s="2" t="str">
        <f>VLOOKUP(HR_Data[JobRole], JobRole_Map[], 2, FALSE)</f>
        <v>Operations</v>
      </c>
    </row>
    <row r="187" spans="1:37" x14ac:dyDescent="0.25">
      <c r="A187" s="2">
        <v>24</v>
      </c>
      <c r="B187" t="s">
        <v>32</v>
      </c>
      <c r="C187" t="s">
        <v>33</v>
      </c>
      <c r="D187" t="s">
        <v>70</v>
      </c>
      <c r="E187">
        <v>22</v>
      </c>
      <c r="F187" t="s">
        <v>35</v>
      </c>
      <c r="G187">
        <v>1</v>
      </c>
      <c r="H187">
        <v>1</v>
      </c>
      <c r="I187" t="s">
        <v>70</v>
      </c>
      <c r="J187">
        <v>3</v>
      </c>
      <c r="K187" t="s">
        <v>50</v>
      </c>
      <c r="L187">
        <v>1555</v>
      </c>
      <c r="M187">
        <v>1</v>
      </c>
      <c r="N187" t="s">
        <v>41</v>
      </c>
      <c r="O187">
        <v>11</v>
      </c>
      <c r="P187">
        <v>3</v>
      </c>
      <c r="Q187">
        <v>1</v>
      </c>
      <c r="R187">
        <v>1</v>
      </c>
      <c r="S187">
        <v>2</v>
      </c>
      <c r="T187">
        <v>1</v>
      </c>
      <c r="U187">
        <v>0</v>
      </c>
      <c r="V187">
        <v>0</v>
      </c>
      <c r="W187" t="s">
        <v>56</v>
      </c>
      <c r="X187" s="1" t="d">
        <v>2020-02-07</v>
      </c>
      <c r="Z187" t="s">
        <v>59</v>
      </c>
      <c r="AA187" t="s">
        <v>40</v>
      </c>
      <c r="AB187">
        <v>1</v>
      </c>
      <c r="AC187">
        <v>2</v>
      </c>
      <c r="AD187" t="s">
        <v>41</v>
      </c>
      <c r="AE187" t="s">
        <v>62</v>
      </c>
      <c r="AF187" t="s">
        <v>57</v>
      </c>
      <c r="AG187">
        <f>IF(HR_Data[[#This Row],[Attrition]]="Yes",1,0)</f>
        <v>1</v>
      </c>
      <c r="AH187" t="str">
        <f>IF(HR_Data[Date_of_termination]="","Active","Left")</f>
        <v>Active</v>
      </c>
      <c r="AI187" t="str">
        <f>IF(HR_Data[YearsAtCompany]&lt;=2,"Fresher", IF(HR_Data[YearsAtCompany]&lt;=5,"Junior", IF(HR_Data[YearsAtCompany]&lt;=10, "Mid","Senior")))</f>
        <v>Fresher</v>
      </c>
      <c r="AJ187" s="2" t="str">
        <f>IF(HR_Data[MonthlyIncome]&lt;=300,"Low", IF(HR_Data[MonthlyIncome]&lt;=7000,"Medium", "High"))</f>
        <v>Medium</v>
      </c>
      <c r="AK187" s="2" t="str">
        <f>VLOOKUP(HR_Data[JobRole], JobRole_Map[], 2, FALSE)</f>
        <v>HR</v>
      </c>
    </row>
    <row r="188" spans="1:37" x14ac:dyDescent="0.25">
      <c r="A188" s="2">
        <v>40</v>
      </c>
      <c r="B188" t="s">
        <v>41</v>
      </c>
      <c r="C188" t="s">
        <v>33</v>
      </c>
      <c r="D188" t="s">
        <v>34</v>
      </c>
      <c r="E188">
        <v>8</v>
      </c>
      <c r="F188" t="s">
        <v>58</v>
      </c>
      <c r="G188">
        <v>3</v>
      </c>
      <c r="H188">
        <v>2</v>
      </c>
      <c r="I188" t="s">
        <v>67</v>
      </c>
      <c r="J188">
        <v>1</v>
      </c>
      <c r="K188" t="s">
        <v>50</v>
      </c>
      <c r="L188">
        <v>6516</v>
      </c>
      <c r="M188">
        <v>2</v>
      </c>
      <c r="N188" t="s">
        <v>32</v>
      </c>
      <c r="O188">
        <v>16</v>
      </c>
      <c r="P188">
        <v>3</v>
      </c>
      <c r="Q188">
        <v>1</v>
      </c>
      <c r="R188">
        <v>18</v>
      </c>
      <c r="S188">
        <v>3</v>
      </c>
      <c r="T188">
        <v>1</v>
      </c>
      <c r="U188">
        <v>0</v>
      </c>
      <c r="V188">
        <v>0</v>
      </c>
      <c r="W188" t="s">
        <v>51</v>
      </c>
      <c r="X188" s="1" t="d">
        <v>2020-02-19</v>
      </c>
      <c r="Z188" t="s">
        <v>52</v>
      </c>
      <c r="AA188" t="s">
        <v>40</v>
      </c>
      <c r="AB188">
        <v>0</v>
      </c>
      <c r="AC188">
        <v>1</v>
      </c>
      <c r="AD188" t="s">
        <v>32</v>
      </c>
      <c r="AE188" t="s">
        <v>47</v>
      </c>
      <c r="AF188" t="s">
        <v>43</v>
      </c>
      <c r="AG188">
        <f>IF(HR_Data[[#This Row],[Attrition]]="Yes",1,0)</f>
        <v>0</v>
      </c>
      <c r="AH188" t="str">
        <f>IF(HR_Data[Date_of_termination]="","Active","Left")</f>
        <v>Active</v>
      </c>
      <c r="AI188" t="str">
        <f>IF(HR_Data[YearsAtCompany]&lt;=2,"Fresher", IF(HR_Data[YearsAtCompany]&lt;=5,"Junior", IF(HR_Data[YearsAtCompany]&lt;=10, "Mid","Senior")))</f>
        <v>Fresher</v>
      </c>
      <c r="AJ188" s="2" t="str">
        <f>IF(HR_Data[MonthlyIncome]&lt;=300,"Low", IF(HR_Data[MonthlyIncome]&lt;=7000,"Medium", "High"))</f>
        <v>Medium</v>
      </c>
      <c r="AK188" s="2" t="str">
        <f>VLOOKUP(HR_Data[JobRole], JobRole_Map[], 2, FALSE)</f>
        <v>Operations</v>
      </c>
    </row>
    <row r="189" spans="1:37" x14ac:dyDescent="0.25">
      <c r="A189" s="2">
        <v>47</v>
      </c>
      <c r="B189" t="s">
        <v>41</v>
      </c>
      <c r="C189" t="s">
        <v>68</v>
      </c>
      <c r="D189" t="s">
        <v>53</v>
      </c>
      <c r="E189">
        <v>2</v>
      </c>
      <c r="F189" t="s">
        <v>35</v>
      </c>
      <c r="G189">
        <v>3</v>
      </c>
      <c r="H189">
        <v>2</v>
      </c>
      <c r="I189" t="s">
        <v>64</v>
      </c>
      <c r="J189">
        <v>2</v>
      </c>
      <c r="K189" t="s">
        <v>50</v>
      </c>
      <c r="L189">
        <v>4978</v>
      </c>
      <c r="M189">
        <v>7</v>
      </c>
      <c r="N189" t="s">
        <v>41</v>
      </c>
      <c r="O189">
        <v>11</v>
      </c>
      <c r="P189">
        <v>3</v>
      </c>
      <c r="Q189">
        <v>1</v>
      </c>
      <c r="R189">
        <v>4</v>
      </c>
      <c r="S189">
        <v>3</v>
      </c>
      <c r="T189">
        <v>1</v>
      </c>
      <c r="U189">
        <v>0</v>
      </c>
      <c r="V189">
        <v>0</v>
      </c>
      <c r="W189" t="s">
        <v>65</v>
      </c>
      <c r="X189" s="1" t="d">
        <v>2020-03-10</v>
      </c>
      <c r="Z189" t="s">
        <v>52</v>
      </c>
      <c r="AA189" t="s">
        <v>40</v>
      </c>
      <c r="AB189">
        <v>0</v>
      </c>
      <c r="AC189">
        <v>0</v>
      </c>
      <c r="AD189" t="s">
        <v>41</v>
      </c>
      <c r="AE189" t="s">
        <v>60</v>
      </c>
      <c r="AF189" t="s">
        <v>48</v>
      </c>
      <c r="AG189">
        <f>IF(HR_Data[[#This Row],[Attrition]]="Yes",1,0)</f>
        <v>0</v>
      </c>
      <c r="AH189" t="str">
        <f>IF(HR_Data[Date_of_termination]="","Active","Left")</f>
        <v>Active</v>
      </c>
      <c r="AI189" t="str">
        <f>IF(HR_Data[YearsAtCompany]&lt;=2,"Fresher", IF(HR_Data[YearsAtCompany]&lt;=5,"Junior", IF(HR_Data[YearsAtCompany]&lt;=10, "Mid","Senior")))</f>
        <v>Fresher</v>
      </c>
      <c r="AJ189" s="2" t="str">
        <f>IF(HR_Data[MonthlyIncome]&lt;=300,"Low", IF(HR_Data[MonthlyIncome]&lt;=7000,"Medium", "High"))</f>
        <v>Medium</v>
      </c>
      <c r="AK189" s="2" t="str">
        <f>VLOOKUP(HR_Data[JobRole], JobRole_Map[], 2, FALSE)</f>
        <v>Sales</v>
      </c>
    </row>
    <row r="190" spans="1:37" x14ac:dyDescent="0.25">
      <c r="A190" s="2">
        <v>31</v>
      </c>
      <c r="B190" t="s">
        <v>32</v>
      </c>
      <c r="C190" t="s">
        <v>33</v>
      </c>
      <c r="D190" t="s">
        <v>53</v>
      </c>
      <c r="E190">
        <v>16</v>
      </c>
      <c r="F190" t="s">
        <v>35</v>
      </c>
      <c r="G190">
        <v>3</v>
      </c>
      <c r="H190">
        <v>3</v>
      </c>
      <c r="I190" t="s">
        <v>64</v>
      </c>
      <c r="J190">
        <v>3</v>
      </c>
      <c r="K190" t="s">
        <v>50</v>
      </c>
      <c r="L190">
        <v>8161</v>
      </c>
      <c r="M190">
        <v>2</v>
      </c>
      <c r="N190" t="s">
        <v>41</v>
      </c>
      <c r="O190">
        <v>13</v>
      </c>
      <c r="P190">
        <v>3</v>
      </c>
      <c r="Q190">
        <v>3</v>
      </c>
      <c r="R190">
        <v>10</v>
      </c>
      <c r="S190">
        <v>2</v>
      </c>
      <c r="T190">
        <v>1</v>
      </c>
      <c r="U190">
        <v>0</v>
      </c>
      <c r="V190">
        <v>0</v>
      </c>
      <c r="W190" t="s">
        <v>51</v>
      </c>
      <c r="X190" s="1" t="d">
        <v>2020-01-13</v>
      </c>
      <c r="Z190" t="s">
        <v>45</v>
      </c>
      <c r="AA190" t="s">
        <v>40</v>
      </c>
      <c r="AB190">
        <v>4</v>
      </c>
      <c r="AC190">
        <v>3</v>
      </c>
      <c r="AD190" t="s">
        <v>32</v>
      </c>
      <c r="AE190" t="s">
        <v>42</v>
      </c>
      <c r="AF190" t="s">
        <v>48</v>
      </c>
      <c r="AG190">
        <f>IF(HR_Data[[#This Row],[Attrition]]="Yes",1,0)</f>
        <v>1</v>
      </c>
      <c r="AH190" t="str">
        <f>IF(HR_Data[Date_of_termination]="","Active","Left")</f>
        <v>Active</v>
      </c>
      <c r="AI190" t="str">
        <f>IF(HR_Data[YearsAtCompany]&lt;=2,"Fresher", IF(HR_Data[YearsAtCompany]&lt;=5,"Junior", IF(HR_Data[YearsAtCompany]&lt;=10, "Mid","Senior")))</f>
        <v>Fresher</v>
      </c>
      <c r="AJ190" s="2" t="str">
        <f>IF(HR_Data[MonthlyIncome]&lt;=300,"Low", IF(HR_Data[MonthlyIncome]&lt;=7000,"Medium", "High"))</f>
        <v>High</v>
      </c>
      <c r="AK190" s="2" t="str">
        <f>VLOOKUP(HR_Data[JobRole], JobRole_Map[], 2, FALSE)</f>
        <v>Sales</v>
      </c>
    </row>
    <row r="191" spans="1:37" x14ac:dyDescent="0.25">
      <c r="A191" s="2">
        <v>29</v>
      </c>
      <c r="B191" t="s">
        <v>41</v>
      </c>
      <c r="C191" t="s">
        <v>33</v>
      </c>
      <c r="D191" t="s">
        <v>34</v>
      </c>
      <c r="E191">
        <v>4</v>
      </c>
      <c r="F191" t="s">
        <v>58</v>
      </c>
      <c r="G191">
        <v>2</v>
      </c>
      <c r="H191">
        <v>1</v>
      </c>
      <c r="I191" t="s">
        <v>44</v>
      </c>
      <c r="J191">
        <v>1</v>
      </c>
      <c r="K191" t="s">
        <v>55</v>
      </c>
      <c r="L191">
        <v>2109</v>
      </c>
      <c r="M191">
        <v>1</v>
      </c>
      <c r="N191" t="s">
        <v>41</v>
      </c>
      <c r="O191">
        <v>13</v>
      </c>
      <c r="P191">
        <v>3</v>
      </c>
      <c r="Q191">
        <v>1</v>
      </c>
      <c r="R191">
        <v>1</v>
      </c>
      <c r="S191">
        <v>2</v>
      </c>
      <c r="T191">
        <v>1</v>
      </c>
      <c r="U191">
        <v>0</v>
      </c>
      <c r="V191">
        <v>0</v>
      </c>
      <c r="W191" t="s">
        <v>38</v>
      </c>
      <c r="X191" s="1" t="d">
        <v>2020-05-24</v>
      </c>
      <c r="Z191" t="s">
        <v>63</v>
      </c>
      <c r="AA191" t="s">
        <v>40</v>
      </c>
      <c r="AB191">
        <v>3</v>
      </c>
      <c r="AC191">
        <v>3</v>
      </c>
      <c r="AD191" t="s">
        <v>41</v>
      </c>
      <c r="AE191" t="s">
        <v>62</v>
      </c>
      <c r="AF191" t="s">
        <v>57</v>
      </c>
      <c r="AG191">
        <f>IF(HR_Data[[#This Row],[Attrition]]="Yes",1,0)</f>
        <v>0</v>
      </c>
      <c r="AH191" t="str">
        <f>IF(HR_Data[Date_of_termination]="","Active","Left")</f>
        <v>Active</v>
      </c>
      <c r="AI191" t="str">
        <f>IF(HR_Data[YearsAtCompany]&lt;=2,"Fresher", IF(HR_Data[YearsAtCompany]&lt;=5,"Junior", IF(HR_Data[YearsAtCompany]&lt;=10, "Mid","Senior")))</f>
        <v>Fresher</v>
      </c>
      <c r="AJ191" s="2" t="str">
        <f>IF(HR_Data[MonthlyIncome]&lt;=300,"Low", IF(HR_Data[MonthlyIncome]&lt;=7000,"Medium", "High"))</f>
        <v>Medium</v>
      </c>
      <c r="AK191" s="2" t="str">
        <f>VLOOKUP(HR_Data[JobRole], JobRole_Map[], 2, FALSE)</f>
        <v>Technical</v>
      </c>
    </row>
    <row r="192" spans="1:37" x14ac:dyDescent="0.25">
      <c r="A192" s="2">
        <v>38</v>
      </c>
      <c r="B192" t="s">
        <v>41</v>
      </c>
      <c r="C192" t="s">
        <v>33</v>
      </c>
      <c r="D192" t="s">
        <v>34</v>
      </c>
      <c r="E192">
        <v>18</v>
      </c>
      <c r="F192" t="s">
        <v>35</v>
      </c>
      <c r="G192">
        <v>1</v>
      </c>
      <c r="H192">
        <v>2</v>
      </c>
      <c r="I192" t="s">
        <v>69</v>
      </c>
      <c r="J192">
        <v>4</v>
      </c>
      <c r="K192" t="s">
        <v>50</v>
      </c>
      <c r="L192">
        <v>5811</v>
      </c>
      <c r="M192">
        <v>3</v>
      </c>
      <c r="N192" t="s">
        <v>32</v>
      </c>
      <c r="O192">
        <v>16</v>
      </c>
      <c r="P192">
        <v>3</v>
      </c>
      <c r="Q192">
        <v>1</v>
      </c>
      <c r="R192">
        <v>15</v>
      </c>
      <c r="S192">
        <v>2</v>
      </c>
      <c r="T192">
        <v>1</v>
      </c>
      <c r="U192">
        <v>1</v>
      </c>
      <c r="V192">
        <v>0</v>
      </c>
      <c r="W192" t="s">
        <v>51</v>
      </c>
      <c r="X192" s="1" t="d">
        <v>2020-02-21</v>
      </c>
      <c r="Z192" t="s">
        <v>45</v>
      </c>
      <c r="AA192" t="s">
        <v>46</v>
      </c>
      <c r="AB192">
        <v>2</v>
      </c>
      <c r="AC192">
        <v>1</v>
      </c>
      <c r="AD192" t="s">
        <v>32</v>
      </c>
      <c r="AE192" t="s">
        <v>42</v>
      </c>
      <c r="AF192" t="s">
        <v>48</v>
      </c>
      <c r="AG192">
        <f>IF(HR_Data[[#This Row],[Attrition]]="Yes",1,0)</f>
        <v>0</v>
      </c>
      <c r="AH192" t="str">
        <f>IF(HR_Data[Date_of_termination]="","Active","Left")</f>
        <v>Active</v>
      </c>
      <c r="AI192" t="str">
        <f>IF(HR_Data[YearsAtCompany]&lt;=2,"Fresher", IF(HR_Data[YearsAtCompany]&lt;=5,"Junior", IF(HR_Data[YearsAtCompany]&lt;=10, "Mid","Senior")))</f>
        <v>Fresher</v>
      </c>
      <c r="AJ192" s="2" t="str">
        <f>IF(HR_Data[MonthlyIncome]&lt;=300,"Low", IF(HR_Data[MonthlyIncome]&lt;=7000,"Medium", "High"))</f>
        <v>Medium</v>
      </c>
      <c r="AK192" s="2" t="str">
        <f>VLOOKUP(HR_Data[JobRole], JobRole_Map[], 2, FALSE)</f>
        <v>Operations</v>
      </c>
    </row>
    <row r="193" spans="1:37" x14ac:dyDescent="0.25">
      <c r="A193" s="2">
        <v>43</v>
      </c>
      <c r="B193" t="s">
        <v>32</v>
      </c>
      <c r="C193" t="s">
        <v>61</v>
      </c>
      <c r="D193" t="s">
        <v>34</v>
      </c>
      <c r="E193">
        <v>17</v>
      </c>
      <c r="F193" t="s">
        <v>35</v>
      </c>
      <c r="G193">
        <v>2</v>
      </c>
      <c r="H193">
        <v>1</v>
      </c>
      <c r="I193" t="s">
        <v>44</v>
      </c>
      <c r="J193">
        <v>3</v>
      </c>
      <c r="K193" t="s">
        <v>50</v>
      </c>
      <c r="L193">
        <v>2437</v>
      </c>
      <c r="M193">
        <v>9</v>
      </c>
      <c r="N193" t="s">
        <v>32</v>
      </c>
      <c r="O193">
        <v>16</v>
      </c>
      <c r="P193">
        <v>3</v>
      </c>
      <c r="Q193">
        <v>1</v>
      </c>
      <c r="R193">
        <v>6</v>
      </c>
      <c r="S193">
        <v>4</v>
      </c>
      <c r="T193">
        <v>1</v>
      </c>
      <c r="U193">
        <v>0</v>
      </c>
      <c r="V193">
        <v>0</v>
      </c>
      <c r="W193" t="s">
        <v>56</v>
      </c>
      <c r="X193" s="1" t="d">
        <v>2020-05-04</v>
      </c>
      <c r="Z193" t="s">
        <v>52</v>
      </c>
      <c r="AA193" t="s">
        <v>40</v>
      </c>
      <c r="AB193">
        <v>3</v>
      </c>
      <c r="AC193">
        <v>1</v>
      </c>
      <c r="AD193" t="s">
        <v>41</v>
      </c>
      <c r="AE193" t="s">
        <v>62</v>
      </c>
      <c r="AF193" t="s">
        <v>43</v>
      </c>
      <c r="AG193">
        <f>IF(HR_Data[[#This Row],[Attrition]]="Yes",1,0)</f>
        <v>1</v>
      </c>
      <c r="AH193" t="str">
        <f>IF(HR_Data[Date_of_termination]="","Active","Left")</f>
        <v>Active</v>
      </c>
      <c r="AI193" t="str">
        <f>IF(HR_Data[YearsAtCompany]&lt;=2,"Fresher", IF(HR_Data[YearsAtCompany]&lt;=5,"Junior", IF(HR_Data[YearsAtCompany]&lt;=10, "Mid","Senior")))</f>
        <v>Fresher</v>
      </c>
      <c r="AJ193" s="2" t="str">
        <f>IF(HR_Data[MonthlyIncome]&lt;=300,"Low", IF(HR_Data[MonthlyIncome]&lt;=7000,"Medium", "High"))</f>
        <v>Medium</v>
      </c>
      <c r="AK193" s="2" t="str">
        <f>VLOOKUP(HR_Data[JobRole], JobRole_Map[], 2, FALSE)</f>
        <v>Technical</v>
      </c>
    </row>
    <row r="194" spans="1:37" x14ac:dyDescent="0.25">
      <c r="A194" s="2">
        <v>55</v>
      </c>
      <c r="B194" t="s">
        <v>41</v>
      </c>
      <c r="C194" t="s">
        <v>33</v>
      </c>
      <c r="D194" t="s">
        <v>34</v>
      </c>
      <c r="E194">
        <v>2</v>
      </c>
      <c r="F194" t="s">
        <v>35</v>
      </c>
      <c r="G194">
        <v>2</v>
      </c>
      <c r="H194">
        <v>5</v>
      </c>
      <c r="I194" t="s">
        <v>49</v>
      </c>
      <c r="J194">
        <v>1</v>
      </c>
      <c r="K194" t="s">
        <v>50</v>
      </c>
      <c r="L194">
        <v>19038</v>
      </c>
      <c r="M194">
        <v>8</v>
      </c>
      <c r="N194" t="s">
        <v>41</v>
      </c>
      <c r="O194">
        <v>12</v>
      </c>
      <c r="P194">
        <v>3</v>
      </c>
      <c r="Q194">
        <v>3</v>
      </c>
      <c r="R194">
        <v>34</v>
      </c>
      <c r="S194">
        <v>2</v>
      </c>
      <c r="T194">
        <v>1</v>
      </c>
      <c r="U194">
        <v>0</v>
      </c>
      <c r="V194">
        <v>0</v>
      </c>
      <c r="W194" t="s">
        <v>56</v>
      </c>
      <c r="X194" s="1" t="d">
        <v>2020-03-16</v>
      </c>
      <c r="Z194" t="s">
        <v>59</v>
      </c>
      <c r="AA194" t="s">
        <v>46</v>
      </c>
      <c r="AB194">
        <v>4</v>
      </c>
      <c r="AC194">
        <v>1</v>
      </c>
      <c r="AD194" t="s">
        <v>32</v>
      </c>
      <c r="AE194" t="s">
        <v>47</v>
      </c>
      <c r="AF194" t="s">
        <v>43</v>
      </c>
      <c r="AG194">
        <f>IF(HR_Data[[#This Row],[Attrition]]="Yes",1,0)</f>
        <v>0</v>
      </c>
      <c r="AH194" t="str">
        <f>IF(HR_Data[Date_of_termination]="","Active","Left")</f>
        <v>Active</v>
      </c>
      <c r="AI194" t="str">
        <f>IF(HR_Data[YearsAtCompany]&lt;=2,"Fresher", IF(HR_Data[YearsAtCompany]&lt;=5,"Junior", IF(HR_Data[YearsAtCompany]&lt;=10, "Mid","Senior")))</f>
        <v>Fresher</v>
      </c>
      <c r="AJ194" s="2" t="str">
        <f>IF(HR_Data[MonthlyIncome]&lt;=300,"Low", IF(HR_Data[MonthlyIncome]&lt;=7000,"Medium", "High"))</f>
        <v>High</v>
      </c>
      <c r="AK194" s="2" t="str">
        <f>VLOOKUP(HR_Data[JobRole], JobRole_Map[], 2, FALSE)</f>
        <v>Management</v>
      </c>
    </row>
    <row r="195" spans="1:37" x14ac:dyDescent="0.25">
      <c r="A195" s="2">
        <v>21</v>
      </c>
      <c r="B195" t="s">
        <v>32</v>
      </c>
      <c r="C195" t="s">
        <v>33</v>
      </c>
      <c r="D195" t="s">
        <v>53</v>
      </c>
      <c r="E195">
        <v>7</v>
      </c>
      <c r="F195" t="s">
        <v>35</v>
      </c>
      <c r="G195">
        <v>3</v>
      </c>
      <c r="H195">
        <v>1</v>
      </c>
      <c r="I195" t="s">
        <v>54</v>
      </c>
      <c r="J195">
        <v>2</v>
      </c>
      <c r="K195" t="s">
        <v>37</v>
      </c>
      <c r="L195">
        <v>2679</v>
      </c>
      <c r="M195">
        <v>1</v>
      </c>
      <c r="N195" t="s">
        <v>41</v>
      </c>
      <c r="O195">
        <v>13</v>
      </c>
      <c r="P195">
        <v>3</v>
      </c>
      <c r="Q195">
        <v>0</v>
      </c>
      <c r="R195">
        <v>1</v>
      </c>
      <c r="S195">
        <v>3</v>
      </c>
      <c r="T195">
        <v>1</v>
      </c>
      <c r="U195">
        <v>1</v>
      </c>
      <c r="V195">
        <v>0</v>
      </c>
      <c r="W195" t="s">
        <v>56</v>
      </c>
      <c r="X195" s="1" t="d">
        <v>2020-05-26</v>
      </c>
      <c r="Z195" t="s">
        <v>45</v>
      </c>
      <c r="AA195" t="s">
        <v>46</v>
      </c>
      <c r="AB195">
        <v>5</v>
      </c>
      <c r="AC195">
        <v>2</v>
      </c>
      <c r="AD195" t="s">
        <v>32</v>
      </c>
      <c r="AE195" t="s">
        <v>42</v>
      </c>
      <c r="AF195" t="s">
        <v>48</v>
      </c>
      <c r="AG195">
        <f>IF(HR_Data[[#This Row],[Attrition]]="Yes",1,0)</f>
        <v>1</v>
      </c>
      <c r="AH195" t="str">
        <f>IF(HR_Data[Date_of_termination]="","Active","Left")</f>
        <v>Active</v>
      </c>
      <c r="AI195" t="str">
        <f>IF(HR_Data[YearsAtCompany]&lt;=2,"Fresher", IF(HR_Data[YearsAtCompany]&lt;=5,"Junior", IF(HR_Data[YearsAtCompany]&lt;=10, "Mid","Senior")))</f>
        <v>Fresher</v>
      </c>
      <c r="AJ195" s="2" t="str">
        <f>IF(HR_Data[MonthlyIncome]&lt;=300,"Low", IF(HR_Data[MonthlyIncome]&lt;=7000,"Medium", "High"))</f>
        <v>Medium</v>
      </c>
      <c r="AK195" s="2" t="str">
        <f>VLOOKUP(HR_Data[JobRole], JobRole_Map[], 2, FALSE)</f>
        <v>Sales</v>
      </c>
    </row>
    <row r="196" spans="1:37" x14ac:dyDescent="0.25">
      <c r="A196" s="2">
        <v>22</v>
      </c>
      <c r="B196" t="s">
        <v>32</v>
      </c>
      <c r="C196" t="s">
        <v>33</v>
      </c>
      <c r="D196" t="s">
        <v>34</v>
      </c>
      <c r="E196">
        <v>8</v>
      </c>
      <c r="F196" t="s">
        <v>58</v>
      </c>
      <c r="G196">
        <v>3</v>
      </c>
      <c r="H196">
        <v>1</v>
      </c>
      <c r="I196" t="s">
        <v>36</v>
      </c>
      <c r="J196">
        <v>1</v>
      </c>
      <c r="K196" t="s">
        <v>50</v>
      </c>
      <c r="L196">
        <v>2398</v>
      </c>
      <c r="M196">
        <v>1</v>
      </c>
      <c r="N196" t="s">
        <v>32</v>
      </c>
      <c r="O196">
        <v>17</v>
      </c>
      <c r="P196">
        <v>3</v>
      </c>
      <c r="Q196">
        <v>0</v>
      </c>
      <c r="R196">
        <v>1</v>
      </c>
      <c r="S196">
        <v>6</v>
      </c>
      <c r="T196">
        <v>1</v>
      </c>
      <c r="U196">
        <v>0</v>
      </c>
      <c r="V196">
        <v>0</v>
      </c>
      <c r="W196" t="s">
        <v>65</v>
      </c>
      <c r="X196" s="1" t="d">
        <v>2020-03-05</v>
      </c>
      <c r="Z196" t="s">
        <v>39</v>
      </c>
      <c r="AA196" t="s">
        <v>46</v>
      </c>
      <c r="AB196">
        <v>5</v>
      </c>
      <c r="AC196">
        <v>3</v>
      </c>
      <c r="AD196" t="s">
        <v>32</v>
      </c>
      <c r="AE196" t="s">
        <v>42</v>
      </c>
      <c r="AF196" t="s">
        <v>57</v>
      </c>
      <c r="AG196">
        <f>IF(HR_Data[[#This Row],[Attrition]]="Yes",1,0)</f>
        <v>1</v>
      </c>
      <c r="AH196" t="str">
        <f>IF(HR_Data[Date_of_termination]="","Active","Left")</f>
        <v>Active</v>
      </c>
      <c r="AI196" t="str">
        <f>IF(HR_Data[YearsAtCompany]&lt;=2,"Fresher", IF(HR_Data[YearsAtCompany]&lt;=5,"Junior", IF(HR_Data[YearsAtCompany]&lt;=10, "Mid","Senior")))</f>
        <v>Fresher</v>
      </c>
      <c r="AJ196" s="2" t="str">
        <f>IF(HR_Data[MonthlyIncome]&lt;=300,"Low", IF(HR_Data[MonthlyIncome]&lt;=7000,"Medium", "High"))</f>
        <v>Medium</v>
      </c>
      <c r="AK196" s="2" t="str">
        <f>VLOOKUP(HR_Data[JobRole], JobRole_Map[], 2, FALSE)</f>
        <v>Technical</v>
      </c>
    </row>
    <row r="197" spans="1:37" x14ac:dyDescent="0.25">
      <c r="A197" s="2">
        <v>31</v>
      </c>
      <c r="B197" t="s">
        <v>32</v>
      </c>
      <c r="C197" t="s">
        <v>33</v>
      </c>
      <c r="D197" t="s">
        <v>70</v>
      </c>
      <c r="E197">
        <v>18</v>
      </c>
      <c r="F197" t="s">
        <v>35</v>
      </c>
      <c r="G197">
        <v>4</v>
      </c>
      <c r="H197">
        <v>1</v>
      </c>
      <c r="I197" t="s">
        <v>70</v>
      </c>
      <c r="J197">
        <v>1</v>
      </c>
      <c r="K197" t="s">
        <v>50</v>
      </c>
      <c r="L197">
        <v>2956</v>
      </c>
      <c r="M197">
        <v>0</v>
      </c>
      <c r="N197" t="s">
        <v>41</v>
      </c>
      <c r="O197">
        <v>17</v>
      </c>
      <c r="P197">
        <v>3</v>
      </c>
      <c r="Q197">
        <v>0</v>
      </c>
      <c r="R197">
        <v>2</v>
      </c>
      <c r="S197">
        <v>4</v>
      </c>
      <c r="T197">
        <v>1</v>
      </c>
      <c r="U197">
        <v>0</v>
      </c>
      <c r="V197">
        <v>0</v>
      </c>
      <c r="W197" t="s">
        <v>51</v>
      </c>
      <c r="X197" s="1" t="d">
        <v>2020-06-15</v>
      </c>
      <c r="Z197" t="s">
        <v>45</v>
      </c>
      <c r="AA197" t="s">
        <v>46</v>
      </c>
      <c r="AB197">
        <v>4</v>
      </c>
      <c r="AC197">
        <v>1</v>
      </c>
      <c r="AD197" t="s">
        <v>32</v>
      </c>
      <c r="AE197" t="s">
        <v>62</v>
      </c>
      <c r="AF197" t="s">
        <v>43</v>
      </c>
      <c r="AG197">
        <f>IF(HR_Data[[#This Row],[Attrition]]="Yes",1,0)</f>
        <v>1</v>
      </c>
      <c r="AH197" t="str">
        <f>IF(HR_Data[Date_of_termination]="","Active","Left")</f>
        <v>Active</v>
      </c>
      <c r="AI197" t="str">
        <f>IF(HR_Data[YearsAtCompany]&lt;=2,"Fresher", IF(HR_Data[YearsAtCompany]&lt;=5,"Junior", IF(HR_Data[YearsAtCompany]&lt;=10, "Mid","Senior")))</f>
        <v>Fresher</v>
      </c>
      <c r="AJ197" s="2" t="str">
        <f>IF(HR_Data[MonthlyIncome]&lt;=300,"Low", IF(HR_Data[MonthlyIncome]&lt;=7000,"Medium", "High"))</f>
        <v>Medium</v>
      </c>
      <c r="AK197" s="2" t="str">
        <f>VLOOKUP(HR_Data[JobRole], JobRole_Map[], 2, FALSE)</f>
        <v>HR</v>
      </c>
    </row>
    <row r="198" spans="1:37" x14ac:dyDescent="0.25">
      <c r="A198" s="2">
        <v>36</v>
      </c>
      <c r="B198" t="s">
        <v>41</v>
      </c>
      <c r="C198" t="s">
        <v>33</v>
      </c>
      <c r="D198" t="s">
        <v>34</v>
      </c>
      <c r="E198">
        <v>2</v>
      </c>
      <c r="F198" t="s">
        <v>58</v>
      </c>
      <c r="G198">
        <v>3</v>
      </c>
      <c r="H198">
        <v>2</v>
      </c>
      <c r="I198" t="s">
        <v>44</v>
      </c>
      <c r="J198">
        <v>2</v>
      </c>
      <c r="K198" t="s">
        <v>50</v>
      </c>
      <c r="L198">
        <v>6962</v>
      </c>
      <c r="M198">
        <v>4</v>
      </c>
      <c r="N198" t="s">
        <v>32</v>
      </c>
      <c r="O198">
        <v>22</v>
      </c>
      <c r="P198">
        <v>4</v>
      </c>
      <c r="Q198">
        <v>1</v>
      </c>
      <c r="R198">
        <v>15</v>
      </c>
      <c r="S198">
        <v>2</v>
      </c>
      <c r="T198">
        <v>1</v>
      </c>
      <c r="U198">
        <v>0</v>
      </c>
      <c r="V198">
        <v>0</v>
      </c>
      <c r="W198" t="s">
        <v>38</v>
      </c>
      <c r="X198" s="1" t="d">
        <v>2020-05-01</v>
      </c>
      <c r="Z198" t="s">
        <v>63</v>
      </c>
      <c r="AA198" t="s">
        <v>46</v>
      </c>
      <c r="AB198">
        <v>4</v>
      </c>
      <c r="AC198">
        <v>0</v>
      </c>
      <c r="AD198" t="s">
        <v>32</v>
      </c>
      <c r="AE198" t="s">
        <v>47</v>
      </c>
      <c r="AF198" t="s">
        <v>48</v>
      </c>
      <c r="AG198">
        <f>IF(HR_Data[[#This Row],[Attrition]]="Yes",1,0)</f>
        <v>0</v>
      </c>
      <c r="AH198" t="str">
        <f>IF(HR_Data[Date_of_termination]="","Active","Left")</f>
        <v>Active</v>
      </c>
      <c r="AI198" t="str">
        <f>IF(HR_Data[YearsAtCompany]&lt;=2,"Fresher", IF(HR_Data[YearsAtCompany]&lt;=5,"Junior", IF(HR_Data[YearsAtCompany]&lt;=10, "Mid","Senior")))</f>
        <v>Fresher</v>
      </c>
      <c r="AJ198" s="2" t="str">
        <f>IF(HR_Data[MonthlyIncome]&lt;=300,"Low", IF(HR_Data[MonthlyIncome]&lt;=7000,"Medium", "High"))</f>
        <v>Medium</v>
      </c>
      <c r="AK198" s="2" t="str">
        <f>VLOOKUP(HR_Data[JobRole], JobRole_Map[], 2, FALSE)</f>
        <v>Technical</v>
      </c>
    </row>
    <row r="199" spans="1:37" x14ac:dyDescent="0.25">
      <c r="A199" s="2">
        <v>29</v>
      </c>
      <c r="B199" t="s">
        <v>41</v>
      </c>
      <c r="C199" t="s">
        <v>33</v>
      </c>
      <c r="D199" t="s">
        <v>70</v>
      </c>
      <c r="E199">
        <v>6</v>
      </c>
      <c r="F199" t="s">
        <v>35</v>
      </c>
      <c r="G199">
        <v>2</v>
      </c>
      <c r="H199">
        <v>1</v>
      </c>
      <c r="I199" t="s">
        <v>70</v>
      </c>
      <c r="J199">
        <v>2</v>
      </c>
      <c r="K199" t="s">
        <v>50</v>
      </c>
      <c r="L199">
        <v>2804</v>
      </c>
      <c r="M199">
        <v>1</v>
      </c>
      <c r="N199" t="s">
        <v>41</v>
      </c>
      <c r="O199">
        <v>11</v>
      </c>
      <c r="P199">
        <v>3</v>
      </c>
      <c r="Q199">
        <v>0</v>
      </c>
      <c r="R199">
        <v>1</v>
      </c>
      <c r="S199">
        <v>3</v>
      </c>
      <c r="T199">
        <v>1</v>
      </c>
      <c r="U199">
        <v>0</v>
      </c>
      <c r="V199">
        <v>0</v>
      </c>
      <c r="W199" t="s">
        <v>51</v>
      </c>
      <c r="X199" s="1" t="d">
        <v>2020-02-14</v>
      </c>
      <c r="Z199" t="s">
        <v>52</v>
      </c>
      <c r="AA199" t="s">
        <v>46</v>
      </c>
      <c r="AB199">
        <v>1</v>
      </c>
      <c r="AC199">
        <v>3</v>
      </c>
      <c r="AD199" t="s">
        <v>32</v>
      </c>
      <c r="AE199" t="s">
        <v>60</v>
      </c>
      <c r="AF199" t="s">
        <v>48</v>
      </c>
      <c r="AG199">
        <f>IF(HR_Data[[#This Row],[Attrition]]="Yes",1,0)</f>
        <v>0</v>
      </c>
      <c r="AH199" t="str">
        <f>IF(HR_Data[Date_of_termination]="","Active","Left")</f>
        <v>Active</v>
      </c>
      <c r="AI199" t="str">
        <f>IF(HR_Data[YearsAtCompany]&lt;=2,"Fresher", IF(HR_Data[YearsAtCompany]&lt;=5,"Junior", IF(HR_Data[YearsAtCompany]&lt;=10, "Mid","Senior")))</f>
        <v>Fresher</v>
      </c>
      <c r="AJ199" s="2" t="str">
        <f>IF(HR_Data[MonthlyIncome]&lt;=300,"Low", IF(HR_Data[MonthlyIncome]&lt;=7000,"Medium", "High"))</f>
        <v>Medium</v>
      </c>
      <c r="AK199" s="2" t="str">
        <f>VLOOKUP(HR_Data[JobRole], JobRole_Map[], 2, FALSE)</f>
        <v>HR</v>
      </c>
    </row>
    <row r="200" spans="1:37" x14ac:dyDescent="0.25">
      <c r="A200" s="2">
        <v>29</v>
      </c>
      <c r="B200" t="s">
        <v>32</v>
      </c>
      <c r="C200" t="s">
        <v>61</v>
      </c>
      <c r="D200" t="s">
        <v>34</v>
      </c>
      <c r="E200">
        <v>24</v>
      </c>
      <c r="F200" t="s">
        <v>35</v>
      </c>
      <c r="G200">
        <v>2</v>
      </c>
      <c r="H200">
        <v>1</v>
      </c>
      <c r="I200" t="s">
        <v>44</v>
      </c>
      <c r="J200">
        <v>4</v>
      </c>
      <c r="K200" t="s">
        <v>37</v>
      </c>
      <c r="L200">
        <v>2439</v>
      </c>
      <c r="M200">
        <v>1</v>
      </c>
      <c r="N200" t="s">
        <v>32</v>
      </c>
      <c r="O200">
        <v>24</v>
      </c>
      <c r="P200">
        <v>4</v>
      </c>
      <c r="Q200">
        <v>0</v>
      </c>
      <c r="R200">
        <v>1</v>
      </c>
      <c r="S200">
        <v>3</v>
      </c>
      <c r="T200">
        <v>1</v>
      </c>
      <c r="U200">
        <v>1</v>
      </c>
      <c r="V200">
        <v>0</v>
      </c>
      <c r="W200" t="s">
        <v>38</v>
      </c>
      <c r="X200" s="1" t="d">
        <v>2020-06-30</v>
      </c>
      <c r="Z200" t="s">
        <v>39</v>
      </c>
      <c r="AA200" t="s">
        <v>40</v>
      </c>
      <c r="AB200">
        <v>3</v>
      </c>
      <c r="AC200">
        <v>1</v>
      </c>
      <c r="AD200" t="s">
        <v>32</v>
      </c>
      <c r="AE200" t="s">
        <v>60</v>
      </c>
      <c r="AF200" t="s">
        <v>48</v>
      </c>
      <c r="AG200">
        <f>IF(HR_Data[[#This Row],[Attrition]]="Yes",1,0)</f>
        <v>1</v>
      </c>
      <c r="AH200" t="str">
        <f>IF(HR_Data[Date_of_termination]="","Active","Left")</f>
        <v>Active</v>
      </c>
      <c r="AI200" t="str">
        <f>IF(HR_Data[YearsAtCompany]&lt;=2,"Fresher", IF(HR_Data[YearsAtCompany]&lt;=5,"Junior", IF(HR_Data[YearsAtCompany]&lt;=10, "Mid","Senior")))</f>
        <v>Fresher</v>
      </c>
      <c r="AJ200" s="2" t="str">
        <f>IF(HR_Data[MonthlyIncome]&lt;=300,"Low", IF(HR_Data[MonthlyIncome]&lt;=7000,"Medium", "High"))</f>
        <v>Medium</v>
      </c>
      <c r="AK200" s="2" t="str">
        <f>VLOOKUP(HR_Data[JobRole], JobRole_Map[], 2, FALSE)</f>
        <v>Technical</v>
      </c>
    </row>
    <row r="201" spans="1:37" x14ac:dyDescent="0.25">
      <c r="A201" s="2">
        <v>28</v>
      </c>
      <c r="B201" t="s">
        <v>41</v>
      </c>
      <c r="C201" t="s">
        <v>33</v>
      </c>
      <c r="D201" t="s">
        <v>53</v>
      </c>
      <c r="E201">
        <v>3</v>
      </c>
      <c r="F201" t="s">
        <v>58</v>
      </c>
      <c r="G201">
        <v>3</v>
      </c>
      <c r="H201">
        <v>1</v>
      </c>
      <c r="I201" t="s">
        <v>54</v>
      </c>
      <c r="J201">
        <v>2</v>
      </c>
      <c r="K201" t="s">
        <v>50</v>
      </c>
      <c r="L201">
        <v>2856</v>
      </c>
      <c r="M201">
        <v>1</v>
      </c>
      <c r="N201" t="s">
        <v>41</v>
      </c>
      <c r="O201">
        <v>19</v>
      </c>
      <c r="P201">
        <v>3</v>
      </c>
      <c r="Q201">
        <v>1</v>
      </c>
      <c r="R201">
        <v>1</v>
      </c>
      <c r="S201">
        <v>3</v>
      </c>
      <c r="T201">
        <v>1</v>
      </c>
      <c r="U201">
        <v>0</v>
      </c>
      <c r="V201">
        <v>0</v>
      </c>
      <c r="W201" t="s">
        <v>65</v>
      </c>
      <c r="X201" s="1" t="d">
        <v>2020-02-04</v>
      </c>
      <c r="Z201" t="s">
        <v>59</v>
      </c>
      <c r="AA201" t="s">
        <v>40</v>
      </c>
      <c r="AB201">
        <v>3</v>
      </c>
      <c r="AC201">
        <v>2</v>
      </c>
      <c r="AD201" t="s">
        <v>32</v>
      </c>
      <c r="AE201" t="s">
        <v>42</v>
      </c>
      <c r="AF201" t="s">
        <v>43</v>
      </c>
      <c r="AG201">
        <f>IF(HR_Data[[#This Row],[Attrition]]="Yes",1,0)</f>
        <v>0</v>
      </c>
      <c r="AH201" t="str">
        <f>IF(HR_Data[Date_of_termination]="","Active","Left")</f>
        <v>Active</v>
      </c>
      <c r="AI201" t="str">
        <f>IF(HR_Data[YearsAtCompany]&lt;=2,"Fresher", IF(HR_Data[YearsAtCompany]&lt;=5,"Junior", IF(HR_Data[YearsAtCompany]&lt;=10, "Mid","Senior")))</f>
        <v>Fresher</v>
      </c>
      <c r="AJ201" s="2" t="str">
        <f>IF(HR_Data[MonthlyIncome]&lt;=300,"Low", IF(HR_Data[MonthlyIncome]&lt;=7000,"Medium", "High"))</f>
        <v>Medium</v>
      </c>
      <c r="AK201" s="2" t="str">
        <f>VLOOKUP(HR_Data[JobRole], JobRole_Map[], 2, FALSE)</f>
        <v>Sales</v>
      </c>
    </row>
    <row r="202" spans="1:37" x14ac:dyDescent="0.25">
      <c r="A202" s="2">
        <v>30</v>
      </c>
      <c r="B202" t="s">
        <v>32</v>
      </c>
      <c r="C202" t="s">
        <v>33</v>
      </c>
      <c r="D202" t="s">
        <v>53</v>
      </c>
      <c r="E202">
        <v>9</v>
      </c>
      <c r="F202" t="s">
        <v>35</v>
      </c>
      <c r="G202">
        <v>3</v>
      </c>
      <c r="H202">
        <v>1</v>
      </c>
      <c r="I202" t="s">
        <v>54</v>
      </c>
      <c r="J202">
        <v>4</v>
      </c>
      <c r="K202" t="s">
        <v>37</v>
      </c>
      <c r="L202">
        <v>1081</v>
      </c>
      <c r="M202">
        <v>1</v>
      </c>
      <c r="N202" t="s">
        <v>41</v>
      </c>
      <c r="O202">
        <v>13</v>
      </c>
      <c r="P202">
        <v>3</v>
      </c>
      <c r="Q202">
        <v>0</v>
      </c>
      <c r="R202">
        <v>1</v>
      </c>
      <c r="S202">
        <v>3</v>
      </c>
      <c r="T202">
        <v>1</v>
      </c>
      <c r="U202">
        <v>0</v>
      </c>
      <c r="V202">
        <v>0</v>
      </c>
      <c r="W202" t="s">
        <v>51</v>
      </c>
      <c r="X202" s="1" t="d">
        <v>2020-06-13</v>
      </c>
      <c r="Z202" t="s">
        <v>59</v>
      </c>
      <c r="AA202" t="s">
        <v>46</v>
      </c>
      <c r="AB202">
        <v>0</v>
      </c>
      <c r="AC202">
        <v>0</v>
      </c>
      <c r="AD202" t="s">
        <v>41</v>
      </c>
      <c r="AE202" t="s">
        <v>42</v>
      </c>
      <c r="AF202" t="s">
        <v>57</v>
      </c>
      <c r="AG202">
        <f>IF(HR_Data[[#This Row],[Attrition]]="Yes",1,0)</f>
        <v>1</v>
      </c>
      <c r="AH202" t="str">
        <f>IF(HR_Data[Date_of_termination]="","Active","Left")</f>
        <v>Active</v>
      </c>
      <c r="AI202" t="str">
        <f>IF(HR_Data[YearsAtCompany]&lt;=2,"Fresher", IF(HR_Data[YearsAtCompany]&lt;=5,"Junior", IF(HR_Data[YearsAtCompany]&lt;=10, "Mid","Senior")))</f>
        <v>Fresher</v>
      </c>
      <c r="AJ202" s="2" t="str">
        <f>IF(HR_Data[MonthlyIncome]&lt;=300,"Low", IF(HR_Data[MonthlyIncome]&lt;=7000,"Medium", "High"))</f>
        <v>Medium</v>
      </c>
      <c r="AK202" s="2" t="str">
        <f>VLOOKUP(HR_Data[JobRole], JobRole_Map[], 2, FALSE)</f>
        <v>Sales</v>
      </c>
    </row>
    <row r="203" spans="1:37" x14ac:dyDescent="0.25">
      <c r="A203" s="2">
        <v>22</v>
      </c>
      <c r="B203" t="s">
        <v>32</v>
      </c>
      <c r="C203" t="s">
        <v>33</v>
      </c>
      <c r="D203" t="s">
        <v>34</v>
      </c>
      <c r="E203">
        <v>7</v>
      </c>
      <c r="F203" t="s">
        <v>35</v>
      </c>
      <c r="G203">
        <v>3</v>
      </c>
      <c r="H203">
        <v>1</v>
      </c>
      <c r="I203" t="s">
        <v>44</v>
      </c>
      <c r="J203">
        <v>2</v>
      </c>
      <c r="K203" t="s">
        <v>37</v>
      </c>
      <c r="L203">
        <v>2472</v>
      </c>
      <c r="M203">
        <v>1</v>
      </c>
      <c r="N203" t="s">
        <v>32</v>
      </c>
      <c r="O203">
        <v>23</v>
      </c>
      <c r="P203">
        <v>4</v>
      </c>
      <c r="Q203">
        <v>0</v>
      </c>
      <c r="R203">
        <v>1</v>
      </c>
      <c r="S203">
        <v>2</v>
      </c>
      <c r="T203">
        <v>1</v>
      </c>
      <c r="U203">
        <v>0</v>
      </c>
      <c r="V203">
        <v>0</v>
      </c>
      <c r="W203" t="s">
        <v>51</v>
      </c>
      <c r="X203" s="1" t="d">
        <v>2020-05-13</v>
      </c>
      <c r="Z203" t="s">
        <v>63</v>
      </c>
      <c r="AA203" t="s">
        <v>40</v>
      </c>
      <c r="AB203">
        <v>0</v>
      </c>
      <c r="AC203">
        <v>1</v>
      </c>
      <c r="AD203" t="s">
        <v>41</v>
      </c>
      <c r="AE203" t="s">
        <v>60</v>
      </c>
      <c r="AF203" t="s">
        <v>57</v>
      </c>
      <c r="AG203">
        <f>IF(HR_Data[[#This Row],[Attrition]]="Yes",1,0)</f>
        <v>1</v>
      </c>
      <c r="AH203" t="str">
        <f>IF(HR_Data[Date_of_termination]="","Active","Left")</f>
        <v>Active</v>
      </c>
      <c r="AI203" t="str">
        <f>IF(HR_Data[YearsAtCompany]&lt;=2,"Fresher", IF(HR_Data[YearsAtCompany]&lt;=5,"Junior", IF(HR_Data[YearsAtCompany]&lt;=10, "Mid","Senior")))</f>
        <v>Fresher</v>
      </c>
      <c r="AJ203" s="2" t="str">
        <f>IF(HR_Data[MonthlyIncome]&lt;=300,"Low", IF(HR_Data[MonthlyIncome]&lt;=7000,"Medium", "High"))</f>
        <v>Medium</v>
      </c>
      <c r="AK203" s="2" t="str">
        <f>VLOOKUP(HR_Data[JobRole], JobRole_Map[], 2, FALSE)</f>
        <v>Technical</v>
      </c>
    </row>
    <row r="204" spans="1:37" x14ac:dyDescent="0.25">
      <c r="A204" s="2">
        <v>26</v>
      </c>
      <c r="B204" t="s">
        <v>41</v>
      </c>
      <c r="C204" t="s">
        <v>33</v>
      </c>
      <c r="D204" t="s">
        <v>34</v>
      </c>
      <c r="E204">
        <v>1</v>
      </c>
      <c r="F204" t="s">
        <v>58</v>
      </c>
      <c r="G204">
        <v>2</v>
      </c>
      <c r="H204">
        <v>1</v>
      </c>
      <c r="I204" t="s">
        <v>44</v>
      </c>
      <c r="J204">
        <v>3</v>
      </c>
      <c r="K204" t="s">
        <v>50</v>
      </c>
      <c r="L204">
        <v>2933</v>
      </c>
      <c r="M204">
        <v>1</v>
      </c>
      <c r="N204" t="s">
        <v>32</v>
      </c>
      <c r="O204">
        <v>13</v>
      </c>
      <c r="P204">
        <v>3</v>
      </c>
      <c r="Q204">
        <v>1</v>
      </c>
      <c r="R204">
        <v>1</v>
      </c>
      <c r="S204">
        <v>3</v>
      </c>
      <c r="T204">
        <v>1</v>
      </c>
      <c r="U204">
        <v>1</v>
      </c>
      <c r="V204">
        <v>0</v>
      </c>
      <c r="W204" t="s">
        <v>56</v>
      </c>
      <c r="X204" s="1" t="d">
        <v>2020-05-29</v>
      </c>
      <c r="Z204" t="s">
        <v>39</v>
      </c>
      <c r="AA204" t="s">
        <v>40</v>
      </c>
      <c r="AB204">
        <v>1</v>
      </c>
      <c r="AC204">
        <v>0</v>
      </c>
      <c r="AD204" t="s">
        <v>32</v>
      </c>
      <c r="AE204" t="s">
        <v>60</v>
      </c>
      <c r="AF204" t="s">
        <v>48</v>
      </c>
      <c r="AG204">
        <f>IF(HR_Data[[#This Row],[Attrition]]="Yes",1,0)</f>
        <v>0</v>
      </c>
      <c r="AH204" t="str">
        <f>IF(HR_Data[Date_of_termination]="","Active","Left")</f>
        <v>Active</v>
      </c>
      <c r="AI204" t="str">
        <f>IF(HR_Data[YearsAtCompany]&lt;=2,"Fresher", IF(HR_Data[YearsAtCompany]&lt;=5,"Junior", IF(HR_Data[YearsAtCompany]&lt;=10, "Mid","Senior")))</f>
        <v>Fresher</v>
      </c>
      <c r="AJ204" s="2" t="str">
        <f>IF(HR_Data[MonthlyIncome]&lt;=300,"Low", IF(HR_Data[MonthlyIncome]&lt;=7000,"Medium", "High"))</f>
        <v>Medium</v>
      </c>
      <c r="AK204" s="2" t="str">
        <f>VLOOKUP(HR_Data[JobRole], JobRole_Map[], 2, FALSE)</f>
        <v>Technical</v>
      </c>
    </row>
    <row r="205" spans="1:37" x14ac:dyDescent="0.25">
      <c r="A205" s="2">
        <v>29</v>
      </c>
      <c r="B205" t="s">
        <v>32</v>
      </c>
      <c r="C205" t="s">
        <v>61</v>
      </c>
      <c r="D205" t="s">
        <v>53</v>
      </c>
      <c r="E205">
        <v>24</v>
      </c>
      <c r="F205" t="s">
        <v>35</v>
      </c>
      <c r="G205">
        <v>4</v>
      </c>
      <c r="H205">
        <v>1</v>
      </c>
      <c r="I205" t="s">
        <v>54</v>
      </c>
      <c r="J205">
        <v>1</v>
      </c>
      <c r="K205" t="s">
        <v>37</v>
      </c>
      <c r="L205">
        <v>1091</v>
      </c>
      <c r="M205">
        <v>1</v>
      </c>
      <c r="N205" t="s">
        <v>41</v>
      </c>
      <c r="O205">
        <v>17</v>
      </c>
      <c r="P205">
        <v>3</v>
      </c>
      <c r="Q205">
        <v>0</v>
      </c>
      <c r="R205">
        <v>1</v>
      </c>
      <c r="S205">
        <v>3</v>
      </c>
      <c r="T205">
        <v>1</v>
      </c>
      <c r="U205">
        <v>0</v>
      </c>
      <c r="V205">
        <v>0</v>
      </c>
      <c r="W205" t="s">
        <v>51</v>
      </c>
      <c r="X205" s="1" t="d">
        <v>2020-03-02</v>
      </c>
      <c r="Z205" t="s">
        <v>52</v>
      </c>
      <c r="AA205" t="s">
        <v>46</v>
      </c>
      <c r="AB205">
        <v>5</v>
      </c>
      <c r="AC205">
        <v>0</v>
      </c>
      <c r="AD205" t="s">
        <v>41</v>
      </c>
      <c r="AE205" t="s">
        <v>60</v>
      </c>
      <c r="AF205" t="s">
        <v>48</v>
      </c>
      <c r="AG205">
        <f>IF(HR_Data[[#This Row],[Attrition]]="Yes",1,0)</f>
        <v>1</v>
      </c>
      <c r="AH205" t="str">
        <f>IF(HR_Data[Date_of_termination]="","Active","Left")</f>
        <v>Active</v>
      </c>
      <c r="AI205" t="str">
        <f>IF(HR_Data[YearsAtCompany]&lt;=2,"Fresher", IF(HR_Data[YearsAtCompany]&lt;=5,"Junior", IF(HR_Data[YearsAtCompany]&lt;=10, "Mid","Senior")))</f>
        <v>Fresher</v>
      </c>
      <c r="AJ205" s="2" t="str">
        <f>IF(HR_Data[MonthlyIncome]&lt;=300,"Low", IF(HR_Data[MonthlyIncome]&lt;=7000,"Medium", "High"))</f>
        <v>Medium</v>
      </c>
      <c r="AK205" s="2" t="str">
        <f>VLOOKUP(HR_Data[JobRole], JobRole_Map[], 2, FALSE)</f>
        <v>Sales</v>
      </c>
    </row>
    <row r="206" spans="1:37" x14ac:dyDescent="0.25">
      <c r="A206" s="2">
        <v>58</v>
      </c>
      <c r="B206" t="s">
        <v>41</v>
      </c>
      <c r="C206" t="s">
        <v>33</v>
      </c>
      <c r="D206" t="s">
        <v>53</v>
      </c>
      <c r="E206">
        <v>21</v>
      </c>
      <c r="F206" t="s">
        <v>58</v>
      </c>
      <c r="G206">
        <v>3</v>
      </c>
      <c r="H206">
        <v>4</v>
      </c>
      <c r="I206" t="s">
        <v>66</v>
      </c>
      <c r="J206">
        <v>4</v>
      </c>
      <c r="K206" t="s">
        <v>50</v>
      </c>
      <c r="L206">
        <v>17875</v>
      </c>
      <c r="M206">
        <v>4</v>
      </c>
      <c r="N206" t="s">
        <v>32</v>
      </c>
      <c r="O206">
        <v>13</v>
      </c>
      <c r="P206">
        <v>3</v>
      </c>
      <c r="Q206">
        <v>1</v>
      </c>
      <c r="R206">
        <v>29</v>
      </c>
      <c r="S206">
        <v>2</v>
      </c>
      <c r="T206">
        <v>1</v>
      </c>
      <c r="U206">
        <v>0</v>
      </c>
      <c r="V206">
        <v>0</v>
      </c>
      <c r="W206" t="s">
        <v>65</v>
      </c>
      <c r="X206" s="1" t="d">
        <v>2020-03-31</v>
      </c>
      <c r="Z206" t="s">
        <v>39</v>
      </c>
      <c r="AA206" t="s">
        <v>46</v>
      </c>
      <c r="AB206">
        <v>2</v>
      </c>
      <c r="AC206">
        <v>1</v>
      </c>
      <c r="AD206" t="s">
        <v>41</v>
      </c>
      <c r="AE206" t="s">
        <v>47</v>
      </c>
      <c r="AF206" t="s">
        <v>48</v>
      </c>
      <c r="AG206">
        <f>IF(HR_Data[[#This Row],[Attrition]]="Yes",1,0)</f>
        <v>0</v>
      </c>
      <c r="AH206" t="str">
        <f>IF(HR_Data[Date_of_termination]="","Active","Left")</f>
        <v>Active</v>
      </c>
      <c r="AI206" t="str">
        <f>IF(HR_Data[YearsAtCompany]&lt;=2,"Fresher", IF(HR_Data[YearsAtCompany]&lt;=5,"Junior", IF(HR_Data[YearsAtCompany]&lt;=10, "Mid","Senior")))</f>
        <v>Fresher</v>
      </c>
      <c r="AJ206" s="2" t="str">
        <f>IF(HR_Data[MonthlyIncome]&lt;=300,"Low", IF(HR_Data[MonthlyIncome]&lt;=7000,"Medium", "High"))</f>
        <v>High</v>
      </c>
      <c r="AK206" s="2" t="str">
        <f>VLOOKUP(HR_Data[JobRole], JobRole_Map[], 2, FALSE)</f>
        <v>Management</v>
      </c>
    </row>
    <row r="207" spans="1:37" x14ac:dyDescent="0.25">
      <c r="A207" s="2">
        <v>27</v>
      </c>
      <c r="B207" t="s">
        <v>32</v>
      </c>
      <c r="C207" t="s">
        <v>61</v>
      </c>
      <c r="D207" t="s">
        <v>70</v>
      </c>
      <c r="E207">
        <v>22</v>
      </c>
      <c r="F207" t="s">
        <v>58</v>
      </c>
      <c r="G207">
        <v>2</v>
      </c>
      <c r="H207">
        <v>1</v>
      </c>
      <c r="I207" t="s">
        <v>70</v>
      </c>
      <c r="J207">
        <v>2</v>
      </c>
      <c r="K207" t="s">
        <v>50</v>
      </c>
      <c r="L207">
        <v>2863</v>
      </c>
      <c r="M207">
        <v>1</v>
      </c>
      <c r="N207" t="s">
        <v>41</v>
      </c>
      <c r="O207">
        <v>12</v>
      </c>
      <c r="P207">
        <v>3</v>
      </c>
      <c r="Q207">
        <v>0</v>
      </c>
      <c r="R207">
        <v>1</v>
      </c>
      <c r="S207">
        <v>2</v>
      </c>
      <c r="T207">
        <v>1</v>
      </c>
      <c r="U207">
        <v>0</v>
      </c>
      <c r="V207">
        <v>0</v>
      </c>
      <c r="W207" t="s">
        <v>56</v>
      </c>
      <c r="X207" s="1" t="d">
        <v>2020-06-18</v>
      </c>
      <c r="Z207" t="s">
        <v>39</v>
      </c>
      <c r="AA207" t="s">
        <v>40</v>
      </c>
      <c r="AB207">
        <v>3</v>
      </c>
      <c r="AC207">
        <v>3</v>
      </c>
      <c r="AD207" t="s">
        <v>41</v>
      </c>
      <c r="AE207" t="s">
        <v>47</v>
      </c>
      <c r="AF207" t="s">
        <v>48</v>
      </c>
      <c r="AG207">
        <f>IF(HR_Data[[#This Row],[Attrition]]="Yes",1,0)</f>
        <v>1</v>
      </c>
      <c r="AH207" t="str">
        <f>IF(HR_Data[Date_of_termination]="","Active","Left")</f>
        <v>Active</v>
      </c>
      <c r="AI207" t="str">
        <f>IF(HR_Data[YearsAtCompany]&lt;=2,"Fresher", IF(HR_Data[YearsAtCompany]&lt;=5,"Junior", IF(HR_Data[YearsAtCompany]&lt;=10, "Mid","Senior")))</f>
        <v>Fresher</v>
      </c>
      <c r="AJ207" s="2" t="str">
        <f>IF(HR_Data[MonthlyIncome]&lt;=300,"Low", IF(HR_Data[MonthlyIncome]&lt;=7000,"Medium", "High"))</f>
        <v>Medium</v>
      </c>
      <c r="AK207" s="2" t="str">
        <f>VLOOKUP(HR_Data[JobRole], JobRole_Map[], 2, FALSE)</f>
        <v>HR</v>
      </c>
    </row>
    <row r="208" spans="1:37" x14ac:dyDescent="0.25">
      <c r="A208" s="2">
        <v>38</v>
      </c>
      <c r="B208" t="s">
        <v>41</v>
      </c>
      <c r="C208" t="s">
        <v>33</v>
      </c>
      <c r="D208" t="s">
        <v>53</v>
      </c>
      <c r="E208">
        <v>1</v>
      </c>
      <c r="F208" t="s">
        <v>35</v>
      </c>
      <c r="G208">
        <v>2</v>
      </c>
      <c r="H208">
        <v>1</v>
      </c>
      <c r="I208" t="s">
        <v>54</v>
      </c>
      <c r="J208">
        <v>1</v>
      </c>
      <c r="K208" t="s">
        <v>37</v>
      </c>
      <c r="L208">
        <v>2858</v>
      </c>
      <c r="M208">
        <v>4</v>
      </c>
      <c r="N208" t="s">
        <v>41</v>
      </c>
      <c r="O208">
        <v>14</v>
      </c>
      <c r="P208">
        <v>3</v>
      </c>
      <c r="Q208">
        <v>0</v>
      </c>
      <c r="R208">
        <v>20</v>
      </c>
      <c r="S208">
        <v>3</v>
      </c>
      <c r="T208">
        <v>1</v>
      </c>
      <c r="U208">
        <v>0</v>
      </c>
      <c r="V208">
        <v>0</v>
      </c>
      <c r="W208" t="s">
        <v>51</v>
      </c>
      <c r="X208" s="1" t="d">
        <v>2020-01-08</v>
      </c>
      <c r="Z208" t="s">
        <v>63</v>
      </c>
      <c r="AA208" t="s">
        <v>46</v>
      </c>
      <c r="AB208">
        <v>3</v>
      </c>
      <c r="AC208">
        <v>1</v>
      </c>
      <c r="AD208" t="s">
        <v>41</v>
      </c>
      <c r="AE208" t="s">
        <v>60</v>
      </c>
      <c r="AF208" t="s">
        <v>57</v>
      </c>
      <c r="AG208">
        <f>IF(HR_Data[[#This Row],[Attrition]]="Yes",1,0)</f>
        <v>0</v>
      </c>
      <c r="AH208" t="str">
        <f>IF(HR_Data[Date_of_termination]="","Active","Left")</f>
        <v>Active</v>
      </c>
      <c r="AI208" t="str">
        <f>IF(HR_Data[YearsAtCompany]&lt;=2,"Fresher", IF(HR_Data[YearsAtCompany]&lt;=5,"Junior", IF(HR_Data[YearsAtCompany]&lt;=10, "Mid","Senior")))</f>
        <v>Fresher</v>
      </c>
      <c r="AJ208" s="2" t="str">
        <f>IF(HR_Data[MonthlyIncome]&lt;=300,"Low", IF(HR_Data[MonthlyIncome]&lt;=7000,"Medium", "High"))</f>
        <v>Medium</v>
      </c>
      <c r="AK208" s="2" t="str">
        <f>VLOOKUP(HR_Data[JobRole], JobRole_Map[], 2, FALSE)</f>
        <v>Sales</v>
      </c>
    </row>
    <row r="209" spans="1:37" x14ac:dyDescent="0.25">
      <c r="A209" s="2">
        <v>32</v>
      </c>
      <c r="B209" t="s">
        <v>41</v>
      </c>
      <c r="C209" t="s">
        <v>33</v>
      </c>
      <c r="D209" t="s">
        <v>34</v>
      </c>
      <c r="E209">
        <v>5</v>
      </c>
      <c r="F209" t="s">
        <v>35</v>
      </c>
      <c r="G209">
        <v>2</v>
      </c>
      <c r="H209">
        <v>2</v>
      </c>
      <c r="I209" t="s">
        <v>67</v>
      </c>
      <c r="J209">
        <v>4</v>
      </c>
      <c r="K209" t="s">
        <v>37</v>
      </c>
      <c r="L209">
        <v>9679</v>
      </c>
      <c r="M209">
        <v>8</v>
      </c>
      <c r="N209" t="s">
        <v>41</v>
      </c>
      <c r="O209">
        <v>24</v>
      </c>
      <c r="P209">
        <v>4</v>
      </c>
      <c r="Q209">
        <v>0</v>
      </c>
      <c r="R209">
        <v>8</v>
      </c>
      <c r="S209">
        <v>1</v>
      </c>
      <c r="T209">
        <v>1</v>
      </c>
      <c r="U209">
        <v>0</v>
      </c>
      <c r="V209">
        <v>0</v>
      </c>
      <c r="W209" t="s">
        <v>65</v>
      </c>
      <c r="X209" s="1" t="d">
        <v>2020-06-08</v>
      </c>
      <c r="Z209" t="s">
        <v>59</v>
      </c>
      <c r="AA209" t="s">
        <v>46</v>
      </c>
      <c r="AB209">
        <v>3</v>
      </c>
      <c r="AC209">
        <v>2</v>
      </c>
      <c r="AD209" t="s">
        <v>41</v>
      </c>
      <c r="AE209" t="s">
        <v>60</v>
      </c>
      <c r="AF209" t="s">
        <v>43</v>
      </c>
      <c r="AG209">
        <f>IF(HR_Data[[#This Row],[Attrition]]="Yes",1,0)</f>
        <v>0</v>
      </c>
      <c r="AH209" t="str">
        <f>IF(HR_Data[Date_of_termination]="","Active","Left")</f>
        <v>Active</v>
      </c>
      <c r="AI209" t="str">
        <f>IF(HR_Data[YearsAtCompany]&lt;=2,"Fresher", IF(HR_Data[YearsAtCompany]&lt;=5,"Junior", IF(HR_Data[YearsAtCompany]&lt;=10, "Mid","Senior")))</f>
        <v>Fresher</v>
      </c>
      <c r="AJ209" s="2" t="str">
        <f>IF(HR_Data[MonthlyIncome]&lt;=300,"Low", IF(HR_Data[MonthlyIncome]&lt;=7000,"Medium", "High"))</f>
        <v>High</v>
      </c>
      <c r="AK209" s="2" t="str">
        <f>VLOOKUP(HR_Data[JobRole], JobRole_Map[], 2, FALSE)</f>
        <v>Operations</v>
      </c>
    </row>
    <row r="210" spans="1:37" x14ac:dyDescent="0.25">
      <c r="A210" s="2">
        <v>31</v>
      </c>
      <c r="B210" t="s">
        <v>41</v>
      </c>
      <c r="C210" t="s">
        <v>33</v>
      </c>
      <c r="D210" t="s">
        <v>34</v>
      </c>
      <c r="E210">
        <v>2</v>
      </c>
      <c r="F210" t="s">
        <v>58</v>
      </c>
      <c r="G210">
        <v>1</v>
      </c>
      <c r="H210">
        <v>1</v>
      </c>
      <c r="I210" t="s">
        <v>36</v>
      </c>
      <c r="J210">
        <v>4</v>
      </c>
      <c r="K210" t="s">
        <v>55</v>
      </c>
      <c r="L210">
        <v>1129</v>
      </c>
      <c r="M210">
        <v>1</v>
      </c>
      <c r="N210" t="s">
        <v>32</v>
      </c>
      <c r="O210">
        <v>11</v>
      </c>
      <c r="P210">
        <v>3</v>
      </c>
      <c r="Q210">
        <v>3</v>
      </c>
      <c r="R210">
        <v>1</v>
      </c>
      <c r="S210">
        <v>4</v>
      </c>
      <c r="T210">
        <v>1</v>
      </c>
      <c r="U210">
        <v>0</v>
      </c>
      <c r="V210">
        <v>0</v>
      </c>
      <c r="W210" t="s">
        <v>56</v>
      </c>
      <c r="X210" s="1" t="d">
        <v>2020-03-30</v>
      </c>
      <c r="Z210" t="s">
        <v>52</v>
      </c>
      <c r="AA210" t="s">
        <v>40</v>
      </c>
      <c r="AB210">
        <v>4</v>
      </c>
      <c r="AC210">
        <v>3</v>
      </c>
      <c r="AD210" t="s">
        <v>41</v>
      </c>
      <c r="AE210" t="s">
        <v>47</v>
      </c>
      <c r="AF210" t="s">
        <v>43</v>
      </c>
      <c r="AG210">
        <f>IF(HR_Data[[#This Row],[Attrition]]="Yes",1,0)</f>
        <v>0</v>
      </c>
      <c r="AH210" t="str">
        <f>IF(HR_Data[Date_of_termination]="","Active","Left")</f>
        <v>Active</v>
      </c>
      <c r="AI210" t="str">
        <f>IF(HR_Data[YearsAtCompany]&lt;=2,"Fresher", IF(HR_Data[YearsAtCompany]&lt;=5,"Junior", IF(HR_Data[YearsAtCompany]&lt;=10, "Mid","Senior")))</f>
        <v>Fresher</v>
      </c>
      <c r="AJ210" s="2" t="str">
        <f>IF(HR_Data[MonthlyIncome]&lt;=300,"Low", IF(HR_Data[MonthlyIncome]&lt;=7000,"Medium", "High"))</f>
        <v>Medium</v>
      </c>
      <c r="AK210" s="2" t="str">
        <f>VLOOKUP(HR_Data[JobRole], JobRole_Map[], 2, FALSE)</f>
        <v>Technical</v>
      </c>
    </row>
    <row r="211" spans="1:37" x14ac:dyDescent="0.25">
      <c r="A211" s="2">
        <v>33</v>
      </c>
      <c r="B211" t="s">
        <v>41</v>
      </c>
      <c r="C211" t="s">
        <v>68</v>
      </c>
      <c r="D211" t="s">
        <v>34</v>
      </c>
      <c r="E211">
        <v>1</v>
      </c>
      <c r="F211" t="s">
        <v>35</v>
      </c>
      <c r="G211">
        <v>2</v>
      </c>
      <c r="H211">
        <v>1</v>
      </c>
      <c r="I211" t="s">
        <v>36</v>
      </c>
      <c r="J211">
        <v>3</v>
      </c>
      <c r="K211" t="s">
        <v>55</v>
      </c>
      <c r="L211">
        <v>2008</v>
      </c>
      <c r="M211">
        <v>1</v>
      </c>
      <c r="N211" t="s">
        <v>41</v>
      </c>
      <c r="O211">
        <v>12</v>
      </c>
      <c r="P211">
        <v>3</v>
      </c>
      <c r="Q211">
        <v>3</v>
      </c>
      <c r="R211">
        <v>1</v>
      </c>
      <c r="S211">
        <v>2</v>
      </c>
      <c r="T211">
        <v>1</v>
      </c>
      <c r="U211">
        <v>0</v>
      </c>
      <c r="V211">
        <v>0</v>
      </c>
      <c r="W211" t="s">
        <v>56</v>
      </c>
      <c r="X211" s="1" t="d">
        <v>2020-05-26</v>
      </c>
      <c r="Z211" t="s">
        <v>59</v>
      </c>
      <c r="AA211" t="s">
        <v>46</v>
      </c>
      <c r="AB211">
        <v>0</v>
      </c>
      <c r="AC211">
        <v>1</v>
      </c>
      <c r="AD211" t="s">
        <v>32</v>
      </c>
      <c r="AE211" t="s">
        <v>62</v>
      </c>
      <c r="AF211" t="s">
        <v>43</v>
      </c>
      <c r="AG211">
        <f>IF(HR_Data[[#This Row],[Attrition]]="Yes",1,0)</f>
        <v>0</v>
      </c>
      <c r="AH211" t="str">
        <f>IF(HR_Data[Date_of_termination]="","Active","Left")</f>
        <v>Active</v>
      </c>
      <c r="AI211" t="str">
        <f>IF(HR_Data[YearsAtCompany]&lt;=2,"Fresher", IF(HR_Data[YearsAtCompany]&lt;=5,"Junior", IF(HR_Data[YearsAtCompany]&lt;=10, "Mid","Senior")))</f>
        <v>Fresher</v>
      </c>
      <c r="AJ211" s="2" t="str">
        <f>IF(HR_Data[MonthlyIncome]&lt;=300,"Low", IF(HR_Data[MonthlyIncome]&lt;=7000,"Medium", "High"))</f>
        <v>Medium</v>
      </c>
      <c r="AK211" s="2" t="str">
        <f>VLOOKUP(HR_Data[JobRole], JobRole_Map[], 2, FALSE)</f>
        <v>Technical</v>
      </c>
    </row>
    <row r="212" spans="1:37" x14ac:dyDescent="0.25">
      <c r="A212" s="2">
        <v>40</v>
      </c>
      <c r="B212" t="s">
        <v>41</v>
      </c>
      <c r="C212" t="s">
        <v>33</v>
      </c>
      <c r="D212" t="s">
        <v>34</v>
      </c>
      <c r="E212">
        <v>1</v>
      </c>
      <c r="F212" t="s">
        <v>35</v>
      </c>
      <c r="G212">
        <v>3</v>
      </c>
      <c r="H212">
        <v>1</v>
      </c>
      <c r="I212" t="s">
        <v>36</v>
      </c>
      <c r="J212">
        <v>4</v>
      </c>
      <c r="K212" t="s">
        <v>50</v>
      </c>
      <c r="L212">
        <v>2406</v>
      </c>
      <c r="M212">
        <v>8</v>
      </c>
      <c r="N212" t="s">
        <v>41</v>
      </c>
      <c r="O212">
        <v>19</v>
      </c>
      <c r="P212">
        <v>3</v>
      </c>
      <c r="Q212">
        <v>2</v>
      </c>
      <c r="R212">
        <v>8</v>
      </c>
      <c r="S212">
        <v>3</v>
      </c>
      <c r="T212">
        <v>1</v>
      </c>
      <c r="U212">
        <v>0</v>
      </c>
      <c r="V212">
        <v>0</v>
      </c>
      <c r="W212" t="s">
        <v>51</v>
      </c>
      <c r="X212" s="1" t="d">
        <v>2020-03-15</v>
      </c>
      <c r="Z212" t="s">
        <v>39</v>
      </c>
      <c r="AA212" t="s">
        <v>46</v>
      </c>
      <c r="AB212">
        <v>1</v>
      </c>
      <c r="AC212">
        <v>2</v>
      </c>
      <c r="AD212" t="s">
        <v>32</v>
      </c>
      <c r="AE212" t="s">
        <v>47</v>
      </c>
      <c r="AF212" t="s">
        <v>57</v>
      </c>
      <c r="AG212">
        <f>IF(HR_Data[[#This Row],[Attrition]]="Yes",1,0)</f>
        <v>0</v>
      </c>
      <c r="AH212" t="str">
        <f>IF(HR_Data[Date_of_termination]="","Active","Left")</f>
        <v>Active</v>
      </c>
      <c r="AI212" t="str">
        <f>IF(HR_Data[YearsAtCompany]&lt;=2,"Fresher", IF(HR_Data[YearsAtCompany]&lt;=5,"Junior", IF(HR_Data[YearsAtCompany]&lt;=10, "Mid","Senior")))</f>
        <v>Fresher</v>
      </c>
      <c r="AJ212" s="2" t="str">
        <f>IF(HR_Data[MonthlyIncome]&lt;=300,"Low", IF(HR_Data[MonthlyIncome]&lt;=7000,"Medium", "High"))</f>
        <v>Medium</v>
      </c>
      <c r="AK212" s="2" t="str">
        <f>VLOOKUP(HR_Data[JobRole], JobRole_Map[], 2, FALSE)</f>
        <v>Technical</v>
      </c>
    </row>
    <row r="213" spans="1:37" x14ac:dyDescent="0.25">
      <c r="A213" s="2">
        <v>23</v>
      </c>
      <c r="B213" t="s">
        <v>32</v>
      </c>
      <c r="C213" t="s">
        <v>61</v>
      </c>
      <c r="D213" t="s">
        <v>53</v>
      </c>
      <c r="E213">
        <v>9</v>
      </c>
      <c r="F213" t="s">
        <v>35</v>
      </c>
      <c r="G213">
        <v>3</v>
      </c>
      <c r="H213">
        <v>1</v>
      </c>
      <c r="I213" t="s">
        <v>54</v>
      </c>
      <c r="J213">
        <v>1</v>
      </c>
      <c r="K213" t="s">
        <v>50</v>
      </c>
      <c r="L213">
        <v>1790</v>
      </c>
      <c r="M213">
        <v>1</v>
      </c>
      <c r="N213" t="s">
        <v>41</v>
      </c>
      <c r="O213">
        <v>19</v>
      </c>
      <c r="P213">
        <v>3</v>
      </c>
      <c r="Q213">
        <v>1</v>
      </c>
      <c r="R213">
        <v>1</v>
      </c>
      <c r="S213">
        <v>3</v>
      </c>
      <c r="T213">
        <v>1</v>
      </c>
      <c r="U213">
        <v>1</v>
      </c>
      <c r="V213">
        <v>0</v>
      </c>
      <c r="W213" t="s">
        <v>51</v>
      </c>
      <c r="X213" s="1" t="d">
        <v>2020-04-02</v>
      </c>
      <c r="Z213" t="s">
        <v>45</v>
      </c>
      <c r="AA213" t="s">
        <v>40</v>
      </c>
      <c r="AB213">
        <v>2</v>
      </c>
      <c r="AC213">
        <v>3</v>
      </c>
      <c r="AD213" t="s">
        <v>41</v>
      </c>
      <c r="AE213" t="s">
        <v>42</v>
      </c>
      <c r="AF213" t="s">
        <v>57</v>
      </c>
      <c r="AG213">
        <f>IF(HR_Data[[#This Row],[Attrition]]="Yes",1,0)</f>
        <v>1</v>
      </c>
      <c r="AH213" t="str">
        <f>IF(HR_Data[Date_of_termination]="","Active","Left")</f>
        <v>Active</v>
      </c>
      <c r="AI213" t="str">
        <f>IF(HR_Data[YearsAtCompany]&lt;=2,"Fresher", IF(HR_Data[YearsAtCompany]&lt;=5,"Junior", IF(HR_Data[YearsAtCompany]&lt;=10, "Mid","Senior")))</f>
        <v>Fresher</v>
      </c>
      <c r="AJ213" s="2" t="str">
        <f>IF(HR_Data[MonthlyIncome]&lt;=300,"Low", IF(HR_Data[MonthlyIncome]&lt;=7000,"Medium", "High"))</f>
        <v>Medium</v>
      </c>
      <c r="AK213" s="2" t="str">
        <f>VLOOKUP(HR_Data[JobRole], JobRole_Map[], 2, FALSE)</f>
        <v>Sales</v>
      </c>
    </row>
    <row r="214" spans="1:37" x14ac:dyDescent="0.25">
      <c r="A214" s="2">
        <v>27</v>
      </c>
      <c r="B214" t="s">
        <v>41</v>
      </c>
      <c r="C214" t="s">
        <v>33</v>
      </c>
      <c r="D214" t="s">
        <v>34</v>
      </c>
      <c r="E214">
        <v>2</v>
      </c>
      <c r="F214" t="s">
        <v>35</v>
      </c>
      <c r="G214">
        <v>3</v>
      </c>
      <c r="H214">
        <v>1</v>
      </c>
      <c r="I214" t="s">
        <v>36</v>
      </c>
      <c r="J214">
        <v>2</v>
      </c>
      <c r="K214" t="s">
        <v>50</v>
      </c>
      <c r="L214">
        <v>3468</v>
      </c>
      <c r="M214">
        <v>9</v>
      </c>
      <c r="N214" t="s">
        <v>41</v>
      </c>
      <c r="O214">
        <v>12</v>
      </c>
      <c r="P214">
        <v>3</v>
      </c>
      <c r="Q214">
        <v>1</v>
      </c>
      <c r="R214">
        <v>6</v>
      </c>
      <c r="S214">
        <v>3</v>
      </c>
      <c r="T214">
        <v>2</v>
      </c>
      <c r="U214">
        <v>2</v>
      </c>
      <c r="V214">
        <v>2</v>
      </c>
      <c r="W214" t="s">
        <v>38</v>
      </c>
      <c r="X214" s="1" t="d">
        <v>2019-02-19</v>
      </c>
      <c r="Z214" t="s">
        <v>52</v>
      </c>
      <c r="AA214" t="s">
        <v>46</v>
      </c>
      <c r="AB214">
        <v>0</v>
      </c>
      <c r="AC214">
        <v>2</v>
      </c>
      <c r="AD214" t="s">
        <v>32</v>
      </c>
      <c r="AE214" t="s">
        <v>60</v>
      </c>
      <c r="AF214" t="s">
        <v>43</v>
      </c>
      <c r="AG214">
        <f>IF(HR_Data[[#This Row],[Attrition]]="Yes",1,0)</f>
        <v>0</v>
      </c>
      <c r="AH214" t="str">
        <f>IF(HR_Data[Date_of_termination]="","Active","Left")</f>
        <v>Active</v>
      </c>
      <c r="AI214" t="str">
        <f>IF(HR_Data[YearsAtCompany]&lt;=2,"Fresher", IF(HR_Data[YearsAtCompany]&lt;=5,"Junior", IF(HR_Data[YearsAtCompany]&lt;=10, "Mid","Senior")))</f>
        <v>Fresher</v>
      </c>
      <c r="AJ214" s="2" t="str">
        <f>IF(HR_Data[MonthlyIncome]&lt;=300,"Low", IF(HR_Data[MonthlyIncome]&lt;=7000,"Medium", "High"))</f>
        <v>Medium</v>
      </c>
      <c r="AK214" s="2" t="str">
        <f>VLOOKUP(HR_Data[JobRole], JobRole_Map[], 2, FALSE)</f>
        <v>Technical</v>
      </c>
    </row>
    <row r="215" spans="1:37" x14ac:dyDescent="0.25">
      <c r="A215" s="2">
        <v>34</v>
      </c>
      <c r="B215" t="s">
        <v>41</v>
      </c>
      <c r="C215" t="s">
        <v>33</v>
      </c>
      <c r="D215" t="s">
        <v>34</v>
      </c>
      <c r="E215">
        <v>19</v>
      </c>
      <c r="F215" t="s">
        <v>35</v>
      </c>
      <c r="G215">
        <v>3</v>
      </c>
      <c r="H215">
        <v>1</v>
      </c>
      <c r="I215" t="s">
        <v>36</v>
      </c>
      <c r="J215">
        <v>4</v>
      </c>
      <c r="K215" t="s">
        <v>55</v>
      </c>
      <c r="L215">
        <v>2661</v>
      </c>
      <c r="M215">
        <v>0</v>
      </c>
      <c r="N215" t="s">
        <v>41</v>
      </c>
      <c r="O215">
        <v>11</v>
      </c>
      <c r="P215">
        <v>3</v>
      </c>
      <c r="Q215">
        <v>1</v>
      </c>
      <c r="R215">
        <v>3</v>
      </c>
      <c r="S215">
        <v>2</v>
      </c>
      <c r="T215">
        <v>2</v>
      </c>
      <c r="U215">
        <v>1</v>
      </c>
      <c r="V215">
        <v>2</v>
      </c>
      <c r="W215" t="s">
        <v>56</v>
      </c>
      <c r="X215" s="1" t="d">
        <v>2019-05-01</v>
      </c>
      <c r="Z215" t="s">
        <v>63</v>
      </c>
      <c r="AA215" t="s">
        <v>40</v>
      </c>
      <c r="AB215">
        <v>2</v>
      </c>
      <c r="AC215">
        <v>2</v>
      </c>
      <c r="AD215" t="s">
        <v>32</v>
      </c>
      <c r="AE215" t="s">
        <v>42</v>
      </c>
      <c r="AF215" t="s">
        <v>57</v>
      </c>
      <c r="AG215">
        <f>IF(HR_Data[[#This Row],[Attrition]]="Yes",1,0)</f>
        <v>0</v>
      </c>
      <c r="AH215" t="str">
        <f>IF(HR_Data[Date_of_termination]="","Active","Left")</f>
        <v>Active</v>
      </c>
      <c r="AI215" t="str">
        <f>IF(HR_Data[YearsAtCompany]&lt;=2,"Fresher", IF(HR_Data[YearsAtCompany]&lt;=5,"Junior", IF(HR_Data[YearsAtCompany]&lt;=10, "Mid","Senior")))</f>
        <v>Fresher</v>
      </c>
      <c r="AJ215" s="2" t="str">
        <f>IF(HR_Data[MonthlyIncome]&lt;=300,"Low", IF(HR_Data[MonthlyIncome]&lt;=7000,"Medium", "High"))</f>
        <v>Medium</v>
      </c>
      <c r="AK215" s="2" t="str">
        <f>VLOOKUP(HR_Data[JobRole], JobRole_Map[], 2, FALSE)</f>
        <v>Technical</v>
      </c>
    </row>
    <row r="216" spans="1:37" x14ac:dyDescent="0.25">
      <c r="A216" s="2">
        <v>46</v>
      </c>
      <c r="B216" t="s">
        <v>41</v>
      </c>
      <c r="C216" t="s">
        <v>33</v>
      </c>
      <c r="D216" t="s">
        <v>53</v>
      </c>
      <c r="E216">
        <v>2</v>
      </c>
      <c r="F216" t="s">
        <v>58</v>
      </c>
      <c r="G216">
        <v>3</v>
      </c>
      <c r="H216">
        <v>5</v>
      </c>
      <c r="I216" t="s">
        <v>66</v>
      </c>
      <c r="J216">
        <v>1</v>
      </c>
      <c r="K216" t="s">
        <v>37</v>
      </c>
      <c r="L216">
        <v>18947</v>
      </c>
      <c r="M216">
        <v>3</v>
      </c>
      <c r="N216" t="s">
        <v>41</v>
      </c>
      <c r="O216">
        <v>12</v>
      </c>
      <c r="P216">
        <v>3</v>
      </c>
      <c r="Q216">
        <v>0</v>
      </c>
      <c r="R216">
        <v>22</v>
      </c>
      <c r="S216">
        <v>2</v>
      </c>
      <c r="T216">
        <v>2</v>
      </c>
      <c r="U216">
        <v>2</v>
      </c>
      <c r="V216">
        <v>1</v>
      </c>
      <c r="W216" t="s">
        <v>51</v>
      </c>
      <c r="X216" s="1" t="d">
        <v>2019-03-16</v>
      </c>
      <c r="Z216" t="s">
        <v>45</v>
      </c>
      <c r="AA216" t="s">
        <v>46</v>
      </c>
      <c r="AB216">
        <v>2</v>
      </c>
      <c r="AC216">
        <v>2</v>
      </c>
      <c r="AD216" t="s">
        <v>41</v>
      </c>
      <c r="AE216" t="s">
        <v>47</v>
      </c>
      <c r="AF216" t="s">
        <v>48</v>
      </c>
      <c r="AG216">
        <f>IF(HR_Data[[#This Row],[Attrition]]="Yes",1,0)</f>
        <v>0</v>
      </c>
      <c r="AH216" t="str">
        <f>IF(HR_Data[Date_of_termination]="","Active","Left")</f>
        <v>Active</v>
      </c>
      <c r="AI216" t="str">
        <f>IF(HR_Data[YearsAtCompany]&lt;=2,"Fresher", IF(HR_Data[YearsAtCompany]&lt;=5,"Junior", IF(HR_Data[YearsAtCompany]&lt;=10, "Mid","Senior")))</f>
        <v>Fresher</v>
      </c>
      <c r="AJ216" s="2" t="str">
        <f>IF(HR_Data[MonthlyIncome]&lt;=300,"Low", IF(HR_Data[MonthlyIncome]&lt;=7000,"Medium", "High"))</f>
        <v>High</v>
      </c>
      <c r="AK216" s="2" t="str">
        <f>VLOOKUP(HR_Data[JobRole], JobRole_Map[], 2, FALSE)</f>
        <v>Management</v>
      </c>
    </row>
    <row r="217" spans="1:37" x14ac:dyDescent="0.25">
      <c r="A217" s="2">
        <v>24</v>
      </c>
      <c r="B217" t="s">
        <v>32</v>
      </c>
      <c r="C217" t="s">
        <v>33</v>
      </c>
      <c r="D217" t="s">
        <v>34</v>
      </c>
      <c r="E217">
        <v>1</v>
      </c>
      <c r="F217" t="s">
        <v>35</v>
      </c>
      <c r="G217">
        <v>3</v>
      </c>
      <c r="H217">
        <v>1</v>
      </c>
      <c r="I217" t="s">
        <v>44</v>
      </c>
      <c r="J217">
        <v>4</v>
      </c>
      <c r="K217" t="s">
        <v>50</v>
      </c>
      <c r="L217">
        <v>2293</v>
      </c>
      <c r="M217">
        <v>2</v>
      </c>
      <c r="N217" t="s">
        <v>32</v>
      </c>
      <c r="O217">
        <v>16</v>
      </c>
      <c r="P217">
        <v>3</v>
      </c>
      <c r="Q217">
        <v>1</v>
      </c>
      <c r="R217">
        <v>6</v>
      </c>
      <c r="S217">
        <v>2</v>
      </c>
      <c r="T217">
        <v>2</v>
      </c>
      <c r="U217">
        <v>2</v>
      </c>
      <c r="V217">
        <v>0</v>
      </c>
      <c r="W217" t="s">
        <v>38</v>
      </c>
      <c r="X217" s="1" t="d">
        <v>2019-01-26</v>
      </c>
      <c r="Z217" t="s">
        <v>63</v>
      </c>
      <c r="AA217" t="s">
        <v>46</v>
      </c>
      <c r="AB217">
        <v>1</v>
      </c>
      <c r="AC217">
        <v>3</v>
      </c>
      <c r="AD217" t="s">
        <v>32</v>
      </c>
      <c r="AE217" t="s">
        <v>42</v>
      </c>
      <c r="AF217" t="s">
        <v>48</v>
      </c>
      <c r="AG217">
        <f>IF(HR_Data[[#This Row],[Attrition]]="Yes",1,0)</f>
        <v>1</v>
      </c>
      <c r="AH217" t="str">
        <f>IF(HR_Data[Date_of_termination]="","Active","Left")</f>
        <v>Active</v>
      </c>
      <c r="AI217" t="str">
        <f>IF(HR_Data[YearsAtCompany]&lt;=2,"Fresher", IF(HR_Data[YearsAtCompany]&lt;=5,"Junior", IF(HR_Data[YearsAtCompany]&lt;=10, "Mid","Senior")))</f>
        <v>Fresher</v>
      </c>
      <c r="AJ217" s="2" t="str">
        <f>IF(HR_Data[MonthlyIncome]&lt;=300,"Low", IF(HR_Data[MonthlyIncome]&lt;=7000,"Medium", "High"))</f>
        <v>Medium</v>
      </c>
      <c r="AK217" s="2" t="str">
        <f>VLOOKUP(HR_Data[JobRole], JobRole_Map[], 2, FALSE)</f>
        <v>Technical</v>
      </c>
    </row>
    <row r="218" spans="1:37" x14ac:dyDescent="0.25">
      <c r="A218" s="2">
        <v>35</v>
      </c>
      <c r="B218" t="s">
        <v>41</v>
      </c>
      <c r="C218" t="s">
        <v>33</v>
      </c>
      <c r="D218" t="s">
        <v>53</v>
      </c>
      <c r="E218">
        <v>2</v>
      </c>
      <c r="F218" t="s">
        <v>58</v>
      </c>
      <c r="G218">
        <v>3</v>
      </c>
      <c r="H218">
        <v>1</v>
      </c>
      <c r="I218" t="s">
        <v>54</v>
      </c>
      <c r="J218">
        <v>4</v>
      </c>
      <c r="K218" t="s">
        <v>50</v>
      </c>
      <c r="L218">
        <v>2014</v>
      </c>
      <c r="M218">
        <v>1</v>
      </c>
      <c r="N218" t="s">
        <v>41</v>
      </c>
      <c r="O218">
        <v>13</v>
      </c>
      <c r="P218">
        <v>3</v>
      </c>
      <c r="Q218">
        <v>0</v>
      </c>
      <c r="R218">
        <v>2</v>
      </c>
      <c r="S218">
        <v>3</v>
      </c>
      <c r="T218">
        <v>2</v>
      </c>
      <c r="U218">
        <v>2</v>
      </c>
      <c r="V218">
        <v>2</v>
      </c>
      <c r="W218" t="s">
        <v>65</v>
      </c>
      <c r="X218" s="1" t="d">
        <v>2019-04-16</v>
      </c>
      <c r="Z218" t="s">
        <v>39</v>
      </c>
      <c r="AA218" t="s">
        <v>40</v>
      </c>
      <c r="AB218">
        <v>1</v>
      </c>
      <c r="AC218">
        <v>1</v>
      </c>
      <c r="AD218" t="s">
        <v>41</v>
      </c>
      <c r="AE218" t="s">
        <v>42</v>
      </c>
      <c r="AF218" t="s">
        <v>57</v>
      </c>
      <c r="AG218">
        <f>IF(HR_Data[[#This Row],[Attrition]]="Yes",1,0)</f>
        <v>0</v>
      </c>
      <c r="AH218" t="str">
        <f>IF(HR_Data[Date_of_termination]="","Active","Left")</f>
        <v>Active</v>
      </c>
      <c r="AI218" t="str">
        <f>IF(HR_Data[YearsAtCompany]&lt;=2,"Fresher", IF(HR_Data[YearsAtCompany]&lt;=5,"Junior", IF(HR_Data[YearsAtCompany]&lt;=10, "Mid","Senior")))</f>
        <v>Fresher</v>
      </c>
      <c r="AJ218" s="2" t="str">
        <f>IF(HR_Data[MonthlyIncome]&lt;=300,"Low", IF(HR_Data[MonthlyIncome]&lt;=7000,"Medium", "High"))</f>
        <v>Medium</v>
      </c>
      <c r="AK218" s="2" t="str">
        <f>VLOOKUP(HR_Data[JobRole], JobRole_Map[], 2, FALSE)</f>
        <v>Sales</v>
      </c>
    </row>
    <row r="219" spans="1:37" x14ac:dyDescent="0.25">
      <c r="A219" s="2">
        <v>28</v>
      </c>
      <c r="B219" t="s">
        <v>32</v>
      </c>
      <c r="C219" t="s">
        <v>33</v>
      </c>
      <c r="D219" t="s">
        <v>34</v>
      </c>
      <c r="E219">
        <v>5</v>
      </c>
      <c r="F219" t="s">
        <v>35</v>
      </c>
      <c r="G219">
        <v>3</v>
      </c>
      <c r="H219">
        <v>1</v>
      </c>
      <c r="I219" t="s">
        <v>36</v>
      </c>
      <c r="J219">
        <v>3</v>
      </c>
      <c r="K219" t="s">
        <v>37</v>
      </c>
      <c r="L219">
        <v>3441</v>
      </c>
      <c r="M219">
        <v>1</v>
      </c>
      <c r="N219" t="s">
        <v>32</v>
      </c>
      <c r="O219">
        <v>13</v>
      </c>
      <c r="P219">
        <v>3</v>
      </c>
      <c r="Q219">
        <v>0</v>
      </c>
      <c r="R219">
        <v>2</v>
      </c>
      <c r="S219">
        <v>3</v>
      </c>
      <c r="T219">
        <v>2</v>
      </c>
      <c r="U219">
        <v>2</v>
      </c>
      <c r="V219">
        <v>2</v>
      </c>
      <c r="W219" t="s">
        <v>56</v>
      </c>
      <c r="X219" s="1" t="d">
        <v>2019-05-03</v>
      </c>
      <c r="Z219" t="s">
        <v>39</v>
      </c>
      <c r="AA219" t="s">
        <v>40</v>
      </c>
      <c r="AB219">
        <v>2</v>
      </c>
      <c r="AC219">
        <v>2</v>
      </c>
      <c r="AD219" t="s">
        <v>32</v>
      </c>
      <c r="AE219" t="s">
        <v>42</v>
      </c>
      <c r="AF219" t="s">
        <v>43</v>
      </c>
      <c r="AG219">
        <f>IF(HR_Data[[#This Row],[Attrition]]="Yes",1,0)</f>
        <v>1</v>
      </c>
      <c r="AH219" t="str">
        <f>IF(HR_Data[Date_of_termination]="","Active","Left")</f>
        <v>Active</v>
      </c>
      <c r="AI219" t="str">
        <f>IF(HR_Data[YearsAtCompany]&lt;=2,"Fresher", IF(HR_Data[YearsAtCompany]&lt;=5,"Junior", IF(HR_Data[YearsAtCompany]&lt;=10, "Mid","Senior")))</f>
        <v>Fresher</v>
      </c>
      <c r="AJ219" s="2" t="str">
        <f>IF(HR_Data[MonthlyIncome]&lt;=300,"Low", IF(HR_Data[MonthlyIncome]&lt;=7000,"Medium", "High"))</f>
        <v>Medium</v>
      </c>
      <c r="AK219" s="2" t="str">
        <f>VLOOKUP(HR_Data[JobRole], JobRole_Map[], 2, FALSE)</f>
        <v>Technical</v>
      </c>
    </row>
    <row r="220" spans="1:37" x14ac:dyDescent="0.25">
      <c r="A220" s="2">
        <v>26</v>
      </c>
      <c r="B220" t="s">
        <v>41</v>
      </c>
      <c r="C220" t="s">
        <v>33</v>
      </c>
      <c r="D220" t="s">
        <v>53</v>
      </c>
      <c r="E220">
        <v>23</v>
      </c>
      <c r="F220" t="s">
        <v>58</v>
      </c>
      <c r="G220">
        <v>2</v>
      </c>
      <c r="H220">
        <v>2</v>
      </c>
      <c r="I220" t="s">
        <v>64</v>
      </c>
      <c r="J220">
        <v>4</v>
      </c>
      <c r="K220" t="s">
        <v>50</v>
      </c>
      <c r="L220">
        <v>4157</v>
      </c>
      <c r="M220">
        <v>7</v>
      </c>
      <c r="N220" t="s">
        <v>32</v>
      </c>
      <c r="O220">
        <v>19</v>
      </c>
      <c r="P220">
        <v>3</v>
      </c>
      <c r="Q220">
        <v>1</v>
      </c>
      <c r="R220">
        <v>5</v>
      </c>
      <c r="S220">
        <v>2</v>
      </c>
      <c r="T220">
        <v>2</v>
      </c>
      <c r="U220">
        <v>0</v>
      </c>
      <c r="V220">
        <v>0</v>
      </c>
      <c r="W220" t="s">
        <v>51</v>
      </c>
      <c r="X220" s="1" t="d">
        <v>2019-05-17</v>
      </c>
      <c r="Z220" t="s">
        <v>45</v>
      </c>
      <c r="AA220" t="s">
        <v>46</v>
      </c>
      <c r="AB220">
        <v>4</v>
      </c>
      <c r="AC220">
        <v>3</v>
      </c>
      <c r="AD220" t="s">
        <v>32</v>
      </c>
      <c r="AE220" t="s">
        <v>47</v>
      </c>
      <c r="AF220" t="s">
        <v>57</v>
      </c>
      <c r="AG220">
        <f>IF(HR_Data[[#This Row],[Attrition]]="Yes",1,0)</f>
        <v>0</v>
      </c>
      <c r="AH220" t="str">
        <f>IF(HR_Data[Date_of_termination]="","Active","Left")</f>
        <v>Active</v>
      </c>
      <c r="AI220" t="str">
        <f>IF(HR_Data[YearsAtCompany]&lt;=2,"Fresher", IF(HR_Data[YearsAtCompany]&lt;=5,"Junior", IF(HR_Data[YearsAtCompany]&lt;=10, "Mid","Senior")))</f>
        <v>Fresher</v>
      </c>
      <c r="AJ220" s="2" t="str">
        <f>IF(HR_Data[MonthlyIncome]&lt;=300,"Low", IF(HR_Data[MonthlyIncome]&lt;=7000,"Medium", "High"))</f>
        <v>Medium</v>
      </c>
      <c r="AK220" s="2" t="str">
        <f>VLOOKUP(HR_Data[JobRole], JobRole_Map[], 2, FALSE)</f>
        <v>Sales</v>
      </c>
    </row>
    <row r="221" spans="1:37" x14ac:dyDescent="0.25">
      <c r="A221" s="2">
        <v>35</v>
      </c>
      <c r="B221" t="s">
        <v>41</v>
      </c>
      <c r="C221" t="s">
        <v>33</v>
      </c>
      <c r="D221" t="s">
        <v>34</v>
      </c>
      <c r="E221">
        <v>23</v>
      </c>
      <c r="F221" t="s">
        <v>58</v>
      </c>
      <c r="G221">
        <v>3</v>
      </c>
      <c r="H221">
        <v>1</v>
      </c>
      <c r="I221" t="s">
        <v>36</v>
      </c>
      <c r="J221">
        <v>1</v>
      </c>
      <c r="K221" t="s">
        <v>50</v>
      </c>
      <c r="L221">
        <v>4014</v>
      </c>
      <c r="M221">
        <v>3</v>
      </c>
      <c r="N221" t="s">
        <v>32</v>
      </c>
      <c r="O221">
        <v>15</v>
      </c>
      <c r="P221">
        <v>3</v>
      </c>
      <c r="Q221">
        <v>1</v>
      </c>
      <c r="R221">
        <v>4</v>
      </c>
      <c r="S221">
        <v>3</v>
      </c>
      <c r="T221">
        <v>2</v>
      </c>
      <c r="U221">
        <v>2</v>
      </c>
      <c r="V221">
        <v>2</v>
      </c>
      <c r="W221" t="s">
        <v>56</v>
      </c>
      <c r="X221" s="1" t="d">
        <v>2019-02-04</v>
      </c>
      <c r="Z221" t="s">
        <v>63</v>
      </c>
      <c r="AA221" t="s">
        <v>46</v>
      </c>
      <c r="AB221">
        <v>3</v>
      </c>
      <c r="AC221">
        <v>0</v>
      </c>
      <c r="AD221" t="s">
        <v>41</v>
      </c>
      <c r="AE221" t="s">
        <v>60</v>
      </c>
      <c r="AF221" t="s">
        <v>48</v>
      </c>
      <c r="AG221">
        <f>IF(HR_Data[[#This Row],[Attrition]]="Yes",1,0)</f>
        <v>0</v>
      </c>
      <c r="AH221" t="str">
        <f>IF(HR_Data[Date_of_termination]="","Active","Left")</f>
        <v>Active</v>
      </c>
      <c r="AI221" t="str">
        <f>IF(HR_Data[YearsAtCompany]&lt;=2,"Fresher", IF(HR_Data[YearsAtCompany]&lt;=5,"Junior", IF(HR_Data[YearsAtCompany]&lt;=10, "Mid","Senior")))</f>
        <v>Fresher</v>
      </c>
      <c r="AJ221" s="2" t="str">
        <f>IF(HR_Data[MonthlyIncome]&lt;=300,"Low", IF(HR_Data[MonthlyIncome]&lt;=7000,"Medium", "High"))</f>
        <v>Medium</v>
      </c>
      <c r="AK221" s="2" t="str">
        <f>VLOOKUP(HR_Data[JobRole], JobRole_Map[], 2, FALSE)</f>
        <v>Technical</v>
      </c>
    </row>
    <row r="222" spans="1:37" x14ac:dyDescent="0.25">
      <c r="A222" s="2">
        <v>25</v>
      </c>
      <c r="B222" t="s">
        <v>41</v>
      </c>
      <c r="C222" t="s">
        <v>33</v>
      </c>
      <c r="D222" t="s">
        <v>34</v>
      </c>
      <c r="E222">
        <v>7</v>
      </c>
      <c r="F222" t="s">
        <v>35</v>
      </c>
      <c r="G222">
        <v>2</v>
      </c>
      <c r="H222">
        <v>1</v>
      </c>
      <c r="I222" t="s">
        <v>44</v>
      </c>
      <c r="J222">
        <v>4</v>
      </c>
      <c r="K222" t="s">
        <v>50</v>
      </c>
      <c r="L222">
        <v>2889</v>
      </c>
      <c r="M222">
        <v>1</v>
      </c>
      <c r="N222" t="s">
        <v>41</v>
      </c>
      <c r="O222">
        <v>11</v>
      </c>
      <c r="P222">
        <v>3</v>
      </c>
      <c r="Q222">
        <v>2</v>
      </c>
      <c r="R222">
        <v>2</v>
      </c>
      <c r="S222">
        <v>2</v>
      </c>
      <c r="T222">
        <v>2</v>
      </c>
      <c r="U222">
        <v>2</v>
      </c>
      <c r="V222">
        <v>1</v>
      </c>
      <c r="W222" t="s">
        <v>65</v>
      </c>
      <c r="X222" s="1" t="d">
        <v>2019-05-27</v>
      </c>
      <c r="Z222" t="s">
        <v>52</v>
      </c>
      <c r="AA222" t="s">
        <v>46</v>
      </c>
      <c r="AB222">
        <v>4</v>
      </c>
      <c r="AC222">
        <v>0</v>
      </c>
      <c r="AD222" t="s">
        <v>41</v>
      </c>
      <c r="AE222" t="s">
        <v>60</v>
      </c>
      <c r="AF222" t="s">
        <v>43</v>
      </c>
      <c r="AG222">
        <f>IF(HR_Data[[#This Row],[Attrition]]="Yes",1,0)</f>
        <v>0</v>
      </c>
      <c r="AH222" t="str">
        <f>IF(HR_Data[Date_of_termination]="","Active","Left")</f>
        <v>Active</v>
      </c>
      <c r="AI222" t="str">
        <f>IF(HR_Data[YearsAtCompany]&lt;=2,"Fresher", IF(HR_Data[YearsAtCompany]&lt;=5,"Junior", IF(HR_Data[YearsAtCompany]&lt;=10, "Mid","Senior")))</f>
        <v>Fresher</v>
      </c>
      <c r="AJ222" s="2" t="str">
        <f>IF(HR_Data[MonthlyIncome]&lt;=300,"Low", IF(HR_Data[MonthlyIncome]&lt;=7000,"Medium", "High"))</f>
        <v>Medium</v>
      </c>
      <c r="AK222" s="2" t="str">
        <f>VLOOKUP(HR_Data[JobRole], JobRole_Map[], 2, FALSE)</f>
        <v>Technical</v>
      </c>
    </row>
    <row r="223" spans="1:37" x14ac:dyDescent="0.25">
      <c r="A223" s="2">
        <v>22</v>
      </c>
      <c r="B223" t="s">
        <v>41</v>
      </c>
      <c r="C223" t="s">
        <v>33</v>
      </c>
      <c r="D223" t="s">
        <v>34</v>
      </c>
      <c r="E223">
        <v>2</v>
      </c>
      <c r="F223" t="s">
        <v>35</v>
      </c>
      <c r="G223">
        <v>3</v>
      </c>
      <c r="H223">
        <v>1</v>
      </c>
      <c r="I223" t="s">
        <v>36</v>
      </c>
      <c r="J223">
        <v>4</v>
      </c>
      <c r="K223" t="s">
        <v>50</v>
      </c>
      <c r="L223">
        <v>2523</v>
      </c>
      <c r="M223">
        <v>0</v>
      </c>
      <c r="N223" t="s">
        <v>41</v>
      </c>
      <c r="O223">
        <v>14</v>
      </c>
      <c r="P223">
        <v>3</v>
      </c>
      <c r="Q223">
        <v>1</v>
      </c>
      <c r="R223">
        <v>3</v>
      </c>
      <c r="S223">
        <v>2</v>
      </c>
      <c r="T223">
        <v>2</v>
      </c>
      <c r="U223">
        <v>2</v>
      </c>
      <c r="V223">
        <v>1</v>
      </c>
      <c r="W223" t="s">
        <v>38</v>
      </c>
      <c r="X223" s="1" t="d">
        <v>2019-06-30</v>
      </c>
      <c r="Z223" t="s">
        <v>52</v>
      </c>
      <c r="AA223" t="s">
        <v>40</v>
      </c>
      <c r="AB223">
        <v>4</v>
      </c>
      <c r="AC223">
        <v>0</v>
      </c>
      <c r="AD223" t="s">
        <v>32</v>
      </c>
      <c r="AE223" t="s">
        <v>62</v>
      </c>
      <c r="AF223" t="s">
        <v>57</v>
      </c>
      <c r="AG223">
        <f>IF(HR_Data[[#This Row],[Attrition]]="Yes",1,0)</f>
        <v>0</v>
      </c>
      <c r="AH223" t="str">
        <f>IF(HR_Data[Date_of_termination]="","Active","Left")</f>
        <v>Active</v>
      </c>
      <c r="AI223" t="str">
        <f>IF(HR_Data[YearsAtCompany]&lt;=2,"Fresher", IF(HR_Data[YearsAtCompany]&lt;=5,"Junior", IF(HR_Data[YearsAtCompany]&lt;=10, "Mid","Senior")))</f>
        <v>Fresher</v>
      </c>
      <c r="AJ223" s="2" t="str">
        <f>IF(HR_Data[MonthlyIncome]&lt;=300,"Low", IF(HR_Data[MonthlyIncome]&lt;=7000,"Medium", "High"))</f>
        <v>Medium</v>
      </c>
      <c r="AK223" s="2" t="str">
        <f>VLOOKUP(HR_Data[JobRole], JobRole_Map[], 2, FALSE)</f>
        <v>Technical</v>
      </c>
    </row>
    <row r="224" spans="1:37" x14ac:dyDescent="0.25">
      <c r="A224" s="2">
        <v>50</v>
      </c>
      <c r="B224" t="s">
        <v>41</v>
      </c>
      <c r="C224" t="s">
        <v>61</v>
      </c>
      <c r="D224" t="s">
        <v>53</v>
      </c>
      <c r="E224">
        <v>12</v>
      </c>
      <c r="F224" t="s">
        <v>58</v>
      </c>
      <c r="G224">
        <v>3</v>
      </c>
      <c r="H224">
        <v>3</v>
      </c>
      <c r="I224" t="s">
        <v>64</v>
      </c>
      <c r="J224">
        <v>4</v>
      </c>
      <c r="K224" t="s">
        <v>37</v>
      </c>
      <c r="L224">
        <v>9208</v>
      </c>
      <c r="M224">
        <v>4</v>
      </c>
      <c r="N224" t="s">
        <v>41</v>
      </c>
      <c r="O224">
        <v>11</v>
      </c>
      <c r="P224">
        <v>3</v>
      </c>
      <c r="Q224">
        <v>0</v>
      </c>
      <c r="R224">
        <v>16</v>
      </c>
      <c r="S224">
        <v>3</v>
      </c>
      <c r="T224">
        <v>2</v>
      </c>
      <c r="U224">
        <v>2</v>
      </c>
      <c r="V224">
        <v>1</v>
      </c>
      <c r="W224" t="s">
        <v>65</v>
      </c>
      <c r="X224" s="1" t="d">
        <v>2019-04-16</v>
      </c>
      <c r="Z224" t="s">
        <v>39</v>
      </c>
      <c r="AA224" t="s">
        <v>40</v>
      </c>
      <c r="AB224">
        <v>5</v>
      </c>
      <c r="AC224">
        <v>0</v>
      </c>
      <c r="AD224" t="s">
        <v>41</v>
      </c>
      <c r="AE224" t="s">
        <v>60</v>
      </c>
      <c r="AF224" t="s">
        <v>43</v>
      </c>
      <c r="AG224">
        <f>IF(HR_Data[[#This Row],[Attrition]]="Yes",1,0)</f>
        <v>0</v>
      </c>
      <c r="AH224" t="str">
        <f>IF(HR_Data[Date_of_termination]="","Active","Left")</f>
        <v>Active</v>
      </c>
      <c r="AI224" t="str">
        <f>IF(HR_Data[YearsAtCompany]&lt;=2,"Fresher", IF(HR_Data[YearsAtCompany]&lt;=5,"Junior", IF(HR_Data[YearsAtCompany]&lt;=10, "Mid","Senior")))</f>
        <v>Fresher</v>
      </c>
      <c r="AJ224" s="2" t="str">
        <f>IF(HR_Data[MonthlyIncome]&lt;=300,"Low", IF(HR_Data[MonthlyIncome]&lt;=7000,"Medium", "High"))</f>
        <v>High</v>
      </c>
      <c r="AK224" s="2" t="str">
        <f>VLOOKUP(HR_Data[JobRole], JobRole_Map[], 2, FALSE)</f>
        <v>Sales</v>
      </c>
    </row>
    <row r="225" spans="1:37" x14ac:dyDescent="0.25">
      <c r="A225" s="2">
        <v>31</v>
      </c>
      <c r="B225" t="s">
        <v>32</v>
      </c>
      <c r="C225" t="s">
        <v>33</v>
      </c>
      <c r="D225" t="s">
        <v>53</v>
      </c>
      <c r="E225">
        <v>20</v>
      </c>
      <c r="F225" t="s">
        <v>58</v>
      </c>
      <c r="G225">
        <v>1</v>
      </c>
      <c r="H225">
        <v>2</v>
      </c>
      <c r="I225" t="s">
        <v>64</v>
      </c>
      <c r="J225">
        <v>3</v>
      </c>
      <c r="K225" t="s">
        <v>50</v>
      </c>
      <c r="L225">
        <v>4559</v>
      </c>
      <c r="M225">
        <v>3</v>
      </c>
      <c r="N225" t="s">
        <v>32</v>
      </c>
      <c r="O225">
        <v>11</v>
      </c>
      <c r="P225">
        <v>3</v>
      </c>
      <c r="Q225">
        <v>1</v>
      </c>
      <c r="R225">
        <v>4</v>
      </c>
      <c r="S225">
        <v>2</v>
      </c>
      <c r="T225">
        <v>2</v>
      </c>
      <c r="U225">
        <v>2</v>
      </c>
      <c r="V225">
        <v>2</v>
      </c>
      <c r="W225" t="s">
        <v>38</v>
      </c>
      <c r="X225" s="1" t="d">
        <v>2019-06-07</v>
      </c>
      <c r="Z225" t="s">
        <v>39</v>
      </c>
      <c r="AA225" t="s">
        <v>40</v>
      </c>
      <c r="AB225">
        <v>0</v>
      </c>
      <c r="AC225">
        <v>3</v>
      </c>
      <c r="AD225" t="s">
        <v>41</v>
      </c>
      <c r="AE225" t="s">
        <v>62</v>
      </c>
      <c r="AF225" t="s">
        <v>48</v>
      </c>
      <c r="AG225">
        <f>IF(HR_Data[[#This Row],[Attrition]]="Yes",1,0)</f>
        <v>1</v>
      </c>
      <c r="AH225" t="str">
        <f>IF(HR_Data[Date_of_termination]="","Active","Left")</f>
        <v>Active</v>
      </c>
      <c r="AI225" t="str">
        <f>IF(HR_Data[YearsAtCompany]&lt;=2,"Fresher", IF(HR_Data[YearsAtCompany]&lt;=5,"Junior", IF(HR_Data[YearsAtCompany]&lt;=10, "Mid","Senior")))</f>
        <v>Fresher</v>
      </c>
      <c r="AJ225" s="2" t="str">
        <f>IF(HR_Data[MonthlyIncome]&lt;=300,"Low", IF(HR_Data[MonthlyIncome]&lt;=7000,"Medium", "High"))</f>
        <v>Medium</v>
      </c>
      <c r="AK225" s="2" t="str">
        <f>VLOOKUP(HR_Data[JobRole], JobRole_Map[], 2, FALSE)</f>
        <v>Sales</v>
      </c>
    </row>
    <row r="226" spans="1:37" x14ac:dyDescent="0.25">
      <c r="A226" s="2">
        <v>25</v>
      </c>
      <c r="B226" t="s">
        <v>41</v>
      </c>
      <c r="C226" t="s">
        <v>33</v>
      </c>
      <c r="D226" t="s">
        <v>53</v>
      </c>
      <c r="E226">
        <v>28</v>
      </c>
      <c r="F226" t="s">
        <v>35</v>
      </c>
      <c r="G226">
        <v>2</v>
      </c>
      <c r="H226">
        <v>2</v>
      </c>
      <c r="I226" t="s">
        <v>64</v>
      </c>
      <c r="J226">
        <v>3</v>
      </c>
      <c r="K226" t="s">
        <v>50</v>
      </c>
      <c r="L226">
        <v>8639</v>
      </c>
      <c r="M226">
        <v>2</v>
      </c>
      <c r="N226" t="s">
        <v>41</v>
      </c>
      <c r="O226">
        <v>18</v>
      </c>
      <c r="P226">
        <v>3</v>
      </c>
      <c r="Q226">
        <v>0</v>
      </c>
      <c r="R226">
        <v>6</v>
      </c>
      <c r="S226">
        <v>3</v>
      </c>
      <c r="T226">
        <v>2</v>
      </c>
      <c r="U226">
        <v>2</v>
      </c>
      <c r="V226">
        <v>2</v>
      </c>
      <c r="W226" t="s">
        <v>51</v>
      </c>
      <c r="X226" s="1" t="d">
        <v>2019-02-11</v>
      </c>
      <c r="Z226" t="s">
        <v>63</v>
      </c>
      <c r="AA226" t="s">
        <v>40</v>
      </c>
      <c r="AB226">
        <v>1</v>
      </c>
      <c r="AC226">
        <v>2</v>
      </c>
      <c r="AD226" t="s">
        <v>32</v>
      </c>
      <c r="AE226" t="s">
        <v>60</v>
      </c>
      <c r="AF226" t="s">
        <v>43</v>
      </c>
      <c r="AG226">
        <f>IF(HR_Data[[#This Row],[Attrition]]="Yes",1,0)</f>
        <v>0</v>
      </c>
      <c r="AH226" t="str">
        <f>IF(HR_Data[Date_of_termination]="","Active","Left")</f>
        <v>Active</v>
      </c>
      <c r="AI226" t="str">
        <f>IF(HR_Data[YearsAtCompany]&lt;=2,"Fresher", IF(HR_Data[YearsAtCompany]&lt;=5,"Junior", IF(HR_Data[YearsAtCompany]&lt;=10, "Mid","Senior")))</f>
        <v>Fresher</v>
      </c>
      <c r="AJ226" s="2" t="str">
        <f>IF(HR_Data[MonthlyIncome]&lt;=300,"Low", IF(HR_Data[MonthlyIncome]&lt;=7000,"Medium", "High"))</f>
        <v>High</v>
      </c>
      <c r="AK226" s="2" t="str">
        <f>VLOOKUP(HR_Data[JobRole], JobRole_Map[], 2, FALSE)</f>
        <v>Sales</v>
      </c>
    </row>
    <row r="227" spans="1:37" x14ac:dyDescent="0.25">
      <c r="A227" s="2">
        <v>22</v>
      </c>
      <c r="B227" t="s">
        <v>41</v>
      </c>
      <c r="C227" t="s">
        <v>33</v>
      </c>
      <c r="D227" t="s">
        <v>34</v>
      </c>
      <c r="E227">
        <v>19</v>
      </c>
      <c r="F227" t="s">
        <v>35</v>
      </c>
      <c r="G227">
        <v>3</v>
      </c>
      <c r="H227">
        <v>1</v>
      </c>
      <c r="I227" t="s">
        <v>44</v>
      </c>
      <c r="J227">
        <v>4</v>
      </c>
      <c r="K227" t="s">
        <v>50</v>
      </c>
      <c r="L227">
        <v>2323</v>
      </c>
      <c r="M227">
        <v>1</v>
      </c>
      <c r="N227" t="s">
        <v>41</v>
      </c>
      <c r="O227">
        <v>24</v>
      </c>
      <c r="P227">
        <v>4</v>
      </c>
      <c r="Q227">
        <v>2</v>
      </c>
      <c r="R227">
        <v>2</v>
      </c>
      <c r="S227">
        <v>6</v>
      </c>
      <c r="T227">
        <v>2</v>
      </c>
      <c r="U227">
        <v>2</v>
      </c>
      <c r="V227">
        <v>2</v>
      </c>
      <c r="W227" t="s">
        <v>65</v>
      </c>
      <c r="X227" s="1" t="d">
        <v>2019-04-13</v>
      </c>
      <c r="Z227" t="s">
        <v>63</v>
      </c>
      <c r="AA227" t="s">
        <v>46</v>
      </c>
      <c r="AB227">
        <v>5</v>
      </c>
      <c r="AC227">
        <v>0</v>
      </c>
      <c r="AD227" t="s">
        <v>32</v>
      </c>
      <c r="AE227" t="s">
        <v>62</v>
      </c>
      <c r="AF227" t="s">
        <v>48</v>
      </c>
      <c r="AG227">
        <f>IF(HR_Data[[#This Row],[Attrition]]="Yes",1,0)</f>
        <v>0</v>
      </c>
      <c r="AH227" t="str">
        <f>IF(HR_Data[Date_of_termination]="","Active","Left")</f>
        <v>Active</v>
      </c>
      <c r="AI227" t="str">
        <f>IF(HR_Data[YearsAtCompany]&lt;=2,"Fresher", IF(HR_Data[YearsAtCompany]&lt;=5,"Junior", IF(HR_Data[YearsAtCompany]&lt;=10, "Mid","Senior")))</f>
        <v>Fresher</v>
      </c>
      <c r="AJ227" s="2" t="str">
        <f>IF(HR_Data[MonthlyIncome]&lt;=300,"Low", IF(HR_Data[MonthlyIncome]&lt;=7000,"Medium", "High"))</f>
        <v>Medium</v>
      </c>
      <c r="AK227" s="2" t="str">
        <f>VLOOKUP(HR_Data[JobRole], JobRole_Map[], 2, FALSE)</f>
        <v>Technical</v>
      </c>
    </row>
    <row r="228" spans="1:37" x14ac:dyDescent="0.25">
      <c r="A228" s="2">
        <v>27</v>
      </c>
      <c r="B228" t="s">
        <v>41</v>
      </c>
      <c r="C228" t="s">
        <v>68</v>
      </c>
      <c r="D228" t="s">
        <v>34</v>
      </c>
      <c r="E228">
        <v>9</v>
      </c>
      <c r="F228" t="s">
        <v>35</v>
      </c>
      <c r="G228">
        <v>3</v>
      </c>
      <c r="H228">
        <v>1</v>
      </c>
      <c r="I228" t="s">
        <v>44</v>
      </c>
      <c r="J228">
        <v>2</v>
      </c>
      <c r="K228" t="s">
        <v>55</v>
      </c>
      <c r="L228">
        <v>2024</v>
      </c>
      <c r="M228">
        <v>6</v>
      </c>
      <c r="N228" t="s">
        <v>41</v>
      </c>
      <c r="O228">
        <v>18</v>
      </c>
      <c r="P228">
        <v>3</v>
      </c>
      <c r="Q228">
        <v>1</v>
      </c>
      <c r="R228">
        <v>6</v>
      </c>
      <c r="S228">
        <v>1</v>
      </c>
      <c r="T228">
        <v>2</v>
      </c>
      <c r="U228">
        <v>2</v>
      </c>
      <c r="V228">
        <v>2</v>
      </c>
      <c r="W228" t="s">
        <v>51</v>
      </c>
      <c r="X228" s="1" t="d">
        <v>2019-03-19</v>
      </c>
      <c r="Z228" t="s">
        <v>52</v>
      </c>
      <c r="AA228" t="s">
        <v>40</v>
      </c>
      <c r="AB228">
        <v>4</v>
      </c>
      <c r="AC228">
        <v>1</v>
      </c>
      <c r="AD228" t="s">
        <v>41</v>
      </c>
      <c r="AE228" t="s">
        <v>60</v>
      </c>
      <c r="AF228" t="s">
        <v>43</v>
      </c>
      <c r="AG228">
        <f>IF(HR_Data[[#This Row],[Attrition]]="Yes",1,0)</f>
        <v>0</v>
      </c>
      <c r="AH228" t="str">
        <f>IF(HR_Data[Date_of_termination]="","Active","Left")</f>
        <v>Active</v>
      </c>
      <c r="AI228" t="str">
        <f>IF(HR_Data[YearsAtCompany]&lt;=2,"Fresher", IF(HR_Data[YearsAtCompany]&lt;=5,"Junior", IF(HR_Data[YearsAtCompany]&lt;=10, "Mid","Senior")))</f>
        <v>Fresher</v>
      </c>
      <c r="AJ228" s="2" t="str">
        <f>IF(HR_Data[MonthlyIncome]&lt;=300,"Low", IF(HR_Data[MonthlyIncome]&lt;=7000,"Medium", "High"))</f>
        <v>Medium</v>
      </c>
      <c r="AK228" s="2" t="str">
        <f>VLOOKUP(HR_Data[JobRole], JobRole_Map[], 2, FALSE)</f>
        <v>Technical</v>
      </c>
    </row>
    <row r="229" spans="1:37" x14ac:dyDescent="0.25">
      <c r="A229" s="2">
        <v>56</v>
      </c>
      <c r="B229" t="s">
        <v>41</v>
      </c>
      <c r="C229" t="s">
        <v>33</v>
      </c>
      <c r="D229" t="s">
        <v>34</v>
      </c>
      <c r="E229">
        <v>8</v>
      </c>
      <c r="F229" t="s">
        <v>58</v>
      </c>
      <c r="G229">
        <v>3</v>
      </c>
      <c r="H229">
        <v>1</v>
      </c>
      <c r="I229" t="s">
        <v>44</v>
      </c>
      <c r="J229">
        <v>1</v>
      </c>
      <c r="K229" t="s">
        <v>55</v>
      </c>
      <c r="L229">
        <v>4257</v>
      </c>
      <c r="M229">
        <v>4</v>
      </c>
      <c r="N229" t="s">
        <v>32</v>
      </c>
      <c r="O229">
        <v>18</v>
      </c>
      <c r="P229">
        <v>3</v>
      </c>
      <c r="Q229">
        <v>1</v>
      </c>
      <c r="R229">
        <v>19</v>
      </c>
      <c r="S229">
        <v>3</v>
      </c>
      <c r="T229">
        <v>2</v>
      </c>
      <c r="U229">
        <v>2</v>
      </c>
      <c r="V229">
        <v>2</v>
      </c>
      <c r="W229" t="s">
        <v>38</v>
      </c>
      <c r="X229" s="1" t="d">
        <v>2019-04-27</v>
      </c>
      <c r="Z229" t="s">
        <v>52</v>
      </c>
      <c r="AA229" t="s">
        <v>40</v>
      </c>
      <c r="AB229">
        <v>1</v>
      </c>
      <c r="AC229">
        <v>1</v>
      </c>
      <c r="AD229" t="s">
        <v>41</v>
      </c>
      <c r="AE229" t="s">
        <v>47</v>
      </c>
      <c r="AF229" t="s">
        <v>48</v>
      </c>
      <c r="AG229">
        <f>IF(HR_Data[[#This Row],[Attrition]]="Yes",1,0)</f>
        <v>0</v>
      </c>
      <c r="AH229" t="str">
        <f>IF(HR_Data[Date_of_termination]="","Active","Left")</f>
        <v>Active</v>
      </c>
      <c r="AI229" t="str">
        <f>IF(HR_Data[YearsAtCompany]&lt;=2,"Fresher", IF(HR_Data[YearsAtCompany]&lt;=5,"Junior", IF(HR_Data[YearsAtCompany]&lt;=10, "Mid","Senior")))</f>
        <v>Fresher</v>
      </c>
      <c r="AJ229" s="2" t="str">
        <f>IF(HR_Data[MonthlyIncome]&lt;=300,"Low", IF(HR_Data[MonthlyIncome]&lt;=7000,"Medium", "High"))</f>
        <v>Medium</v>
      </c>
      <c r="AK229" s="2" t="str">
        <f>VLOOKUP(HR_Data[JobRole], JobRole_Map[], 2, FALSE)</f>
        <v>Technical</v>
      </c>
    </row>
    <row r="230" spans="1:37" x14ac:dyDescent="0.25">
      <c r="A230" s="2">
        <v>38</v>
      </c>
      <c r="B230" t="s">
        <v>41</v>
      </c>
      <c r="C230" t="s">
        <v>33</v>
      </c>
      <c r="D230" t="s">
        <v>34</v>
      </c>
      <c r="E230">
        <v>9</v>
      </c>
      <c r="F230" t="s">
        <v>58</v>
      </c>
      <c r="G230">
        <v>3</v>
      </c>
      <c r="H230">
        <v>1</v>
      </c>
      <c r="I230" t="s">
        <v>36</v>
      </c>
      <c r="J230">
        <v>4</v>
      </c>
      <c r="K230" t="s">
        <v>37</v>
      </c>
      <c r="L230">
        <v>2288</v>
      </c>
      <c r="M230">
        <v>1</v>
      </c>
      <c r="N230" t="s">
        <v>41</v>
      </c>
      <c r="O230">
        <v>12</v>
      </c>
      <c r="P230">
        <v>3</v>
      </c>
      <c r="Q230">
        <v>0</v>
      </c>
      <c r="R230">
        <v>2</v>
      </c>
      <c r="S230">
        <v>3</v>
      </c>
      <c r="T230">
        <v>2</v>
      </c>
      <c r="U230">
        <v>2</v>
      </c>
      <c r="V230">
        <v>1</v>
      </c>
      <c r="W230" t="s">
        <v>51</v>
      </c>
      <c r="X230" s="1" t="d">
        <v>2019-06-28</v>
      </c>
      <c r="Z230" t="s">
        <v>63</v>
      </c>
      <c r="AA230" t="s">
        <v>46</v>
      </c>
      <c r="AB230">
        <v>5</v>
      </c>
      <c r="AC230">
        <v>1</v>
      </c>
      <c r="AD230" t="s">
        <v>32</v>
      </c>
      <c r="AE230" t="s">
        <v>47</v>
      </c>
      <c r="AF230" t="s">
        <v>57</v>
      </c>
      <c r="AG230">
        <f>IF(HR_Data[[#This Row],[Attrition]]="Yes",1,0)</f>
        <v>0</v>
      </c>
      <c r="AH230" t="str">
        <f>IF(HR_Data[Date_of_termination]="","Active","Left")</f>
        <v>Active</v>
      </c>
      <c r="AI230" t="str">
        <f>IF(HR_Data[YearsAtCompany]&lt;=2,"Fresher", IF(HR_Data[YearsAtCompany]&lt;=5,"Junior", IF(HR_Data[YearsAtCompany]&lt;=10, "Mid","Senior")))</f>
        <v>Fresher</v>
      </c>
      <c r="AJ230" s="2" t="str">
        <f>IF(HR_Data[MonthlyIncome]&lt;=300,"Low", IF(HR_Data[MonthlyIncome]&lt;=7000,"Medium", "High"))</f>
        <v>Medium</v>
      </c>
      <c r="AK230" s="2" t="str">
        <f>VLOOKUP(HR_Data[JobRole], JobRole_Map[], 2, FALSE)</f>
        <v>Technical</v>
      </c>
    </row>
    <row r="231" spans="1:37" x14ac:dyDescent="0.25">
      <c r="A231" s="2">
        <v>27</v>
      </c>
      <c r="B231" t="s">
        <v>41</v>
      </c>
      <c r="C231" t="s">
        <v>61</v>
      </c>
      <c r="D231" t="s">
        <v>34</v>
      </c>
      <c r="E231">
        <v>1</v>
      </c>
      <c r="F231" t="s">
        <v>35</v>
      </c>
      <c r="G231">
        <v>2</v>
      </c>
      <c r="H231">
        <v>2</v>
      </c>
      <c r="I231" t="s">
        <v>67</v>
      </c>
      <c r="J231">
        <v>1</v>
      </c>
      <c r="K231" t="s">
        <v>50</v>
      </c>
      <c r="L231">
        <v>4298</v>
      </c>
      <c r="M231">
        <v>5</v>
      </c>
      <c r="N231" t="s">
        <v>41</v>
      </c>
      <c r="O231">
        <v>19</v>
      </c>
      <c r="P231">
        <v>3</v>
      </c>
      <c r="Q231">
        <v>1</v>
      </c>
      <c r="R231">
        <v>6</v>
      </c>
      <c r="S231">
        <v>1</v>
      </c>
      <c r="T231">
        <v>2</v>
      </c>
      <c r="U231">
        <v>2</v>
      </c>
      <c r="V231">
        <v>0</v>
      </c>
      <c r="W231" t="s">
        <v>51</v>
      </c>
      <c r="X231" s="1" t="d">
        <v>2019-05-05</v>
      </c>
      <c r="Z231" t="s">
        <v>45</v>
      </c>
      <c r="AA231" t="s">
        <v>46</v>
      </c>
      <c r="AB231">
        <v>4</v>
      </c>
      <c r="AC231">
        <v>3</v>
      </c>
      <c r="AD231" t="s">
        <v>32</v>
      </c>
      <c r="AE231" t="s">
        <v>62</v>
      </c>
      <c r="AF231" t="s">
        <v>43</v>
      </c>
      <c r="AG231">
        <f>IF(HR_Data[[#This Row],[Attrition]]="Yes",1,0)</f>
        <v>0</v>
      </c>
      <c r="AH231" t="str">
        <f>IF(HR_Data[Date_of_termination]="","Active","Left")</f>
        <v>Active</v>
      </c>
      <c r="AI231" t="str">
        <f>IF(HR_Data[YearsAtCompany]&lt;=2,"Fresher", IF(HR_Data[YearsAtCompany]&lt;=5,"Junior", IF(HR_Data[YearsAtCompany]&lt;=10, "Mid","Senior")))</f>
        <v>Fresher</v>
      </c>
      <c r="AJ231" s="2" t="str">
        <f>IF(HR_Data[MonthlyIncome]&lt;=300,"Low", IF(HR_Data[MonthlyIncome]&lt;=7000,"Medium", "High"))</f>
        <v>Medium</v>
      </c>
      <c r="AK231" s="2" t="str">
        <f>VLOOKUP(HR_Data[JobRole], JobRole_Map[], 2, FALSE)</f>
        <v>Operations</v>
      </c>
    </row>
    <row r="232" spans="1:37" x14ac:dyDescent="0.25">
      <c r="A232" s="2">
        <v>52</v>
      </c>
      <c r="B232" t="s">
        <v>41</v>
      </c>
      <c r="C232" t="s">
        <v>33</v>
      </c>
      <c r="D232" t="s">
        <v>34</v>
      </c>
      <c r="E232">
        <v>2</v>
      </c>
      <c r="F232" t="s">
        <v>58</v>
      </c>
      <c r="G232">
        <v>2</v>
      </c>
      <c r="H232">
        <v>1</v>
      </c>
      <c r="I232" t="s">
        <v>36</v>
      </c>
      <c r="J232">
        <v>4</v>
      </c>
      <c r="K232" t="s">
        <v>37</v>
      </c>
      <c r="L232">
        <v>3212</v>
      </c>
      <c r="M232">
        <v>7</v>
      </c>
      <c r="N232" t="s">
        <v>41</v>
      </c>
      <c r="O232">
        <v>15</v>
      </c>
      <c r="P232">
        <v>3</v>
      </c>
      <c r="Q232">
        <v>0</v>
      </c>
      <c r="R232">
        <v>6</v>
      </c>
      <c r="S232">
        <v>3</v>
      </c>
      <c r="T232">
        <v>2</v>
      </c>
      <c r="U232">
        <v>2</v>
      </c>
      <c r="V232">
        <v>2</v>
      </c>
      <c r="W232" t="s">
        <v>51</v>
      </c>
      <c r="X232" s="1" t="d">
        <v>2019-03-02</v>
      </c>
      <c r="Z232" t="s">
        <v>52</v>
      </c>
      <c r="AA232" t="s">
        <v>46</v>
      </c>
      <c r="AB232">
        <v>2</v>
      </c>
      <c r="AC232">
        <v>3</v>
      </c>
      <c r="AD232" t="s">
        <v>32</v>
      </c>
      <c r="AE232" t="s">
        <v>60</v>
      </c>
      <c r="AF232" t="s">
        <v>43</v>
      </c>
      <c r="AG232">
        <f>IF(HR_Data[[#This Row],[Attrition]]="Yes",1,0)</f>
        <v>0</v>
      </c>
      <c r="AH232" t="str">
        <f>IF(HR_Data[Date_of_termination]="","Active","Left")</f>
        <v>Active</v>
      </c>
      <c r="AI232" t="str">
        <f>IF(HR_Data[YearsAtCompany]&lt;=2,"Fresher", IF(HR_Data[YearsAtCompany]&lt;=5,"Junior", IF(HR_Data[YearsAtCompany]&lt;=10, "Mid","Senior")))</f>
        <v>Fresher</v>
      </c>
      <c r="AJ232" s="2" t="str">
        <f>IF(HR_Data[MonthlyIncome]&lt;=300,"Low", IF(HR_Data[MonthlyIncome]&lt;=7000,"Medium", "High"))</f>
        <v>Medium</v>
      </c>
      <c r="AK232" s="2" t="str">
        <f>VLOOKUP(HR_Data[JobRole], JobRole_Map[], 2, FALSE)</f>
        <v>Technical</v>
      </c>
    </row>
    <row r="233" spans="1:37" x14ac:dyDescent="0.25">
      <c r="A233" s="2">
        <v>59</v>
      </c>
      <c r="B233" t="s">
        <v>41</v>
      </c>
      <c r="C233" t="s">
        <v>33</v>
      </c>
      <c r="D233" t="s">
        <v>70</v>
      </c>
      <c r="E233">
        <v>6</v>
      </c>
      <c r="F233" t="s">
        <v>35</v>
      </c>
      <c r="G233">
        <v>3</v>
      </c>
      <c r="H233">
        <v>1</v>
      </c>
      <c r="I233" t="s">
        <v>70</v>
      </c>
      <c r="J233">
        <v>3</v>
      </c>
      <c r="K233" t="s">
        <v>50</v>
      </c>
      <c r="L233">
        <v>2267</v>
      </c>
      <c r="M233">
        <v>8</v>
      </c>
      <c r="N233" t="s">
        <v>41</v>
      </c>
      <c r="O233">
        <v>17</v>
      </c>
      <c r="P233">
        <v>3</v>
      </c>
      <c r="Q233">
        <v>0</v>
      </c>
      <c r="R233">
        <v>7</v>
      </c>
      <c r="S233">
        <v>2</v>
      </c>
      <c r="T233">
        <v>2</v>
      </c>
      <c r="U233">
        <v>2</v>
      </c>
      <c r="V233">
        <v>2</v>
      </c>
      <c r="W233" t="s">
        <v>65</v>
      </c>
      <c r="X233" s="1" t="d">
        <v>2019-01-11</v>
      </c>
      <c r="Z233" t="s">
        <v>45</v>
      </c>
      <c r="AA233" t="s">
        <v>40</v>
      </c>
      <c r="AB233">
        <v>2</v>
      </c>
      <c r="AC233">
        <v>3</v>
      </c>
      <c r="AD233" t="s">
        <v>32</v>
      </c>
      <c r="AE233" t="s">
        <v>62</v>
      </c>
      <c r="AF233" t="s">
        <v>43</v>
      </c>
      <c r="AG233">
        <f>IF(HR_Data[[#This Row],[Attrition]]="Yes",1,0)</f>
        <v>0</v>
      </c>
      <c r="AH233" t="str">
        <f>IF(HR_Data[Date_of_termination]="","Active","Left")</f>
        <v>Active</v>
      </c>
      <c r="AI233" t="str">
        <f>IF(HR_Data[YearsAtCompany]&lt;=2,"Fresher", IF(HR_Data[YearsAtCompany]&lt;=5,"Junior", IF(HR_Data[YearsAtCompany]&lt;=10, "Mid","Senior")))</f>
        <v>Fresher</v>
      </c>
      <c r="AJ233" s="2" t="str">
        <f>IF(HR_Data[MonthlyIncome]&lt;=300,"Low", IF(HR_Data[MonthlyIncome]&lt;=7000,"Medium", "High"))</f>
        <v>Medium</v>
      </c>
      <c r="AK233" s="2" t="str">
        <f>VLOOKUP(HR_Data[JobRole], JobRole_Map[], 2, FALSE)</f>
        <v>HR</v>
      </c>
    </row>
    <row r="234" spans="1:37" x14ac:dyDescent="0.25">
      <c r="A234" s="2">
        <v>31</v>
      </c>
      <c r="B234" t="s">
        <v>41</v>
      </c>
      <c r="C234" t="s">
        <v>61</v>
      </c>
      <c r="D234" t="s">
        <v>34</v>
      </c>
      <c r="E234">
        <v>3</v>
      </c>
      <c r="F234" t="s">
        <v>35</v>
      </c>
      <c r="G234">
        <v>3</v>
      </c>
      <c r="H234">
        <v>3</v>
      </c>
      <c r="I234" t="s">
        <v>49</v>
      </c>
      <c r="J234">
        <v>3</v>
      </c>
      <c r="K234" t="s">
        <v>55</v>
      </c>
      <c r="L234">
        <v>13675</v>
      </c>
      <c r="M234">
        <v>9</v>
      </c>
      <c r="N234" t="s">
        <v>41</v>
      </c>
      <c r="O234">
        <v>12</v>
      </c>
      <c r="P234">
        <v>3</v>
      </c>
      <c r="Q234">
        <v>1</v>
      </c>
      <c r="R234">
        <v>9</v>
      </c>
      <c r="S234">
        <v>3</v>
      </c>
      <c r="T234">
        <v>2</v>
      </c>
      <c r="U234">
        <v>2</v>
      </c>
      <c r="V234">
        <v>2</v>
      </c>
      <c r="W234" t="s">
        <v>65</v>
      </c>
      <c r="X234" s="1" t="d">
        <v>2019-04-22</v>
      </c>
      <c r="Z234" t="s">
        <v>52</v>
      </c>
      <c r="AA234" t="s">
        <v>46</v>
      </c>
      <c r="AB234">
        <v>1</v>
      </c>
      <c r="AC234">
        <v>3</v>
      </c>
      <c r="AD234" t="s">
        <v>41</v>
      </c>
      <c r="AE234" t="s">
        <v>60</v>
      </c>
      <c r="AF234" t="s">
        <v>43</v>
      </c>
      <c r="AG234">
        <f>IF(HR_Data[[#This Row],[Attrition]]="Yes",1,0)</f>
        <v>0</v>
      </c>
      <c r="AH234" t="str">
        <f>IF(HR_Data[Date_of_termination]="","Active","Left")</f>
        <v>Active</v>
      </c>
      <c r="AI234" t="str">
        <f>IF(HR_Data[YearsAtCompany]&lt;=2,"Fresher", IF(HR_Data[YearsAtCompany]&lt;=5,"Junior", IF(HR_Data[YearsAtCompany]&lt;=10, "Mid","Senior")))</f>
        <v>Fresher</v>
      </c>
      <c r="AJ234" s="2" t="str">
        <f>IF(HR_Data[MonthlyIncome]&lt;=300,"Low", IF(HR_Data[MonthlyIncome]&lt;=7000,"Medium", "High"))</f>
        <v>High</v>
      </c>
      <c r="AK234" s="2" t="str">
        <f>VLOOKUP(HR_Data[JobRole], JobRole_Map[], 2, FALSE)</f>
        <v>Management</v>
      </c>
    </row>
    <row r="235" spans="1:37" x14ac:dyDescent="0.25">
      <c r="A235" s="2">
        <v>33</v>
      </c>
      <c r="B235" t="s">
        <v>41</v>
      </c>
      <c r="C235" t="s">
        <v>33</v>
      </c>
      <c r="D235" t="s">
        <v>34</v>
      </c>
      <c r="E235">
        <v>5</v>
      </c>
      <c r="F235" t="s">
        <v>58</v>
      </c>
      <c r="G235">
        <v>2</v>
      </c>
      <c r="H235">
        <v>1</v>
      </c>
      <c r="I235" t="s">
        <v>44</v>
      </c>
      <c r="J235">
        <v>4</v>
      </c>
      <c r="K235" t="s">
        <v>50</v>
      </c>
      <c r="L235">
        <v>2911</v>
      </c>
      <c r="M235">
        <v>1</v>
      </c>
      <c r="N235" t="s">
        <v>41</v>
      </c>
      <c r="O235">
        <v>13</v>
      </c>
      <c r="P235">
        <v>3</v>
      </c>
      <c r="Q235">
        <v>1</v>
      </c>
      <c r="R235">
        <v>2</v>
      </c>
      <c r="S235">
        <v>2</v>
      </c>
      <c r="T235">
        <v>2</v>
      </c>
      <c r="U235">
        <v>0</v>
      </c>
      <c r="V235">
        <v>2</v>
      </c>
      <c r="W235" t="s">
        <v>51</v>
      </c>
      <c r="X235" s="1" t="d">
        <v>2019-06-07</v>
      </c>
      <c r="Z235" t="s">
        <v>59</v>
      </c>
      <c r="AA235" t="s">
        <v>46</v>
      </c>
      <c r="AB235">
        <v>4</v>
      </c>
      <c r="AC235">
        <v>2</v>
      </c>
      <c r="AD235" t="s">
        <v>32</v>
      </c>
      <c r="AE235" t="s">
        <v>47</v>
      </c>
      <c r="AF235" t="s">
        <v>48</v>
      </c>
      <c r="AG235">
        <f>IF(HR_Data[[#This Row],[Attrition]]="Yes",1,0)</f>
        <v>0</v>
      </c>
      <c r="AH235" t="str">
        <f>IF(HR_Data[Date_of_termination]="","Active","Left")</f>
        <v>Active</v>
      </c>
      <c r="AI235" t="str">
        <f>IF(HR_Data[YearsAtCompany]&lt;=2,"Fresher", IF(HR_Data[YearsAtCompany]&lt;=5,"Junior", IF(HR_Data[YearsAtCompany]&lt;=10, "Mid","Senior")))</f>
        <v>Fresher</v>
      </c>
      <c r="AJ235" s="2" t="str">
        <f>IF(HR_Data[MonthlyIncome]&lt;=300,"Low", IF(HR_Data[MonthlyIncome]&lt;=7000,"Medium", "High"))</f>
        <v>Medium</v>
      </c>
      <c r="AK235" s="2" t="str">
        <f>VLOOKUP(HR_Data[JobRole], JobRole_Map[], 2, FALSE)</f>
        <v>Technical</v>
      </c>
    </row>
    <row r="236" spans="1:37" x14ac:dyDescent="0.25">
      <c r="A236" s="2">
        <v>38</v>
      </c>
      <c r="B236" t="s">
        <v>41</v>
      </c>
      <c r="C236" t="s">
        <v>33</v>
      </c>
      <c r="D236" t="s">
        <v>34</v>
      </c>
      <c r="E236">
        <v>23</v>
      </c>
      <c r="F236" t="s">
        <v>35</v>
      </c>
      <c r="G236">
        <v>3</v>
      </c>
      <c r="H236">
        <v>2</v>
      </c>
      <c r="I236" t="s">
        <v>69</v>
      </c>
      <c r="J236">
        <v>4</v>
      </c>
      <c r="K236" t="s">
        <v>55</v>
      </c>
      <c r="L236">
        <v>5745</v>
      </c>
      <c r="M236">
        <v>9</v>
      </c>
      <c r="N236" t="s">
        <v>41</v>
      </c>
      <c r="O236">
        <v>14</v>
      </c>
      <c r="P236">
        <v>3</v>
      </c>
      <c r="Q236">
        <v>1</v>
      </c>
      <c r="R236">
        <v>10</v>
      </c>
      <c r="S236">
        <v>2</v>
      </c>
      <c r="T236">
        <v>2</v>
      </c>
      <c r="U236">
        <v>1</v>
      </c>
      <c r="V236">
        <v>2</v>
      </c>
      <c r="W236" t="s">
        <v>65</v>
      </c>
      <c r="X236" s="1" t="d">
        <v>2019-01-24</v>
      </c>
      <c r="Z236" t="s">
        <v>59</v>
      </c>
      <c r="AA236" t="s">
        <v>40</v>
      </c>
      <c r="AB236">
        <v>5</v>
      </c>
      <c r="AC236">
        <v>2</v>
      </c>
      <c r="AD236" t="s">
        <v>32</v>
      </c>
      <c r="AE236" t="s">
        <v>62</v>
      </c>
      <c r="AF236" t="s">
        <v>57</v>
      </c>
      <c r="AG236">
        <f>IF(HR_Data[[#This Row],[Attrition]]="Yes",1,0)</f>
        <v>0</v>
      </c>
      <c r="AH236" t="str">
        <f>IF(HR_Data[Date_of_termination]="","Active","Left")</f>
        <v>Active</v>
      </c>
      <c r="AI236" t="str">
        <f>IF(HR_Data[YearsAtCompany]&lt;=2,"Fresher", IF(HR_Data[YearsAtCompany]&lt;=5,"Junior", IF(HR_Data[YearsAtCompany]&lt;=10, "Mid","Senior")))</f>
        <v>Fresher</v>
      </c>
      <c r="AJ236" s="2" t="str">
        <f>IF(HR_Data[MonthlyIncome]&lt;=300,"Low", IF(HR_Data[MonthlyIncome]&lt;=7000,"Medium", "High"))</f>
        <v>Medium</v>
      </c>
      <c r="AK236" s="2" t="str">
        <f>VLOOKUP(HR_Data[JobRole], JobRole_Map[], 2, FALSE)</f>
        <v>Operations</v>
      </c>
    </row>
    <row r="237" spans="1:37" x14ac:dyDescent="0.25">
      <c r="A237" s="2">
        <v>31</v>
      </c>
      <c r="B237" t="s">
        <v>41</v>
      </c>
      <c r="C237" t="s">
        <v>61</v>
      </c>
      <c r="D237" t="s">
        <v>53</v>
      </c>
      <c r="E237">
        <v>5</v>
      </c>
      <c r="F237" t="s">
        <v>58</v>
      </c>
      <c r="G237">
        <v>3</v>
      </c>
      <c r="H237">
        <v>1</v>
      </c>
      <c r="I237" t="s">
        <v>54</v>
      </c>
      <c r="J237">
        <v>2</v>
      </c>
      <c r="K237" t="s">
        <v>55</v>
      </c>
      <c r="L237">
        <v>2789</v>
      </c>
      <c r="M237">
        <v>1</v>
      </c>
      <c r="N237" t="s">
        <v>41</v>
      </c>
      <c r="O237">
        <v>11</v>
      </c>
      <c r="P237">
        <v>3</v>
      </c>
      <c r="Q237">
        <v>1</v>
      </c>
      <c r="R237">
        <v>2</v>
      </c>
      <c r="S237">
        <v>5</v>
      </c>
      <c r="T237">
        <v>2</v>
      </c>
      <c r="U237">
        <v>2</v>
      </c>
      <c r="V237">
        <v>2</v>
      </c>
      <c r="W237" t="s">
        <v>65</v>
      </c>
      <c r="X237" s="1" t="d">
        <v>2019-01-01</v>
      </c>
      <c r="Z237" t="s">
        <v>45</v>
      </c>
      <c r="AA237" t="s">
        <v>46</v>
      </c>
      <c r="AB237">
        <v>0</v>
      </c>
      <c r="AC237">
        <v>2</v>
      </c>
      <c r="AD237" t="s">
        <v>41</v>
      </c>
      <c r="AE237" t="s">
        <v>47</v>
      </c>
      <c r="AF237" t="s">
        <v>57</v>
      </c>
      <c r="AG237">
        <f>IF(HR_Data[[#This Row],[Attrition]]="Yes",1,0)</f>
        <v>0</v>
      </c>
      <c r="AH237" t="str">
        <f>IF(HR_Data[Date_of_termination]="","Active","Left")</f>
        <v>Active</v>
      </c>
      <c r="AI237" t="str">
        <f>IF(HR_Data[YearsAtCompany]&lt;=2,"Fresher", IF(HR_Data[YearsAtCompany]&lt;=5,"Junior", IF(HR_Data[YearsAtCompany]&lt;=10, "Mid","Senior")))</f>
        <v>Fresher</v>
      </c>
      <c r="AJ237" s="2" t="str">
        <f>IF(HR_Data[MonthlyIncome]&lt;=300,"Low", IF(HR_Data[MonthlyIncome]&lt;=7000,"Medium", "High"))</f>
        <v>Medium</v>
      </c>
      <c r="AK237" s="2" t="str">
        <f>VLOOKUP(HR_Data[JobRole], JobRole_Map[], 2, FALSE)</f>
        <v>Sales</v>
      </c>
    </row>
    <row r="238" spans="1:37" x14ac:dyDescent="0.25">
      <c r="A238" s="2">
        <v>31</v>
      </c>
      <c r="B238" t="s">
        <v>41</v>
      </c>
      <c r="C238" t="s">
        <v>33</v>
      </c>
      <c r="D238" t="s">
        <v>70</v>
      </c>
      <c r="E238">
        <v>2</v>
      </c>
      <c r="F238" t="s">
        <v>35</v>
      </c>
      <c r="G238">
        <v>2</v>
      </c>
      <c r="H238">
        <v>2</v>
      </c>
      <c r="I238" t="s">
        <v>70</v>
      </c>
      <c r="J238">
        <v>1</v>
      </c>
      <c r="K238" t="s">
        <v>50</v>
      </c>
      <c r="L238">
        <v>6410</v>
      </c>
      <c r="M238">
        <v>3</v>
      </c>
      <c r="N238" t="s">
        <v>41</v>
      </c>
      <c r="O238">
        <v>12</v>
      </c>
      <c r="P238">
        <v>3</v>
      </c>
      <c r="Q238">
        <v>0</v>
      </c>
      <c r="R238">
        <v>9</v>
      </c>
      <c r="S238">
        <v>1</v>
      </c>
      <c r="T238">
        <v>2</v>
      </c>
      <c r="U238">
        <v>1</v>
      </c>
      <c r="V238">
        <v>0</v>
      </c>
      <c r="W238" t="s">
        <v>38</v>
      </c>
      <c r="X238" s="1" t="d">
        <v>2019-02-19</v>
      </c>
      <c r="Z238" t="s">
        <v>39</v>
      </c>
      <c r="AA238" t="s">
        <v>40</v>
      </c>
      <c r="AB238">
        <v>1</v>
      </c>
      <c r="AC238">
        <v>1</v>
      </c>
      <c r="AD238" t="s">
        <v>32</v>
      </c>
      <c r="AE238" t="s">
        <v>60</v>
      </c>
      <c r="AF238" t="s">
        <v>43</v>
      </c>
      <c r="AG238">
        <f>IF(HR_Data[[#This Row],[Attrition]]="Yes",1,0)</f>
        <v>0</v>
      </c>
      <c r="AH238" t="str">
        <f>IF(HR_Data[Date_of_termination]="","Active","Left")</f>
        <v>Active</v>
      </c>
      <c r="AI238" t="str">
        <f>IF(HR_Data[YearsAtCompany]&lt;=2,"Fresher", IF(HR_Data[YearsAtCompany]&lt;=5,"Junior", IF(HR_Data[YearsAtCompany]&lt;=10, "Mid","Senior")))</f>
        <v>Fresher</v>
      </c>
      <c r="AJ238" s="2" t="str">
        <f>IF(HR_Data[MonthlyIncome]&lt;=300,"Low", IF(HR_Data[MonthlyIncome]&lt;=7000,"Medium", "High"))</f>
        <v>Medium</v>
      </c>
      <c r="AK238" s="2" t="str">
        <f>VLOOKUP(HR_Data[JobRole], JobRole_Map[], 2, FALSE)</f>
        <v>HR</v>
      </c>
    </row>
    <row r="239" spans="1:37" x14ac:dyDescent="0.25">
      <c r="A239" s="2">
        <v>31</v>
      </c>
      <c r="B239" t="s">
        <v>41</v>
      </c>
      <c r="C239" t="s">
        <v>33</v>
      </c>
      <c r="D239" t="s">
        <v>34</v>
      </c>
      <c r="E239">
        <v>2</v>
      </c>
      <c r="F239" t="s">
        <v>35</v>
      </c>
      <c r="G239">
        <v>3</v>
      </c>
      <c r="H239">
        <v>1</v>
      </c>
      <c r="I239" t="s">
        <v>44</v>
      </c>
      <c r="J239">
        <v>4</v>
      </c>
      <c r="K239" t="s">
        <v>55</v>
      </c>
      <c r="L239">
        <v>2695</v>
      </c>
      <c r="M239">
        <v>0</v>
      </c>
      <c r="N239" t="s">
        <v>32</v>
      </c>
      <c r="O239">
        <v>18</v>
      </c>
      <c r="P239">
        <v>3</v>
      </c>
      <c r="Q239">
        <v>1</v>
      </c>
      <c r="R239">
        <v>3</v>
      </c>
      <c r="S239">
        <v>2</v>
      </c>
      <c r="T239">
        <v>2</v>
      </c>
      <c r="U239">
        <v>2</v>
      </c>
      <c r="V239">
        <v>2</v>
      </c>
      <c r="W239" t="s">
        <v>38</v>
      </c>
      <c r="X239" s="1" t="d">
        <v>2019-03-08</v>
      </c>
      <c r="Z239" t="s">
        <v>59</v>
      </c>
      <c r="AA239" t="s">
        <v>46</v>
      </c>
      <c r="AB239">
        <v>2</v>
      </c>
      <c r="AC239">
        <v>3</v>
      </c>
      <c r="AD239" t="s">
        <v>32</v>
      </c>
      <c r="AE239" t="s">
        <v>42</v>
      </c>
      <c r="AF239" t="s">
        <v>48</v>
      </c>
      <c r="AG239">
        <f>IF(HR_Data[[#This Row],[Attrition]]="Yes",1,0)</f>
        <v>0</v>
      </c>
      <c r="AH239" t="str">
        <f>IF(HR_Data[Date_of_termination]="","Active","Left")</f>
        <v>Active</v>
      </c>
      <c r="AI239" t="str">
        <f>IF(HR_Data[YearsAtCompany]&lt;=2,"Fresher", IF(HR_Data[YearsAtCompany]&lt;=5,"Junior", IF(HR_Data[YearsAtCompany]&lt;=10, "Mid","Senior")))</f>
        <v>Fresher</v>
      </c>
      <c r="AJ239" s="2" t="str">
        <f>IF(HR_Data[MonthlyIncome]&lt;=300,"Low", IF(HR_Data[MonthlyIncome]&lt;=7000,"Medium", "High"))</f>
        <v>Medium</v>
      </c>
      <c r="AK239" s="2" t="str">
        <f>VLOOKUP(HR_Data[JobRole], JobRole_Map[], 2, FALSE)</f>
        <v>Technical</v>
      </c>
    </row>
    <row r="240" spans="1:37" x14ac:dyDescent="0.25">
      <c r="A240" s="2">
        <v>30</v>
      </c>
      <c r="B240" t="s">
        <v>41</v>
      </c>
      <c r="C240" t="s">
        <v>68</v>
      </c>
      <c r="D240" t="s">
        <v>53</v>
      </c>
      <c r="E240">
        <v>25</v>
      </c>
      <c r="F240" t="s">
        <v>58</v>
      </c>
      <c r="G240">
        <v>3</v>
      </c>
      <c r="H240">
        <v>2</v>
      </c>
      <c r="I240" t="s">
        <v>64</v>
      </c>
      <c r="J240">
        <v>3</v>
      </c>
      <c r="K240" t="s">
        <v>50</v>
      </c>
      <c r="L240">
        <v>4736</v>
      </c>
      <c r="M240">
        <v>7</v>
      </c>
      <c r="N240" t="s">
        <v>32</v>
      </c>
      <c r="O240">
        <v>12</v>
      </c>
      <c r="P240">
        <v>3</v>
      </c>
      <c r="Q240">
        <v>1</v>
      </c>
      <c r="R240">
        <v>4</v>
      </c>
      <c r="S240">
        <v>2</v>
      </c>
      <c r="T240">
        <v>2</v>
      </c>
      <c r="U240">
        <v>2</v>
      </c>
      <c r="V240">
        <v>2</v>
      </c>
      <c r="W240" t="s">
        <v>51</v>
      </c>
      <c r="X240" s="1" t="d">
        <v>2019-06-29</v>
      </c>
      <c r="Z240" t="s">
        <v>52</v>
      </c>
      <c r="AA240" t="s">
        <v>40</v>
      </c>
      <c r="AB240">
        <v>0</v>
      </c>
      <c r="AC240">
        <v>3</v>
      </c>
      <c r="AD240" t="s">
        <v>41</v>
      </c>
      <c r="AE240" t="s">
        <v>62</v>
      </c>
      <c r="AF240" t="s">
        <v>48</v>
      </c>
      <c r="AG240">
        <f>IF(HR_Data[[#This Row],[Attrition]]="Yes",1,0)</f>
        <v>0</v>
      </c>
      <c r="AH240" t="str">
        <f>IF(HR_Data[Date_of_termination]="","Active","Left")</f>
        <v>Active</v>
      </c>
      <c r="AI240" t="str">
        <f>IF(HR_Data[YearsAtCompany]&lt;=2,"Fresher", IF(HR_Data[YearsAtCompany]&lt;=5,"Junior", IF(HR_Data[YearsAtCompany]&lt;=10, "Mid","Senior")))</f>
        <v>Fresher</v>
      </c>
      <c r="AJ240" s="2" t="str">
        <f>IF(HR_Data[MonthlyIncome]&lt;=300,"Low", IF(HR_Data[MonthlyIncome]&lt;=7000,"Medium", "High"))</f>
        <v>Medium</v>
      </c>
      <c r="AK240" s="2" t="str">
        <f>VLOOKUP(HR_Data[JobRole], JobRole_Map[], 2, FALSE)</f>
        <v>Sales</v>
      </c>
    </row>
    <row r="241" spans="1:37" x14ac:dyDescent="0.25">
      <c r="A241" s="2">
        <v>31</v>
      </c>
      <c r="B241" t="s">
        <v>41</v>
      </c>
      <c r="C241" t="s">
        <v>33</v>
      </c>
      <c r="D241" t="s">
        <v>34</v>
      </c>
      <c r="E241">
        <v>9</v>
      </c>
      <c r="F241" t="s">
        <v>35</v>
      </c>
      <c r="G241">
        <v>2</v>
      </c>
      <c r="H241">
        <v>1</v>
      </c>
      <c r="I241" t="s">
        <v>44</v>
      </c>
      <c r="J241">
        <v>2</v>
      </c>
      <c r="K241" t="s">
        <v>37</v>
      </c>
      <c r="L241">
        <v>2657</v>
      </c>
      <c r="M241">
        <v>0</v>
      </c>
      <c r="N241" t="s">
        <v>32</v>
      </c>
      <c r="O241">
        <v>16</v>
      </c>
      <c r="P241">
        <v>3</v>
      </c>
      <c r="Q241">
        <v>0</v>
      </c>
      <c r="R241">
        <v>3</v>
      </c>
      <c r="S241">
        <v>5</v>
      </c>
      <c r="T241">
        <v>2</v>
      </c>
      <c r="U241">
        <v>2</v>
      </c>
      <c r="V241">
        <v>2</v>
      </c>
      <c r="W241" t="s">
        <v>51</v>
      </c>
      <c r="X241" s="1" t="d">
        <v>2019-03-16</v>
      </c>
      <c r="Z241" t="s">
        <v>39</v>
      </c>
      <c r="AA241" t="s">
        <v>46</v>
      </c>
      <c r="AB241">
        <v>5</v>
      </c>
      <c r="AC241">
        <v>2</v>
      </c>
      <c r="AD241" t="s">
        <v>32</v>
      </c>
      <c r="AE241" t="s">
        <v>47</v>
      </c>
      <c r="AF241" t="s">
        <v>48</v>
      </c>
      <c r="AG241">
        <f>IF(HR_Data[[#This Row],[Attrition]]="Yes",1,0)</f>
        <v>0</v>
      </c>
      <c r="AH241" t="str">
        <f>IF(HR_Data[Date_of_termination]="","Active","Left")</f>
        <v>Active</v>
      </c>
      <c r="AI241" t="str">
        <f>IF(HR_Data[YearsAtCompany]&lt;=2,"Fresher", IF(HR_Data[YearsAtCompany]&lt;=5,"Junior", IF(HR_Data[YearsAtCompany]&lt;=10, "Mid","Senior")))</f>
        <v>Fresher</v>
      </c>
      <c r="AJ241" s="2" t="str">
        <f>IF(HR_Data[MonthlyIncome]&lt;=300,"Low", IF(HR_Data[MonthlyIncome]&lt;=7000,"Medium", "High"))</f>
        <v>Medium</v>
      </c>
      <c r="AK241" s="2" t="str">
        <f>VLOOKUP(HR_Data[JobRole], JobRole_Map[], 2, FALSE)</f>
        <v>Technical</v>
      </c>
    </row>
    <row r="242" spans="1:37" x14ac:dyDescent="0.25">
      <c r="A242" s="2">
        <v>36</v>
      </c>
      <c r="B242" t="s">
        <v>41</v>
      </c>
      <c r="C242" t="s">
        <v>33</v>
      </c>
      <c r="D242" t="s">
        <v>34</v>
      </c>
      <c r="E242">
        <v>2</v>
      </c>
      <c r="F242" t="s">
        <v>58</v>
      </c>
      <c r="G242">
        <v>3</v>
      </c>
      <c r="H242">
        <v>1</v>
      </c>
      <c r="I242" t="s">
        <v>44</v>
      </c>
      <c r="J242">
        <v>3</v>
      </c>
      <c r="K242" t="s">
        <v>50</v>
      </c>
      <c r="L242">
        <v>2543</v>
      </c>
      <c r="M242">
        <v>4</v>
      </c>
      <c r="N242" t="s">
        <v>41</v>
      </c>
      <c r="O242">
        <v>13</v>
      </c>
      <c r="P242">
        <v>3</v>
      </c>
      <c r="Q242">
        <v>1</v>
      </c>
      <c r="R242">
        <v>6</v>
      </c>
      <c r="S242">
        <v>3</v>
      </c>
      <c r="T242">
        <v>2</v>
      </c>
      <c r="U242">
        <v>2</v>
      </c>
      <c r="V242">
        <v>2</v>
      </c>
      <c r="W242" t="s">
        <v>51</v>
      </c>
      <c r="X242" s="1" t="d">
        <v>2019-05-21</v>
      </c>
      <c r="Z242" t="s">
        <v>59</v>
      </c>
      <c r="AA242" t="s">
        <v>40</v>
      </c>
      <c r="AB242">
        <v>4</v>
      </c>
      <c r="AC242">
        <v>3</v>
      </c>
      <c r="AD242" t="s">
        <v>32</v>
      </c>
      <c r="AE242" t="s">
        <v>47</v>
      </c>
      <c r="AF242" t="s">
        <v>43</v>
      </c>
      <c r="AG242">
        <f>IF(HR_Data[[#This Row],[Attrition]]="Yes",1,0)</f>
        <v>0</v>
      </c>
      <c r="AH242" t="str">
        <f>IF(HR_Data[Date_of_termination]="","Active","Left")</f>
        <v>Active</v>
      </c>
      <c r="AI242" t="str">
        <f>IF(HR_Data[YearsAtCompany]&lt;=2,"Fresher", IF(HR_Data[YearsAtCompany]&lt;=5,"Junior", IF(HR_Data[YearsAtCompany]&lt;=10, "Mid","Senior")))</f>
        <v>Fresher</v>
      </c>
      <c r="AJ242" s="2" t="str">
        <f>IF(HR_Data[MonthlyIncome]&lt;=300,"Low", IF(HR_Data[MonthlyIncome]&lt;=7000,"Medium", "High"))</f>
        <v>Medium</v>
      </c>
      <c r="AK242" s="2" t="str">
        <f>VLOOKUP(HR_Data[JobRole], JobRole_Map[], 2, FALSE)</f>
        <v>Technical</v>
      </c>
    </row>
    <row r="243" spans="1:37" x14ac:dyDescent="0.25">
      <c r="A243" s="2">
        <v>22</v>
      </c>
      <c r="B243" t="s">
        <v>41</v>
      </c>
      <c r="C243" t="s">
        <v>33</v>
      </c>
      <c r="D243" t="s">
        <v>34</v>
      </c>
      <c r="E243">
        <v>11</v>
      </c>
      <c r="F243" t="s">
        <v>58</v>
      </c>
      <c r="G243">
        <v>3</v>
      </c>
      <c r="H243">
        <v>1</v>
      </c>
      <c r="I243" t="s">
        <v>44</v>
      </c>
      <c r="J243">
        <v>2</v>
      </c>
      <c r="K243" t="s">
        <v>50</v>
      </c>
      <c r="L243">
        <v>2244</v>
      </c>
      <c r="M243">
        <v>1</v>
      </c>
      <c r="N243" t="s">
        <v>41</v>
      </c>
      <c r="O243">
        <v>13</v>
      </c>
      <c r="P243">
        <v>3</v>
      </c>
      <c r="Q243">
        <v>1</v>
      </c>
      <c r="R243">
        <v>2</v>
      </c>
      <c r="S243">
        <v>1</v>
      </c>
      <c r="T243">
        <v>2</v>
      </c>
      <c r="U243">
        <v>1</v>
      </c>
      <c r="V243">
        <v>2</v>
      </c>
      <c r="W243" t="s">
        <v>56</v>
      </c>
      <c r="X243" s="1" t="d">
        <v>2019-06-03</v>
      </c>
      <c r="Z243" t="s">
        <v>39</v>
      </c>
      <c r="AA243" t="s">
        <v>40</v>
      </c>
      <c r="AB243">
        <v>4</v>
      </c>
      <c r="AC243">
        <v>2</v>
      </c>
      <c r="AD243" t="s">
        <v>32</v>
      </c>
      <c r="AE243" t="s">
        <v>42</v>
      </c>
      <c r="AF243" t="s">
        <v>43</v>
      </c>
      <c r="AG243">
        <f>IF(HR_Data[[#This Row],[Attrition]]="Yes",1,0)</f>
        <v>0</v>
      </c>
      <c r="AH243" t="str">
        <f>IF(HR_Data[Date_of_termination]="","Active","Left")</f>
        <v>Active</v>
      </c>
      <c r="AI243" t="str">
        <f>IF(HR_Data[YearsAtCompany]&lt;=2,"Fresher", IF(HR_Data[YearsAtCompany]&lt;=5,"Junior", IF(HR_Data[YearsAtCompany]&lt;=10, "Mid","Senior")))</f>
        <v>Fresher</v>
      </c>
      <c r="AJ243" s="2" t="str">
        <f>IF(HR_Data[MonthlyIncome]&lt;=300,"Low", IF(HR_Data[MonthlyIncome]&lt;=7000,"Medium", "High"))</f>
        <v>Medium</v>
      </c>
      <c r="AK243" s="2" t="str">
        <f>VLOOKUP(HR_Data[JobRole], JobRole_Map[], 2, FALSE)</f>
        <v>Technical</v>
      </c>
    </row>
    <row r="244" spans="1:37" x14ac:dyDescent="0.25">
      <c r="A244" s="2">
        <v>25</v>
      </c>
      <c r="B244" t="s">
        <v>32</v>
      </c>
      <c r="C244" t="s">
        <v>33</v>
      </c>
      <c r="D244" t="s">
        <v>34</v>
      </c>
      <c r="E244">
        <v>3</v>
      </c>
      <c r="F244" t="s">
        <v>35</v>
      </c>
      <c r="G244">
        <v>3</v>
      </c>
      <c r="H244">
        <v>1</v>
      </c>
      <c r="I244" t="s">
        <v>36</v>
      </c>
      <c r="J244">
        <v>1</v>
      </c>
      <c r="K244" t="s">
        <v>50</v>
      </c>
      <c r="L244">
        <v>4031</v>
      </c>
      <c r="M244">
        <v>5</v>
      </c>
      <c r="N244" t="s">
        <v>41</v>
      </c>
      <c r="O244">
        <v>13</v>
      </c>
      <c r="P244">
        <v>3</v>
      </c>
      <c r="Q244">
        <v>1</v>
      </c>
      <c r="R244">
        <v>6</v>
      </c>
      <c r="S244">
        <v>5</v>
      </c>
      <c r="T244">
        <v>2</v>
      </c>
      <c r="U244">
        <v>0</v>
      </c>
      <c r="V244">
        <v>2</v>
      </c>
      <c r="W244" t="s">
        <v>56</v>
      </c>
      <c r="X244" s="1" t="d">
        <v>2019-01-29</v>
      </c>
      <c r="Z244" t="s">
        <v>45</v>
      </c>
      <c r="AA244" t="s">
        <v>40</v>
      </c>
      <c r="AB244">
        <v>2</v>
      </c>
      <c r="AC244">
        <v>1</v>
      </c>
      <c r="AD244" t="s">
        <v>41</v>
      </c>
      <c r="AE244" t="s">
        <v>47</v>
      </c>
      <c r="AF244" t="s">
        <v>43</v>
      </c>
      <c r="AG244">
        <f>IF(HR_Data[[#This Row],[Attrition]]="Yes",1,0)</f>
        <v>1</v>
      </c>
      <c r="AH244" t="str">
        <f>IF(HR_Data[Date_of_termination]="","Active","Left")</f>
        <v>Active</v>
      </c>
      <c r="AI244" t="str">
        <f>IF(HR_Data[YearsAtCompany]&lt;=2,"Fresher", IF(HR_Data[YearsAtCompany]&lt;=5,"Junior", IF(HR_Data[YearsAtCompany]&lt;=10, "Mid","Senior")))</f>
        <v>Fresher</v>
      </c>
      <c r="AJ244" s="2" t="str">
        <f>IF(HR_Data[MonthlyIncome]&lt;=300,"Low", IF(HR_Data[MonthlyIncome]&lt;=7000,"Medium", "High"))</f>
        <v>Medium</v>
      </c>
      <c r="AK244" s="2" t="str">
        <f>VLOOKUP(HR_Data[JobRole], JobRole_Map[], 2, FALSE)</f>
        <v>Technical</v>
      </c>
    </row>
    <row r="245" spans="1:37" x14ac:dyDescent="0.25">
      <c r="A245" s="2">
        <v>45</v>
      </c>
      <c r="B245" t="s">
        <v>41</v>
      </c>
      <c r="C245" t="s">
        <v>33</v>
      </c>
      <c r="D245" t="s">
        <v>34</v>
      </c>
      <c r="E245">
        <v>10</v>
      </c>
      <c r="F245" t="s">
        <v>35</v>
      </c>
      <c r="G245">
        <v>3</v>
      </c>
      <c r="H245">
        <v>1</v>
      </c>
      <c r="I245" t="s">
        <v>44</v>
      </c>
      <c r="J245">
        <v>4</v>
      </c>
      <c r="K245" t="s">
        <v>50</v>
      </c>
      <c r="L245">
        <v>2654</v>
      </c>
      <c r="M245">
        <v>3</v>
      </c>
      <c r="N245" t="s">
        <v>41</v>
      </c>
      <c r="O245">
        <v>21</v>
      </c>
      <c r="P245">
        <v>4</v>
      </c>
      <c r="Q245">
        <v>2</v>
      </c>
      <c r="R245">
        <v>8</v>
      </c>
      <c r="S245">
        <v>3</v>
      </c>
      <c r="T245">
        <v>2</v>
      </c>
      <c r="U245">
        <v>0</v>
      </c>
      <c r="V245">
        <v>2</v>
      </c>
      <c r="W245" t="s">
        <v>51</v>
      </c>
      <c r="X245" s="1" t="d">
        <v>2019-03-10</v>
      </c>
      <c r="Z245" t="s">
        <v>63</v>
      </c>
      <c r="AA245" t="s">
        <v>46</v>
      </c>
      <c r="AB245">
        <v>2</v>
      </c>
      <c r="AC245">
        <v>2</v>
      </c>
      <c r="AD245" t="s">
        <v>32</v>
      </c>
      <c r="AE245" t="s">
        <v>62</v>
      </c>
      <c r="AF245" t="s">
        <v>57</v>
      </c>
      <c r="AG245">
        <f>IF(HR_Data[[#This Row],[Attrition]]="Yes",1,0)</f>
        <v>0</v>
      </c>
      <c r="AH245" t="str">
        <f>IF(HR_Data[Date_of_termination]="","Active","Left")</f>
        <v>Active</v>
      </c>
      <c r="AI245" t="str">
        <f>IF(HR_Data[YearsAtCompany]&lt;=2,"Fresher", IF(HR_Data[YearsAtCompany]&lt;=5,"Junior", IF(HR_Data[YearsAtCompany]&lt;=10, "Mid","Senior")))</f>
        <v>Fresher</v>
      </c>
      <c r="AJ245" s="2" t="str">
        <f>IF(HR_Data[MonthlyIncome]&lt;=300,"Low", IF(HR_Data[MonthlyIncome]&lt;=7000,"Medium", "High"))</f>
        <v>Medium</v>
      </c>
      <c r="AK245" s="2" t="str">
        <f>VLOOKUP(HR_Data[JobRole], JobRole_Map[], 2, FALSE)</f>
        <v>Technical</v>
      </c>
    </row>
    <row r="246" spans="1:37" x14ac:dyDescent="0.25">
      <c r="A246" s="2">
        <v>34</v>
      </c>
      <c r="B246" t="s">
        <v>32</v>
      </c>
      <c r="C246" t="s">
        <v>61</v>
      </c>
      <c r="D246" t="s">
        <v>53</v>
      </c>
      <c r="E246">
        <v>6</v>
      </c>
      <c r="F246" t="s">
        <v>58</v>
      </c>
      <c r="G246">
        <v>1</v>
      </c>
      <c r="H246">
        <v>1</v>
      </c>
      <c r="I246" t="s">
        <v>54</v>
      </c>
      <c r="J246">
        <v>3</v>
      </c>
      <c r="K246" t="s">
        <v>55</v>
      </c>
      <c r="L246">
        <v>2351</v>
      </c>
      <c r="M246">
        <v>0</v>
      </c>
      <c r="N246" t="s">
        <v>41</v>
      </c>
      <c r="O246">
        <v>16</v>
      </c>
      <c r="P246">
        <v>3</v>
      </c>
      <c r="Q246">
        <v>1</v>
      </c>
      <c r="R246">
        <v>3</v>
      </c>
      <c r="S246">
        <v>3</v>
      </c>
      <c r="T246">
        <v>2</v>
      </c>
      <c r="U246">
        <v>1</v>
      </c>
      <c r="V246">
        <v>0</v>
      </c>
      <c r="W246" t="s">
        <v>56</v>
      </c>
      <c r="X246" s="1" t="d">
        <v>2019-05-25</v>
      </c>
      <c r="Z246" t="s">
        <v>45</v>
      </c>
      <c r="AA246" t="s">
        <v>46</v>
      </c>
      <c r="AB246">
        <v>1</v>
      </c>
      <c r="AC246">
        <v>2</v>
      </c>
      <c r="AD246" t="s">
        <v>41</v>
      </c>
      <c r="AE246" t="s">
        <v>47</v>
      </c>
      <c r="AF246" t="s">
        <v>57</v>
      </c>
      <c r="AG246">
        <f>IF(HR_Data[[#This Row],[Attrition]]="Yes",1,0)</f>
        <v>1</v>
      </c>
      <c r="AH246" t="str">
        <f>IF(HR_Data[Date_of_termination]="","Active","Left")</f>
        <v>Active</v>
      </c>
      <c r="AI246" t="str">
        <f>IF(HR_Data[YearsAtCompany]&lt;=2,"Fresher", IF(HR_Data[YearsAtCompany]&lt;=5,"Junior", IF(HR_Data[YearsAtCompany]&lt;=10, "Mid","Senior")))</f>
        <v>Fresher</v>
      </c>
      <c r="AJ246" s="2" t="str">
        <f>IF(HR_Data[MonthlyIncome]&lt;=300,"Low", IF(HR_Data[MonthlyIncome]&lt;=7000,"Medium", "High"))</f>
        <v>Medium</v>
      </c>
      <c r="AK246" s="2" t="str">
        <f>VLOOKUP(HR_Data[JobRole], JobRole_Map[], 2, FALSE)</f>
        <v>Sales</v>
      </c>
    </row>
    <row r="247" spans="1:37" x14ac:dyDescent="0.25">
      <c r="A247" s="2">
        <v>29</v>
      </c>
      <c r="B247" t="s">
        <v>32</v>
      </c>
      <c r="C247" t="s">
        <v>33</v>
      </c>
      <c r="D247" t="s">
        <v>34</v>
      </c>
      <c r="E247">
        <v>25</v>
      </c>
      <c r="F247" t="s">
        <v>58</v>
      </c>
      <c r="G247">
        <v>2</v>
      </c>
      <c r="H247">
        <v>1</v>
      </c>
      <c r="I247" t="s">
        <v>44</v>
      </c>
      <c r="J247">
        <v>2</v>
      </c>
      <c r="K247" t="s">
        <v>50</v>
      </c>
      <c r="L247">
        <v>2546</v>
      </c>
      <c r="M247">
        <v>5</v>
      </c>
      <c r="N247" t="s">
        <v>41</v>
      </c>
      <c r="O247">
        <v>16</v>
      </c>
      <c r="P247">
        <v>3</v>
      </c>
      <c r="Q247">
        <v>0</v>
      </c>
      <c r="R247">
        <v>6</v>
      </c>
      <c r="S247">
        <v>2</v>
      </c>
      <c r="T247">
        <v>2</v>
      </c>
      <c r="U247">
        <v>1</v>
      </c>
      <c r="V247">
        <v>1</v>
      </c>
      <c r="W247" t="s">
        <v>38</v>
      </c>
      <c r="X247" s="1" t="d">
        <v>2019-01-26</v>
      </c>
      <c r="Z247" t="s">
        <v>52</v>
      </c>
      <c r="AA247" t="s">
        <v>46</v>
      </c>
      <c r="AB247">
        <v>4</v>
      </c>
      <c r="AC247">
        <v>3</v>
      </c>
      <c r="AD247" t="s">
        <v>32</v>
      </c>
      <c r="AE247" t="s">
        <v>60</v>
      </c>
      <c r="AF247" t="s">
        <v>57</v>
      </c>
      <c r="AG247">
        <f>IF(HR_Data[[#This Row],[Attrition]]="Yes",1,0)</f>
        <v>1</v>
      </c>
      <c r="AH247" t="str">
        <f>IF(HR_Data[Date_of_termination]="","Active","Left")</f>
        <v>Active</v>
      </c>
      <c r="AI247" t="str">
        <f>IF(HR_Data[YearsAtCompany]&lt;=2,"Fresher", IF(HR_Data[YearsAtCompany]&lt;=5,"Junior", IF(HR_Data[YearsAtCompany]&lt;=10, "Mid","Senior")))</f>
        <v>Fresher</v>
      </c>
      <c r="AJ247" s="2" t="str">
        <f>IF(HR_Data[MonthlyIncome]&lt;=300,"Low", IF(HR_Data[MonthlyIncome]&lt;=7000,"Medium", "High"))</f>
        <v>Medium</v>
      </c>
      <c r="AK247" s="2" t="str">
        <f>VLOOKUP(HR_Data[JobRole], JobRole_Map[], 2, FALSE)</f>
        <v>Technical</v>
      </c>
    </row>
    <row r="248" spans="1:37" x14ac:dyDescent="0.25">
      <c r="A248" s="2">
        <v>42</v>
      </c>
      <c r="B248" t="s">
        <v>41</v>
      </c>
      <c r="C248" t="s">
        <v>61</v>
      </c>
      <c r="D248" t="s">
        <v>34</v>
      </c>
      <c r="E248">
        <v>5</v>
      </c>
      <c r="F248" t="s">
        <v>35</v>
      </c>
      <c r="G248">
        <v>3</v>
      </c>
      <c r="H248">
        <v>1</v>
      </c>
      <c r="I248" t="s">
        <v>36</v>
      </c>
      <c r="J248">
        <v>3</v>
      </c>
      <c r="K248" t="s">
        <v>50</v>
      </c>
      <c r="L248">
        <v>2093</v>
      </c>
      <c r="M248">
        <v>4</v>
      </c>
      <c r="N248" t="s">
        <v>41</v>
      </c>
      <c r="O248">
        <v>17</v>
      </c>
      <c r="P248">
        <v>3</v>
      </c>
      <c r="Q248">
        <v>1</v>
      </c>
      <c r="R248">
        <v>8</v>
      </c>
      <c r="S248">
        <v>4</v>
      </c>
      <c r="T248">
        <v>2</v>
      </c>
      <c r="U248">
        <v>2</v>
      </c>
      <c r="V248">
        <v>0</v>
      </c>
      <c r="W248" t="s">
        <v>51</v>
      </c>
      <c r="X248" s="1" t="d">
        <v>2019-01-19</v>
      </c>
      <c r="Z248" t="s">
        <v>63</v>
      </c>
      <c r="AA248" t="s">
        <v>46</v>
      </c>
      <c r="AB248">
        <v>2</v>
      </c>
      <c r="AC248">
        <v>1</v>
      </c>
      <c r="AD248" t="s">
        <v>32</v>
      </c>
      <c r="AE248" t="s">
        <v>42</v>
      </c>
      <c r="AF248" t="s">
        <v>43</v>
      </c>
      <c r="AG248">
        <f>IF(HR_Data[[#This Row],[Attrition]]="Yes",1,0)</f>
        <v>0</v>
      </c>
      <c r="AH248" t="str">
        <f>IF(HR_Data[Date_of_termination]="","Active","Left")</f>
        <v>Active</v>
      </c>
      <c r="AI248" t="str">
        <f>IF(HR_Data[YearsAtCompany]&lt;=2,"Fresher", IF(HR_Data[YearsAtCompany]&lt;=5,"Junior", IF(HR_Data[YearsAtCompany]&lt;=10, "Mid","Senior")))</f>
        <v>Fresher</v>
      </c>
      <c r="AJ248" s="2" t="str">
        <f>IF(HR_Data[MonthlyIncome]&lt;=300,"Low", IF(HR_Data[MonthlyIncome]&lt;=7000,"Medium", "High"))</f>
        <v>Medium</v>
      </c>
      <c r="AK248" s="2" t="str">
        <f>VLOOKUP(HR_Data[JobRole], JobRole_Map[], 2, FALSE)</f>
        <v>Technical</v>
      </c>
    </row>
    <row r="249" spans="1:37" x14ac:dyDescent="0.25">
      <c r="A249" s="2">
        <v>22</v>
      </c>
      <c r="B249" t="s">
        <v>32</v>
      </c>
      <c r="C249" t="s">
        <v>61</v>
      </c>
      <c r="D249" t="s">
        <v>34</v>
      </c>
      <c r="E249">
        <v>4</v>
      </c>
      <c r="F249" t="s">
        <v>35</v>
      </c>
      <c r="G249">
        <v>2</v>
      </c>
      <c r="H249">
        <v>1</v>
      </c>
      <c r="I249" t="s">
        <v>36</v>
      </c>
      <c r="J249">
        <v>3</v>
      </c>
      <c r="K249" t="s">
        <v>37</v>
      </c>
      <c r="L249">
        <v>3894</v>
      </c>
      <c r="M249">
        <v>5</v>
      </c>
      <c r="N249" t="s">
        <v>41</v>
      </c>
      <c r="O249">
        <v>16</v>
      </c>
      <c r="P249">
        <v>3</v>
      </c>
      <c r="Q249">
        <v>0</v>
      </c>
      <c r="R249">
        <v>4</v>
      </c>
      <c r="S249">
        <v>3</v>
      </c>
      <c r="T249">
        <v>2</v>
      </c>
      <c r="U249">
        <v>1</v>
      </c>
      <c r="V249">
        <v>2</v>
      </c>
      <c r="W249" t="s">
        <v>51</v>
      </c>
      <c r="X249" s="1" t="d">
        <v>2019-03-04</v>
      </c>
      <c r="Z249" t="s">
        <v>52</v>
      </c>
      <c r="AA249" t="s">
        <v>40</v>
      </c>
      <c r="AB249">
        <v>2</v>
      </c>
      <c r="AC249">
        <v>1</v>
      </c>
      <c r="AD249" t="s">
        <v>41</v>
      </c>
      <c r="AE249" t="s">
        <v>42</v>
      </c>
      <c r="AF249" t="s">
        <v>43</v>
      </c>
      <c r="AG249">
        <f>IF(HR_Data[[#This Row],[Attrition]]="Yes",1,0)</f>
        <v>1</v>
      </c>
      <c r="AH249" t="str">
        <f>IF(HR_Data[Date_of_termination]="","Active","Left")</f>
        <v>Active</v>
      </c>
      <c r="AI249" t="str">
        <f>IF(HR_Data[YearsAtCompany]&lt;=2,"Fresher", IF(HR_Data[YearsAtCompany]&lt;=5,"Junior", IF(HR_Data[YearsAtCompany]&lt;=10, "Mid","Senior")))</f>
        <v>Fresher</v>
      </c>
      <c r="AJ249" s="2" t="str">
        <f>IF(HR_Data[MonthlyIncome]&lt;=300,"Low", IF(HR_Data[MonthlyIncome]&lt;=7000,"Medium", "High"))</f>
        <v>Medium</v>
      </c>
      <c r="AK249" s="2" t="str">
        <f>VLOOKUP(HR_Data[JobRole], JobRole_Map[], 2, FALSE)</f>
        <v>Technical</v>
      </c>
    </row>
    <row r="250" spans="1:37" x14ac:dyDescent="0.25">
      <c r="A250" s="2">
        <v>46</v>
      </c>
      <c r="B250" t="s">
        <v>41</v>
      </c>
      <c r="C250" t="s">
        <v>61</v>
      </c>
      <c r="D250" t="s">
        <v>34</v>
      </c>
      <c r="E250">
        <v>18</v>
      </c>
      <c r="F250" t="s">
        <v>58</v>
      </c>
      <c r="G250">
        <v>3</v>
      </c>
      <c r="H250">
        <v>3</v>
      </c>
      <c r="I250" t="s">
        <v>69</v>
      </c>
      <c r="J250">
        <v>3</v>
      </c>
      <c r="K250" t="s">
        <v>50</v>
      </c>
      <c r="L250">
        <v>10527</v>
      </c>
      <c r="M250">
        <v>5</v>
      </c>
      <c r="N250" t="s">
        <v>41</v>
      </c>
      <c r="O250">
        <v>11</v>
      </c>
      <c r="P250">
        <v>3</v>
      </c>
      <c r="Q250">
        <v>0</v>
      </c>
      <c r="R250">
        <v>28</v>
      </c>
      <c r="S250">
        <v>3</v>
      </c>
      <c r="T250">
        <v>2</v>
      </c>
      <c r="U250">
        <v>1</v>
      </c>
      <c r="V250">
        <v>2</v>
      </c>
      <c r="W250" t="s">
        <v>51</v>
      </c>
      <c r="X250" s="1" t="d">
        <v>2019-04-27</v>
      </c>
      <c r="Z250" t="s">
        <v>59</v>
      </c>
      <c r="AA250" t="s">
        <v>46</v>
      </c>
      <c r="AB250">
        <v>1</v>
      </c>
      <c r="AC250">
        <v>0</v>
      </c>
      <c r="AD250" t="s">
        <v>32</v>
      </c>
      <c r="AE250" t="s">
        <v>60</v>
      </c>
      <c r="AF250" t="s">
        <v>43</v>
      </c>
      <c r="AG250">
        <f>IF(HR_Data[[#This Row],[Attrition]]="Yes",1,0)</f>
        <v>0</v>
      </c>
      <c r="AH250" t="str">
        <f>IF(HR_Data[Date_of_termination]="","Active","Left")</f>
        <v>Active</v>
      </c>
      <c r="AI250" t="str">
        <f>IF(HR_Data[YearsAtCompany]&lt;=2,"Fresher", IF(HR_Data[YearsAtCompany]&lt;=5,"Junior", IF(HR_Data[YearsAtCompany]&lt;=10, "Mid","Senior")))</f>
        <v>Fresher</v>
      </c>
      <c r="AJ250" s="2" t="str">
        <f>IF(HR_Data[MonthlyIncome]&lt;=300,"Low", IF(HR_Data[MonthlyIncome]&lt;=7000,"Medium", "High"))</f>
        <v>High</v>
      </c>
      <c r="AK250" s="2" t="str">
        <f>VLOOKUP(HR_Data[JobRole], JobRole_Map[], 2, FALSE)</f>
        <v>Operations</v>
      </c>
    </row>
    <row r="251" spans="1:37" x14ac:dyDescent="0.25">
      <c r="A251" s="2">
        <v>24</v>
      </c>
      <c r="B251" t="s">
        <v>41</v>
      </c>
      <c r="C251" t="s">
        <v>61</v>
      </c>
      <c r="D251" t="s">
        <v>53</v>
      </c>
      <c r="E251">
        <v>24</v>
      </c>
      <c r="F251" t="s">
        <v>35</v>
      </c>
      <c r="G251">
        <v>3</v>
      </c>
      <c r="H251">
        <v>1</v>
      </c>
      <c r="I251" t="s">
        <v>54</v>
      </c>
      <c r="J251">
        <v>4</v>
      </c>
      <c r="K251" t="s">
        <v>50</v>
      </c>
      <c r="L251">
        <v>2400</v>
      </c>
      <c r="M251">
        <v>0</v>
      </c>
      <c r="N251" t="s">
        <v>41</v>
      </c>
      <c r="O251">
        <v>13</v>
      </c>
      <c r="P251">
        <v>3</v>
      </c>
      <c r="Q251">
        <v>2</v>
      </c>
      <c r="R251">
        <v>3</v>
      </c>
      <c r="S251">
        <v>3</v>
      </c>
      <c r="T251">
        <v>2</v>
      </c>
      <c r="U251">
        <v>2</v>
      </c>
      <c r="V251">
        <v>1</v>
      </c>
      <c r="W251" t="s">
        <v>56</v>
      </c>
      <c r="X251" s="1" t="d">
        <v>2019-02-04</v>
      </c>
      <c r="Z251" t="s">
        <v>59</v>
      </c>
      <c r="AA251" t="s">
        <v>40</v>
      </c>
      <c r="AB251">
        <v>2</v>
      </c>
      <c r="AC251">
        <v>3</v>
      </c>
      <c r="AD251" t="s">
        <v>41</v>
      </c>
      <c r="AE251" t="s">
        <v>62</v>
      </c>
      <c r="AF251" t="s">
        <v>57</v>
      </c>
      <c r="AG251">
        <f>IF(HR_Data[[#This Row],[Attrition]]="Yes",1,0)</f>
        <v>0</v>
      </c>
      <c r="AH251" t="str">
        <f>IF(HR_Data[Date_of_termination]="","Active","Left")</f>
        <v>Active</v>
      </c>
      <c r="AI251" t="str">
        <f>IF(HR_Data[YearsAtCompany]&lt;=2,"Fresher", IF(HR_Data[YearsAtCompany]&lt;=5,"Junior", IF(HR_Data[YearsAtCompany]&lt;=10, "Mid","Senior")))</f>
        <v>Fresher</v>
      </c>
      <c r="AJ251" s="2" t="str">
        <f>IF(HR_Data[MonthlyIncome]&lt;=300,"Low", IF(HR_Data[MonthlyIncome]&lt;=7000,"Medium", "High"))</f>
        <v>Medium</v>
      </c>
      <c r="AK251" s="2" t="str">
        <f>VLOOKUP(HR_Data[JobRole], JobRole_Map[], 2, FALSE)</f>
        <v>Sales</v>
      </c>
    </row>
    <row r="252" spans="1:37" x14ac:dyDescent="0.25">
      <c r="A252" s="2">
        <v>44</v>
      </c>
      <c r="B252" t="s">
        <v>41</v>
      </c>
      <c r="C252" t="s">
        <v>33</v>
      </c>
      <c r="D252" t="s">
        <v>70</v>
      </c>
      <c r="E252">
        <v>1</v>
      </c>
      <c r="F252" t="s">
        <v>58</v>
      </c>
      <c r="G252">
        <v>2</v>
      </c>
      <c r="H252">
        <v>2</v>
      </c>
      <c r="I252" t="s">
        <v>70</v>
      </c>
      <c r="J252">
        <v>3</v>
      </c>
      <c r="K252" t="s">
        <v>37</v>
      </c>
      <c r="L252">
        <v>5985</v>
      </c>
      <c r="M252">
        <v>4</v>
      </c>
      <c r="N252" t="s">
        <v>41</v>
      </c>
      <c r="O252">
        <v>11</v>
      </c>
      <c r="P252">
        <v>3</v>
      </c>
      <c r="Q252">
        <v>0</v>
      </c>
      <c r="R252">
        <v>10</v>
      </c>
      <c r="S252">
        <v>1</v>
      </c>
      <c r="T252">
        <v>2</v>
      </c>
      <c r="U252">
        <v>0</v>
      </c>
      <c r="V252">
        <v>2</v>
      </c>
      <c r="W252" t="s">
        <v>65</v>
      </c>
      <c r="X252" s="1" t="d">
        <v>2019-04-12</v>
      </c>
      <c r="Z252" t="s">
        <v>63</v>
      </c>
      <c r="AA252" t="s">
        <v>40</v>
      </c>
      <c r="AB252">
        <v>0</v>
      </c>
      <c r="AC252">
        <v>0</v>
      </c>
      <c r="AD252" t="s">
        <v>41</v>
      </c>
      <c r="AE252" t="s">
        <v>42</v>
      </c>
      <c r="AF252" t="s">
        <v>48</v>
      </c>
      <c r="AG252">
        <f>IF(HR_Data[[#This Row],[Attrition]]="Yes",1,0)</f>
        <v>0</v>
      </c>
      <c r="AH252" t="str">
        <f>IF(HR_Data[Date_of_termination]="","Active","Left")</f>
        <v>Active</v>
      </c>
      <c r="AI252" t="str">
        <f>IF(HR_Data[YearsAtCompany]&lt;=2,"Fresher", IF(HR_Data[YearsAtCompany]&lt;=5,"Junior", IF(HR_Data[YearsAtCompany]&lt;=10, "Mid","Senior")))</f>
        <v>Fresher</v>
      </c>
      <c r="AJ252" s="2" t="str">
        <f>IF(HR_Data[MonthlyIncome]&lt;=300,"Low", IF(HR_Data[MonthlyIncome]&lt;=7000,"Medium", "High"))</f>
        <v>Medium</v>
      </c>
      <c r="AK252" s="2" t="str">
        <f>VLOOKUP(HR_Data[JobRole], JobRole_Map[], 2, FALSE)</f>
        <v>HR</v>
      </c>
    </row>
    <row r="253" spans="1:37" x14ac:dyDescent="0.25">
      <c r="A253" s="2">
        <v>44</v>
      </c>
      <c r="B253" t="s">
        <v>41</v>
      </c>
      <c r="C253" t="s">
        <v>33</v>
      </c>
      <c r="D253" t="s">
        <v>34</v>
      </c>
      <c r="E253">
        <v>3</v>
      </c>
      <c r="F253" t="s">
        <v>35</v>
      </c>
      <c r="G253">
        <v>3</v>
      </c>
      <c r="H253">
        <v>5</v>
      </c>
      <c r="I253" t="s">
        <v>66</v>
      </c>
      <c r="J253">
        <v>4</v>
      </c>
      <c r="K253" t="s">
        <v>50</v>
      </c>
      <c r="L253">
        <v>19513</v>
      </c>
      <c r="M253">
        <v>4</v>
      </c>
      <c r="N253" t="s">
        <v>32</v>
      </c>
      <c r="O253">
        <v>12</v>
      </c>
      <c r="P253">
        <v>3</v>
      </c>
      <c r="Q253">
        <v>1</v>
      </c>
      <c r="R253">
        <v>26</v>
      </c>
      <c r="S253">
        <v>2</v>
      </c>
      <c r="T253">
        <v>2</v>
      </c>
      <c r="U253">
        <v>0</v>
      </c>
      <c r="V253">
        <v>1</v>
      </c>
      <c r="W253" t="s">
        <v>51</v>
      </c>
      <c r="X253" s="1" t="d">
        <v>2019-01-01</v>
      </c>
      <c r="Z253" t="s">
        <v>63</v>
      </c>
      <c r="AA253" t="s">
        <v>40</v>
      </c>
      <c r="AB253">
        <v>2</v>
      </c>
      <c r="AC253">
        <v>2</v>
      </c>
      <c r="AD253" t="s">
        <v>41</v>
      </c>
      <c r="AE253" t="s">
        <v>47</v>
      </c>
      <c r="AF253" t="s">
        <v>57</v>
      </c>
      <c r="AG253">
        <f>IF(HR_Data[[#This Row],[Attrition]]="Yes",1,0)</f>
        <v>0</v>
      </c>
      <c r="AH253" t="str">
        <f>IF(HR_Data[Date_of_termination]="","Active","Left")</f>
        <v>Active</v>
      </c>
      <c r="AI253" t="str">
        <f>IF(HR_Data[YearsAtCompany]&lt;=2,"Fresher", IF(HR_Data[YearsAtCompany]&lt;=5,"Junior", IF(HR_Data[YearsAtCompany]&lt;=10, "Mid","Senior")))</f>
        <v>Fresher</v>
      </c>
      <c r="AJ253" s="2" t="str">
        <f>IF(HR_Data[MonthlyIncome]&lt;=300,"Low", IF(HR_Data[MonthlyIncome]&lt;=7000,"Medium", "High"))</f>
        <v>High</v>
      </c>
      <c r="AK253" s="2" t="str">
        <f>VLOOKUP(HR_Data[JobRole], JobRole_Map[], 2, FALSE)</f>
        <v>Management</v>
      </c>
    </row>
    <row r="254" spans="1:37" x14ac:dyDescent="0.25">
      <c r="A254" s="2">
        <v>22</v>
      </c>
      <c r="B254" t="s">
        <v>41</v>
      </c>
      <c r="C254" t="s">
        <v>33</v>
      </c>
      <c r="D254" t="s">
        <v>34</v>
      </c>
      <c r="E254">
        <v>6</v>
      </c>
      <c r="F254" t="s">
        <v>35</v>
      </c>
      <c r="G254">
        <v>3</v>
      </c>
      <c r="H254">
        <v>1</v>
      </c>
      <c r="I254" t="s">
        <v>44</v>
      </c>
      <c r="J254">
        <v>3</v>
      </c>
      <c r="K254" t="s">
        <v>50</v>
      </c>
      <c r="L254">
        <v>2773</v>
      </c>
      <c r="M254">
        <v>0</v>
      </c>
      <c r="N254" t="s">
        <v>41</v>
      </c>
      <c r="O254">
        <v>20</v>
      </c>
      <c r="P254">
        <v>4</v>
      </c>
      <c r="Q254">
        <v>0</v>
      </c>
      <c r="R254">
        <v>3</v>
      </c>
      <c r="S254">
        <v>3</v>
      </c>
      <c r="T254">
        <v>2</v>
      </c>
      <c r="U254">
        <v>2</v>
      </c>
      <c r="V254">
        <v>2</v>
      </c>
      <c r="W254" t="s">
        <v>65</v>
      </c>
      <c r="X254" s="1" t="d">
        <v>2019-06-30</v>
      </c>
      <c r="Z254" t="s">
        <v>52</v>
      </c>
      <c r="AA254" t="s">
        <v>40</v>
      </c>
      <c r="AB254">
        <v>1</v>
      </c>
      <c r="AC254">
        <v>1</v>
      </c>
      <c r="AD254" t="s">
        <v>32</v>
      </c>
      <c r="AE254" t="s">
        <v>62</v>
      </c>
      <c r="AF254" t="s">
        <v>57</v>
      </c>
      <c r="AG254">
        <f>IF(HR_Data[[#This Row],[Attrition]]="Yes",1,0)</f>
        <v>0</v>
      </c>
      <c r="AH254" t="str">
        <f>IF(HR_Data[Date_of_termination]="","Active","Left")</f>
        <v>Active</v>
      </c>
      <c r="AI254" t="str">
        <f>IF(HR_Data[YearsAtCompany]&lt;=2,"Fresher", IF(HR_Data[YearsAtCompany]&lt;=5,"Junior", IF(HR_Data[YearsAtCompany]&lt;=10, "Mid","Senior")))</f>
        <v>Fresher</v>
      </c>
      <c r="AJ254" s="2" t="str">
        <f>IF(HR_Data[MonthlyIncome]&lt;=300,"Low", IF(HR_Data[MonthlyIncome]&lt;=7000,"Medium", "High"))</f>
        <v>Medium</v>
      </c>
      <c r="AK254" s="2" t="str">
        <f>VLOOKUP(HR_Data[JobRole], JobRole_Map[], 2, FALSE)</f>
        <v>Technical</v>
      </c>
    </row>
    <row r="255" spans="1:37" x14ac:dyDescent="0.25">
      <c r="A255" s="2">
        <v>48</v>
      </c>
      <c r="B255" t="s">
        <v>41</v>
      </c>
      <c r="C255" t="s">
        <v>33</v>
      </c>
      <c r="D255" t="s">
        <v>53</v>
      </c>
      <c r="E255">
        <v>2</v>
      </c>
      <c r="F255" t="s">
        <v>35</v>
      </c>
      <c r="G255">
        <v>4</v>
      </c>
      <c r="H255">
        <v>2</v>
      </c>
      <c r="I255" t="s">
        <v>64</v>
      </c>
      <c r="J255">
        <v>2</v>
      </c>
      <c r="K255" t="s">
        <v>50</v>
      </c>
      <c r="L255">
        <v>8120</v>
      </c>
      <c r="M255">
        <v>3</v>
      </c>
      <c r="N255" t="s">
        <v>41</v>
      </c>
      <c r="O255">
        <v>12</v>
      </c>
      <c r="P255">
        <v>3</v>
      </c>
      <c r="Q255">
        <v>0</v>
      </c>
      <c r="R255">
        <v>12</v>
      </c>
      <c r="S255">
        <v>3</v>
      </c>
      <c r="T255">
        <v>2</v>
      </c>
      <c r="U255">
        <v>2</v>
      </c>
      <c r="V255">
        <v>2</v>
      </c>
      <c r="W255" t="s">
        <v>51</v>
      </c>
      <c r="X255" s="1" t="d">
        <v>2019-05-15</v>
      </c>
      <c r="Z255" t="s">
        <v>39</v>
      </c>
      <c r="AA255" t="s">
        <v>40</v>
      </c>
      <c r="AB255">
        <v>4</v>
      </c>
      <c r="AC255">
        <v>1</v>
      </c>
      <c r="AD255" t="s">
        <v>41</v>
      </c>
      <c r="AE255" t="s">
        <v>62</v>
      </c>
      <c r="AF255" t="s">
        <v>48</v>
      </c>
      <c r="AG255">
        <f>IF(HR_Data[[#This Row],[Attrition]]="Yes",1,0)</f>
        <v>0</v>
      </c>
      <c r="AH255" t="str">
        <f>IF(HR_Data[Date_of_termination]="","Active","Left")</f>
        <v>Active</v>
      </c>
      <c r="AI255" t="str">
        <f>IF(HR_Data[YearsAtCompany]&lt;=2,"Fresher", IF(HR_Data[YearsAtCompany]&lt;=5,"Junior", IF(HR_Data[YearsAtCompany]&lt;=10, "Mid","Senior")))</f>
        <v>Fresher</v>
      </c>
      <c r="AJ255" s="2" t="str">
        <f>IF(HR_Data[MonthlyIncome]&lt;=300,"Low", IF(HR_Data[MonthlyIncome]&lt;=7000,"Medium", "High"))</f>
        <v>High</v>
      </c>
      <c r="AK255" s="2" t="str">
        <f>VLOOKUP(HR_Data[JobRole], JobRole_Map[], 2, FALSE)</f>
        <v>Sales</v>
      </c>
    </row>
    <row r="256" spans="1:37" x14ac:dyDescent="0.25">
      <c r="A256" s="2">
        <v>24</v>
      </c>
      <c r="B256" t="s">
        <v>32</v>
      </c>
      <c r="C256" t="s">
        <v>33</v>
      </c>
      <c r="D256" t="s">
        <v>53</v>
      </c>
      <c r="E256">
        <v>3</v>
      </c>
      <c r="F256" t="s">
        <v>58</v>
      </c>
      <c r="G256">
        <v>3</v>
      </c>
      <c r="H256">
        <v>2</v>
      </c>
      <c r="I256" t="s">
        <v>64</v>
      </c>
      <c r="J256">
        <v>3</v>
      </c>
      <c r="K256" t="s">
        <v>37</v>
      </c>
      <c r="L256">
        <v>4577</v>
      </c>
      <c r="M256">
        <v>9</v>
      </c>
      <c r="N256" t="s">
        <v>41</v>
      </c>
      <c r="O256">
        <v>14</v>
      </c>
      <c r="P256">
        <v>3</v>
      </c>
      <c r="Q256">
        <v>0</v>
      </c>
      <c r="R256">
        <v>4</v>
      </c>
      <c r="S256">
        <v>3</v>
      </c>
      <c r="T256">
        <v>2</v>
      </c>
      <c r="U256">
        <v>2</v>
      </c>
      <c r="V256">
        <v>0</v>
      </c>
      <c r="W256" t="s">
        <v>65</v>
      </c>
      <c r="X256" s="1" t="d">
        <v>2019-03-01</v>
      </c>
      <c r="Z256" t="s">
        <v>39</v>
      </c>
      <c r="AA256" t="s">
        <v>40</v>
      </c>
      <c r="AB256">
        <v>3</v>
      </c>
      <c r="AC256">
        <v>0</v>
      </c>
      <c r="AD256" t="s">
        <v>41</v>
      </c>
      <c r="AE256" t="s">
        <v>42</v>
      </c>
      <c r="AF256" t="s">
        <v>43</v>
      </c>
      <c r="AG256">
        <f>IF(HR_Data[[#This Row],[Attrition]]="Yes",1,0)</f>
        <v>1</v>
      </c>
      <c r="AH256" t="str">
        <f>IF(HR_Data[Date_of_termination]="","Active","Left")</f>
        <v>Active</v>
      </c>
      <c r="AI256" t="str">
        <f>IF(HR_Data[YearsAtCompany]&lt;=2,"Fresher", IF(HR_Data[YearsAtCompany]&lt;=5,"Junior", IF(HR_Data[YearsAtCompany]&lt;=10, "Mid","Senior")))</f>
        <v>Fresher</v>
      </c>
      <c r="AJ256" s="2" t="str">
        <f>IF(HR_Data[MonthlyIncome]&lt;=300,"Low", IF(HR_Data[MonthlyIncome]&lt;=7000,"Medium", "High"))</f>
        <v>Medium</v>
      </c>
      <c r="AK256" s="2" t="str">
        <f>VLOOKUP(HR_Data[JobRole], JobRole_Map[], 2, FALSE)</f>
        <v>Sales</v>
      </c>
    </row>
    <row r="257" spans="1:37" x14ac:dyDescent="0.25">
      <c r="A257" s="2">
        <v>60</v>
      </c>
      <c r="B257" t="s">
        <v>41</v>
      </c>
      <c r="C257" t="s">
        <v>33</v>
      </c>
      <c r="D257" t="s">
        <v>53</v>
      </c>
      <c r="E257">
        <v>16</v>
      </c>
      <c r="F257" t="s">
        <v>35</v>
      </c>
      <c r="G257">
        <v>3</v>
      </c>
      <c r="H257">
        <v>2</v>
      </c>
      <c r="I257" t="s">
        <v>64</v>
      </c>
      <c r="J257">
        <v>1</v>
      </c>
      <c r="K257" t="s">
        <v>37</v>
      </c>
      <c r="L257">
        <v>5405</v>
      </c>
      <c r="M257">
        <v>8</v>
      </c>
      <c r="N257" t="s">
        <v>41</v>
      </c>
      <c r="O257">
        <v>14</v>
      </c>
      <c r="P257">
        <v>3</v>
      </c>
      <c r="Q257">
        <v>0</v>
      </c>
      <c r="R257">
        <v>10</v>
      </c>
      <c r="S257">
        <v>1</v>
      </c>
      <c r="T257">
        <v>2</v>
      </c>
      <c r="U257">
        <v>2</v>
      </c>
      <c r="V257">
        <v>2</v>
      </c>
      <c r="W257" t="s">
        <v>56</v>
      </c>
      <c r="X257" s="1" t="d">
        <v>2019-01-09</v>
      </c>
      <c r="Z257" t="s">
        <v>45</v>
      </c>
      <c r="AA257" t="s">
        <v>46</v>
      </c>
      <c r="AB257">
        <v>1</v>
      </c>
      <c r="AC257">
        <v>1</v>
      </c>
      <c r="AD257" t="s">
        <v>32</v>
      </c>
      <c r="AE257" t="s">
        <v>60</v>
      </c>
      <c r="AF257" t="s">
        <v>57</v>
      </c>
      <c r="AG257">
        <f>IF(HR_Data[[#This Row],[Attrition]]="Yes",1,0)</f>
        <v>0</v>
      </c>
      <c r="AH257" t="str">
        <f>IF(HR_Data[Date_of_termination]="","Active","Left")</f>
        <v>Active</v>
      </c>
      <c r="AI257" t="str">
        <f>IF(HR_Data[YearsAtCompany]&lt;=2,"Fresher", IF(HR_Data[YearsAtCompany]&lt;=5,"Junior", IF(HR_Data[YearsAtCompany]&lt;=10, "Mid","Senior")))</f>
        <v>Fresher</v>
      </c>
      <c r="AJ257" s="2" t="str">
        <f>IF(HR_Data[MonthlyIncome]&lt;=300,"Low", IF(HR_Data[MonthlyIncome]&lt;=7000,"Medium", "High"))</f>
        <v>Medium</v>
      </c>
      <c r="AK257" s="2" t="str">
        <f>VLOOKUP(HR_Data[JobRole], JobRole_Map[], 2, FALSE)</f>
        <v>Sales</v>
      </c>
    </row>
    <row r="258" spans="1:37" x14ac:dyDescent="0.25">
      <c r="A258" s="2">
        <v>50</v>
      </c>
      <c r="B258" t="s">
        <v>41</v>
      </c>
      <c r="C258" t="s">
        <v>33</v>
      </c>
      <c r="D258" t="s">
        <v>53</v>
      </c>
      <c r="E258">
        <v>8</v>
      </c>
      <c r="F258" t="s">
        <v>35</v>
      </c>
      <c r="G258">
        <v>3</v>
      </c>
      <c r="H258">
        <v>1</v>
      </c>
      <c r="I258" t="s">
        <v>54</v>
      </c>
      <c r="J258">
        <v>2</v>
      </c>
      <c r="K258" t="s">
        <v>50</v>
      </c>
      <c r="L258">
        <v>3875</v>
      </c>
      <c r="M258">
        <v>7</v>
      </c>
      <c r="N258" t="s">
        <v>41</v>
      </c>
      <c r="O258">
        <v>15</v>
      </c>
      <c r="P258">
        <v>3</v>
      </c>
      <c r="Q258">
        <v>1</v>
      </c>
      <c r="R258">
        <v>4</v>
      </c>
      <c r="S258">
        <v>2</v>
      </c>
      <c r="T258">
        <v>2</v>
      </c>
      <c r="U258">
        <v>2</v>
      </c>
      <c r="V258">
        <v>2</v>
      </c>
      <c r="W258" t="s">
        <v>38</v>
      </c>
      <c r="X258" s="1" t="d">
        <v>2019-04-27</v>
      </c>
      <c r="Z258" t="s">
        <v>63</v>
      </c>
      <c r="AA258" t="s">
        <v>46</v>
      </c>
      <c r="AB258">
        <v>3</v>
      </c>
      <c r="AC258">
        <v>1</v>
      </c>
      <c r="AD258" t="s">
        <v>41</v>
      </c>
      <c r="AE258" t="s">
        <v>60</v>
      </c>
      <c r="AF258" t="s">
        <v>48</v>
      </c>
      <c r="AG258">
        <f>IF(HR_Data[[#This Row],[Attrition]]="Yes",1,0)</f>
        <v>0</v>
      </c>
      <c r="AH258" t="str">
        <f>IF(HR_Data[Date_of_termination]="","Active","Left")</f>
        <v>Active</v>
      </c>
      <c r="AI258" t="str">
        <f>IF(HR_Data[YearsAtCompany]&lt;=2,"Fresher", IF(HR_Data[YearsAtCompany]&lt;=5,"Junior", IF(HR_Data[YearsAtCompany]&lt;=10, "Mid","Senior")))</f>
        <v>Fresher</v>
      </c>
      <c r="AJ258" s="2" t="str">
        <f>IF(HR_Data[MonthlyIncome]&lt;=300,"Low", IF(HR_Data[MonthlyIncome]&lt;=7000,"Medium", "High"))</f>
        <v>Medium</v>
      </c>
      <c r="AK258" s="2" t="str">
        <f>VLOOKUP(HR_Data[JobRole], JobRole_Map[], 2, FALSE)</f>
        <v>Sales</v>
      </c>
    </row>
    <row r="259" spans="1:37" x14ac:dyDescent="0.25">
      <c r="A259" s="2">
        <v>42</v>
      </c>
      <c r="B259" t="s">
        <v>32</v>
      </c>
      <c r="C259" t="s">
        <v>61</v>
      </c>
      <c r="D259" t="s">
        <v>34</v>
      </c>
      <c r="E259">
        <v>19</v>
      </c>
      <c r="F259" t="s">
        <v>35</v>
      </c>
      <c r="G259">
        <v>4</v>
      </c>
      <c r="H259">
        <v>1</v>
      </c>
      <c r="I259" t="s">
        <v>44</v>
      </c>
      <c r="J259">
        <v>3</v>
      </c>
      <c r="K259" t="s">
        <v>55</v>
      </c>
      <c r="L259">
        <v>2759</v>
      </c>
      <c r="M259">
        <v>6</v>
      </c>
      <c r="N259" t="s">
        <v>32</v>
      </c>
      <c r="O259">
        <v>12</v>
      </c>
      <c r="P259">
        <v>3</v>
      </c>
      <c r="Q259">
        <v>0</v>
      </c>
      <c r="R259">
        <v>7</v>
      </c>
      <c r="S259">
        <v>2</v>
      </c>
      <c r="T259">
        <v>2</v>
      </c>
      <c r="U259">
        <v>2</v>
      </c>
      <c r="V259">
        <v>2</v>
      </c>
      <c r="W259" t="s">
        <v>51</v>
      </c>
      <c r="X259" s="1" t="d">
        <v>2019-02-08</v>
      </c>
      <c r="Z259" t="s">
        <v>63</v>
      </c>
      <c r="AA259" t="s">
        <v>40</v>
      </c>
      <c r="AB259">
        <v>4</v>
      </c>
      <c r="AC259">
        <v>0</v>
      </c>
      <c r="AD259" t="s">
        <v>32</v>
      </c>
      <c r="AE259" t="s">
        <v>60</v>
      </c>
      <c r="AF259" t="s">
        <v>57</v>
      </c>
      <c r="AG259">
        <f>IF(HR_Data[[#This Row],[Attrition]]="Yes",1,0)</f>
        <v>1</v>
      </c>
      <c r="AH259" t="str">
        <f>IF(HR_Data[Date_of_termination]="","Active","Left")</f>
        <v>Active</v>
      </c>
      <c r="AI259" t="str">
        <f>IF(HR_Data[YearsAtCompany]&lt;=2,"Fresher", IF(HR_Data[YearsAtCompany]&lt;=5,"Junior", IF(HR_Data[YearsAtCompany]&lt;=10, "Mid","Senior")))</f>
        <v>Fresher</v>
      </c>
      <c r="AJ259" s="2" t="str">
        <f>IF(HR_Data[MonthlyIncome]&lt;=300,"Low", IF(HR_Data[MonthlyIncome]&lt;=7000,"Medium", "High"))</f>
        <v>Medium</v>
      </c>
      <c r="AK259" s="2" t="str">
        <f>VLOOKUP(HR_Data[JobRole], JobRole_Map[], 2, FALSE)</f>
        <v>Technical</v>
      </c>
    </row>
    <row r="260" spans="1:37" x14ac:dyDescent="0.25">
      <c r="A260" s="2">
        <v>43</v>
      </c>
      <c r="B260" t="s">
        <v>41</v>
      </c>
      <c r="C260" t="s">
        <v>61</v>
      </c>
      <c r="D260" t="s">
        <v>53</v>
      </c>
      <c r="E260">
        <v>15</v>
      </c>
      <c r="F260" t="s">
        <v>35</v>
      </c>
      <c r="G260">
        <v>2</v>
      </c>
      <c r="H260">
        <v>2</v>
      </c>
      <c r="I260" t="s">
        <v>64</v>
      </c>
      <c r="J260">
        <v>4</v>
      </c>
      <c r="K260" t="s">
        <v>50</v>
      </c>
      <c r="L260">
        <v>6804</v>
      </c>
      <c r="M260">
        <v>3</v>
      </c>
      <c r="N260" t="s">
        <v>41</v>
      </c>
      <c r="O260">
        <v>18</v>
      </c>
      <c r="P260">
        <v>3</v>
      </c>
      <c r="Q260">
        <v>1</v>
      </c>
      <c r="R260">
        <v>7</v>
      </c>
      <c r="S260">
        <v>5</v>
      </c>
      <c r="T260">
        <v>2</v>
      </c>
      <c r="U260">
        <v>2</v>
      </c>
      <c r="V260">
        <v>2</v>
      </c>
      <c r="W260" t="s">
        <v>65</v>
      </c>
      <c r="X260" s="1" t="d">
        <v>2019-03-04</v>
      </c>
      <c r="Z260" t="s">
        <v>39</v>
      </c>
      <c r="AA260" t="s">
        <v>46</v>
      </c>
      <c r="AB260">
        <v>5</v>
      </c>
      <c r="AC260">
        <v>2</v>
      </c>
      <c r="AD260" t="s">
        <v>32</v>
      </c>
      <c r="AE260" t="s">
        <v>62</v>
      </c>
      <c r="AF260" t="s">
        <v>57</v>
      </c>
      <c r="AG260">
        <f>IF(HR_Data[[#This Row],[Attrition]]="Yes",1,0)</f>
        <v>0</v>
      </c>
      <c r="AH260" t="str">
        <f>IF(HR_Data[Date_of_termination]="","Active","Left")</f>
        <v>Active</v>
      </c>
      <c r="AI260" t="str">
        <f>IF(HR_Data[YearsAtCompany]&lt;=2,"Fresher", IF(HR_Data[YearsAtCompany]&lt;=5,"Junior", IF(HR_Data[YearsAtCompany]&lt;=10, "Mid","Senior")))</f>
        <v>Fresher</v>
      </c>
      <c r="AJ260" s="2" t="str">
        <f>IF(HR_Data[MonthlyIncome]&lt;=300,"Low", IF(HR_Data[MonthlyIncome]&lt;=7000,"Medium", "High"))</f>
        <v>Medium</v>
      </c>
      <c r="AK260" s="2" t="str">
        <f>VLOOKUP(HR_Data[JobRole], JobRole_Map[], 2, FALSE)</f>
        <v>Sales</v>
      </c>
    </row>
    <row r="261" spans="1:37" x14ac:dyDescent="0.25">
      <c r="A261" s="2">
        <v>29</v>
      </c>
      <c r="B261" t="s">
        <v>41</v>
      </c>
      <c r="C261" t="s">
        <v>33</v>
      </c>
      <c r="D261" t="s">
        <v>53</v>
      </c>
      <c r="E261">
        <v>10</v>
      </c>
      <c r="F261" t="s">
        <v>35</v>
      </c>
      <c r="G261">
        <v>3</v>
      </c>
      <c r="H261">
        <v>1</v>
      </c>
      <c r="I261" t="s">
        <v>54</v>
      </c>
      <c r="J261">
        <v>2</v>
      </c>
      <c r="K261" t="s">
        <v>55</v>
      </c>
      <c r="L261">
        <v>2297</v>
      </c>
      <c r="M261">
        <v>1</v>
      </c>
      <c r="N261" t="s">
        <v>41</v>
      </c>
      <c r="O261">
        <v>14</v>
      </c>
      <c r="P261">
        <v>3</v>
      </c>
      <c r="Q261">
        <v>2</v>
      </c>
      <c r="R261">
        <v>2</v>
      </c>
      <c r="S261">
        <v>2</v>
      </c>
      <c r="T261">
        <v>2</v>
      </c>
      <c r="U261">
        <v>2</v>
      </c>
      <c r="V261">
        <v>2</v>
      </c>
      <c r="W261" t="s">
        <v>38</v>
      </c>
      <c r="X261" s="1" t="d">
        <v>2019-01-13</v>
      </c>
      <c r="Z261" t="s">
        <v>63</v>
      </c>
      <c r="AA261" t="s">
        <v>46</v>
      </c>
      <c r="AB261">
        <v>5</v>
      </c>
      <c r="AC261">
        <v>2</v>
      </c>
      <c r="AD261" t="s">
        <v>41</v>
      </c>
      <c r="AE261" t="s">
        <v>62</v>
      </c>
      <c r="AF261" t="s">
        <v>57</v>
      </c>
      <c r="AG261">
        <f>IF(HR_Data[[#This Row],[Attrition]]="Yes",1,0)</f>
        <v>0</v>
      </c>
      <c r="AH261" t="str">
        <f>IF(HR_Data[Date_of_termination]="","Active","Left")</f>
        <v>Active</v>
      </c>
      <c r="AI261" t="str">
        <f>IF(HR_Data[YearsAtCompany]&lt;=2,"Fresher", IF(HR_Data[YearsAtCompany]&lt;=5,"Junior", IF(HR_Data[YearsAtCompany]&lt;=10, "Mid","Senior")))</f>
        <v>Fresher</v>
      </c>
      <c r="AJ261" s="2" t="str">
        <f>IF(HR_Data[MonthlyIncome]&lt;=300,"Low", IF(HR_Data[MonthlyIncome]&lt;=7000,"Medium", "High"))</f>
        <v>Medium</v>
      </c>
      <c r="AK261" s="2" t="str">
        <f>VLOOKUP(HR_Data[JobRole], JobRole_Map[], 2, FALSE)</f>
        <v>Sales</v>
      </c>
    </row>
    <row r="262" spans="1:37" x14ac:dyDescent="0.25">
      <c r="A262" s="2">
        <v>53</v>
      </c>
      <c r="B262" t="s">
        <v>41</v>
      </c>
      <c r="C262" t="s">
        <v>33</v>
      </c>
      <c r="D262" t="s">
        <v>34</v>
      </c>
      <c r="E262">
        <v>6</v>
      </c>
      <c r="F262" t="s">
        <v>35</v>
      </c>
      <c r="G262">
        <v>3</v>
      </c>
      <c r="H262">
        <v>2</v>
      </c>
      <c r="I262" t="s">
        <v>36</v>
      </c>
      <c r="J262">
        <v>4</v>
      </c>
      <c r="K262" t="s">
        <v>37</v>
      </c>
      <c r="L262">
        <v>2450</v>
      </c>
      <c r="M262">
        <v>2</v>
      </c>
      <c r="N262" t="s">
        <v>41</v>
      </c>
      <c r="O262">
        <v>17</v>
      </c>
      <c r="P262">
        <v>3</v>
      </c>
      <c r="Q262">
        <v>0</v>
      </c>
      <c r="R262">
        <v>19</v>
      </c>
      <c r="S262">
        <v>4</v>
      </c>
      <c r="T262">
        <v>2</v>
      </c>
      <c r="U262">
        <v>2</v>
      </c>
      <c r="V262">
        <v>2</v>
      </c>
      <c r="W262" t="s">
        <v>56</v>
      </c>
      <c r="X262" s="1" t="d">
        <v>2019-05-26</v>
      </c>
      <c r="Z262" t="s">
        <v>52</v>
      </c>
      <c r="AA262" t="s">
        <v>40</v>
      </c>
      <c r="AB262">
        <v>5</v>
      </c>
      <c r="AC262">
        <v>3</v>
      </c>
      <c r="AD262" t="s">
        <v>32</v>
      </c>
      <c r="AE262" t="s">
        <v>62</v>
      </c>
      <c r="AF262" t="s">
        <v>57</v>
      </c>
      <c r="AG262">
        <f>IF(HR_Data[[#This Row],[Attrition]]="Yes",1,0)</f>
        <v>0</v>
      </c>
      <c r="AH262" t="str">
        <f>IF(HR_Data[Date_of_termination]="","Active","Left")</f>
        <v>Active</v>
      </c>
      <c r="AI262" t="str">
        <f>IF(HR_Data[YearsAtCompany]&lt;=2,"Fresher", IF(HR_Data[YearsAtCompany]&lt;=5,"Junior", IF(HR_Data[YearsAtCompany]&lt;=10, "Mid","Senior")))</f>
        <v>Fresher</v>
      </c>
      <c r="AJ262" s="2" t="str">
        <f>IF(HR_Data[MonthlyIncome]&lt;=300,"Low", IF(HR_Data[MonthlyIncome]&lt;=7000,"Medium", "High"))</f>
        <v>Medium</v>
      </c>
      <c r="AK262" s="2" t="str">
        <f>VLOOKUP(HR_Data[JobRole], JobRole_Map[], 2, FALSE)</f>
        <v>Technical</v>
      </c>
    </row>
    <row r="263" spans="1:37" x14ac:dyDescent="0.25">
      <c r="A263" s="2">
        <v>23</v>
      </c>
      <c r="B263" t="s">
        <v>41</v>
      </c>
      <c r="C263" t="s">
        <v>33</v>
      </c>
      <c r="D263" t="s">
        <v>34</v>
      </c>
      <c r="E263">
        <v>10</v>
      </c>
      <c r="F263" t="s">
        <v>35</v>
      </c>
      <c r="G263">
        <v>4</v>
      </c>
      <c r="H263">
        <v>1</v>
      </c>
      <c r="I263" t="s">
        <v>44</v>
      </c>
      <c r="J263">
        <v>3</v>
      </c>
      <c r="K263" t="s">
        <v>37</v>
      </c>
      <c r="L263">
        <v>3505</v>
      </c>
      <c r="M263">
        <v>1</v>
      </c>
      <c r="N263" t="s">
        <v>41</v>
      </c>
      <c r="O263">
        <v>18</v>
      </c>
      <c r="P263">
        <v>3</v>
      </c>
      <c r="Q263">
        <v>0</v>
      </c>
      <c r="R263">
        <v>2</v>
      </c>
      <c r="S263">
        <v>3</v>
      </c>
      <c r="T263">
        <v>2</v>
      </c>
      <c r="U263">
        <v>0</v>
      </c>
      <c r="V263">
        <v>2</v>
      </c>
      <c r="W263" t="s">
        <v>51</v>
      </c>
      <c r="X263" s="1" t="d">
        <v>2019-04-19</v>
      </c>
      <c r="Z263" t="s">
        <v>59</v>
      </c>
      <c r="AA263" t="s">
        <v>40</v>
      </c>
      <c r="AB263">
        <v>2</v>
      </c>
      <c r="AC263">
        <v>0</v>
      </c>
      <c r="AD263" t="s">
        <v>41</v>
      </c>
      <c r="AE263" t="s">
        <v>47</v>
      </c>
      <c r="AF263" t="s">
        <v>43</v>
      </c>
      <c r="AG263">
        <f>IF(HR_Data[[#This Row],[Attrition]]="Yes",1,0)</f>
        <v>0</v>
      </c>
      <c r="AH263" t="str">
        <f>IF(HR_Data[Date_of_termination]="","Active","Left")</f>
        <v>Active</v>
      </c>
      <c r="AI263" t="str">
        <f>IF(HR_Data[YearsAtCompany]&lt;=2,"Fresher", IF(HR_Data[YearsAtCompany]&lt;=5,"Junior", IF(HR_Data[YearsAtCompany]&lt;=10, "Mid","Senior")))</f>
        <v>Fresher</v>
      </c>
      <c r="AJ263" s="2" t="str">
        <f>IF(HR_Data[MonthlyIncome]&lt;=300,"Low", IF(HR_Data[MonthlyIncome]&lt;=7000,"Medium", "High"))</f>
        <v>Medium</v>
      </c>
      <c r="AK263" s="2" t="str">
        <f>VLOOKUP(HR_Data[JobRole], JobRole_Map[], 2, FALSE)</f>
        <v>Technical</v>
      </c>
    </row>
    <row r="264" spans="1:37" x14ac:dyDescent="0.25">
      <c r="A264" s="2">
        <v>26</v>
      </c>
      <c r="B264" t="s">
        <v>41</v>
      </c>
      <c r="C264" t="s">
        <v>61</v>
      </c>
      <c r="D264" t="s">
        <v>34</v>
      </c>
      <c r="E264">
        <v>1</v>
      </c>
      <c r="F264" t="s">
        <v>58</v>
      </c>
      <c r="G264">
        <v>1</v>
      </c>
      <c r="H264">
        <v>1</v>
      </c>
      <c r="I264" t="s">
        <v>36</v>
      </c>
      <c r="J264">
        <v>4</v>
      </c>
      <c r="K264" t="s">
        <v>55</v>
      </c>
      <c r="L264">
        <v>4364</v>
      </c>
      <c r="M264">
        <v>3</v>
      </c>
      <c r="N264" t="s">
        <v>41</v>
      </c>
      <c r="O264">
        <v>14</v>
      </c>
      <c r="P264">
        <v>3</v>
      </c>
      <c r="Q264">
        <v>1</v>
      </c>
      <c r="R264">
        <v>5</v>
      </c>
      <c r="S264">
        <v>2</v>
      </c>
      <c r="T264">
        <v>2</v>
      </c>
      <c r="U264">
        <v>2</v>
      </c>
      <c r="V264">
        <v>0</v>
      </c>
      <c r="W264" t="s">
        <v>56</v>
      </c>
      <c r="X264" s="1" t="d">
        <v>2019-04-23</v>
      </c>
      <c r="Z264" t="s">
        <v>52</v>
      </c>
      <c r="AA264" t="s">
        <v>46</v>
      </c>
      <c r="AB264">
        <v>5</v>
      </c>
      <c r="AC264">
        <v>2</v>
      </c>
      <c r="AD264" t="s">
        <v>32</v>
      </c>
      <c r="AE264" t="s">
        <v>60</v>
      </c>
      <c r="AF264" t="s">
        <v>43</v>
      </c>
      <c r="AG264">
        <f>IF(HR_Data[[#This Row],[Attrition]]="Yes",1,0)</f>
        <v>0</v>
      </c>
      <c r="AH264" t="str">
        <f>IF(HR_Data[Date_of_termination]="","Active","Left")</f>
        <v>Active</v>
      </c>
      <c r="AI264" t="str">
        <f>IF(HR_Data[YearsAtCompany]&lt;=2,"Fresher", IF(HR_Data[YearsAtCompany]&lt;=5,"Junior", IF(HR_Data[YearsAtCompany]&lt;=10, "Mid","Senior")))</f>
        <v>Fresher</v>
      </c>
      <c r="AJ264" s="2" t="str">
        <f>IF(HR_Data[MonthlyIncome]&lt;=300,"Low", IF(HR_Data[MonthlyIncome]&lt;=7000,"Medium", "High"))</f>
        <v>Medium</v>
      </c>
      <c r="AK264" s="2" t="str">
        <f>VLOOKUP(HR_Data[JobRole], JobRole_Map[], 2, FALSE)</f>
        <v>Technical</v>
      </c>
    </row>
    <row r="265" spans="1:37" x14ac:dyDescent="0.25">
      <c r="A265" s="2">
        <v>30</v>
      </c>
      <c r="B265" t="s">
        <v>41</v>
      </c>
      <c r="C265" t="s">
        <v>33</v>
      </c>
      <c r="D265" t="s">
        <v>34</v>
      </c>
      <c r="E265">
        <v>1</v>
      </c>
      <c r="F265" t="s">
        <v>35</v>
      </c>
      <c r="G265">
        <v>1</v>
      </c>
      <c r="H265">
        <v>1</v>
      </c>
      <c r="I265" t="s">
        <v>36</v>
      </c>
      <c r="J265">
        <v>3</v>
      </c>
      <c r="K265" t="s">
        <v>50</v>
      </c>
      <c r="L265">
        <v>3833</v>
      </c>
      <c r="M265">
        <v>3</v>
      </c>
      <c r="N265" t="s">
        <v>41</v>
      </c>
      <c r="O265">
        <v>21</v>
      </c>
      <c r="P265">
        <v>4</v>
      </c>
      <c r="Q265">
        <v>2</v>
      </c>
      <c r="R265">
        <v>7</v>
      </c>
      <c r="S265">
        <v>2</v>
      </c>
      <c r="T265">
        <v>2</v>
      </c>
      <c r="U265">
        <v>0</v>
      </c>
      <c r="V265">
        <v>2</v>
      </c>
      <c r="W265" t="s">
        <v>65</v>
      </c>
      <c r="X265" s="1" t="d">
        <v>2019-02-27</v>
      </c>
      <c r="Z265" t="s">
        <v>63</v>
      </c>
      <c r="AA265" t="s">
        <v>40</v>
      </c>
      <c r="AB265">
        <v>0</v>
      </c>
      <c r="AC265">
        <v>2</v>
      </c>
      <c r="AD265" t="s">
        <v>32</v>
      </c>
      <c r="AE265" t="s">
        <v>47</v>
      </c>
      <c r="AF265" t="s">
        <v>57</v>
      </c>
      <c r="AG265">
        <f>IF(HR_Data[[#This Row],[Attrition]]="Yes",1,0)</f>
        <v>0</v>
      </c>
      <c r="AH265" t="str">
        <f>IF(HR_Data[Date_of_termination]="","Active","Left")</f>
        <v>Active</v>
      </c>
      <c r="AI265" t="str">
        <f>IF(HR_Data[YearsAtCompany]&lt;=2,"Fresher", IF(HR_Data[YearsAtCompany]&lt;=5,"Junior", IF(HR_Data[YearsAtCompany]&lt;=10, "Mid","Senior")))</f>
        <v>Fresher</v>
      </c>
      <c r="AJ265" s="2" t="str">
        <f>IF(HR_Data[MonthlyIncome]&lt;=300,"Low", IF(HR_Data[MonthlyIncome]&lt;=7000,"Medium", "High"))</f>
        <v>Medium</v>
      </c>
      <c r="AK265" s="2" t="str">
        <f>VLOOKUP(HR_Data[JobRole], JobRole_Map[], 2, FALSE)</f>
        <v>Technical</v>
      </c>
    </row>
    <row r="266" spans="1:37" x14ac:dyDescent="0.25">
      <c r="A266" s="2">
        <v>35</v>
      </c>
      <c r="B266" t="s">
        <v>41</v>
      </c>
      <c r="C266" t="s">
        <v>33</v>
      </c>
      <c r="D266" t="s">
        <v>34</v>
      </c>
      <c r="E266">
        <v>1</v>
      </c>
      <c r="F266" t="s">
        <v>58</v>
      </c>
      <c r="G266">
        <v>4</v>
      </c>
      <c r="H266">
        <v>1</v>
      </c>
      <c r="I266" t="s">
        <v>44</v>
      </c>
      <c r="J266">
        <v>3</v>
      </c>
      <c r="K266" t="s">
        <v>37</v>
      </c>
      <c r="L266">
        <v>2506</v>
      </c>
      <c r="M266">
        <v>3</v>
      </c>
      <c r="N266" t="s">
        <v>41</v>
      </c>
      <c r="O266">
        <v>13</v>
      </c>
      <c r="P266">
        <v>3</v>
      </c>
      <c r="Q266">
        <v>0</v>
      </c>
      <c r="R266">
        <v>7</v>
      </c>
      <c r="S266">
        <v>0</v>
      </c>
      <c r="T266">
        <v>2</v>
      </c>
      <c r="U266">
        <v>2</v>
      </c>
      <c r="V266">
        <v>2</v>
      </c>
      <c r="W266" t="s">
        <v>56</v>
      </c>
      <c r="X266" s="1" t="d">
        <v>2019-01-12</v>
      </c>
      <c r="Z266" t="s">
        <v>45</v>
      </c>
      <c r="AA266" t="s">
        <v>40</v>
      </c>
      <c r="AB266">
        <v>3</v>
      </c>
      <c r="AC266">
        <v>3</v>
      </c>
      <c r="AD266" t="s">
        <v>32</v>
      </c>
      <c r="AE266" t="s">
        <v>47</v>
      </c>
      <c r="AF266" t="s">
        <v>48</v>
      </c>
      <c r="AG266">
        <f>IF(HR_Data[[#This Row],[Attrition]]="Yes",1,0)</f>
        <v>0</v>
      </c>
      <c r="AH266" t="str">
        <f>IF(HR_Data[Date_of_termination]="","Active","Left")</f>
        <v>Active</v>
      </c>
      <c r="AI266" t="str">
        <f>IF(HR_Data[YearsAtCompany]&lt;=2,"Fresher", IF(HR_Data[YearsAtCompany]&lt;=5,"Junior", IF(HR_Data[YearsAtCompany]&lt;=10, "Mid","Senior")))</f>
        <v>Fresher</v>
      </c>
      <c r="AJ266" s="2" t="str">
        <f>IF(HR_Data[MonthlyIncome]&lt;=300,"Low", IF(HR_Data[MonthlyIncome]&lt;=7000,"Medium", "High"))</f>
        <v>Medium</v>
      </c>
      <c r="AK266" s="2" t="str">
        <f>VLOOKUP(HR_Data[JobRole], JobRole_Map[], 2, FALSE)</f>
        <v>Technical</v>
      </c>
    </row>
    <row r="267" spans="1:37" x14ac:dyDescent="0.25">
      <c r="A267" s="2">
        <v>28</v>
      </c>
      <c r="B267" t="s">
        <v>32</v>
      </c>
      <c r="C267" t="s">
        <v>33</v>
      </c>
      <c r="D267" t="s">
        <v>34</v>
      </c>
      <c r="E267">
        <v>2</v>
      </c>
      <c r="F267" t="s">
        <v>35</v>
      </c>
      <c r="G267">
        <v>3</v>
      </c>
      <c r="H267">
        <v>1</v>
      </c>
      <c r="I267" t="s">
        <v>44</v>
      </c>
      <c r="J267">
        <v>3</v>
      </c>
      <c r="K267" t="s">
        <v>37</v>
      </c>
      <c r="L267">
        <v>4382</v>
      </c>
      <c r="M267">
        <v>6</v>
      </c>
      <c r="N267" t="s">
        <v>41</v>
      </c>
      <c r="O267">
        <v>17</v>
      </c>
      <c r="P267">
        <v>3</v>
      </c>
      <c r="Q267">
        <v>0</v>
      </c>
      <c r="R267">
        <v>5</v>
      </c>
      <c r="S267">
        <v>3</v>
      </c>
      <c r="T267">
        <v>2</v>
      </c>
      <c r="U267">
        <v>2</v>
      </c>
      <c r="V267">
        <v>1</v>
      </c>
      <c r="W267" t="s">
        <v>56</v>
      </c>
      <c r="X267" s="1" t="d">
        <v>2019-06-22</v>
      </c>
      <c r="Z267" t="s">
        <v>59</v>
      </c>
      <c r="AA267" t="s">
        <v>46</v>
      </c>
      <c r="AB267">
        <v>0</v>
      </c>
      <c r="AC267">
        <v>2</v>
      </c>
      <c r="AD267" t="s">
        <v>41</v>
      </c>
      <c r="AE267" t="s">
        <v>62</v>
      </c>
      <c r="AF267" t="s">
        <v>43</v>
      </c>
      <c r="AG267">
        <f>IF(HR_Data[[#This Row],[Attrition]]="Yes",1,0)</f>
        <v>1</v>
      </c>
      <c r="AH267" t="str">
        <f>IF(HR_Data[Date_of_termination]="","Active","Left")</f>
        <v>Active</v>
      </c>
      <c r="AI267" t="str">
        <f>IF(HR_Data[YearsAtCompany]&lt;=2,"Fresher", IF(HR_Data[YearsAtCompany]&lt;=5,"Junior", IF(HR_Data[YearsAtCompany]&lt;=10, "Mid","Senior")))</f>
        <v>Fresher</v>
      </c>
      <c r="AJ267" s="2" t="str">
        <f>IF(HR_Data[MonthlyIncome]&lt;=300,"Low", IF(HR_Data[MonthlyIncome]&lt;=7000,"Medium", "High"))</f>
        <v>Medium</v>
      </c>
      <c r="AK267" s="2" t="str">
        <f>VLOOKUP(HR_Data[JobRole], JobRole_Map[], 2, FALSE)</f>
        <v>Technical</v>
      </c>
    </row>
    <row r="268" spans="1:37" x14ac:dyDescent="0.25">
      <c r="A268" s="2">
        <v>22</v>
      </c>
      <c r="B268" t="s">
        <v>41</v>
      </c>
      <c r="C268" t="s">
        <v>33</v>
      </c>
      <c r="D268" t="s">
        <v>34</v>
      </c>
      <c r="E268">
        <v>1</v>
      </c>
      <c r="F268" t="s">
        <v>35</v>
      </c>
      <c r="G268">
        <v>2</v>
      </c>
      <c r="H268">
        <v>2</v>
      </c>
      <c r="I268" t="s">
        <v>67</v>
      </c>
      <c r="J268">
        <v>4</v>
      </c>
      <c r="K268" t="s">
        <v>50</v>
      </c>
      <c r="L268">
        <v>4775</v>
      </c>
      <c r="M268">
        <v>6</v>
      </c>
      <c r="N268" t="s">
        <v>41</v>
      </c>
      <c r="O268">
        <v>22</v>
      </c>
      <c r="P268">
        <v>4</v>
      </c>
      <c r="Q268">
        <v>2</v>
      </c>
      <c r="R268">
        <v>4</v>
      </c>
      <c r="S268">
        <v>2</v>
      </c>
      <c r="T268">
        <v>2</v>
      </c>
      <c r="U268">
        <v>2</v>
      </c>
      <c r="V268">
        <v>2</v>
      </c>
      <c r="W268" t="s">
        <v>38</v>
      </c>
      <c r="X268" s="1" t="d">
        <v>2019-03-22</v>
      </c>
      <c r="Z268" t="s">
        <v>59</v>
      </c>
      <c r="AA268" t="s">
        <v>40</v>
      </c>
      <c r="AB268">
        <v>3</v>
      </c>
      <c r="AC268">
        <v>2</v>
      </c>
      <c r="AD268" t="s">
        <v>32</v>
      </c>
      <c r="AE268" t="s">
        <v>60</v>
      </c>
      <c r="AF268" t="s">
        <v>43</v>
      </c>
      <c r="AG268">
        <f>IF(HR_Data[[#This Row],[Attrition]]="Yes",1,0)</f>
        <v>0</v>
      </c>
      <c r="AH268" t="str">
        <f>IF(HR_Data[Date_of_termination]="","Active","Left")</f>
        <v>Active</v>
      </c>
      <c r="AI268" t="str">
        <f>IF(HR_Data[YearsAtCompany]&lt;=2,"Fresher", IF(HR_Data[YearsAtCompany]&lt;=5,"Junior", IF(HR_Data[YearsAtCompany]&lt;=10, "Mid","Senior")))</f>
        <v>Fresher</v>
      </c>
      <c r="AJ268" s="2" t="str">
        <f>IF(HR_Data[MonthlyIncome]&lt;=300,"Low", IF(HR_Data[MonthlyIncome]&lt;=7000,"Medium", "High"))</f>
        <v>Medium</v>
      </c>
      <c r="AK268" s="2" t="str">
        <f>VLOOKUP(HR_Data[JobRole], JobRole_Map[], 2, FALSE)</f>
        <v>Operations</v>
      </c>
    </row>
    <row r="269" spans="1:37" x14ac:dyDescent="0.25">
      <c r="A269" s="2">
        <v>42</v>
      </c>
      <c r="B269" t="s">
        <v>41</v>
      </c>
      <c r="C269" t="s">
        <v>61</v>
      </c>
      <c r="D269" t="s">
        <v>34</v>
      </c>
      <c r="E269">
        <v>2</v>
      </c>
      <c r="F269" t="s">
        <v>35</v>
      </c>
      <c r="G269">
        <v>3</v>
      </c>
      <c r="H269">
        <v>1</v>
      </c>
      <c r="I269" t="s">
        <v>44</v>
      </c>
      <c r="J269">
        <v>4</v>
      </c>
      <c r="K269" t="s">
        <v>37</v>
      </c>
      <c r="L269">
        <v>2515</v>
      </c>
      <c r="M269">
        <v>5</v>
      </c>
      <c r="N269" t="s">
        <v>32</v>
      </c>
      <c r="O269">
        <v>14</v>
      </c>
      <c r="P269">
        <v>3</v>
      </c>
      <c r="Q269">
        <v>0</v>
      </c>
      <c r="R269">
        <v>8</v>
      </c>
      <c r="S269">
        <v>2</v>
      </c>
      <c r="T269">
        <v>2</v>
      </c>
      <c r="U269">
        <v>2</v>
      </c>
      <c r="V269">
        <v>2</v>
      </c>
      <c r="W269" t="s">
        <v>65</v>
      </c>
      <c r="X269" s="1" t="d">
        <v>2019-01-12</v>
      </c>
      <c r="Z269" t="s">
        <v>39</v>
      </c>
      <c r="AA269" t="s">
        <v>46</v>
      </c>
      <c r="AB269">
        <v>1</v>
      </c>
      <c r="AC269">
        <v>3</v>
      </c>
      <c r="AD269" t="s">
        <v>41</v>
      </c>
      <c r="AE269" t="s">
        <v>47</v>
      </c>
      <c r="AF269" t="s">
        <v>43</v>
      </c>
      <c r="AG269">
        <f>IF(HR_Data[[#This Row],[Attrition]]="Yes",1,0)</f>
        <v>0</v>
      </c>
      <c r="AH269" t="str">
        <f>IF(HR_Data[Date_of_termination]="","Active","Left")</f>
        <v>Active</v>
      </c>
      <c r="AI269" t="str">
        <f>IF(HR_Data[YearsAtCompany]&lt;=2,"Fresher", IF(HR_Data[YearsAtCompany]&lt;=5,"Junior", IF(HR_Data[YearsAtCompany]&lt;=10, "Mid","Senior")))</f>
        <v>Fresher</v>
      </c>
      <c r="AJ269" s="2" t="str">
        <f>IF(HR_Data[MonthlyIncome]&lt;=300,"Low", IF(HR_Data[MonthlyIncome]&lt;=7000,"Medium", "High"))</f>
        <v>Medium</v>
      </c>
      <c r="AK269" s="2" t="str">
        <f>VLOOKUP(HR_Data[JobRole], JobRole_Map[], 2, FALSE)</f>
        <v>Technical</v>
      </c>
    </row>
    <row r="270" spans="1:37" x14ac:dyDescent="0.25">
      <c r="A270" s="2">
        <v>38</v>
      </c>
      <c r="B270" t="s">
        <v>41</v>
      </c>
      <c r="C270" t="s">
        <v>33</v>
      </c>
      <c r="D270" t="s">
        <v>53</v>
      </c>
      <c r="E270">
        <v>9</v>
      </c>
      <c r="F270" t="s">
        <v>35</v>
      </c>
      <c r="G270">
        <v>2</v>
      </c>
      <c r="H270">
        <v>1</v>
      </c>
      <c r="I270" t="s">
        <v>54</v>
      </c>
      <c r="J270">
        <v>2</v>
      </c>
      <c r="K270" t="s">
        <v>50</v>
      </c>
      <c r="L270">
        <v>2899</v>
      </c>
      <c r="M270">
        <v>0</v>
      </c>
      <c r="N270" t="s">
        <v>41</v>
      </c>
      <c r="O270">
        <v>19</v>
      </c>
      <c r="P270">
        <v>3</v>
      </c>
      <c r="Q270">
        <v>1</v>
      </c>
      <c r="R270">
        <v>3</v>
      </c>
      <c r="S270">
        <v>3</v>
      </c>
      <c r="T270">
        <v>2</v>
      </c>
      <c r="U270">
        <v>1</v>
      </c>
      <c r="V270">
        <v>2</v>
      </c>
      <c r="W270" t="s">
        <v>38</v>
      </c>
      <c r="X270" s="1" t="d">
        <v>2019-02-24</v>
      </c>
      <c r="Z270" t="s">
        <v>45</v>
      </c>
      <c r="AA270" t="s">
        <v>46</v>
      </c>
      <c r="AB270">
        <v>4</v>
      </c>
      <c r="AC270">
        <v>0</v>
      </c>
      <c r="AD270" t="s">
        <v>32</v>
      </c>
      <c r="AE270" t="s">
        <v>62</v>
      </c>
      <c r="AF270" t="s">
        <v>48</v>
      </c>
      <c r="AG270">
        <f>IF(HR_Data[[#This Row],[Attrition]]="Yes",1,0)</f>
        <v>0</v>
      </c>
      <c r="AH270" t="str">
        <f>IF(HR_Data[Date_of_termination]="","Active","Left")</f>
        <v>Active</v>
      </c>
      <c r="AI270" t="str">
        <f>IF(HR_Data[YearsAtCompany]&lt;=2,"Fresher", IF(HR_Data[YearsAtCompany]&lt;=5,"Junior", IF(HR_Data[YearsAtCompany]&lt;=10, "Mid","Senior")))</f>
        <v>Fresher</v>
      </c>
      <c r="AJ270" s="2" t="str">
        <f>IF(HR_Data[MonthlyIncome]&lt;=300,"Low", IF(HR_Data[MonthlyIncome]&lt;=7000,"Medium", "High"))</f>
        <v>Medium</v>
      </c>
      <c r="AK270" s="2" t="str">
        <f>VLOOKUP(HR_Data[JobRole], JobRole_Map[], 2, FALSE)</f>
        <v>Sales</v>
      </c>
    </row>
    <row r="271" spans="1:37" x14ac:dyDescent="0.25">
      <c r="A271" s="2">
        <v>53</v>
      </c>
      <c r="B271" t="s">
        <v>41</v>
      </c>
      <c r="C271" t="s">
        <v>33</v>
      </c>
      <c r="D271" t="s">
        <v>53</v>
      </c>
      <c r="E271">
        <v>8</v>
      </c>
      <c r="F271" t="s">
        <v>35</v>
      </c>
      <c r="G271">
        <v>3</v>
      </c>
      <c r="H271">
        <v>4</v>
      </c>
      <c r="I271" t="s">
        <v>64</v>
      </c>
      <c r="J271">
        <v>4</v>
      </c>
      <c r="K271" t="s">
        <v>50</v>
      </c>
      <c r="L271">
        <v>11836</v>
      </c>
      <c r="M271">
        <v>5</v>
      </c>
      <c r="N271" t="s">
        <v>41</v>
      </c>
      <c r="O271">
        <v>14</v>
      </c>
      <c r="P271">
        <v>3</v>
      </c>
      <c r="Q271">
        <v>1</v>
      </c>
      <c r="R271">
        <v>28</v>
      </c>
      <c r="S271">
        <v>3</v>
      </c>
      <c r="T271">
        <v>2</v>
      </c>
      <c r="U271">
        <v>2</v>
      </c>
      <c r="V271">
        <v>2</v>
      </c>
      <c r="W271" t="s">
        <v>38</v>
      </c>
      <c r="X271" s="1" t="d">
        <v>2019-03-03</v>
      </c>
      <c r="Z271" t="s">
        <v>63</v>
      </c>
      <c r="AA271" t="s">
        <v>46</v>
      </c>
      <c r="AB271">
        <v>3</v>
      </c>
      <c r="AC271">
        <v>0</v>
      </c>
      <c r="AD271" t="s">
        <v>32</v>
      </c>
      <c r="AE271" t="s">
        <v>47</v>
      </c>
      <c r="AF271" t="s">
        <v>57</v>
      </c>
      <c r="AG271">
        <f>IF(HR_Data[[#This Row],[Attrition]]="Yes",1,0)</f>
        <v>0</v>
      </c>
      <c r="AH271" t="str">
        <f>IF(HR_Data[Date_of_termination]="","Active","Left")</f>
        <v>Active</v>
      </c>
      <c r="AI271" t="str">
        <f>IF(HR_Data[YearsAtCompany]&lt;=2,"Fresher", IF(HR_Data[YearsAtCompany]&lt;=5,"Junior", IF(HR_Data[YearsAtCompany]&lt;=10, "Mid","Senior")))</f>
        <v>Fresher</v>
      </c>
      <c r="AJ271" s="2" t="str">
        <f>IF(HR_Data[MonthlyIncome]&lt;=300,"Low", IF(HR_Data[MonthlyIncome]&lt;=7000,"Medium", "High"))</f>
        <v>High</v>
      </c>
      <c r="AK271" s="2" t="str">
        <f>VLOOKUP(HR_Data[JobRole], JobRole_Map[], 2, FALSE)</f>
        <v>Sales</v>
      </c>
    </row>
    <row r="272" spans="1:37" x14ac:dyDescent="0.25">
      <c r="A272" s="2">
        <v>20</v>
      </c>
      <c r="B272" t="s">
        <v>32</v>
      </c>
      <c r="C272" t="s">
        <v>33</v>
      </c>
      <c r="D272" t="s">
        <v>53</v>
      </c>
      <c r="E272">
        <v>2</v>
      </c>
      <c r="F272" t="s">
        <v>58</v>
      </c>
      <c r="G272">
        <v>2</v>
      </c>
      <c r="H272">
        <v>1</v>
      </c>
      <c r="I272" t="s">
        <v>54</v>
      </c>
      <c r="J272">
        <v>3</v>
      </c>
      <c r="K272" t="s">
        <v>37</v>
      </c>
      <c r="L272">
        <v>2044</v>
      </c>
      <c r="M272">
        <v>1</v>
      </c>
      <c r="N272" t="s">
        <v>41</v>
      </c>
      <c r="O272">
        <v>13</v>
      </c>
      <c r="P272">
        <v>3</v>
      </c>
      <c r="Q272">
        <v>0</v>
      </c>
      <c r="R272">
        <v>2</v>
      </c>
      <c r="S272">
        <v>3</v>
      </c>
      <c r="T272">
        <v>2</v>
      </c>
      <c r="U272">
        <v>0</v>
      </c>
      <c r="V272">
        <v>2</v>
      </c>
      <c r="W272" t="s">
        <v>65</v>
      </c>
      <c r="X272" s="1" t="d">
        <v>2019-06-18</v>
      </c>
      <c r="Z272" t="s">
        <v>39</v>
      </c>
      <c r="AA272" t="s">
        <v>46</v>
      </c>
      <c r="AB272">
        <v>5</v>
      </c>
      <c r="AC272">
        <v>3</v>
      </c>
      <c r="AD272" t="s">
        <v>32</v>
      </c>
      <c r="AE272" t="s">
        <v>62</v>
      </c>
      <c r="AF272" t="s">
        <v>57</v>
      </c>
      <c r="AG272">
        <f>IF(HR_Data[[#This Row],[Attrition]]="Yes",1,0)</f>
        <v>1</v>
      </c>
      <c r="AH272" t="str">
        <f>IF(HR_Data[Date_of_termination]="","Active","Left")</f>
        <v>Active</v>
      </c>
      <c r="AI272" t="str">
        <f>IF(HR_Data[YearsAtCompany]&lt;=2,"Fresher", IF(HR_Data[YearsAtCompany]&lt;=5,"Junior", IF(HR_Data[YearsAtCompany]&lt;=10, "Mid","Senior")))</f>
        <v>Fresher</v>
      </c>
      <c r="AJ272" s="2" t="str">
        <f>IF(HR_Data[MonthlyIncome]&lt;=300,"Low", IF(HR_Data[MonthlyIncome]&lt;=7000,"Medium", "High"))</f>
        <v>Medium</v>
      </c>
      <c r="AK272" s="2" t="str">
        <f>VLOOKUP(HR_Data[JobRole], JobRole_Map[], 2, FALSE)</f>
        <v>Sales</v>
      </c>
    </row>
    <row r="273" spans="1:37" x14ac:dyDescent="0.25">
      <c r="A273" s="2">
        <v>28</v>
      </c>
      <c r="B273" t="s">
        <v>41</v>
      </c>
      <c r="C273" t="s">
        <v>33</v>
      </c>
      <c r="D273" t="s">
        <v>34</v>
      </c>
      <c r="E273">
        <v>9</v>
      </c>
      <c r="F273" t="s">
        <v>58</v>
      </c>
      <c r="G273">
        <v>3</v>
      </c>
      <c r="H273">
        <v>1</v>
      </c>
      <c r="I273" t="s">
        <v>44</v>
      </c>
      <c r="J273">
        <v>3</v>
      </c>
      <c r="K273" t="s">
        <v>55</v>
      </c>
      <c r="L273">
        <v>2377</v>
      </c>
      <c r="M273">
        <v>5</v>
      </c>
      <c r="N273" t="s">
        <v>41</v>
      </c>
      <c r="O273">
        <v>18</v>
      </c>
      <c r="P273">
        <v>3</v>
      </c>
      <c r="Q273">
        <v>1</v>
      </c>
      <c r="R273">
        <v>6</v>
      </c>
      <c r="S273">
        <v>2</v>
      </c>
      <c r="T273">
        <v>2</v>
      </c>
      <c r="U273">
        <v>2</v>
      </c>
      <c r="V273">
        <v>2</v>
      </c>
      <c r="W273" t="s">
        <v>38</v>
      </c>
      <c r="X273" s="1" t="d">
        <v>2019-04-20</v>
      </c>
      <c r="Z273" t="s">
        <v>52</v>
      </c>
      <c r="AA273" t="s">
        <v>46</v>
      </c>
      <c r="AB273">
        <v>1</v>
      </c>
      <c r="AC273">
        <v>0</v>
      </c>
      <c r="AD273" t="s">
        <v>41</v>
      </c>
      <c r="AE273" t="s">
        <v>62</v>
      </c>
      <c r="AF273" t="s">
        <v>57</v>
      </c>
      <c r="AG273">
        <f>IF(HR_Data[[#This Row],[Attrition]]="Yes",1,0)</f>
        <v>0</v>
      </c>
      <c r="AH273" t="str">
        <f>IF(HR_Data[Date_of_termination]="","Active","Left")</f>
        <v>Active</v>
      </c>
      <c r="AI273" t="str">
        <f>IF(HR_Data[YearsAtCompany]&lt;=2,"Fresher", IF(HR_Data[YearsAtCompany]&lt;=5,"Junior", IF(HR_Data[YearsAtCompany]&lt;=10, "Mid","Senior")))</f>
        <v>Fresher</v>
      </c>
      <c r="AJ273" s="2" t="str">
        <f>IF(HR_Data[MonthlyIncome]&lt;=300,"Low", IF(HR_Data[MonthlyIncome]&lt;=7000,"Medium", "High"))</f>
        <v>Medium</v>
      </c>
      <c r="AK273" s="2" t="str">
        <f>VLOOKUP(HR_Data[JobRole], JobRole_Map[], 2, FALSE)</f>
        <v>Technical</v>
      </c>
    </row>
    <row r="274" spans="1:37" x14ac:dyDescent="0.25">
      <c r="A274" s="2">
        <v>39</v>
      </c>
      <c r="B274" t="s">
        <v>32</v>
      </c>
      <c r="C274" t="s">
        <v>33</v>
      </c>
      <c r="D274" t="s">
        <v>34</v>
      </c>
      <c r="E274">
        <v>6</v>
      </c>
      <c r="F274" t="s">
        <v>35</v>
      </c>
      <c r="G274">
        <v>3</v>
      </c>
      <c r="H274">
        <v>1</v>
      </c>
      <c r="I274" t="s">
        <v>36</v>
      </c>
      <c r="J274">
        <v>1</v>
      </c>
      <c r="K274" t="s">
        <v>50</v>
      </c>
      <c r="L274">
        <v>2404</v>
      </c>
      <c r="M274">
        <v>7</v>
      </c>
      <c r="N274" t="s">
        <v>32</v>
      </c>
      <c r="O274">
        <v>21</v>
      </c>
      <c r="P274">
        <v>4</v>
      </c>
      <c r="Q274">
        <v>0</v>
      </c>
      <c r="R274">
        <v>8</v>
      </c>
      <c r="S274">
        <v>2</v>
      </c>
      <c r="T274">
        <v>2</v>
      </c>
      <c r="U274">
        <v>2</v>
      </c>
      <c r="V274">
        <v>2</v>
      </c>
      <c r="W274" t="s">
        <v>51</v>
      </c>
      <c r="X274" s="1" t="d">
        <v>2019-03-24</v>
      </c>
      <c r="Z274" t="s">
        <v>39</v>
      </c>
      <c r="AA274" t="s">
        <v>46</v>
      </c>
      <c r="AB274">
        <v>0</v>
      </c>
      <c r="AC274">
        <v>3</v>
      </c>
      <c r="AD274" t="s">
        <v>32</v>
      </c>
      <c r="AE274" t="s">
        <v>62</v>
      </c>
      <c r="AF274" t="s">
        <v>57</v>
      </c>
      <c r="AG274">
        <f>IF(HR_Data[[#This Row],[Attrition]]="Yes",1,0)</f>
        <v>1</v>
      </c>
      <c r="AH274" t="str">
        <f>IF(HR_Data[Date_of_termination]="","Active","Left")</f>
        <v>Active</v>
      </c>
      <c r="AI274" t="str">
        <f>IF(HR_Data[YearsAtCompany]&lt;=2,"Fresher", IF(HR_Data[YearsAtCompany]&lt;=5,"Junior", IF(HR_Data[YearsAtCompany]&lt;=10, "Mid","Senior")))</f>
        <v>Fresher</v>
      </c>
      <c r="AJ274" s="2" t="str">
        <f>IF(HR_Data[MonthlyIncome]&lt;=300,"Low", IF(HR_Data[MonthlyIncome]&lt;=7000,"Medium", "High"))</f>
        <v>Medium</v>
      </c>
      <c r="AK274" s="2" t="str">
        <f>VLOOKUP(HR_Data[JobRole], JobRole_Map[], 2, FALSE)</f>
        <v>Technical</v>
      </c>
    </row>
    <row r="275" spans="1:37" x14ac:dyDescent="0.25">
      <c r="A275" s="2">
        <v>27</v>
      </c>
      <c r="B275" t="s">
        <v>41</v>
      </c>
      <c r="C275" t="s">
        <v>33</v>
      </c>
      <c r="D275" t="s">
        <v>34</v>
      </c>
      <c r="E275">
        <v>16</v>
      </c>
      <c r="F275" t="s">
        <v>58</v>
      </c>
      <c r="G275">
        <v>3</v>
      </c>
      <c r="H275">
        <v>1</v>
      </c>
      <c r="I275" t="s">
        <v>36</v>
      </c>
      <c r="J275">
        <v>2</v>
      </c>
      <c r="K275" t="s">
        <v>50</v>
      </c>
      <c r="L275">
        <v>2811</v>
      </c>
      <c r="M275">
        <v>9</v>
      </c>
      <c r="N275" t="s">
        <v>41</v>
      </c>
      <c r="O275">
        <v>14</v>
      </c>
      <c r="P275">
        <v>3</v>
      </c>
      <c r="Q275">
        <v>1</v>
      </c>
      <c r="R275">
        <v>4</v>
      </c>
      <c r="S275">
        <v>2</v>
      </c>
      <c r="T275">
        <v>2</v>
      </c>
      <c r="U275">
        <v>2</v>
      </c>
      <c r="V275">
        <v>2</v>
      </c>
      <c r="W275" t="s">
        <v>38</v>
      </c>
      <c r="X275" s="1" t="d">
        <v>2019-06-24</v>
      </c>
      <c r="Z275" t="s">
        <v>63</v>
      </c>
      <c r="AA275" t="s">
        <v>46</v>
      </c>
      <c r="AB275">
        <v>5</v>
      </c>
      <c r="AC275">
        <v>2</v>
      </c>
      <c r="AD275" t="s">
        <v>32</v>
      </c>
      <c r="AE275" t="s">
        <v>60</v>
      </c>
      <c r="AF275" t="s">
        <v>48</v>
      </c>
      <c r="AG275">
        <f>IF(HR_Data[[#This Row],[Attrition]]="Yes",1,0)</f>
        <v>0</v>
      </c>
      <c r="AH275" t="str">
        <f>IF(HR_Data[Date_of_termination]="","Active","Left")</f>
        <v>Active</v>
      </c>
      <c r="AI275" t="str">
        <f>IF(HR_Data[YearsAtCompany]&lt;=2,"Fresher", IF(HR_Data[YearsAtCompany]&lt;=5,"Junior", IF(HR_Data[YearsAtCompany]&lt;=10, "Mid","Senior")))</f>
        <v>Fresher</v>
      </c>
      <c r="AJ275" s="2" t="str">
        <f>IF(HR_Data[MonthlyIncome]&lt;=300,"Low", IF(HR_Data[MonthlyIncome]&lt;=7000,"Medium", "High"))</f>
        <v>Medium</v>
      </c>
      <c r="AK275" s="2" t="str">
        <f>VLOOKUP(HR_Data[JobRole], JobRole_Map[], 2, FALSE)</f>
        <v>Technical</v>
      </c>
    </row>
    <row r="276" spans="1:37" x14ac:dyDescent="0.25">
      <c r="A276" s="2">
        <v>38</v>
      </c>
      <c r="B276" t="s">
        <v>41</v>
      </c>
      <c r="C276" t="s">
        <v>61</v>
      </c>
      <c r="D276" t="s">
        <v>34</v>
      </c>
      <c r="E276">
        <v>10</v>
      </c>
      <c r="F276" t="s">
        <v>35</v>
      </c>
      <c r="G276">
        <v>3</v>
      </c>
      <c r="H276">
        <v>1</v>
      </c>
      <c r="I276" t="s">
        <v>44</v>
      </c>
      <c r="J276">
        <v>3</v>
      </c>
      <c r="K276" t="s">
        <v>50</v>
      </c>
      <c r="L276">
        <v>2684</v>
      </c>
      <c r="M276">
        <v>0</v>
      </c>
      <c r="N276" t="s">
        <v>41</v>
      </c>
      <c r="O276">
        <v>17</v>
      </c>
      <c r="P276">
        <v>3</v>
      </c>
      <c r="Q276">
        <v>1</v>
      </c>
      <c r="R276">
        <v>3</v>
      </c>
      <c r="S276">
        <v>0</v>
      </c>
      <c r="T276">
        <v>2</v>
      </c>
      <c r="U276">
        <v>0</v>
      </c>
      <c r="V276">
        <v>2</v>
      </c>
      <c r="W276" t="s">
        <v>56</v>
      </c>
      <c r="X276" s="1" t="d">
        <v>2019-03-02</v>
      </c>
      <c r="Z276" t="s">
        <v>39</v>
      </c>
      <c r="AA276" t="s">
        <v>46</v>
      </c>
      <c r="AB276">
        <v>3</v>
      </c>
      <c r="AC276">
        <v>1</v>
      </c>
      <c r="AD276" t="s">
        <v>41</v>
      </c>
      <c r="AE276" t="s">
        <v>60</v>
      </c>
      <c r="AF276" t="s">
        <v>48</v>
      </c>
      <c r="AG276">
        <f>IF(HR_Data[[#This Row],[Attrition]]="Yes",1,0)</f>
        <v>0</v>
      </c>
      <c r="AH276" t="str">
        <f>IF(HR_Data[Date_of_termination]="","Active","Left")</f>
        <v>Active</v>
      </c>
      <c r="AI276" t="str">
        <f>IF(HR_Data[YearsAtCompany]&lt;=2,"Fresher", IF(HR_Data[YearsAtCompany]&lt;=5,"Junior", IF(HR_Data[YearsAtCompany]&lt;=10, "Mid","Senior")))</f>
        <v>Fresher</v>
      </c>
      <c r="AJ276" s="2" t="str">
        <f>IF(HR_Data[MonthlyIncome]&lt;=300,"Low", IF(HR_Data[MonthlyIncome]&lt;=7000,"Medium", "High"))</f>
        <v>Medium</v>
      </c>
      <c r="AK276" s="2" t="str">
        <f>VLOOKUP(HR_Data[JobRole], JobRole_Map[], 2, FALSE)</f>
        <v>Technical</v>
      </c>
    </row>
    <row r="277" spans="1:37" x14ac:dyDescent="0.25">
      <c r="A277" s="2">
        <v>48</v>
      </c>
      <c r="B277" t="s">
        <v>41</v>
      </c>
      <c r="C277" t="s">
        <v>33</v>
      </c>
      <c r="D277" t="s">
        <v>34</v>
      </c>
      <c r="E277">
        <v>6</v>
      </c>
      <c r="F277" t="s">
        <v>35</v>
      </c>
      <c r="G277">
        <v>2</v>
      </c>
      <c r="H277">
        <v>2</v>
      </c>
      <c r="I277" t="s">
        <v>69</v>
      </c>
      <c r="J277">
        <v>3</v>
      </c>
      <c r="K277" t="s">
        <v>37</v>
      </c>
      <c r="L277">
        <v>4240</v>
      </c>
      <c r="M277">
        <v>2</v>
      </c>
      <c r="N277" t="s">
        <v>41</v>
      </c>
      <c r="O277">
        <v>13</v>
      </c>
      <c r="P277">
        <v>3</v>
      </c>
      <c r="Q277">
        <v>0</v>
      </c>
      <c r="R277">
        <v>19</v>
      </c>
      <c r="S277">
        <v>0</v>
      </c>
      <c r="T277">
        <v>2</v>
      </c>
      <c r="U277">
        <v>2</v>
      </c>
      <c r="V277">
        <v>2</v>
      </c>
      <c r="W277" t="s">
        <v>65</v>
      </c>
      <c r="X277" s="1" t="d">
        <v>2019-06-20</v>
      </c>
      <c r="Z277" t="s">
        <v>39</v>
      </c>
      <c r="AA277" t="s">
        <v>46</v>
      </c>
      <c r="AB277">
        <v>2</v>
      </c>
      <c r="AC277">
        <v>3</v>
      </c>
      <c r="AD277" t="s">
        <v>41</v>
      </c>
      <c r="AE277" t="s">
        <v>62</v>
      </c>
      <c r="AF277" t="s">
        <v>57</v>
      </c>
      <c r="AG277">
        <f>IF(HR_Data[[#This Row],[Attrition]]="Yes",1,0)</f>
        <v>0</v>
      </c>
      <c r="AH277" t="str">
        <f>IF(HR_Data[Date_of_termination]="","Active","Left")</f>
        <v>Active</v>
      </c>
      <c r="AI277" t="str">
        <f>IF(HR_Data[YearsAtCompany]&lt;=2,"Fresher", IF(HR_Data[YearsAtCompany]&lt;=5,"Junior", IF(HR_Data[YearsAtCompany]&lt;=10, "Mid","Senior")))</f>
        <v>Fresher</v>
      </c>
      <c r="AJ277" s="2" t="str">
        <f>IF(HR_Data[MonthlyIncome]&lt;=300,"Low", IF(HR_Data[MonthlyIncome]&lt;=7000,"Medium", "High"))</f>
        <v>Medium</v>
      </c>
      <c r="AK277" s="2" t="str">
        <f>VLOOKUP(HR_Data[JobRole], JobRole_Map[], 2, FALSE)</f>
        <v>Operations</v>
      </c>
    </row>
    <row r="278" spans="1:37" x14ac:dyDescent="0.25">
      <c r="A278" s="2">
        <v>41</v>
      </c>
      <c r="B278" t="s">
        <v>41</v>
      </c>
      <c r="C278" t="s">
        <v>33</v>
      </c>
      <c r="D278" t="s">
        <v>34</v>
      </c>
      <c r="E278">
        <v>7</v>
      </c>
      <c r="F278" t="s">
        <v>58</v>
      </c>
      <c r="G278">
        <v>3</v>
      </c>
      <c r="H278">
        <v>2</v>
      </c>
      <c r="I278" t="s">
        <v>67</v>
      </c>
      <c r="J278">
        <v>3</v>
      </c>
      <c r="K278" t="s">
        <v>37</v>
      </c>
      <c r="L278">
        <v>5003</v>
      </c>
      <c r="M278">
        <v>6</v>
      </c>
      <c r="N278" t="s">
        <v>41</v>
      </c>
      <c r="O278">
        <v>14</v>
      </c>
      <c r="P278">
        <v>3</v>
      </c>
      <c r="Q278">
        <v>0</v>
      </c>
      <c r="R278">
        <v>8</v>
      </c>
      <c r="S278">
        <v>6</v>
      </c>
      <c r="T278">
        <v>2</v>
      </c>
      <c r="U278">
        <v>2</v>
      </c>
      <c r="V278">
        <v>1</v>
      </c>
      <c r="W278" t="s">
        <v>38</v>
      </c>
      <c r="X278" s="1" t="d">
        <v>2019-04-09</v>
      </c>
      <c r="Z278" t="s">
        <v>52</v>
      </c>
      <c r="AA278" t="s">
        <v>46</v>
      </c>
      <c r="AB278">
        <v>4</v>
      </c>
      <c r="AC278">
        <v>2</v>
      </c>
      <c r="AD278" t="s">
        <v>41</v>
      </c>
      <c r="AE278" t="s">
        <v>42</v>
      </c>
      <c r="AF278" t="s">
        <v>48</v>
      </c>
      <c r="AG278">
        <f>IF(HR_Data[[#This Row],[Attrition]]="Yes",1,0)</f>
        <v>0</v>
      </c>
      <c r="AH278" t="str">
        <f>IF(HR_Data[Date_of_termination]="","Active","Left")</f>
        <v>Active</v>
      </c>
      <c r="AI278" t="str">
        <f>IF(HR_Data[YearsAtCompany]&lt;=2,"Fresher", IF(HR_Data[YearsAtCompany]&lt;=5,"Junior", IF(HR_Data[YearsAtCompany]&lt;=10, "Mid","Senior")))</f>
        <v>Fresher</v>
      </c>
      <c r="AJ278" s="2" t="str">
        <f>IF(HR_Data[MonthlyIncome]&lt;=300,"Low", IF(HR_Data[MonthlyIncome]&lt;=7000,"Medium", "High"))</f>
        <v>Medium</v>
      </c>
      <c r="AK278" s="2" t="str">
        <f>VLOOKUP(HR_Data[JobRole], JobRole_Map[], 2, FALSE)</f>
        <v>Operations</v>
      </c>
    </row>
    <row r="279" spans="1:37" x14ac:dyDescent="0.25">
      <c r="A279" s="2">
        <v>26</v>
      </c>
      <c r="B279" t="s">
        <v>32</v>
      </c>
      <c r="C279" t="s">
        <v>68</v>
      </c>
      <c r="D279" t="s">
        <v>53</v>
      </c>
      <c r="E279">
        <v>29</v>
      </c>
      <c r="F279" t="s">
        <v>35</v>
      </c>
      <c r="G279">
        <v>1</v>
      </c>
      <c r="H279">
        <v>2</v>
      </c>
      <c r="I279" t="s">
        <v>64</v>
      </c>
      <c r="J279">
        <v>1</v>
      </c>
      <c r="K279" t="s">
        <v>37</v>
      </c>
      <c r="L279">
        <v>4969</v>
      </c>
      <c r="M279">
        <v>8</v>
      </c>
      <c r="N279" t="s">
        <v>41</v>
      </c>
      <c r="O279">
        <v>18</v>
      </c>
      <c r="P279">
        <v>3</v>
      </c>
      <c r="Q279">
        <v>0</v>
      </c>
      <c r="R279">
        <v>7</v>
      </c>
      <c r="S279">
        <v>6</v>
      </c>
      <c r="T279">
        <v>2</v>
      </c>
      <c r="U279">
        <v>2</v>
      </c>
      <c r="V279">
        <v>2</v>
      </c>
      <c r="W279" t="s">
        <v>38</v>
      </c>
      <c r="X279" s="1" t="d">
        <v>2019-01-11</v>
      </c>
      <c r="Z279" t="s">
        <v>52</v>
      </c>
      <c r="AA279" t="s">
        <v>40</v>
      </c>
      <c r="AB279">
        <v>5</v>
      </c>
      <c r="AC279">
        <v>0</v>
      </c>
      <c r="AD279" t="s">
        <v>32</v>
      </c>
      <c r="AE279" t="s">
        <v>60</v>
      </c>
      <c r="AF279" t="s">
        <v>43</v>
      </c>
      <c r="AG279">
        <f>IF(HR_Data[[#This Row],[Attrition]]="Yes",1,0)</f>
        <v>1</v>
      </c>
      <c r="AH279" t="str">
        <f>IF(HR_Data[Date_of_termination]="","Active","Left")</f>
        <v>Active</v>
      </c>
      <c r="AI279" t="str">
        <f>IF(HR_Data[YearsAtCompany]&lt;=2,"Fresher", IF(HR_Data[YearsAtCompany]&lt;=5,"Junior", IF(HR_Data[YearsAtCompany]&lt;=10, "Mid","Senior")))</f>
        <v>Fresher</v>
      </c>
      <c r="AJ279" s="2" t="str">
        <f>IF(HR_Data[MonthlyIncome]&lt;=300,"Low", IF(HR_Data[MonthlyIncome]&lt;=7000,"Medium", "High"))</f>
        <v>Medium</v>
      </c>
      <c r="AK279" s="2" t="str">
        <f>VLOOKUP(HR_Data[JobRole], JobRole_Map[], 2, FALSE)</f>
        <v>Sales</v>
      </c>
    </row>
    <row r="280" spans="1:37" x14ac:dyDescent="0.25">
      <c r="A280" s="2">
        <v>33</v>
      </c>
      <c r="B280" t="s">
        <v>41</v>
      </c>
      <c r="C280" t="s">
        <v>68</v>
      </c>
      <c r="D280" t="s">
        <v>53</v>
      </c>
      <c r="E280">
        <v>8</v>
      </c>
      <c r="F280" t="s">
        <v>58</v>
      </c>
      <c r="G280">
        <v>2</v>
      </c>
      <c r="H280">
        <v>1</v>
      </c>
      <c r="I280" t="s">
        <v>54</v>
      </c>
      <c r="J280">
        <v>4</v>
      </c>
      <c r="K280" t="s">
        <v>37</v>
      </c>
      <c r="L280">
        <v>2342</v>
      </c>
      <c r="M280">
        <v>0</v>
      </c>
      <c r="N280" t="s">
        <v>41</v>
      </c>
      <c r="O280">
        <v>19</v>
      </c>
      <c r="P280">
        <v>3</v>
      </c>
      <c r="Q280">
        <v>0</v>
      </c>
      <c r="R280">
        <v>3</v>
      </c>
      <c r="S280">
        <v>2</v>
      </c>
      <c r="T280">
        <v>2</v>
      </c>
      <c r="U280">
        <v>2</v>
      </c>
      <c r="V280">
        <v>2</v>
      </c>
      <c r="W280" t="s">
        <v>51</v>
      </c>
      <c r="X280" s="1" t="d">
        <v>2019-06-19</v>
      </c>
      <c r="Z280" t="s">
        <v>63</v>
      </c>
      <c r="AA280" t="s">
        <v>40</v>
      </c>
      <c r="AB280">
        <v>5</v>
      </c>
      <c r="AC280">
        <v>3</v>
      </c>
      <c r="AD280" t="s">
        <v>32</v>
      </c>
      <c r="AE280" t="s">
        <v>47</v>
      </c>
      <c r="AF280" t="s">
        <v>48</v>
      </c>
      <c r="AG280">
        <f>IF(HR_Data[[#This Row],[Attrition]]="Yes",1,0)</f>
        <v>0</v>
      </c>
      <c r="AH280" t="str">
        <f>IF(HR_Data[Date_of_termination]="","Active","Left")</f>
        <v>Active</v>
      </c>
      <c r="AI280" t="str">
        <f>IF(HR_Data[YearsAtCompany]&lt;=2,"Fresher", IF(HR_Data[YearsAtCompany]&lt;=5,"Junior", IF(HR_Data[YearsAtCompany]&lt;=10, "Mid","Senior")))</f>
        <v>Fresher</v>
      </c>
      <c r="AJ280" s="2" t="str">
        <f>IF(HR_Data[MonthlyIncome]&lt;=300,"Low", IF(HR_Data[MonthlyIncome]&lt;=7000,"Medium", "High"))</f>
        <v>Medium</v>
      </c>
      <c r="AK280" s="2" t="str">
        <f>VLOOKUP(HR_Data[JobRole], JobRole_Map[], 2, FALSE)</f>
        <v>Sales</v>
      </c>
    </row>
    <row r="281" spans="1:37" x14ac:dyDescent="0.25">
      <c r="A281" s="2">
        <v>38</v>
      </c>
      <c r="B281" t="s">
        <v>41</v>
      </c>
      <c r="C281" t="s">
        <v>61</v>
      </c>
      <c r="D281" t="s">
        <v>34</v>
      </c>
      <c r="E281">
        <v>3</v>
      </c>
      <c r="F281" t="s">
        <v>35</v>
      </c>
      <c r="G281">
        <v>3</v>
      </c>
      <c r="H281">
        <v>1</v>
      </c>
      <c r="I281" t="s">
        <v>44</v>
      </c>
      <c r="J281">
        <v>3</v>
      </c>
      <c r="K281" t="s">
        <v>50</v>
      </c>
      <c r="L281">
        <v>2821</v>
      </c>
      <c r="M281">
        <v>3</v>
      </c>
      <c r="N281" t="s">
        <v>41</v>
      </c>
      <c r="O281">
        <v>16</v>
      </c>
      <c r="P281">
        <v>3</v>
      </c>
      <c r="Q281">
        <v>1</v>
      </c>
      <c r="R281">
        <v>8</v>
      </c>
      <c r="S281">
        <v>2</v>
      </c>
      <c r="T281">
        <v>2</v>
      </c>
      <c r="U281">
        <v>2</v>
      </c>
      <c r="V281">
        <v>2</v>
      </c>
      <c r="W281" t="s">
        <v>65</v>
      </c>
      <c r="X281" s="1" t="d">
        <v>2019-03-19</v>
      </c>
      <c r="Z281" t="s">
        <v>63</v>
      </c>
      <c r="AA281" t="s">
        <v>46</v>
      </c>
      <c r="AB281">
        <v>4</v>
      </c>
      <c r="AC281">
        <v>1</v>
      </c>
      <c r="AD281" t="s">
        <v>41</v>
      </c>
      <c r="AE281" t="s">
        <v>47</v>
      </c>
      <c r="AF281" t="s">
        <v>57</v>
      </c>
      <c r="AG281">
        <f>IF(HR_Data[[#This Row],[Attrition]]="Yes",1,0)</f>
        <v>0</v>
      </c>
      <c r="AH281" t="str">
        <f>IF(HR_Data[Date_of_termination]="","Active","Left")</f>
        <v>Active</v>
      </c>
      <c r="AI281" t="str">
        <f>IF(HR_Data[YearsAtCompany]&lt;=2,"Fresher", IF(HR_Data[YearsAtCompany]&lt;=5,"Junior", IF(HR_Data[YearsAtCompany]&lt;=10, "Mid","Senior")))</f>
        <v>Fresher</v>
      </c>
      <c r="AJ281" s="2" t="str">
        <f>IF(HR_Data[MonthlyIncome]&lt;=300,"Low", IF(HR_Data[MonthlyIncome]&lt;=7000,"Medium", "High"))</f>
        <v>Medium</v>
      </c>
      <c r="AK281" s="2" t="str">
        <f>VLOOKUP(HR_Data[JobRole], JobRole_Map[], 2, FALSE)</f>
        <v>Technical</v>
      </c>
    </row>
    <row r="282" spans="1:37" x14ac:dyDescent="0.25">
      <c r="A282" s="2">
        <v>46</v>
      </c>
      <c r="B282" t="s">
        <v>41</v>
      </c>
      <c r="C282" t="s">
        <v>33</v>
      </c>
      <c r="D282" t="s">
        <v>34</v>
      </c>
      <c r="E282">
        <v>1</v>
      </c>
      <c r="F282" t="s">
        <v>35</v>
      </c>
      <c r="G282">
        <v>3</v>
      </c>
      <c r="H282">
        <v>5</v>
      </c>
      <c r="I282" t="s">
        <v>49</v>
      </c>
      <c r="J282">
        <v>4</v>
      </c>
      <c r="K282" t="s">
        <v>55</v>
      </c>
      <c r="L282">
        <v>19627</v>
      </c>
      <c r="M282">
        <v>9</v>
      </c>
      <c r="N282" t="s">
        <v>41</v>
      </c>
      <c r="O282">
        <v>17</v>
      </c>
      <c r="P282">
        <v>3</v>
      </c>
      <c r="Q282">
        <v>2</v>
      </c>
      <c r="R282">
        <v>23</v>
      </c>
      <c r="S282">
        <v>0</v>
      </c>
      <c r="T282">
        <v>2</v>
      </c>
      <c r="U282">
        <v>2</v>
      </c>
      <c r="V282">
        <v>2</v>
      </c>
      <c r="W282" t="s">
        <v>65</v>
      </c>
      <c r="X282" s="1" t="d">
        <v>2019-05-29</v>
      </c>
      <c r="Z282" t="s">
        <v>45</v>
      </c>
      <c r="AA282" t="s">
        <v>46</v>
      </c>
      <c r="AB282">
        <v>0</v>
      </c>
      <c r="AC282">
        <v>1</v>
      </c>
      <c r="AD282" t="s">
        <v>41</v>
      </c>
      <c r="AE282" t="s">
        <v>42</v>
      </c>
      <c r="AF282" t="s">
        <v>57</v>
      </c>
      <c r="AG282">
        <f>IF(HR_Data[[#This Row],[Attrition]]="Yes",1,0)</f>
        <v>0</v>
      </c>
      <c r="AH282" t="str">
        <f>IF(HR_Data[Date_of_termination]="","Active","Left")</f>
        <v>Active</v>
      </c>
      <c r="AI282" t="str">
        <f>IF(HR_Data[YearsAtCompany]&lt;=2,"Fresher", IF(HR_Data[YearsAtCompany]&lt;=5,"Junior", IF(HR_Data[YearsAtCompany]&lt;=10, "Mid","Senior")))</f>
        <v>Fresher</v>
      </c>
      <c r="AJ282" s="2" t="str">
        <f>IF(HR_Data[MonthlyIncome]&lt;=300,"Low", IF(HR_Data[MonthlyIncome]&lt;=7000,"Medium", "High"))</f>
        <v>High</v>
      </c>
      <c r="AK282" s="2" t="str">
        <f>VLOOKUP(HR_Data[JobRole], JobRole_Map[], 2, FALSE)</f>
        <v>Management</v>
      </c>
    </row>
    <row r="283" spans="1:37" x14ac:dyDescent="0.25">
      <c r="A283" s="2">
        <v>20</v>
      </c>
      <c r="B283" t="s">
        <v>32</v>
      </c>
      <c r="C283" t="s">
        <v>61</v>
      </c>
      <c r="D283" t="s">
        <v>53</v>
      </c>
      <c r="E283">
        <v>9</v>
      </c>
      <c r="F283" t="s">
        <v>58</v>
      </c>
      <c r="G283">
        <v>3</v>
      </c>
      <c r="H283">
        <v>1</v>
      </c>
      <c r="I283" t="s">
        <v>54</v>
      </c>
      <c r="J283">
        <v>4</v>
      </c>
      <c r="K283" t="s">
        <v>37</v>
      </c>
      <c r="L283">
        <v>2323</v>
      </c>
      <c r="M283">
        <v>1</v>
      </c>
      <c r="N283" t="s">
        <v>32</v>
      </c>
      <c r="O283">
        <v>14</v>
      </c>
      <c r="P283">
        <v>3</v>
      </c>
      <c r="Q283">
        <v>0</v>
      </c>
      <c r="R283">
        <v>2</v>
      </c>
      <c r="S283">
        <v>3</v>
      </c>
      <c r="T283">
        <v>2</v>
      </c>
      <c r="U283">
        <v>0</v>
      </c>
      <c r="V283">
        <v>2</v>
      </c>
      <c r="W283" t="s">
        <v>56</v>
      </c>
      <c r="X283" s="1" t="d">
        <v>2019-01-22</v>
      </c>
      <c r="Z283" t="s">
        <v>63</v>
      </c>
      <c r="AA283" t="s">
        <v>46</v>
      </c>
      <c r="AB283">
        <v>1</v>
      </c>
      <c r="AC283">
        <v>2</v>
      </c>
      <c r="AD283" t="s">
        <v>41</v>
      </c>
      <c r="AE283" t="s">
        <v>47</v>
      </c>
      <c r="AF283" t="s">
        <v>48</v>
      </c>
      <c r="AG283">
        <f>IF(HR_Data[[#This Row],[Attrition]]="Yes",1,0)</f>
        <v>1</v>
      </c>
      <c r="AH283" t="str">
        <f>IF(HR_Data[Date_of_termination]="","Active","Left")</f>
        <v>Active</v>
      </c>
      <c r="AI283" t="str">
        <f>IF(HR_Data[YearsAtCompany]&lt;=2,"Fresher", IF(HR_Data[YearsAtCompany]&lt;=5,"Junior", IF(HR_Data[YearsAtCompany]&lt;=10, "Mid","Senior")))</f>
        <v>Fresher</v>
      </c>
      <c r="AJ283" s="2" t="str">
        <f>IF(HR_Data[MonthlyIncome]&lt;=300,"Low", IF(HR_Data[MonthlyIncome]&lt;=7000,"Medium", "High"))</f>
        <v>Medium</v>
      </c>
      <c r="AK283" s="2" t="str">
        <f>VLOOKUP(HR_Data[JobRole], JobRole_Map[], 2, FALSE)</f>
        <v>Sales</v>
      </c>
    </row>
    <row r="284" spans="1:37" x14ac:dyDescent="0.25">
      <c r="A284" s="2">
        <v>33</v>
      </c>
      <c r="B284" t="s">
        <v>32</v>
      </c>
      <c r="C284" t="s">
        <v>33</v>
      </c>
      <c r="D284" t="s">
        <v>34</v>
      </c>
      <c r="E284">
        <v>25</v>
      </c>
      <c r="F284" t="s">
        <v>35</v>
      </c>
      <c r="G284">
        <v>2</v>
      </c>
      <c r="H284">
        <v>1</v>
      </c>
      <c r="I284" t="s">
        <v>44</v>
      </c>
      <c r="J284">
        <v>2</v>
      </c>
      <c r="K284" t="s">
        <v>37</v>
      </c>
      <c r="L284">
        <v>2313</v>
      </c>
      <c r="M284">
        <v>4</v>
      </c>
      <c r="N284" t="s">
        <v>32</v>
      </c>
      <c r="O284">
        <v>20</v>
      </c>
      <c r="P284">
        <v>4</v>
      </c>
      <c r="Q284">
        <v>0</v>
      </c>
      <c r="R284">
        <v>5</v>
      </c>
      <c r="S284">
        <v>0</v>
      </c>
      <c r="T284">
        <v>2</v>
      </c>
      <c r="U284">
        <v>2</v>
      </c>
      <c r="V284">
        <v>2</v>
      </c>
      <c r="W284" t="s">
        <v>38</v>
      </c>
      <c r="X284" s="1" t="d">
        <v>2019-01-05</v>
      </c>
      <c r="Z284" t="s">
        <v>52</v>
      </c>
      <c r="AA284" t="s">
        <v>46</v>
      </c>
      <c r="AB284">
        <v>2</v>
      </c>
      <c r="AC284">
        <v>1</v>
      </c>
      <c r="AD284" t="s">
        <v>41</v>
      </c>
      <c r="AE284" t="s">
        <v>42</v>
      </c>
      <c r="AF284" t="s">
        <v>43</v>
      </c>
      <c r="AG284">
        <f>IF(HR_Data[[#This Row],[Attrition]]="Yes",1,0)</f>
        <v>1</v>
      </c>
      <c r="AH284" t="str">
        <f>IF(HR_Data[Date_of_termination]="","Active","Left")</f>
        <v>Active</v>
      </c>
      <c r="AI284" t="str">
        <f>IF(HR_Data[YearsAtCompany]&lt;=2,"Fresher", IF(HR_Data[YearsAtCompany]&lt;=5,"Junior", IF(HR_Data[YearsAtCompany]&lt;=10, "Mid","Senior")))</f>
        <v>Fresher</v>
      </c>
      <c r="AJ284" s="2" t="str">
        <f>IF(HR_Data[MonthlyIncome]&lt;=300,"Low", IF(HR_Data[MonthlyIncome]&lt;=7000,"Medium", "High"))</f>
        <v>Medium</v>
      </c>
      <c r="AK284" s="2" t="str">
        <f>VLOOKUP(HR_Data[JobRole], JobRole_Map[], 2, FALSE)</f>
        <v>Technical</v>
      </c>
    </row>
    <row r="285" spans="1:37" x14ac:dyDescent="0.25">
      <c r="A285" s="2">
        <v>21</v>
      </c>
      <c r="B285" t="s">
        <v>41</v>
      </c>
      <c r="C285" t="s">
        <v>33</v>
      </c>
      <c r="D285" t="s">
        <v>34</v>
      </c>
      <c r="E285">
        <v>1</v>
      </c>
      <c r="F285" t="s">
        <v>58</v>
      </c>
      <c r="G285">
        <v>2</v>
      </c>
      <c r="H285">
        <v>1</v>
      </c>
      <c r="I285" t="s">
        <v>44</v>
      </c>
      <c r="J285">
        <v>2</v>
      </c>
      <c r="K285" t="s">
        <v>37</v>
      </c>
      <c r="L285">
        <v>2070</v>
      </c>
      <c r="M285">
        <v>1</v>
      </c>
      <c r="N285" t="s">
        <v>32</v>
      </c>
      <c r="O285">
        <v>11</v>
      </c>
      <c r="P285">
        <v>3</v>
      </c>
      <c r="Q285">
        <v>0</v>
      </c>
      <c r="R285">
        <v>2</v>
      </c>
      <c r="S285">
        <v>6</v>
      </c>
      <c r="T285">
        <v>2</v>
      </c>
      <c r="U285">
        <v>2</v>
      </c>
      <c r="V285">
        <v>2</v>
      </c>
      <c r="W285" t="s">
        <v>65</v>
      </c>
      <c r="X285" s="1" t="d">
        <v>2019-05-06</v>
      </c>
      <c r="Z285" t="s">
        <v>39</v>
      </c>
      <c r="AA285" t="s">
        <v>46</v>
      </c>
      <c r="AB285">
        <v>4</v>
      </c>
      <c r="AC285">
        <v>2</v>
      </c>
      <c r="AD285" t="s">
        <v>32</v>
      </c>
      <c r="AE285" t="s">
        <v>47</v>
      </c>
      <c r="AF285" t="s">
        <v>43</v>
      </c>
      <c r="AG285">
        <f>IF(HR_Data[[#This Row],[Attrition]]="Yes",1,0)</f>
        <v>0</v>
      </c>
      <c r="AH285" t="str">
        <f>IF(HR_Data[Date_of_termination]="","Active","Left")</f>
        <v>Active</v>
      </c>
      <c r="AI285" t="str">
        <f>IF(HR_Data[YearsAtCompany]&lt;=2,"Fresher", IF(HR_Data[YearsAtCompany]&lt;=5,"Junior", IF(HR_Data[YearsAtCompany]&lt;=10, "Mid","Senior")))</f>
        <v>Fresher</v>
      </c>
      <c r="AJ285" s="2" t="str">
        <f>IF(HR_Data[MonthlyIncome]&lt;=300,"Low", IF(HR_Data[MonthlyIncome]&lt;=7000,"Medium", "High"))</f>
        <v>Medium</v>
      </c>
      <c r="AK285" s="2" t="str">
        <f>VLOOKUP(HR_Data[JobRole], JobRole_Map[], 2, FALSE)</f>
        <v>Technical</v>
      </c>
    </row>
    <row r="286" spans="1:37" x14ac:dyDescent="0.25">
      <c r="A286" s="2">
        <v>31</v>
      </c>
      <c r="B286" t="s">
        <v>41</v>
      </c>
      <c r="C286" t="s">
        <v>61</v>
      </c>
      <c r="D286" t="s">
        <v>53</v>
      </c>
      <c r="E286">
        <v>20</v>
      </c>
      <c r="F286" t="s">
        <v>35</v>
      </c>
      <c r="G286">
        <v>4</v>
      </c>
      <c r="H286">
        <v>1</v>
      </c>
      <c r="I286" t="s">
        <v>54</v>
      </c>
      <c r="J286">
        <v>4</v>
      </c>
      <c r="K286" t="s">
        <v>50</v>
      </c>
      <c r="L286">
        <v>2791</v>
      </c>
      <c r="M286">
        <v>0</v>
      </c>
      <c r="N286" t="s">
        <v>41</v>
      </c>
      <c r="O286">
        <v>12</v>
      </c>
      <c r="P286">
        <v>3</v>
      </c>
      <c r="Q286">
        <v>1</v>
      </c>
      <c r="R286">
        <v>3</v>
      </c>
      <c r="S286">
        <v>4</v>
      </c>
      <c r="T286">
        <v>2</v>
      </c>
      <c r="U286">
        <v>2</v>
      </c>
      <c r="V286">
        <v>2</v>
      </c>
      <c r="W286" t="s">
        <v>65</v>
      </c>
      <c r="X286" s="1" t="d">
        <v>2019-02-21</v>
      </c>
      <c r="Z286" t="s">
        <v>45</v>
      </c>
      <c r="AA286" t="s">
        <v>46</v>
      </c>
      <c r="AB286">
        <v>5</v>
      </c>
      <c r="AC286">
        <v>2</v>
      </c>
      <c r="AD286" t="s">
        <v>41</v>
      </c>
      <c r="AE286" t="s">
        <v>42</v>
      </c>
      <c r="AF286" t="s">
        <v>57</v>
      </c>
      <c r="AG286">
        <f>IF(HR_Data[[#This Row],[Attrition]]="Yes",1,0)</f>
        <v>0</v>
      </c>
      <c r="AH286" t="str">
        <f>IF(HR_Data[Date_of_termination]="","Active","Left")</f>
        <v>Active</v>
      </c>
      <c r="AI286" t="str">
        <f>IF(HR_Data[YearsAtCompany]&lt;=2,"Fresher", IF(HR_Data[YearsAtCompany]&lt;=5,"Junior", IF(HR_Data[YearsAtCompany]&lt;=10, "Mid","Senior")))</f>
        <v>Fresher</v>
      </c>
      <c r="AJ286" s="2" t="str">
        <f>IF(HR_Data[MonthlyIncome]&lt;=300,"Low", IF(HR_Data[MonthlyIncome]&lt;=7000,"Medium", "High"))</f>
        <v>Medium</v>
      </c>
      <c r="AK286" s="2" t="str">
        <f>VLOOKUP(HR_Data[JobRole], JobRole_Map[], 2, FALSE)</f>
        <v>Sales</v>
      </c>
    </row>
    <row r="287" spans="1:37" x14ac:dyDescent="0.25">
      <c r="A287" s="2">
        <v>31</v>
      </c>
      <c r="B287" t="s">
        <v>32</v>
      </c>
      <c r="C287" t="s">
        <v>61</v>
      </c>
      <c r="D287" t="s">
        <v>34</v>
      </c>
      <c r="E287">
        <v>15</v>
      </c>
      <c r="F287" t="s">
        <v>35</v>
      </c>
      <c r="G287">
        <v>3</v>
      </c>
      <c r="H287">
        <v>1</v>
      </c>
      <c r="I287" t="s">
        <v>36</v>
      </c>
      <c r="J287">
        <v>3</v>
      </c>
      <c r="K287" t="s">
        <v>50</v>
      </c>
      <c r="L287">
        <v>2610</v>
      </c>
      <c r="M287">
        <v>1</v>
      </c>
      <c r="N287" t="s">
        <v>41</v>
      </c>
      <c r="O287">
        <v>12</v>
      </c>
      <c r="P287">
        <v>3</v>
      </c>
      <c r="Q287">
        <v>1</v>
      </c>
      <c r="R287">
        <v>2</v>
      </c>
      <c r="S287">
        <v>5</v>
      </c>
      <c r="T287">
        <v>2</v>
      </c>
      <c r="U287">
        <v>2</v>
      </c>
      <c r="V287">
        <v>2</v>
      </c>
      <c r="W287" t="s">
        <v>38</v>
      </c>
      <c r="X287" s="1" t="d">
        <v>2019-05-13</v>
      </c>
      <c r="Z287" t="s">
        <v>52</v>
      </c>
      <c r="AA287" t="s">
        <v>46</v>
      </c>
      <c r="AB287">
        <v>3</v>
      </c>
      <c r="AC287">
        <v>3</v>
      </c>
      <c r="AD287" t="s">
        <v>41</v>
      </c>
      <c r="AE287" t="s">
        <v>60</v>
      </c>
      <c r="AF287" t="s">
        <v>57</v>
      </c>
      <c r="AG287">
        <f>IF(HR_Data[[#This Row],[Attrition]]="Yes",1,0)</f>
        <v>1</v>
      </c>
      <c r="AH287" t="str">
        <f>IF(HR_Data[Date_of_termination]="","Active","Left")</f>
        <v>Active</v>
      </c>
      <c r="AI287" t="str">
        <f>IF(HR_Data[YearsAtCompany]&lt;=2,"Fresher", IF(HR_Data[YearsAtCompany]&lt;=5,"Junior", IF(HR_Data[YearsAtCompany]&lt;=10, "Mid","Senior")))</f>
        <v>Fresher</v>
      </c>
      <c r="AJ287" s="2" t="str">
        <f>IF(HR_Data[MonthlyIncome]&lt;=300,"Low", IF(HR_Data[MonthlyIncome]&lt;=7000,"Medium", "High"))</f>
        <v>Medium</v>
      </c>
      <c r="AK287" s="2" t="str">
        <f>VLOOKUP(HR_Data[JobRole], JobRole_Map[], 2, FALSE)</f>
        <v>Technical</v>
      </c>
    </row>
    <row r="288" spans="1:37" x14ac:dyDescent="0.25">
      <c r="A288" s="2">
        <v>35</v>
      </c>
      <c r="B288" t="s">
        <v>41</v>
      </c>
      <c r="C288" t="s">
        <v>61</v>
      </c>
      <c r="D288" t="s">
        <v>34</v>
      </c>
      <c r="E288">
        <v>4</v>
      </c>
      <c r="F288" t="s">
        <v>35</v>
      </c>
      <c r="G288">
        <v>2</v>
      </c>
      <c r="H288">
        <v>1</v>
      </c>
      <c r="I288" t="s">
        <v>36</v>
      </c>
      <c r="J288">
        <v>4</v>
      </c>
      <c r="K288" t="s">
        <v>50</v>
      </c>
      <c r="L288">
        <v>2376</v>
      </c>
      <c r="M288">
        <v>1</v>
      </c>
      <c r="N288" t="s">
        <v>41</v>
      </c>
      <c r="O288">
        <v>13</v>
      </c>
      <c r="P288">
        <v>3</v>
      </c>
      <c r="Q288">
        <v>1</v>
      </c>
      <c r="R288">
        <v>2</v>
      </c>
      <c r="S288">
        <v>2</v>
      </c>
      <c r="T288">
        <v>2</v>
      </c>
      <c r="U288">
        <v>2</v>
      </c>
      <c r="V288">
        <v>2</v>
      </c>
      <c r="W288" t="s">
        <v>65</v>
      </c>
      <c r="X288" s="1" t="d">
        <v>2019-03-11</v>
      </c>
      <c r="Z288" t="s">
        <v>52</v>
      </c>
      <c r="AA288" t="s">
        <v>46</v>
      </c>
      <c r="AB288">
        <v>5</v>
      </c>
      <c r="AC288">
        <v>2</v>
      </c>
      <c r="AD288" t="s">
        <v>41</v>
      </c>
      <c r="AE288" t="s">
        <v>47</v>
      </c>
      <c r="AF288" t="s">
        <v>57</v>
      </c>
      <c r="AG288">
        <f>IF(HR_Data[[#This Row],[Attrition]]="Yes",1,0)</f>
        <v>0</v>
      </c>
      <c r="AH288" t="str">
        <f>IF(HR_Data[Date_of_termination]="","Active","Left")</f>
        <v>Active</v>
      </c>
      <c r="AI288" t="str">
        <f>IF(HR_Data[YearsAtCompany]&lt;=2,"Fresher", IF(HR_Data[YearsAtCompany]&lt;=5,"Junior", IF(HR_Data[YearsAtCompany]&lt;=10, "Mid","Senior")))</f>
        <v>Fresher</v>
      </c>
      <c r="AJ288" s="2" t="str">
        <f>IF(HR_Data[MonthlyIncome]&lt;=300,"Low", IF(HR_Data[MonthlyIncome]&lt;=7000,"Medium", "High"))</f>
        <v>Medium</v>
      </c>
      <c r="AK288" s="2" t="str">
        <f>VLOOKUP(HR_Data[JobRole], JobRole_Map[], 2, FALSE)</f>
        <v>Technical</v>
      </c>
    </row>
    <row r="289" spans="1:37" x14ac:dyDescent="0.25">
      <c r="A289" s="2">
        <v>20</v>
      </c>
      <c r="B289" t="s">
        <v>41</v>
      </c>
      <c r="C289" t="s">
        <v>33</v>
      </c>
      <c r="D289" t="s">
        <v>34</v>
      </c>
      <c r="E289">
        <v>3</v>
      </c>
      <c r="F289" t="s">
        <v>35</v>
      </c>
      <c r="G289">
        <v>2</v>
      </c>
      <c r="H289">
        <v>1</v>
      </c>
      <c r="I289" t="s">
        <v>36</v>
      </c>
      <c r="J289">
        <v>3</v>
      </c>
      <c r="K289" t="s">
        <v>37</v>
      </c>
      <c r="L289">
        <v>3033</v>
      </c>
      <c r="M289">
        <v>1</v>
      </c>
      <c r="N289" t="s">
        <v>41</v>
      </c>
      <c r="O289">
        <v>12</v>
      </c>
      <c r="P289">
        <v>3</v>
      </c>
      <c r="Q289">
        <v>0</v>
      </c>
      <c r="R289">
        <v>2</v>
      </c>
      <c r="S289">
        <v>2</v>
      </c>
      <c r="T289">
        <v>2</v>
      </c>
      <c r="U289">
        <v>1</v>
      </c>
      <c r="V289">
        <v>2</v>
      </c>
      <c r="W289" t="s">
        <v>38</v>
      </c>
      <c r="X289" s="1" t="d">
        <v>2019-03-31</v>
      </c>
      <c r="Z289" t="s">
        <v>39</v>
      </c>
      <c r="AA289" t="s">
        <v>46</v>
      </c>
      <c r="AB289">
        <v>1</v>
      </c>
      <c r="AC289">
        <v>0</v>
      </c>
      <c r="AD289" t="s">
        <v>41</v>
      </c>
      <c r="AE289" t="s">
        <v>62</v>
      </c>
      <c r="AF289" t="s">
        <v>43</v>
      </c>
      <c r="AG289">
        <f>IF(HR_Data[[#This Row],[Attrition]]="Yes",1,0)</f>
        <v>0</v>
      </c>
      <c r="AH289" t="str">
        <f>IF(HR_Data[Date_of_termination]="","Active","Left")</f>
        <v>Active</v>
      </c>
      <c r="AI289" t="str">
        <f>IF(HR_Data[YearsAtCompany]&lt;=2,"Fresher", IF(HR_Data[YearsAtCompany]&lt;=5,"Junior", IF(HR_Data[YearsAtCompany]&lt;=10, "Mid","Senior")))</f>
        <v>Fresher</v>
      </c>
      <c r="AJ289" s="2" t="str">
        <f>IF(HR_Data[MonthlyIncome]&lt;=300,"Low", IF(HR_Data[MonthlyIncome]&lt;=7000,"Medium", "High"))</f>
        <v>Medium</v>
      </c>
      <c r="AK289" s="2" t="str">
        <f>VLOOKUP(HR_Data[JobRole], JobRole_Map[], 2, FALSE)</f>
        <v>Technical</v>
      </c>
    </row>
    <row r="290" spans="1:37" x14ac:dyDescent="0.25">
      <c r="A290" s="2">
        <v>50</v>
      </c>
      <c r="B290" t="s">
        <v>41</v>
      </c>
      <c r="C290" t="s">
        <v>61</v>
      </c>
      <c r="D290" t="s">
        <v>34</v>
      </c>
      <c r="E290">
        <v>2</v>
      </c>
      <c r="F290" t="s">
        <v>58</v>
      </c>
      <c r="G290">
        <v>3</v>
      </c>
      <c r="H290">
        <v>4</v>
      </c>
      <c r="I290" t="s">
        <v>66</v>
      </c>
      <c r="J290">
        <v>1</v>
      </c>
      <c r="K290" t="s">
        <v>50</v>
      </c>
      <c r="L290">
        <v>17856</v>
      </c>
      <c r="M290">
        <v>2</v>
      </c>
      <c r="N290" t="s">
        <v>41</v>
      </c>
      <c r="O290">
        <v>22</v>
      </c>
      <c r="P290">
        <v>4</v>
      </c>
      <c r="Q290">
        <v>1</v>
      </c>
      <c r="R290">
        <v>32</v>
      </c>
      <c r="S290">
        <v>3</v>
      </c>
      <c r="T290">
        <v>2</v>
      </c>
      <c r="U290">
        <v>2</v>
      </c>
      <c r="V290">
        <v>2</v>
      </c>
      <c r="W290" t="s">
        <v>56</v>
      </c>
      <c r="X290" s="1" t="d">
        <v>2019-06-18</v>
      </c>
      <c r="Z290" t="s">
        <v>39</v>
      </c>
      <c r="AA290" t="s">
        <v>46</v>
      </c>
      <c r="AB290">
        <v>4</v>
      </c>
      <c r="AC290">
        <v>0</v>
      </c>
      <c r="AD290" t="s">
        <v>41</v>
      </c>
      <c r="AE290" t="s">
        <v>60</v>
      </c>
      <c r="AF290" t="s">
        <v>48</v>
      </c>
      <c r="AG290">
        <f>IF(HR_Data[[#This Row],[Attrition]]="Yes",1,0)</f>
        <v>0</v>
      </c>
      <c r="AH290" t="str">
        <f>IF(HR_Data[Date_of_termination]="","Active","Left")</f>
        <v>Active</v>
      </c>
      <c r="AI290" t="str">
        <f>IF(HR_Data[YearsAtCompany]&lt;=2,"Fresher", IF(HR_Data[YearsAtCompany]&lt;=5,"Junior", IF(HR_Data[YearsAtCompany]&lt;=10, "Mid","Senior")))</f>
        <v>Fresher</v>
      </c>
      <c r="AJ290" s="2" t="str">
        <f>IF(HR_Data[MonthlyIncome]&lt;=300,"Low", IF(HR_Data[MonthlyIncome]&lt;=7000,"Medium", "High"))</f>
        <v>High</v>
      </c>
      <c r="AK290" s="2" t="str">
        <f>VLOOKUP(HR_Data[JobRole], JobRole_Map[], 2, FALSE)</f>
        <v>Management</v>
      </c>
    </row>
    <row r="291" spans="1:37" x14ac:dyDescent="0.25">
      <c r="A291" s="2">
        <v>20</v>
      </c>
      <c r="B291" t="s">
        <v>41</v>
      </c>
      <c r="C291" t="s">
        <v>33</v>
      </c>
      <c r="D291" t="s">
        <v>53</v>
      </c>
      <c r="E291">
        <v>21</v>
      </c>
      <c r="F291" t="s">
        <v>35</v>
      </c>
      <c r="G291">
        <v>4</v>
      </c>
      <c r="H291">
        <v>1</v>
      </c>
      <c r="I291" t="s">
        <v>54</v>
      </c>
      <c r="J291">
        <v>4</v>
      </c>
      <c r="K291" t="s">
        <v>37</v>
      </c>
      <c r="L291">
        <v>2678</v>
      </c>
      <c r="M291">
        <v>1</v>
      </c>
      <c r="N291" t="s">
        <v>41</v>
      </c>
      <c r="O291">
        <v>17</v>
      </c>
      <c r="P291">
        <v>3</v>
      </c>
      <c r="Q291">
        <v>0</v>
      </c>
      <c r="R291">
        <v>2</v>
      </c>
      <c r="S291">
        <v>2</v>
      </c>
      <c r="T291">
        <v>2</v>
      </c>
      <c r="U291">
        <v>2</v>
      </c>
      <c r="V291">
        <v>2</v>
      </c>
      <c r="W291" t="s">
        <v>38</v>
      </c>
      <c r="X291" s="1" t="d">
        <v>2019-02-12</v>
      </c>
      <c r="Z291" t="s">
        <v>39</v>
      </c>
      <c r="AA291" t="s">
        <v>46</v>
      </c>
      <c r="AB291">
        <v>1</v>
      </c>
      <c r="AC291">
        <v>1</v>
      </c>
      <c r="AD291" t="s">
        <v>32</v>
      </c>
      <c r="AE291" t="s">
        <v>47</v>
      </c>
      <c r="AF291" t="s">
        <v>43</v>
      </c>
      <c r="AG291">
        <f>IF(HR_Data[[#This Row],[Attrition]]="Yes",1,0)</f>
        <v>0</v>
      </c>
      <c r="AH291" t="str">
        <f>IF(HR_Data[Date_of_termination]="","Active","Left")</f>
        <v>Active</v>
      </c>
      <c r="AI291" t="str">
        <f>IF(HR_Data[YearsAtCompany]&lt;=2,"Fresher", IF(HR_Data[YearsAtCompany]&lt;=5,"Junior", IF(HR_Data[YearsAtCompany]&lt;=10, "Mid","Senior")))</f>
        <v>Fresher</v>
      </c>
      <c r="AJ291" s="2" t="str">
        <f>IF(HR_Data[MonthlyIncome]&lt;=300,"Low", IF(HR_Data[MonthlyIncome]&lt;=7000,"Medium", "High"))</f>
        <v>Medium</v>
      </c>
      <c r="AK291" s="2" t="str">
        <f>VLOOKUP(HR_Data[JobRole], JobRole_Map[], 2, FALSE)</f>
        <v>Sales</v>
      </c>
    </row>
    <row r="292" spans="1:37" x14ac:dyDescent="0.25">
      <c r="A292" s="2">
        <v>32</v>
      </c>
      <c r="B292" t="s">
        <v>41</v>
      </c>
      <c r="C292" t="s">
        <v>61</v>
      </c>
      <c r="D292" t="s">
        <v>34</v>
      </c>
      <c r="E292">
        <v>13</v>
      </c>
      <c r="F292" t="s">
        <v>58</v>
      </c>
      <c r="G292">
        <v>2</v>
      </c>
      <c r="H292">
        <v>1</v>
      </c>
      <c r="I292" t="s">
        <v>36</v>
      </c>
      <c r="J292">
        <v>2</v>
      </c>
      <c r="K292" t="s">
        <v>50</v>
      </c>
      <c r="L292">
        <v>2743</v>
      </c>
      <c r="M292">
        <v>1</v>
      </c>
      <c r="N292" t="s">
        <v>41</v>
      </c>
      <c r="O292">
        <v>20</v>
      </c>
      <c r="P292">
        <v>4</v>
      </c>
      <c r="Q292">
        <v>1</v>
      </c>
      <c r="R292">
        <v>2</v>
      </c>
      <c r="S292">
        <v>2</v>
      </c>
      <c r="T292">
        <v>2</v>
      </c>
      <c r="U292">
        <v>2</v>
      </c>
      <c r="V292">
        <v>2</v>
      </c>
      <c r="W292" t="s">
        <v>56</v>
      </c>
      <c r="X292" s="1" t="d">
        <v>2019-01-12</v>
      </c>
      <c r="Z292" t="s">
        <v>45</v>
      </c>
      <c r="AA292" t="s">
        <v>46</v>
      </c>
      <c r="AB292">
        <v>4</v>
      </c>
      <c r="AC292">
        <v>3</v>
      </c>
      <c r="AD292" t="s">
        <v>41</v>
      </c>
      <c r="AE292" t="s">
        <v>47</v>
      </c>
      <c r="AF292" t="s">
        <v>57</v>
      </c>
      <c r="AG292">
        <f>IF(HR_Data[[#This Row],[Attrition]]="Yes",1,0)</f>
        <v>0</v>
      </c>
      <c r="AH292" t="str">
        <f>IF(HR_Data[Date_of_termination]="","Active","Left")</f>
        <v>Active</v>
      </c>
      <c r="AI292" t="str">
        <f>IF(HR_Data[YearsAtCompany]&lt;=2,"Fresher", IF(HR_Data[YearsAtCompany]&lt;=5,"Junior", IF(HR_Data[YearsAtCompany]&lt;=10, "Mid","Senior")))</f>
        <v>Fresher</v>
      </c>
      <c r="AJ292" s="2" t="str">
        <f>IF(HR_Data[MonthlyIncome]&lt;=300,"Low", IF(HR_Data[MonthlyIncome]&lt;=7000,"Medium", "High"))</f>
        <v>Medium</v>
      </c>
      <c r="AK292" s="2" t="str">
        <f>VLOOKUP(HR_Data[JobRole], JobRole_Map[], 2, FALSE)</f>
        <v>Technical</v>
      </c>
    </row>
    <row r="293" spans="1:37" x14ac:dyDescent="0.25">
      <c r="A293" s="2">
        <v>21</v>
      </c>
      <c r="B293" t="s">
        <v>32</v>
      </c>
      <c r="C293" t="s">
        <v>61</v>
      </c>
      <c r="D293" t="s">
        <v>34</v>
      </c>
      <c r="E293">
        <v>10</v>
      </c>
      <c r="F293" t="s">
        <v>58</v>
      </c>
      <c r="G293">
        <v>2</v>
      </c>
      <c r="H293">
        <v>1</v>
      </c>
      <c r="I293" t="s">
        <v>36</v>
      </c>
      <c r="J293">
        <v>3</v>
      </c>
      <c r="K293" t="s">
        <v>37</v>
      </c>
      <c r="L293">
        <v>2625</v>
      </c>
      <c r="M293">
        <v>1</v>
      </c>
      <c r="N293" t="s">
        <v>41</v>
      </c>
      <c r="O293">
        <v>20</v>
      </c>
      <c r="P293">
        <v>4</v>
      </c>
      <c r="Q293">
        <v>0</v>
      </c>
      <c r="R293">
        <v>2</v>
      </c>
      <c r="S293">
        <v>2</v>
      </c>
      <c r="T293">
        <v>2</v>
      </c>
      <c r="U293">
        <v>2</v>
      </c>
      <c r="V293">
        <v>2</v>
      </c>
      <c r="W293" t="s">
        <v>56</v>
      </c>
      <c r="X293" s="1" t="d">
        <v>2019-04-12</v>
      </c>
      <c r="Z293" t="s">
        <v>59</v>
      </c>
      <c r="AA293" t="s">
        <v>40</v>
      </c>
      <c r="AB293">
        <v>1</v>
      </c>
      <c r="AC293">
        <v>0</v>
      </c>
      <c r="AD293" t="s">
        <v>41</v>
      </c>
      <c r="AE293" t="s">
        <v>62</v>
      </c>
      <c r="AF293" t="s">
        <v>57</v>
      </c>
      <c r="AG293">
        <f>IF(HR_Data[[#This Row],[Attrition]]="Yes",1,0)</f>
        <v>1</v>
      </c>
      <c r="AH293" t="str">
        <f>IF(HR_Data[Date_of_termination]="","Active","Left")</f>
        <v>Active</v>
      </c>
      <c r="AI293" t="str">
        <f>IF(HR_Data[YearsAtCompany]&lt;=2,"Fresher", IF(HR_Data[YearsAtCompany]&lt;=5,"Junior", IF(HR_Data[YearsAtCompany]&lt;=10, "Mid","Senior")))</f>
        <v>Fresher</v>
      </c>
      <c r="AJ293" s="2" t="str">
        <f>IF(HR_Data[MonthlyIncome]&lt;=300,"Low", IF(HR_Data[MonthlyIncome]&lt;=7000,"Medium", "High"))</f>
        <v>Medium</v>
      </c>
      <c r="AK293" s="2" t="str">
        <f>VLOOKUP(HR_Data[JobRole], JobRole_Map[], 2, FALSE)</f>
        <v>Technical</v>
      </c>
    </row>
    <row r="294" spans="1:37" x14ac:dyDescent="0.25">
      <c r="A294" s="2">
        <v>28</v>
      </c>
      <c r="B294" t="s">
        <v>41</v>
      </c>
      <c r="C294" t="s">
        <v>61</v>
      </c>
      <c r="D294" t="s">
        <v>34</v>
      </c>
      <c r="E294">
        <v>2</v>
      </c>
      <c r="F294" t="s">
        <v>35</v>
      </c>
      <c r="G294">
        <v>2</v>
      </c>
      <c r="H294">
        <v>1</v>
      </c>
      <c r="I294" t="s">
        <v>36</v>
      </c>
      <c r="J294">
        <v>4</v>
      </c>
      <c r="K294" t="s">
        <v>50</v>
      </c>
      <c r="L294">
        <v>3867</v>
      </c>
      <c r="M294">
        <v>1</v>
      </c>
      <c r="N294" t="s">
        <v>32</v>
      </c>
      <c r="O294">
        <v>12</v>
      </c>
      <c r="P294">
        <v>3</v>
      </c>
      <c r="Q294">
        <v>1</v>
      </c>
      <c r="R294">
        <v>2</v>
      </c>
      <c r="S294">
        <v>2</v>
      </c>
      <c r="T294">
        <v>2</v>
      </c>
      <c r="U294">
        <v>2</v>
      </c>
      <c r="V294">
        <v>2</v>
      </c>
      <c r="W294" t="s">
        <v>38</v>
      </c>
      <c r="X294" s="1" t="d">
        <v>2019-04-20</v>
      </c>
      <c r="Z294" t="s">
        <v>45</v>
      </c>
      <c r="AA294" t="s">
        <v>40</v>
      </c>
      <c r="AB294">
        <v>3</v>
      </c>
      <c r="AC294">
        <v>0</v>
      </c>
      <c r="AD294" t="s">
        <v>41</v>
      </c>
      <c r="AE294" t="s">
        <v>42</v>
      </c>
      <c r="AF294" t="s">
        <v>43</v>
      </c>
      <c r="AG294">
        <f>IF(HR_Data[[#This Row],[Attrition]]="Yes",1,0)</f>
        <v>0</v>
      </c>
      <c r="AH294" t="str">
        <f>IF(HR_Data[Date_of_termination]="","Active","Left")</f>
        <v>Active</v>
      </c>
      <c r="AI294" t="str">
        <f>IF(HR_Data[YearsAtCompany]&lt;=2,"Fresher", IF(HR_Data[YearsAtCompany]&lt;=5,"Junior", IF(HR_Data[YearsAtCompany]&lt;=10, "Mid","Senior")))</f>
        <v>Fresher</v>
      </c>
      <c r="AJ294" s="2" t="str">
        <f>IF(HR_Data[MonthlyIncome]&lt;=300,"Low", IF(HR_Data[MonthlyIncome]&lt;=7000,"Medium", "High"))</f>
        <v>Medium</v>
      </c>
      <c r="AK294" s="2" t="str">
        <f>VLOOKUP(HR_Data[JobRole], JobRole_Map[], 2, FALSE)</f>
        <v>Technical</v>
      </c>
    </row>
    <row r="295" spans="1:37" x14ac:dyDescent="0.25">
      <c r="A295" s="2">
        <v>25</v>
      </c>
      <c r="B295" t="s">
        <v>41</v>
      </c>
      <c r="C295" t="s">
        <v>33</v>
      </c>
      <c r="D295" t="s">
        <v>34</v>
      </c>
      <c r="E295">
        <v>1</v>
      </c>
      <c r="F295" t="s">
        <v>58</v>
      </c>
      <c r="G295">
        <v>3</v>
      </c>
      <c r="H295">
        <v>1</v>
      </c>
      <c r="I295" t="s">
        <v>44</v>
      </c>
      <c r="J295">
        <v>2</v>
      </c>
      <c r="K295" t="s">
        <v>37</v>
      </c>
      <c r="L295">
        <v>2096</v>
      </c>
      <c r="M295">
        <v>1</v>
      </c>
      <c r="N295" t="s">
        <v>41</v>
      </c>
      <c r="O295">
        <v>18</v>
      </c>
      <c r="P295">
        <v>3</v>
      </c>
      <c r="Q295">
        <v>0</v>
      </c>
      <c r="R295">
        <v>2</v>
      </c>
      <c r="S295">
        <v>3</v>
      </c>
      <c r="T295">
        <v>2</v>
      </c>
      <c r="U295">
        <v>2</v>
      </c>
      <c r="V295">
        <v>1</v>
      </c>
      <c r="W295" t="s">
        <v>56</v>
      </c>
      <c r="X295" s="1" t="d">
        <v>2019-05-14</v>
      </c>
      <c r="Z295" t="s">
        <v>45</v>
      </c>
      <c r="AA295" t="s">
        <v>46</v>
      </c>
      <c r="AB295">
        <v>2</v>
      </c>
      <c r="AC295">
        <v>2</v>
      </c>
      <c r="AD295" t="s">
        <v>32</v>
      </c>
      <c r="AE295" t="s">
        <v>47</v>
      </c>
      <c r="AF295" t="s">
        <v>57</v>
      </c>
      <c r="AG295">
        <f>IF(HR_Data[[#This Row],[Attrition]]="Yes",1,0)</f>
        <v>0</v>
      </c>
      <c r="AH295" t="str">
        <f>IF(HR_Data[Date_of_termination]="","Active","Left")</f>
        <v>Active</v>
      </c>
      <c r="AI295" t="str">
        <f>IF(HR_Data[YearsAtCompany]&lt;=2,"Fresher", IF(HR_Data[YearsAtCompany]&lt;=5,"Junior", IF(HR_Data[YearsAtCompany]&lt;=10, "Mid","Senior")))</f>
        <v>Fresher</v>
      </c>
      <c r="AJ295" s="2" t="str">
        <f>IF(HR_Data[MonthlyIncome]&lt;=300,"Low", IF(HR_Data[MonthlyIncome]&lt;=7000,"Medium", "High"))</f>
        <v>Medium</v>
      </c>
      <c r="AK295" s="2" t="str">
        <f>VLOOKUP(HR_Data[JobRole], JobRole_Map[], 2, FALSE)</f>
        <v>Technical</v>
      </c>
    </row>
    <row r="296" spans="1:37" x14ac:dyDescent="0.25">
      <c r="A296" s="2">
        <v>58</v>
      </c>
      <c r="B296" t="s">
        <v>41</v>
      </c>
      <c r="C296" t="s">
        <v>33</v>
      </c>
      <c r="D296" t="s">
        <v>34</v>
      </c>
      <c r="E296">
        <v>23</v>
      </c>
      <c r="F296" t="s">
        <v>35</v>
      </c>
      <c r="G296">
        <v>3</v>
      </c>
      <c r="H296">
        <v>1</v>
      </c>
      <c r="I296" t="s">
        <v>44</v>
      </c>
      <c r="J296">
        <v>3</v>
      </c>
      <c r="K296" t="s">
        <v>55</v>
      </c>
      <c r="L296">
        <v>2372</v>
      </c>
      <c r="M296">
        <v>1</v>
      </c>
      <c r="N296" t="s">
        <v>41</v>
      </c>
      <c r="O296">
        <v>12</v>
      </c>
      <c r="P296">
        <v>3</v>
      </c>
      <c r="Q296">
        <v>2</v>
      </c>
      <c r="R296">
        <v>2</v>
      </c>
      <c r="S296">
        <v>3</v>
      </c>
      <c r="T296">
        <v>2</v>
      </c>
      <c r="U296">
        <v>2</v>
      </c>
      <c r="V296">
        <v>2</v>
      </c>
      <c r="W296" t="s">
        <v>38</v>
      </c>
      <c r="X296" s="1" t="d">
        <v>2019-06-25</v>
      </c>
      <c r="Z296" t="s">
        <v>59</v>
      </c>
      <c r="AA296" t="s">
        <v>40</v>
      </c>
      <c r="AB296">
        <v>3</v>
      </c>
      <c r="AC296">
        <v>1</v>
      </c>
      <c r="AD296" t="s">
        <v>32</v>
      </c>
      <c r="AE296" t="s">
        <v>47</v>
      </c>
      <c r="AF296" t="s">
        <v>57</v>
      </c>
      <c r="AG296">
        <f>IF(HR_Data[[#This Row],[Attrition]]="Yes",1,0)</f>
        <v>0</v>
      </c>
      <c r="AH296" t="str">
        <f>IF(HR_Data[Date_of_termination]="","Active","Left")</f>
        <v>Active</v>
      </c>
      <c r="AI296" t="str">
        <f>IF(HR_Data[YearsAtCompany]&lt;=2,"Fresher", IF(HR_Data[YearsAtCompany]&lt;=5,"Junior", IF(HR_Data[YearsAtCompany]&lt;=10, "Mid","Senior")))</f>
        <v>Fresher</v>
      </c>
      <c r="AJ296" s="2" t="str">
        <f>IF(HR_Data[MonthlyIncome]&lt;=300,"Low", IF(HR_Data[MonthlyIncome]&lt;=7000,"Medium", "High"))</f>
        <v>Medium</v>
      </c>
      <c r="AK296" s="2" t="str">
        <f>VLOOKUP(HR_Data[JobRole], JobRole_Map[], 2, FALSE)</f>
        <v>Technical</v>
      </c>
    </row>
    <row r="297" spans="1:37" x14ac:dyDescent="0.25">
      <c r="A297" s="2">
        <v>35</v>
      </c>
      <c r="B297" t="s">
        <v>41</v>
      </c>
      <c r="C297" t="s">
        <v>61</v>
      </c>
      <c r="D297" t="s">
        <v>34</v>
      </c>
      <c r="E297">
        <v>18</v>
      </c>
      <c r="F297" t="s">
        <v>35</v>
      </c>
      <c r="G297">
        <v>3</v>
      </c>
      <c r="H297">
        <v>3</v>
      </c>
      <c r="I297" t="s">
        <v>67</v>
      </c>
      <c r="J297">
        <v>4</v>
      </c>
      <c r="K297" t="s">
        <v>37</v>
      </c>
      <c r="L297">
        <v>9362</v>
      </c>
      <c r="M297">
        <v>2</v>
      </c>
      <c r="N297" t="s">
        <v>41</v>
      </c>
      <c r="O297">
        <v>11</v>
      </c>
      <c r="P297">
        <v>3</v>
      </c>
      <c r="Q297">
        <v>0</v>
      </c>
      <c r="R297">
        <v>10</v>
      </c>
      <c r="S297">
        <v>2</v>
      </c>
      <c r="T297">
        <v>2</v>
      </c>
      <c r="U297">
        <v>2</v>
      </c>
      <c r="V297">
        <v>2</v>
      </c>
      <c r="W297" t="s">
        <v>51</v>
      </c>
      <c r="X297" s="1" t="d">
        <v>2019-06-25</v>
      </c>
      <c r="Z297" t="s">
        <v>45</v>
      </c>
      <c r="AA297" t="s">
        <v>46</v>
      </c>
      <c r="AB297">
        <v>3</v>
      </c>
      <c r="AC297">
        <v>3</v>
      </c>
      <c r="AD297" t="s">
        <v>32</v>
      </c>
      <c r="AE297" t="s">
        <v>47</v>
      </c>
      <c r="AF297" t="s">
        <v>48</v>
      </c>
      <c r="AG297">
        <f>IF(HR_Data[[#This Row],[Attrition]]="Yes",1,0)</f>
        <v>0</v>
      </c>
      <c r="AH297" t="str">
        <f>IF(HR_Data[Date_of_termination]="","Active","Left")</f>
        <v>Active</v>
      </c>
      <c r="AI297" t="str">
        <f>IF(HR_Data[YearsAtCompany]&lt;=2,"Fresher", IF(HR_Data[YearsAtCompany]&lt;=5,"Junior", IF(HR_Data[YearsAtCompany]&lt;=10, "Mid","Senior")))</f>
        <v>Fresher</v>
      </c>
      <c r="AJ297" s="2" t="str">
        <f>IF(HR_Data[MonthlyIncome]&lt;=300,"Low", IF(HR_Data[MonthlyIncome]&lt;=7000,"Medium", "High"))</f>
        <v>High</v>
      </c>
      <c r="AK297" s="2" t="str">
        <f>VLOOKUP(HR_Data[JobRole], JobRole_Map[], 2, FALSE)</f>
        <v>Operations</v>
      </c>
    </row>
    <row r="298" spans="1:37" x14ac:dyDescent="0.25">
      <c r="A298" s="2">
        <v>31</v>
      </c>
      <c r="B298" t="s">
        <v>32</v>
      </c>
      <c r="C298" t="s">
        <v>61</v>
      </c>
      <c r="D298" t="s">
        <v>34</v>
      </c>
      <c r="E298">
        <v>2</v>
      </c>
      <c r="F298" t="s">
        <v>35</v>
      </c>
      <c r="G298">
        <v>3</v>
      </c>
      <c r="H298">
        <v>1</v>
      </c>
      <c r="I298" t="s">
        <v>36</v>
      </c>
      <c r="J298">
        <v>4</v>
      </c>
      <c r="K298" t="s">
        <v>50</v>
      </c>
      <c r="L298">
        <v>3722</v>
      </c>
      <c r="M298">
        <v>6</v>
      </c>
      <c r="N298" t="s">
        <v>32</v>
      </c>
      <c r="O298">
        <v>13</v>
      </c>
      <c r="P298">
        <v>3</v>
      </c>
      <c r="Q298">
        <v>1</v>
      </c>
      <c r="R298">
        <v>7</v>
      </c>
      <c r="S298">
        <v>2</v>
      </c>
      <c r="T298">
        <v>2</v>
      </c>
      <c r="U298">
        <v>2</v>
      </c>
      <c r="V298">
        <v>2</v>
      </c>
      <c r="W298" t="s">
        <v>65</v>
      </c>
      <c r="X298" s="1" t="d">
        <v>2019-03-31</v>
      </c>
      <c r="Z298" t="s">
        <v>39</v>
      </c>
      <c r="AA298" t="s">
        <v>46</v>
      </c>
      <c r="AB298">
        <v>0</v>
      </c>
      <c r="AC298">
        <v>0</v>
      </c>
      <c r="AD298" t="s">
        <v>32</v>
      </c>
      <c r="AE298" t="s">
        <v>60</v>
      </c>
      <c r="AF298" t="s">
        <v>57</v>
      </c>
      <c r="AG298">
        <f>IF(HR_Data[[#This Row],[Attrition]]="Yes",1,0)</f>
        <v>1</v>
      </c>
      <c r="AH298" t="str">
        <f>IF(HR_Data[Date_of_termination]="","Active","Left")</f>
        <v>Active</v>
      </c>
      <c r="AI298" t="str">
        <f>IF(HR_Data[YearsAtCompany]&lt;=2,"Fresher", IF(HR_Data[YearsAtCompany]&lt;=5,"Junior", IF(HR_Data[YearsAtCompany]&lt;=10, "Mid","Senior")))</f>
        <v>Fresher</v>
      </c>
      <c r="AJ298" s="2" t="str">
        <f>IF(HR_Data[MonthlyIncome]&lt;=300,"Low", IF(HR_Data[MonthlyIncome]&lt;=7000,"Medium", "High"))</f>
        <v>Medium</v>
      </c>
      <c r="AK298" s="2" t="str">
        <f>VLOOKUP(HR_Data[JobRole], JobRole_Map[], 2, FALSE)</f>
        <v>Technical</v>
      </c>
    </row>
    <row r="299" spans="1:37" x14ac:dyDescent="0.25">
      <c r="A299" s="2">
        <v>48</v>
      </c>
      <c r="B299" t="s">
        <v>41</v>
      </c>
      <c r="C299" t="s">
        <v>33</v>
      </c>
      <c r="D299" t="s">
        <v>53</v>
      </c>
      <c r="E299">
        <v>7</v>
      </c>
      <c r="F299" t="s">
        <v>35</v>
      </c>
      <c r="G299">
        <v>3</v>
      </c>
      <c r="H299">
        <v>2</v>
      </c>
      <c r="I299" t="s">
        <v>64</v>
      </c>
      <c r="J299">
        <v>1</v>
      </c>
      <c r="K299" t="s">
        <v>55</v>
      </c>
      <c r="L299">
        <v>5486</v>
      </c>
      <c r="M299">
        <v>4</v>
      </c>
      <c r="N299" t="s">
        <v>41</v>
      </c>
      <c r="O299">
        <v>11</v>
      </c>
      <c r="P299">
        <v>3</v>
      </c>
      <c r="Q299">
        <v>3</v>
      </c>
      <c r="R299">
        <v>15</v>
      </c>
      <c r="S299">
        <v>3</v>
      </c>
      <c r="T299">
        <v>2</v>
      </c>
      <c r="U299">
        <v>2</v>
      </c>
      <c r="V299">
        <v>2</v>
      </c>
      <c r="W299" t="s">
        <v>38</v>
      </c>
      <c r="X299" s="1" t="d">
        <v>2019-04-30</v>
      </c>
      <c r="Z299" t="s">
        <v>63</v>
      </c>
      <c r="AA299" t="s">
        <v>40</v>
      </c>
      <c r="AB299">
        <v>4</v>
      </c>
      <c r="AC299">
        <v>3</v>
      </c>
      <c r="AD299" t="s">
        <v>32</v>
      </c>
      <c r="AE299" t="s">
        <v>62</v>
      </c>
      <c r="AF299" t="s">
        <v>57</v>
      </c>
      <c r="AG299">
        <f>IF(HR_Data[[#This Row],[Attrition]]="Yes",1,0)</f>
        <v>0</v>
      </c>
      <c r="AH299" t="str">
        <f>IF(HR_Data[Date_of_termination]="","Active","Left")</f>
        <v>Active</v>
      </c>
      <c r="AI299" t="str">
        <f>IF(HR_Data[YearsAtCompany]&lt;=2,"Fresher", IF(HR_Data[YearsAtCompany]&lt;=5,"Junior", IF(HR_Data[YearsAtCompany]&lt;=10, "Mid","Senior")))</f>
        <v>Fresher</v>
      </c>
      <c r="AJ299" s="2" t="str">
        <f>IF(HR_Data[MonthlyIncome]&lt;=300,"Low", IF(HR_Data[MonthlyIncome]&lt;=7000,"Medium", "High"))</f>
        <v>Medium</v>
      </c>
      <c r="AK299" s="2" t="str">
        <f>VLOOKUP(HR_Data[JobRole], JobRole_Map[], 2, FALSE)</f>
        <v>Sales</v>
      </c>
    </row>
    <row r="300" spans="1:37" x14ac:dyDescent="0.25">
      <c r="A300" s="2">
        <v>34</v>
      </c>
      <c r="B300" t="s">
        <v>32</v>
      </c>
      <c r="C300" t="s">
        <v>33</v>
      </c>
      <c r="D300" t="s">
        <v>70</v>
      </c>
      <c r="E300">
        <v>9</v>
      </c>
      <c r="F300" t="s">
        <v>58</v>
      </c>
      <c r="G300">
        <v>3</v>
      </c>
      <c r="H300">
        <v>1</v>
      </c>
      <c r="I300" t="s">
        <v>70</v>
      </c>
      <c r="J300">
        <v>3</v>
      </c>
      <c r="K300" t="s">
        <v>50</v>
      </c>
      <c r="L300">
        <v>2742</v>
      </c>
      <c r="M300">
        <v>1</v>
      </c>
      <c r="N300" t="s">
        <v>41</v>
      </c>
      <c r="O300">
        <v>15</v>
      </c>
      <c r="P300">
        <v>3</v>
      </c>
      <c r="Q300">
        <v>0</v>
      </c>
      <c r="R300">
        <v>2</v>
      </c>
      <c r="S300">
        <v>0</v>
      </c>
      <c r="T300">
        <v>2</v>
      </c>
      <c r="U300">
        <v>2</v>
      </c>
      <c r="V300">
        <v>2</v>
      </c>
      <c r="W300" t="s">
        <v>56</v>
      </c>
      <c r="X300" s="1" t="d">
        <v>2019-02-06</v>
      </c>
      <c r="Z300" t="s">
        <v>63</v>
      </c>
      <c r="AA300" t="s">
        <v>40</v>
      </c>
      <c r="AB300">
        <v>0</v>
      </c>
      <c r="AC300">
        <v>0</v>
      </c>
      <c r="AD300" t="s">
        <v>41</v>
      </c>
      <c r="AE300" t="s">
        <v>42</v>
      </c>
      <c r="AF300" t="s">
        <v>43</v>
      </c>
      <c r="AG300">
        <f>IF(HR_Data[[#This Row],[Attrition]]="Yes",1,0)</f>
        <v>1</v>
      </c>
      <c r="AH300" t="str">
        <f>IF(HR_Data[Date_of_termination]="","Active","Left")</f>
        <v>Active</v>
      </c>
      <c r="AI300" t="str">
        <f>IF(HR_Data[YearsAtCompany]&lt;=2,"Fresher", IF(HR_Data[YearsAtCompany]&lt;=5,"Junior", IF(HR_Data[YearsAtCompany]&lt;=10, "Mid","Senior")))</f>
        <v>Fresher</v>
      </c>
      <c r="AJ300" s="2" t="str">
        <f>IF(HR_Data[MonthlyIncome]&lt;=300,"Low", IF(HR_Data[MonthlyIncome]&lt;=7000,"Medium", "High"))</f>
        <v>Medium</v>
      </c>
      <c r="AK300" s="2" t="str">
        <f>VLOOKUP(HR_Data[JobRole], JobRole_Map[], 2, FALSE)</f>
        <v>HR</v>
      </c>
    </row>
    <row r="301" spans="1:37" x14ac:dyDescent="0.25">
      <c r="A301" s="2">
        <v>30</v>
      </c>
      <c r="B301" t="s">
        <v>41</v>
      </c>
      <c r="C301" t="s">
        <v>33</v>
      </c>
      <c r="D301" t="s">
        <v>53</v>
      </c>
      <c r="E301">
        <v>16</v>
      </c>
      <c r="F301" t="s">
        <v>35</v>
      </c>
      <c r="G301">
        <v>3</v>
      </c>
      <c r="H301">
        <v>2</v>
      </c>
      <c r="I301" t="s">
        <v>64</v>
      </c>
      <c r="J301">
        <v>3</v>
      </c>
      <c r="K301" t="s">
        <v>50</v>
      </c>
      <c r="L301">
        <v>5301</v>
      </c>
      <c r="M301">
        <v>8</v>
      </c>
      <c r="N301" t="s">
        <v>41</v>
      </c>
      <c r="O301">
        <v>15</v>
      </c>
      <c r="P301">
        <v>3</v>
      </c>
      <c r="Q301">
        <v>2</v>
      </c>
      <c r="R301">
        <v>4</v>
      </c>
      <c r="S301">
        <v>2</v>
      </c>
      <c r="T301">
        <v>2</v>
      </c>
      <c r="U301">
        <v>2</v>
      </c>
      <c r="V301">
        <v>2</v>
      </c>
      <c r="W301" t="s">
        <v>38</v>
      </c>
      <c r="X301" s="1" t="d">
        <v>2019-06-12</v>
      </c>
      <c r="Z301" t="s">
        <v>52</v>
      </c>
      <c r="AA301" t="s">
        <v>40</v>
      </c>
      <c r="AB301">
        <v>2</v>
      </c>
      <c r="AC301">
        <v>3</v>
      </c>
      <c r="AD301" t="s">
        <v>32</v>
      </c>
      <c r="AE301" t="s">
        <v>60</v>
      </c>
      <c r="AF301" t="s">
        <v>57</v>
      </c>
      <c r="AG301">
        <f>IF(HR_Data[[#This Row],[Attrition]]="Yes",1,0)</f>
        <v>0</v>
      </c>
      <c r="AH301" t="str">
        <f>IF(HR_Data[Date_of_termination]="","Active","Left")</f>
        <v>Active</v>
      </c>
      <c r="AI301" t="str">
        <f>IF(HR_Data[YearsAtCompany]&lt;=2,"Fresher", IF(HR_Data[YearsAtCompany]&lt;=5,"Junior", IF(HR_Data[YearsAtCompany]&lt;=10, "Mid","Senior")))</f>
        <v>Fresher</v>
      </c>
      <c r="AJ301" s="2" t="str">
        <f>IF(HR_Data[MonthlyIncome]&lt;=300,"Low", IF(HR_Data[MonthlyIncome]&lt;=7000,"Medium", "High"))</f>
        <v>Medium</v>
      </c>
      <c r="AK301" s="2" t="str">
        <f>VLOOKUP(HR_Data[JobRole], JobRole_Map[], 2, FALSE)</f>
        <v>Sales</v>
      </c>
    </row>
    <row r="302" spans="1:37" x14ac:dyDescent="0.25">
      <c r="A302" s="2">
        <v>44</v>
      </c>
      <c r="B302" t="s">
        <v>41</v>
      </c>
      <c r="C302" t="s">
        <v>61</v>
      </c>
      <c r="D302" t="s">
        <v>34</v>
      </c>
      <c r="E302">
        <v>2</v>
      </c>
      <c r="F302" t="s">
        <v>35</v>
      </c>
      <c r="G302">
        <v>3</v>
      </c>
      <c r="H302">
        <v>3</v>
      </c>
      <c r="I302" t="s">
        <v>67</v>
      </c>
      <c r="J302">
        <v>3</v>
      </c>
      <c r="K302" t="s">
        <v>37</v>
      </c>
      <c r="L302">
        <v>10209</v>
      </c>
      <c r="M302">
        <v>5</v>
      </c>
      <c r="N302" t="s">
        <v>32</v>
      </c>
      <c r="O302">
        <v>18</v>
      </c>
      <c r="P302">
        <v>3</v>
      </c>
      <c r="Q302">
        <v>0</v>
      </c>
      <c r="R302">
        <v>16</v>
      </c>
      <c r="S302">
        <v>2</v>
      </c>
      <c r="T302">
        <v>2</v>
      </c>
      <c r="U302">
        <v>2</v>
      </c>
      <c r="V302">
        <v>2</v>
      </c>
      <c r="W302" t="s">
        <v>38</v>
      </c>
      <c r="X302" s="1" t="d">
        <v>2019-04-30</v>
      </c>
      <c r="Z302" t="s">
        <v>39</v>
      </c>
      <c r="AA302" t="s">
        <v>40</v>
      </c>
      <c r="AB302">
        <v>5</v>
      </c>
      <c r="AC302">
        <v>2</v>
      </c>
      <c r="AD302" t="s">
        <v>32</v>
      </c>
      <c r="AE302" t="s">
        <v>47</v>
      </c>
      <c r="AF302" t="s">
        <v>43</v>
      </c>
      <c r="AG302">
        <f>IF(HR_Data[[#This Row],[Attrition]]="Yes",1,0)</f>
        <v>0</v>
      </c>
      <c r="AH302" t="str">
        <f>IF(HR_Data[Date_of_termination]="","Active","Left")</f>
        <v>Active</v>
      </c>
      <c r="AI302" t="str">
        <f>IF(HR_Data[YearsAtCompany]&lt;=2,"Fresher", IF(HR_Data[YearsAtCompany]&lt;=5,"Junior", IF(HR_Data[YearsAtCompany]&lt;=10, "Mid","Senior")))</f>
        <v>Fresher</v>
      </c>
      <c r="AJ302" s="2" t="str">
        <f>IF(HR_Data[MonthlyIncome]&lt;=300,"Low", IF(HR_Data[MonthlyIncome]&lt;=7000,"Medium", "High"))</f>
        <v>High</v>
      </c>
      <c r="AK302" s="2" t="str">
        <f>VLOOKUP(HR_Data[JobRole], JobRole_Map[], 2, FALSE)</f>
        <v>Operations</v>
      </c>
    </row>
    <row r="303" spans="1:37" x14ac:dyDescent="0.25">
      <c r="A303" s="2">
        <v>39</v>
      </c>
      <c r="B303" t="s">
        <v>41</v>
      </c>
      <c r="C303" t="s">
        <v>33</v>
      </c>
      <c r="D303" t="s">
        <v>34</v>
      </c>
      <c r="E303">
        <v>6</v>
      </c>
      <c r="F303" t="s">
        <v>58</v>
      </c>
      <c r="G303">
        <v>3</v>
      </c>
      <c r="H303">
        <v>3</v>
      </c>
      <c r="I303" t="s">
        <v>67</v>
      </c>
      <c r="J303">
        <v>2</v>
      </c>
      <c r="K303" t="s">
        <v>37</v>
      </c>
      <c r="L303">
        <v>8376</v>
      </c>
      <c r="M303">
        <v>4</v>
      </c>
      <c r="N303" t="s">
        <v>41</v>
      </c>
      <c r="O303">
        <v>18</v>
      </c>
      <c r="P303">
        <v>3</v>
      </c>
      <c r="Q303">
        <v>0</v>
      </c>
      <c r="R303">
        <v>9</v>
      </c>
      <c r="S303">
        <v>3</v>
      </c>
      <c r="T303">
        <v>2</v>
      </c>
      <c r="U303">
        <v>2</v>
      </c>
      <c r="V303">
        <v>2</v>
      </c>
      <c r="W303" t="s">
        <v>65</v>
      </c>
      <c r="X303" s="1" t="d">
        <v>2019-02-21</v>
      </c>
      <c r="Z303" t="s">
        <v>59</v>
      </c>
      <c r="AA303" t="s">
        <v>40</v>
      </c>
      <c r="AB303">
        <v>0</v>
      </c>
      <c r="AC303">
        <v>3</v>
      </c>
      <c r="AD303" t="s">
        <v>32</v>
      </c>
      <c r="AE303" t="s">
        <v>42</v>
      </c>
      <c r="AF303" t="s">
        <v>57</v>
      </c>
      <c r="AG303">
        <f>IF(HR_Data[[#This Row],[Attrition]]="Yes",1,0)</f>
        <v>0</v>
      </c>
      <c r="AH303" t="str">
        <f>IF(HR_Data[Date_of_termination]="","Active","Left")</f>
        <v>Active</v>
      </c>
      <c r="AI303" t="str">
        <f>IF(HR_Data[YearsAtCompany]&lt;=2,"Fresher", IF(HR_Data[YearsAtCompany]&lt;=5,"Junior", IF(HR_Data[YearsAtCompany]&lt;=10, "Mid","Senior")))</f>
        <v>Fresher</v>
      </c>
      <c r="AJ303" s="2" t="str">
        <f>IF(HR_Data[MonthlyIncome]&lt;=300,"Low", IF(HR_Data[MonthlyIncome]&lt;=7000,"Medium", "High"))</f>
        <v>High</v>
      </c>
      <c r="AK303" s="2" t="str">
        <f>VLOOKUP(HR_Data[JobRole], JobRole_Map[], 2, FALSE)</f>
        <v>Operations</v>
      </c>
    </row>
    <row r="304" spans="1:37" x14ac:dyDescent="0.25">
      <c r="A304" s="2">
        <v>40</v>
      </c>
      <c r="B304" t="s">
        <v>41</v>
      </c>
      <c r="C304" t="s">
        <v>68</v>
      </c>
      <c r="D304" t="s">
        <v>34</v>
      </c>
      <c r="E304">
        <v>8</v>
      </c>
      <c r="F304" t="s">
        <v>35</v>
      </c>
      <c r="G304">
        <v>3</v>
      </c>
      <c r="H304">
        <v>2</v>
      </c>
      <c r="I304" t="s">
        <v>69</v>
      </c>
      <c r="J304">
        <v>4</v>
      </c>
      <c r="K304" t="s">
        <v>55</v>
      </c>
      <c r="L304">
        <v>4069</v>
      </c>
      <c r="M304">
        <v>3</v>
      </c>
      <c r="N304" t="s">
        <v>32</v>
      </c>
      <c r="O304">
        <v>18</v>
      </c>
      <c r="P304">
        <v>3</v>
      </c>
      <c r="Q304">
        <v>0</v>
      </c>
      <c r="R304">
        <v>8</v>
      </c>
      <c r="S304">
        <v>2</v>
      </c>
      <c r="T304">
        <v>2</v>
      </c>
      <c r="U304">
        <v>2</v>
      </c>
      <c r="V304">
        <v>2</v>
      </c>
      <c r="W304" t="s">
        <v>51</v>
      </c>
      <c r="X304" s="1" t="d">
        <v>2019-03-06</v>
      </c>
      <c r="Z304" t="s">
        <v>45</v>
      </c>
      <c r="AA304" t="s">
        <v>40</v>
      </c>
      <c r="AB304">
        <v>4</v>
      </c>
      <c r="AC304">
        <v>1</v>
      </c>
      <c r="AD304" t="s">
        <v>41</v>
      </c>
      <c r="AE304" t="s">
        <v>42</v>
      </c>
      <c r="AF304" t="s">
        <v>57</v>
      </c>
      <c r="AG304">
        <f>IF(HR_Data[[#This Row],[Attrition]]="Yes",1,0)</f>
        <v>0</v>
      </c>
      <c r="AH304" t="str">
        <f>IF(HR_Data[Date_of_termination]="","Active","Left")</f>
        <v>Active</v>
      </c>
      <c r="AI304" t="str">
        <f>IF(HR_Data[YearsAtCompany]&lt;=2,"Fresher", IF(HR_Data[YearsAtCompany]&lt;=5,"Junior", IF(HR_Data[YearsAtCompany]&lt;=10, "Mid","Senior")))</f>
        <v>Fresher</v>
      </c>
      <c r="AJ304" s="2" t="str">
        <f>IF(HR_Data[MonthlyIncome]&lt;=300,"Low", IF(HR_Data[MonthlyIncome]&lt;=7000,"Medium", "High"))</f>
        <v>Medium</v>
      </c>
      <c r="AK304" s="2" t="str">
        <f>VLOOKUP(HR_Data[JobRole], JobRole_Map[], 2, FALSE)</f>
        <v>Operations</v>
      </c>
    </row>
    <row r="305" spans="1:37" x14ac:dyDescent="0.25">
      <c r="A305" s="2">
        <v>33</v>
      </c>
      <c r="B305" t="s">
        <v>41</v>
      </c>
      <c r="C305" t="s">
        <v>33</v>
      </c>
      <c r="D305" t="s">
        <v>53</v>
      </c>
      <c r="E305">
        <v>8</v>
      </c>
      <c r="F305" t="s">
        <v>35</v>
      </c>
      <c r="G305">
        <v>3</v>
      </c>
      <c r="H305">
        <v>2</v>
      </c>
      <c r="I305" t="s">
        <v>64</v>
      </c>
      <c r="J305">
        <v>1</v>
      </c>
      <c r="K305" t="s">
        <v>50</v>
      </c>
      <c r="L305">
        <v>6392</v>
      </c>
      <c r="M305">
        <v>2</v>
      </c>
      <c r="N305" t="s">
        <v>41</v>
      </c>
      <c r="O305">
        <v>13</v>
      </c>
      <c r="P305">
        <v>3</v>
      </c>
      <c r="Q305">
        <v>1</v>
      </c>
      <c r="R305">
        <v>8</v>
      </c>
      <c r="S305">
        <v>6</v>
      </c>
      <c r="T305">
        <v>2</v>
      </c>
      <c r="U305">
        <v>2</v>
      </c>
      <c r="V305">
        <v>2</v>
      </c>
      <c r="W305" t="s">
        <v>65</v>
      </c>
      <c r="X305" s="1" t="d">
        <v>2019-04-28</v>
      </c>
      <c r="Z305" t="s">
        <v>52</v>
      </c>
      <c r="AA305" t="s">
        <v>40</v>
      </c>
      <c r="AB305">
        <v>4</v>
      </c>
      <c r="AC305">
        <v>1</v>
      </c>
      <c r="AD305" t="s">
        <v>41</v>
      </c>
      <c r="AE305" t="s">
        <v>62</v>
      </c>
      <c r="AF305" t="s">
        <v>57</v>
      </c>
      <c r="AG305">
        <f>IF(HR_Data[[#This Row],[Attrition]]="Yes",1,0)</f>
        <v>0</v>
      </c>
      <c r="AH305" t="str">
        <f>IF(HR_Data[Date_of_termination]="","Active","Left")</f>
        <v>Active</v>
      </c>
      <c r="AI305" t="str">
        <f>IF(HR_Data[YearsAtCompany]&lt;=2,"Fresher", IF(HR_Data[YearsAtCompany]&lt;=5,"Junior", IF(HR_Data[YearsAtCompany]&lt;=10, "Mid","Senior")))</f>
        <v>Fresher</v>
      </c>
      <c r="AJ305" s="2" t="str">
        <f>IF(HR_Data[MonthlyIncome]&lt;=300,"Low", IF(HR_Data[MonthlyIncome]&lt;=7000,"Medium", "High"))</f>
        <v>Medium</v>
      </c>
      <c r="AK305" s="2" t="str">
        <f>VLOOKUP(HR_Data[JobRole], JobRole_Map[], 2, FALSE)</f>
        <v>Sales</v>
      </c>
    </row>
    <row r="306" spans="1:37" x14ac:dyDescent="0.25">
      <c r="A306" s="2">
        <v>34</v>
      </c>
      <c r="B306" t="s">
        <v>41</v>
      </c>
      <c r="C306" t="s">
        <v>33</v>
      </c>
      <c r="D306" t="s">
        <v>34</v>
      </c>
      <c r="E306">
        <v>1</v>
      </c>
      <c r="F306" t="s">
        <v>35</v>
      </c>
      <c r="G306">
        <v>3</v>
      </c>
      <c r="H306">
        <v>2</v>
      </c>
      <c r="I306" t="s">
        <v>44</v>
      </c>
      <c r="J306">
        <v>4</v>
      </c>
      <c r="K306" t="s">
        <v>50</v>
      </c>
      <c r="L306">
        <v>5484</v>
      </c>
      <c r="M306">
        <v>9</v>
      </c>
      <c r="N306" t="s">
        <v>41</v>
      </c>
      <c r="O306">
        <v>17</v>
      </c>
      <c r="P306">
        <v>3</v>
      </c>
      <c r="Q306">
        <v>1</v>
      </c>
      <c r="R306">
        <v>9</v>
      </c>
      <c r="S306">
        <v>3</v>
      </c>
      <c r="T306">
        <v>2</v>
      </c>
      <c r="U306">
        <v>2</v>
      </c>
      <c r="V306">
        <v>1</v>
      </c>
      <c r="W306" t="s">
        <v>38</v>
      </c>
      <c r="X306" s="1" t="d">
        <v>2019-03-15</v>
      </c>
      <c r="Z306" t="s">
        <v>39</v>
      </c>
      <c r="AA306" t="s">
        <v>40</v>
      </c>
      <c r="AB306">
        <v>0</v>
      </c>
      <c r="AC306">
        <v>2</v>
      </c>
      <c r="AD306" t="s">
        <v>32</v>
      </c>
      <c r="AE306" t="s">
        <v>42</v>
      </c>
      <c r="AF306" t="s">
        <v>57</v>
      </c>
      <c r="AG306">
        <f>IF(HR_Data[[#This Row],[Attrition]]="Yes",1,0)</f>
        <v>0</v>
      </c>
      <c r="AH306" t="str">
        <f>IF(HR_Data[Date_of_termination]="","Active","Left")</f>
        <v>Active</v>
      </c>
      <c r="AI306" t="str">
        <f>IF(HR_Data[YearsAtCompany]&lt;=2,"Fresher", IF(HR_Data[YearsAtCompany]&lt;=5,"Junior", IF(HR_Data[YearsAtCompany]&lt;=10, "Mid","Senior")))</f>
        <v>Fresher</v>
      </c>
      <c r="AJ306" s="2" t="str">
        <f>IF(HR_Data[MonthlyIncome]&lt;=300,"Low", IF(HR_Data[MonthlyIncome]&lt;=7000,"Medium", "High"))</f>
        <v>Medium</v>
      </c>
      <c r="AK306" s="2" t="str">
        <f>VLOOKUP(HR_Data[JobRole], JobRole_Map[], 2, FALSE)</f>
        <v>Technical</v>
      </c>
    </row>
    <row r="307" spans="1:37" x14ac:dyDescent="0.25">
      <c r="A307" s="2">
        <v>23</v>
      </c>
      <c r="B307" t="s">
        <v>41</v>
      </c>
      <c r="C307" t="s">
        <v>33</v>
      </c>
      <c r="D307" t="s">
        <v>34</v>
      </c>
      <c r="E307">
        <v>10</v>
      </c>
      <c r="F307" t="s">
        <v>35</v>
      </c>
      <c r="G307">
        <v>4</v>
      </c>
      <c r="H307">
        <v>1</v>
      </c>
      <c r="I307" t="s">
        <v>44</v>
      </c>
      <c r="J307">
        <v>3</v>
      </c>
      <c r="K307" t="s">
        <v>50</v>
      </c>
      <c r="L307">
        <v>2073</v>
      </c>
      <c r="M307">
        <v>2</v>
      </c>
      <c r="N307" t="s">
        <v>41</v>
      </c>
      <c r="O307">
        <v>16</v>
      </c>
      <c r="P307">
        <v>3</v>
      </c>
      <c r="Q307">
        <v>1</v>
      </c>
      <c r="R307">
        <v>4</v>
      </c>
      <c r="S307">
        <v>2</v>
      </c>
      <c r="T307">
        <v>2</v>
      </c>
      <c r="U307">
        <v>2</v>
      </c>
      <c r="V307">
        <v>2</v>
      </c>
      <c r="W307" t="s">
        <v>38</v>
      </c>
      <c r="X307" s="1" t="d">
        <v>2019-05-16</v>
      </c>
      <c r="Z307" t="s">
        <v>59</v>
      </c>
      <c r="AA307" t="s">
        <v>40</v>
      </c>
      <c r="AB307">
        <v>0</v>
      </c>
      <c r="AC307">
        <v>2</v>
      </c>
      <c r="AD307" t="s">
        <v>41</v>
      </c>
      <c r="AE307" t="s">
        <v>47</v>
      </c>
      <c r="AF307" t="s">
        <v>57</v>
      </c>
      <c r="AG307">
        <f>IF(HR_Data[[#This Row],[Attrition]]="Yes",1,0)</f>
        <v>0</v>
      </c>
      <c r="AH307" t="str">
        <f>IF(HR_Data[Date_of_termination]="","Active","Left")</f>
        <v>Active</v>
      </c>
      <c r="AI307" t="str">
        <f>IF(HR_Data[YearsAtCompany]&lt;=2,"Fresher", IF(HR_Data[YearsAtCompany]&lt;=5,"Junior", IF(HR_Data[YearsAtCompany]&lt;=10, "Mid","Senior")))</f>
        <v>Fresher</v>
      </c>
      <c r="AJ307" s="2" t="str">
        <f>IF(HR_Data[MonthlyIncome]&lt;=300,"Low", IF(HR_Data[MonthlyIncome]&lt;=7000,"Medium", "High"))</f>
        <v>Medium</v>
      </c>
      <c r="AK307" s="2" t="str">
        <f>VLOOKUP(HR_Data[JobRole], JobRole_Map[], 2, FALSE)</f>
        <v>Technical</v>
      </c>
    </row>
    <row r="308" spans="1:37" x14ac:dyDescent="0.25">
      <c r="A308" s="2">
        <v>21</v>
      </c>
      <c r="B308" t="s">
        <v>41</v>
      </c>
      <c r="C308" t="s">
        <v>33</v>
      </c>
      <c r="D308" t="s">
        <v>34</v>
      </c>
      <c r="E308">
        <v>5</v>
      </c>
      <c r="F308" t="s">
        <v>35</v>
      </c>
      <c r="G308">
        <v>3</v>
      </c>
      <c r="H308">
        <v>1</v>
      </c>
      <c r="I308" t="s">
        <v>44</v>
      </c>
      <c r="J308">
        <v>4</v>
      </c>
      <c r="K308" t="s">
        <v>37</v>
      </c>
      <c r="L308">
        <v>3117</v>
      </c>
      <c r="M308">
        <v>1</v>
      </c>
      <c r="N308" t="s">
        <v>41</v>
      </c>
      <c r="O308">
        <v>18</v>
      </c>
      <c r="P308">
        <v>3</v>
      </c>
      <c r="Q308">
        <v>0</v>
      </c>
      <c r="R308">
        <v>3</v>
      </c>
      <c r="S308">
        <v>2</v>
      </c>
      <c r="T308">
        <v>2</v>
      </c>
      <c r="U308">
        <v>2</v>
      </c>
      <c r="V308">
        <v>2</v>
      </c>
      <c r="W308" t="s">
        <v>38</v>
      </c>
      <c r="X308" s="1" t="d">
        <v>2019-01-08</v>
      </c>
      <c r="Z308" t="s">
        <v>59</v>
      </c>
      <c r="AA308" t="s">
        <v>40</v>
      </c>
      <c r="AB308">
        <v>4</v>
      </c>
      <c r="AC308">
        <v>0</v>
      </c>
      <c r="AD308" t="s">
        <v>41</v>
      </c>
      <c r="AE308" t="s">
        <v>47</v>
      </c>
      <c r="AF308" t="s">
        <v>57</v>
      </c>
      <c r="AG308">
        <f>IF(HR_Data[[#This Row],[Attrition]]="Yes",1,0)</f>
        <v>0</v>
      </c>
      <c r="AH308" t="str">
        <f>IF(HR_Data[Date_of_termination]="","Active","Left")</f>
        <v>Active</v>
      </c>
      <c r="AI308" t="str">
        <f>IF(HR_Data[YearsAtCompany]&lt;=2,"Fresher", IF(HR_Data[YearsAtCompany]&lt;=5,"Junior", IF(HR_Data[YearsAtCompany]&lt;=10, "Mid","Senior")))</f>
        <v>Fresher</v>
      </c>
      <c r="AJ308" s="2" t="str">
        <f>IF(HR_Data[MonthlyIncome]&lt;=300,"Low", IF(HR_Data[MonthlyIncome]&lt;=7000,"Medium", "High"))</f>
        <v>Medium</v>
      </c>
      <c r="AK308" s="2" t="str">
        <f>VLOOKUP(HR_Data[JobRole], JobRole_Map[], 2, FALSE)</f>
        <v>Technical</v>
      </c>
    </row>
    <row r="309" spans="1:37" x14ac:dyDescent="0.25">
      <c r="A309" s="2">
        <v>48</v>
      </c>
      <c r="B309" t="s">
        <v>41</v>
      </c>
      <c r="C309" t="s">
        <v>61</v>
      </c>
      <c r="D309" t="s">
        <v>34</v>
      </c>
      <c r="E309">
        <v>4</v>
      </c>
      <c r="F309" t="s">
        <v>35</v>
      </c>
      <c r="G309">
        <v>2</v>
      </c>
      <c r="H309">
        <v>4</v>
      </c>
      <c r="I309" t="s">
        <v>66</v>
      </c>
      <c r="J309">
        <v>4</v>
      </c>
      <c r="K309" t="s">
        <v>50</v>
      </c>
      <c r="L309">
        <v>15202</v>
      </c>
      <c r="M309">
        <v>2</v>
      </c>
      <c r="N309" t="s">
        <v>41</v>
      </c>
      <c r="O309">
        <v>25</v>
      </c>
      <c r="P309">
        <v>4</v>
      </c>
      <c r="Q309">
        <v>1</v>
      </c>
      <c r="R309">
        <v>23</v>
      </c>
      <c r="S309">
        <v>3</v>
      </c>
      <c r="T309">
        <v>2</v>
      </c>
      <c r="U309">
        <v>2</v>
      </c>
      <c r="V309">
        <v>2</v>
      </c>
      <c r="W309" t="s">
        <v>51</v>
      </c>
      <c r="X309" s="1" t="d">
        <v>2019-04-08</v>
      </c>
      <c r="Z309" t="s">
        <v>59</v>
      </c>
      <c r="AA309" t="s">
        <v>46</v>
      </c>
      <c r="AB309">
        <v>0</v>
      </c>
      <c r="AC309">
        <v>1</v>
      </c>
      <c r="AD309" t="s">
        <v>41</v>
      </c>
      <c r="AE309" t="s">
        <v>62</v>
      </c>
      <c r="AF309" t="s">
        <v>57</v>
      </c>
      <c r="AG309">
        <f>IF(HR_Data[[#This Row],[Attrition]]="Yes",1,0)</f>
        <v>0</v>
      </c>
      <c r="AH309" t="str">
        <f>IF(HR_Data[Date_of_termination]="","Active","Left")</f>
        <v>Active</v>
      </c>
      <c r="AI309" t="str">
        <f>IF(HR_Data[YearsAtCompany]&lt;=2,"Fresher", IF(HR_Data[YearsAtCompany]&lt;=5,"Junior", IF(HR_Data[YearsAtCompany]&lt;=10, "Mid","Senior")))</f>
        <v>Fresher</v>
      </c>
      <c r="AJ309" s="2" t="str">
        <f>IF(HR_Data[MonthlyIncome]&lt;=300,"Low", IF(HR_Data[MonthlyIncome]&lt;=7000,"Medium", "High"))</f>
        <v>High</v>
      </c>
      <c r="AK309" s="2" t="str">
        <f>VLOOKUP(HR_Data[JobRole], JobRole_Map[], 2, FALSE)</f>
        <v>Management</v>
      </c>
    </row>
    <row r="310" spans="1:37" x14ac:dyDescent="0.25">
      <c r="A310" s="2">
        <v>35</v>
      </c>
      <c r="B310" t="s">
        <v>32</v>
      </c>
      <c r="C310" t="s">
        <v>33</v>
      </c>
      <c r="D310" t="s">
        <v>53</v>
      </c>
      <c r="E310">
        <v>15</v>
      </c>
      <c r="F310" t="s">
        <v>35</v>
      </c>
      <c r="G310">
        <v>1</v>
      </c>
      <c r="H310">
        <v>2</v>
      </c>
      <c r="I310" t="s">
        <v>64</v>
      </c>
      <c r="J310">
        <v>4</v>
      </c>
      <c r="K310" t="s">
        <v>55</v>
      </c>
      <c r="L310">
        <v>5440</v>
      </c>
      <c r="M310">
        <v>6</v>
      </c>
      <c r="N310" t="s">
        <v>32</v>
      </c>
      <c r="O310">
        <v>14</v>
      </c>
      <c r="P310">
        <v>3</v>
      </c>
      <c r="Q310">
        <v>2</v>
      </c>
      <c r="R310">
        <v>7</v>
      </c>
      <c r="S310">
        <v>2</v>
      </c>
      <c r="T310">
        <v>2</v>
      </c>
      <c r="U310">
        <v>2</v>
      </c>
      <c r="V310">
        <v>2</v>
      </c>
      <c r="W310" t="s">
        <v>38</v>
      </c>
      <c r="X310" s="1" t="d">
        <v>2019-05-22</v>
      </c>
      <c r="Z310" t="s">
        <v>59</v>
      </c>
      <c r="AA310" t="s">
        <v>40</v>
      </c>
      <c r="AB310">
        <v>1</v>
      </c>
      <c r="AC310">
        <v>2</v>
      </c>
      <c r="AD310" t="s">
        <v>41</v>
      </c>
      <c r="AE310" t="s">
        <v>42</v>
      </c>
      <c r="AF310" t="s">
        <v>48</v>
      </c>
      <c r="AG310">
        <f>IF(HR_Data[[#This Row],[Attrition]]="Yes",1,0)</f>
        <v>1</v>
      </c>
      <c r="AH310" t="str">
        <f>IF(HR_Data[Date_of_termination]="","Active","Left")</f>
        <v>Active</v>
      </c>
      <c r="AI310" t="str">
        <f>IF(HR_Data[YearsAtCompany]&lt;=2,"Fresher", IF(HR_Data[YearsAtCompany]&lt;=5,"Junior", IF(HR_Data[YearsAtCompany]&lt;=10, "Mid","Senior")))</f>
        <v>Fresher</v>
      </c>
      <c r="AJ310" s="2" t="str">
        <f>IF(HR_Data[MonthlyIncome]&lt;=300,"Low", IF(HR_Data[MonthlyIncome]&lt;=7000,"Medium", "High"))</f>
        <v>Medium</v>
      </c>
      <c r="AK310" s="2" t="str">
        <f>VLOOKUP(HR_Data[JobRole], JobRole_Map[], 2, FALSE)</f>
        <v>Sales</v>
      </c>
    </row>
    <row r="311" spans="1:37" x14ac:dyDescent="0.25">
      <c r="A311" s="2">
        <v>20</v>
      </c>
      <c r="B311" t="s">
        <v>41</v>
      </c>
      <c r="C311" t="s">
        <v>33</v>
      </c>
      <c r="D311" t="s">
        <v>53</v>
      </c>
      <c r="E311">
        <v>2</v>
      </c>
      <c r="F311" t="s">
        <v>58</v>
      </c>
      <c r="G311">
        <v>3</v>
      </c>
      <c r="H311">
        <v>1</v>
      </c>
      <c r="I311" t="s">
        <v>54</v>
      </c>
      <c r="J311">
        <v>3</v>
      </c>
      <c r="K311" t="s">
        <v>37</v>
      </c>
      <c r="L311">
        <v>2783</v>
      </c>
      <c r="M311">
        <v>1</v>
      </c>
      <c r="N311" t="s">
        <v>41</v>
      </c>
      <c r="O311">
        <v>19</v>
      </c>
      <c r="P311">
        <v>3</v>
      </c>
      <c r="Q311">
        <v>0</v>
      </c>
      <c r="R311">
        <v>2</v>
      </c>
      <c r="S311">
        <v>3</v>
      </c>
      <c r="T311">
        <v>2</v>
      </c>
      <c r="U311">
        <v>2</v>
      </c>
      <c r="V311">
        <v>2</v>
      </c>
      <c r="W311" t="s">
        <v>65</v>
      </c>
      <c r="X311" s="1" t="d">
        <v>2019-02-08</v>
      </c>
      <c r="Z311" t="s">
        <v>52</v>
      </c>
      <c r="AA311" t="s">
        <v>40</v>
      </c>
      <c r="AB311">
        <v>1</v>
      </c>
      <c r="AC311">
        <v>1</v>
      </c>
      <c r="AD311" t="s">
        <v>41</v>
      </c>
      <c r="AE311" t="s">
        <v>60</v>
      </c>
      <c r="AF311" t="s">
        <v>48</v>
      </c>
      <c r="AG311">
        <f>IF(HR_Data[[#This Row],[Attrition]]="Yes",1,0)</f>
        <v>0</v>
      </c>
      <c r="AH311" t="str">
        <f>IF(HR_Data[Date_of_termination]="","Active","Left")</f>
        <v>Active</v>
      </c>
      <c r="AI311" t="str">
        <f>IF(HR_Data[YearsAtCompany]&lt;=2,"Fresher", IF(HR_Data[YearsAtCompany]&lt;=5,"Junior", IF(HR_Data[YearsAtCompany]&lt;=10, "Mid","Senior")))</f>
        <v>Fresher</v>
      </c>
      <c r="AJ311" s="2" t="str">
        <f>IF(HR_Data[MonthlyIncome]&lt;=300,"Low", IF(HR_Data[MonthlyIncome]&lt;=7000,"Medium", "High"))</f>
        <v>Medium</v>
      </c>
      <c r="AK311" s="2" t="str">
        <f>VLOOKUP(HR_Data[JobRole], JobRole_Map[], 2, FALSE)</f>
        <v>Sales</v>
      </c>
    </row>
    <row r="312" spans="1:37" x14ac:dyDescent="0.25">
      <c r="A312" s="2">
        <v>49</v>
      </c>
      <c r="B312" t="s">
        <v>41</v>
      </c>
      <c r="C312" t="s">
        <v>33</v>
      </c>
      <c r="D312" t="s">
        <v>34</v>
      </c>
      <c r="E312">
        <v>16</v>
      </c>
      <c r="F312" t="s">
        <v>58</v>
      </c>
      <c r="G312">
        <v>3</v>
      </c>
      <c r="H312">
        <v>1</v>
      </c>
      <c r="I312" t="s">
        <v>36</v>
      </c>
      <c r="J312">
        <v>1</v>
      </c>
      <c r="K312" t="s">
        <v>55</v>
      </c>
      <c r="L312">
        <v>2587</v>
      </c>
      <c r="M312">
        <v>4</v>
      </c>
      <c r="N312" t="s">
        <v>32</v>
      </c>
      <c r="O312">
        <v>16</v>
      </c>
      <c r="P312">
        <v>3</v>
      </c>
      <c r="Q312">
        <v>1</v>
      </c>
      <c r="R312">
        <v>17</v>
      </c>
      <c r="S312">
        <v>2</v>
      </c>
      <c r="T312">
        <v>2</v>
      </c>
      <c r="U312">
        <v>2</v>
      </c>
      <c r="V312">
        <v>2</v>
      </c>
      <c r="W312" t="s">
        <v>51</v>
      </c>
      <c r="X312" s="1" t="d">
        <v>2019-05-07</v>
      </c>
      <c r="Z312" t="s">
        <v>45</v>
      </c>
      <c r="AA312" t="s">
        <v>46</v>
      </c>
      <c r="AB312">
        <v>5</v>
      </c>
      <c r="AC312">
        <v>1</v>
      </c>
      <c r="AD312" t="s">
        <v>41</v>
      </c>
      <c r="AE312" t="s">
        <v>47</v>
      </c>
      <c r="AF312" t="s">
        <v>48</v>
      </c>
      <c r="AG312">
        <f>IF(HR_Data[[#This Row],[Attrition]]="Yes",1,0)</f>
        <v>0</v>
      </c>
      <c r="AH312" t="str">
        <f>IF(HR_Data[Date_of_termination]="","Active","Left")</f>
        <v>Active</v>
      </c>
      <c r="AI312" t="str">
        <f>IF(HR_Data[YearsAtCompany]&lt;=2,"Fresher", IF(HR_Data[YearsAtCompany]&lt;=5,"Junior", IF(HR_Data[YearsAtCompany]&lt;=10, "Mid","Senior")))</f>
        <v>Fresher</v>
      </c>
      <c r="AJ312" s="2" t="str">
        <f>IF(HR_Data[MonthlyIncome]&lt;=300,"Low", IF(HR_Data[MonthlyIncome]&lt;=7000,"Medium", "High"))</f>
        <v>Medium</v>
      </c>
      <c r="AK312" s="2" t="str">
        <f>VLOOKUP(HR_Data[JobRole], JobRole_Map[], 2, FALSE)</f>
        <v>Technical</v>
      </c>
    </row>
    <row r="313" spans="1:37" x14ac:dyDescent="0.25">
      <c r="A313" s="2">
        <v>41</v>
      </c>
      <c r="B313" t="s">
        <v>41</v>
      </c>
      <c r="C313" t="s">
        <v>33</v>
      </c>
      <c r="D313" t="s">
        <v>53</v>
      </c>
      <c r="E313">
        <v>23</v>
      </c>
      <c r="F313" t="s">
        <v>35</v>
      </c>
      <c r="G313">
        <v>3</v>
      </c>
      <c r="H313">
        <v>3</v>
      </c>
      <c r="I313" t="s">
        <v>64</v>
      </c>
      <c r="J313">
        <v>3</v>
      </c>
      <c r="K313" t="s">
        <v>37</v>
      </c>
      <c r="L313">
        <v>7082</v>
      </c>
      <c r="M313">
        <v>3</v>
      </c>
      <c r="N313" t="s">
        <v>32</v>
      </c>
      <c r="O313">
        <v>16</v>
      </c>
      <c r="P313">
        <v>3</v>
      </c>
      <c r="Q313">
        <v>0</v>
      </c>
      <c r="R313">
        <v>21</v>
      </c>
      <c r="S313">
        <v>2</v>
      </c>
      <c r="T313">
        <v>2</v>
      </c>
      <c r="U313">
        <v>0</v>
      </c>
      <c r="V313">
        <v>2</v>
      </c>
      <c r="W313" t="s">
        <v>65</v>
      </c>
      <c r="X313" s="1" t="d">
        <v>2019-06-24</v>
      </c>
      <c r="Z313" t="s">
        <v>45</v>
      </c>
      <c r="AA313" t="s">
        <v>46</v>
      </c>
      <c r="AB313">
        <v>0</v>
      </c>
      <c r="AC313">
        <v>2</v>
      </c>
      <c r="AD313" t="s">
        <v>32</v>
      </c>
      <c r="AE313" t="s">
        <v>60</v>
      </c>
      <c r="AF313" t="s">
        <v>43</v>
      </c>
      <c r="AG313">
        <f>IF(HR_Data[[#This Row],[Attrition]]="Yes",1,0)</f>
        <v>0</v>
      </c>
      <c r="AH313" t="str">
        <f>IF(HR_Data[Date_of_termination]="","Active","Left")</f>
        <v>Active</v>
      </c>
      <c r="AI313" t="str">
        <f>IF(HR_Data[YearsAtCompany]&lt;=2,"Fresher", IF(HR_Data[YearsAtCompany]&lt;=5,"Junior", IF(HR_Data[YearsAtCompany]&lt;=10, "Mid","Senior")))</f>
        <v>Fresher</v>
      </c>
      <c r="AJ313" s="2" t="str">
        <f>IF(HR_Data[MonthlyIncome]&lt;=300,"Low", IF(HR_Data[MonthlyIncome]&lt;=7000,"Medium", "High"))</f>
        <v>High</v>
      </c>
      <c r="AK313" s="2" t="str">
        <f>VLOOKUP(HR_Data[JobRole], JobRole_Map[], 2, FALSE)</f>
        <v>Sales</v>
      </c>
    </row>
    <row r="314" spans="1:37" x14ac:dyDescent="0.25">
      <c r="A314" s="2">
        <v>20</v>
      </c>
      <c r="B314" t="s">
        <v>41</v>
      </c>
      <c r="C314" t="s">
        <v>33</v>
      </c>
      <c r="D314" t="s">
        <v>53</v>
      </c>
      <c r="E314">
        <v>9</v>
      </c>
      <c r="F314" t="s">
        <v>35</v>
      </c>
      <c r="G314">
        <v>3</v>
      </c>
      <c r="H314">
        <v>1</v>
      </c>
      <c r="I314" t="s">
        <v>54</v>
      </c>
      <c r="J314">
        <v>1</v>
      </c>
      <c r="K314" t="s">
        <v>37</v>
      </c>
      <c r="L314">
        <v>2728</v>
      </c>
      <c r="M314">
        <v>1</v>
      </c>
      <c r="N314" t="s">
        <v>41</v>
      </c>
      <c r="O314">
        <v>11</v>
      </c>
      <c r="P314">
        <v>3</v>
      </c>
      <c r="Q314">
        <v>0</v>
      </c>
      <c r="R314">
        <v>2</v>
      </c>
      <c r="S314">
        <v>3</v>
      </c>
      <c r="T314">
        <v>2</v>
      </c>
      <c r="U314">
        <v>0</v>
      </c>
      <c r="V314">
        <v>2</v>
      </c>
      <c r="W314" t="s">
        <v>38</v>
      </c>
      <c r="X314" s="1" t="d">
        <v>2019-06-25</v>
      </c>
      <c r="Z314" t="s">
        <v>39</v>
      </c>
      <c r="AA314" t="s">
        <v>40</v>
      </c>
      <c r="AB314">
        <v>0</v>
      </c>
      <c r="AC314">
        <v>0</v>
      </c>
      <c r="AD314" t="s">
        <v>41</v>
      </c>
      <c r="AE314" t="s">
        <v>62</v>
      </c>
      <c r="AF314" t="s">
        <v>43</v>
      </c>
      <c r="AG314">
        <f>IF(HR_Data[[#This Row],[Attrition]]="Yes",1,0)</f>
        <v>0</v>
      </c>
      <c r="AH314" t="str">
        <f>IF(HR_Data[Date_of_termination]="","Active","Left")</f>
        <v>Active</v>
      </c>
      <c r="AI314" t="str">
        <f>IF(HR_Data[YearsAtCompany]&lt;=2,"Fresher", IF(HR_Data[YearsAtCompany]&lt;=5,"Junior", IF(HR_Data[YearsAtCompany]&lt;=10, "Mid","Senior")))</f>
        <v>Fresher</v>
      </c>
      <c r="AJ314" s="2" t="str">
        <f>IF(HR_Data[MonthlyIncome]&lt;=300,"Low", IF(HR_Data[MonthlyIncome]&lt;=7000,"Medium", "High"))</f>
        <v>Medium</v>
      </c>
      <c r="AK314" s="2" t="str">
        <f>VLOOKUP(HR_Data[JobRole], JobRole_Map[], 2, FALSE)</f>
        <v>Sales</v>
      </c>
    </row>
    <row r="315" spans="1:37" x14ac:dyDescent="0.25">
      <c r="A315" s="2">
        <v>36</v>
      </c>
      <c r="B315" t="s">
        <v>32</v>
      </c>
      <c r="C315" t="s">
        <v>33</v>
      </c>
      <c r="D315" t="s">
        <v>53</v>
      </c>
      <c r="E315">
        <v>13</v>
      </c>
      <c r="F315" t="s">
        <v>35</v>
      </c>
      <c r="G315">
        <v>2</v>
      </c>
      <c r="H315">
        <v>2</v>
      </c>
      <c r="I315" t="s">
        <v>64</v>
      </c>
      <c r="J315">
        <v>1</v>
      </c>
      <c r="K315" t="s">
        <v>55</v>
      </c>
      <c r="L315">
        <v>6134</v>
      </c>
      <c r="M315">
        <v>5</v>
      </c>
      <c r="N315" t="s">
        <v>32</v>
      </c>
      <c r="O315">
        <v>13</v>
      </c>
      <c r="P315">
        <v>3</v>
      </c>
      <c r="Q315">
        <v>3</v>
      </c>
      <c r="R315">
        <v>16</v>
      </c>
      <c r="S315">
        <v>3</v>
      </c>
      <c r="T315">
        <v>2</v>
      </c>
      <c r="U315">
        <v>2</v>
      </c>
      <c r="V315">
        <v>2</v>
      </c>
      <c r="W315" t="s">
        <v>56</v>
      </c>
      <c r="X315" s="1" t="d">
        <v>2019-03-12</v>
      </c>
      <c r="Z315" t="s">
        <v>45</v>
      </c>
      <c r="AA315" t="s">
        <v>46</v>
      </c>
      <c r="AB315">
        <v>4</v>
      </c>
      <c r="AC315">
        <v>0</v>
      </c>
      <c r="AD315" t="s">
        <v>41</v>
      </c>
      <c r="AE315" t="s">
        <v>47</v>
      </c>
      <c r="AF315" t="s">
        <v>48</v>
      </c>
      <c r="AG315">
        <f>IF(HR_Data[[#This Row],[Attrition]]="Yes",1,0)</f>
        <v>1</v>
      </c>
      <c r="AH315" t="str">
        <f>IF(HR_Data[Date_of_termination]="","Active","Left")</f>
        <v>Active</v>
      </c>
      <c r="AI315" t="str">
        <f>IF(HR_Data[YearsAtCompany]&lt;=2,"Fresher", IF(HR_Data[YearsAtCompany]&lt;=5,"Junior", IF(HR_Data[YearsAtCompany]&lt;=10, "Mid","Senior")))</f>
        <v>Fresher</v>
      </c>
      <c r="AJ315" s="2" t="str">
        <f>IF(HR_Data[MonthlyIncome]&lt;=300,"Low", IF(HR_Data[MonthlyIncome]&lt;=7000,"Medium", "High"))</f>
        <v>Medium</v>
      </c>
      <c r="AK315" s="2" t="str">
        <f>VLOOKUP(HR_Data[JobRole], JobRole_Map[], 2, FALSE)</f>
        <v>Sales</v>
      </c>
    </row>
    <row r="316" spans="1:37" x14ac:dyDescent="0.25">
      <c r="A316" s="2">
        <v>24</v>
      </c>
      <c r="B316" t="s">
        <v>41</v>
      </c>
      <c r="C316" t="s">
        <v>61</v>
      </c>
      <c r="D316" t="s">
        <v>70</v>
      </c>
      <c r="E316">
        <v>10</v>
      </c>
      <c r="F316" t="s">
        <v>35</v>
      </c>
      <c r="G316">
        <v>3</v>
      </c>
      <c r="H316">
        <v>1</v>
      </c>
      <c r="I316" t="s">
        <v>70</v>
      </c>
      <c r="J316">
        <v>4</v>
      </c>
      <c r="K316" t="s">
        <v>50</v>
      </c>
      <c r="L316">
        <v>2145</v>
      </c>
      <c r="M316">
        <v>0</v>
      </c>
      <c r="N316" t="s">
        <v>41</v>
      </c>
      <c r="O316">
        <v>14</v>
      </c>
      <c r="P316">
        <v>3</v>
      </c>
      <c r="Q316">
        <v>1</v>
      </c>
      <c r="R316">
        <v>3</v>
      </c>
      <c r="S316">
        <v>2</v>
      </c>
      <c r="T316">
        <v>2</v>
      </c>
      <c r="U316">
        <v>2</v>
      </c>
      <c r="V316">
        <v>1</v>
      </c>
      <c r="W316" t="s">
        <v>38</v>
      </c>
      <c r="X316" s="1" t="d">
        <v>2019-03-17</v>
      </c>
      <c r="Z316" t="s">
        <v>59</v>
      </c>
      <c r="AA316" t="s">
        <v>40</v>
      </c>
      <c r="AB316">
        <v>2</v>
      </c>
      <c r="AC316">
        <v>3</v>
      </c>
      <c r="AD316" t="s">
        <v>41</v>
      </c>
      <c r="AE316" t="s">
        <v>62</v>
      </c>
      <c r="AF316" t="s">
        <v>57</v>
      </c>
      <c r="AG316">
        <f>IF(HR_Data[[#This Row],[Attrition]]="Yes",1,0)</f>
        <v>0</v>
      </c>
      <c r="AH316" t="str">
        <f>IF(HR_Data[Date_of_termination]="","Active","Left")</f>
        <v>Active</v>
      </c>
      <c r="AI316" t="str">
        <f>IF(HR_Data[YearsAtCompany]&lt;=2,"Fresher", IF(HR_Data[YearsAtCompany]&lt;=5,"Junior", IF(HR_Data[YearsAtCompany]&lt;=10, "Mid","Senior")))</f>
        <v>Fresher</v>
      </c>
      <c r="AJ316" s="2" t="str">
        <f>IF(HR_Data[MonthlyIncome]&lt;=300,"Low", IF(HR_Data[MonthlyIncome]&lt;=7000,"Medium", "High"))</f>
        <v>Medium</v>
      </c>
      <c r="AK316" s="2" t="str">
        <f>VLOOKUP(HR_Data[JobRole], JobRole_Map[], 2, FALSE)</f>
        <v>HR</v>
      </c>
    </row>
    <row r="317" spans="1:37" x14ac:dyDescent="0.25">
      <c r="A317" s="2">
        <v>29</v>
      </c>
      <c r="B317" t="s">
        <v>32</v>
      </c>
      <c r="C317" t="s">
        <v>33</v>
      </c>
      <c r="D317" t="s">
        <v>53</v>
      </c>
      <c r="E317">
        <v>9</v>
      </c>
      <c r="F317" t="s">
        <v>58</v>
      </c>
      <c r="G317">
        <v>1</v>
      </c>
      <c r="H317">
        <v>1</v>
      </c>
      <c r="I317" t="s">
        <v>54</v>
      </c>
      <c r="J317">
        <v>2</v>
      </c>
      <c r="K317" t="s">
        <v>37</v>
      </c>
      <c r="L317">
        <v>2760</v>
      </c>
      <c r="M317">
        <v>1</v>
      </c>
      <c r="N317" t="s">
        <v>41</v>
      </c>
      <c r="O317">
        <v>13</v>
      </c>
      <c r="P317">
        <v>3</v>
      </c>
      <c r="Q317">
        <v>0</v>
      </c>
      <c r="R317">
        <v>2</v>
      </c>
      <c r="S317">
        <v>3</v>
      </c>
      <c r="T317">
        <v>2</v>
      </c>
      <c r="U317">
        <v>2</v>
      </c>
      <c r="V317">
        <v>2</v>
      </c>
      <c r="W317" t="s">
        <v>65</v>
      </c>
      <c r="X317" s="1" t="d">
        <v>2019-04-14</v>
      </c>
      <c r="Z317" t="s">
        <v>52</v>
      </c>
      <c r="AA317" t="s">
        <v>46</v>
      </c>
      <c r="AB317">
        <v>5</v>
      </c>
      <c r="AC317">
        <v>1</v>
      </c>
      <c r="AD317" t="s">
        <v>32</v>
      </c>
      <c r="AE317" t="s">
        <v>62</v>
      </c>
      <c r="AF317" t="s">
        <v>48</v>
      </c>
      <c r="AG317">
        <f>IF(HR_Data[[#This Row],[Attrition]]="Yes",1,0)</f>
        <v>1</v>
      </c>
      <c r="AH317" t="str">
        <f>IF(HR_Data[Date_of_termination]="","Active","Left")</f>
        <v>Active</v>
      </c>
      <c r="AI317" t="str">
        <f>IF(HR_Data[YearsAtCompany]&lt;=2,"Fresher", IF(HR_Data[YearsAtCompany]&lt;=5,"Junior", IF(HR_Data[YearsAtCompany]&lt;=10, "Mid","Senior")))</f>
        <v>Fresher</v>
      </c>
      <c r="AJ317" s="2" t="str">
        <f>IF(HR_Data[MonthlyIncome]&lt;=300,"Low", IF(HR_Data[MonthlyIncome]&lt;=7000,"Medium", "High"))</f>
        <v>Medium</v>
      </c>
      <c r="AK317" s="2" t="str">
        <f>VLOOKUP(HR_Data[JobRole], JobRole_Map[], 2, FALSE)</f>
        <v>Sales</v>
      </c>
    </row>
    <row r="318" spans="1:37" x14ac:dyDescent="0.25">
      <c r="A318" s="2">
        <v>34</v>
      </c>
      <c r="B318" t="s">
        <v>41</v>
      </c>
      <c r="C318" t="s">
        <v>33</v>
      </c>
      <c r="D318" t="s">
        <v>53</v>
      </c>
      <c r="E318">
        <v>3</v>
      </c>
      <c r="F318" t="s">
        <v>58</v>
      </c>
      <c r="G318">
        <v>1</v>
      </c>
      <c r="H318">
        <v>2</v>
      </c>
      <c r="I318" t="s">
        <v>64</v>
      </c>
      <c r="J318">
        <v>4</v>
      </c>
      <c r="K318" t="s">
        <v>37</v>
      </c>
      <c r="L318">
        <v>6029</v>
      </c>
      <c r="M318">
        <v>5</v>
      </c>
      <c r="N318" t="s">
        <v>41</v>
      </c>
      <c r="O318">
        <v>12</v>
      </c>
      <c r="P318">
        <v>3</v>
      </c>
      <c r="Q318">
        <v>0</v>
      </c>
      <c r="R318">
        <v>6</v>
      </c>
      <c r="S318">
        <v>3</v>
      </c>
      <c r="T318">
        <v>2</v>
      </c>
      <c r="U318">
        <v>2</v>
      </c>
      <c r="V318">
        <v>2</v>
      </c>
      <c r="W318" t="s">
        <v>51</v>
      </c>
      <c r="X318" s="1" t="d">
        <v>2019-06-02</v>
      </c>
      <c r="Z318" t="s">
        <v>52</v>
      </c>
      <c r="AA318" t="s">
        <v>46</v>
      </c>
      <c r="AB318">
        <v>1</v>
      </c>
      <c r="AC318">
        <v>1</v>
      </c>
      <c r="AD318" t="s">
        <v>41</v>
      </c>
      <c r="AE318" t="s">
        <v>47</v>
      </c>
      <c r="AF318" t="s">
        <v>57</v>
      </c>
      <c r="AG318">
        <f>IF(HR_Data[[#This Row],[Attrition]]="Yes",1,0)</f>
        <v>0</v>
      </c>
      <c r="AH318" t="str">
        <f>IF(HR_Data[Date_of_termination]="","Active","Left")</f>
        <v>Active</v>
      </c>
      <c r="AI318" t="str">
        <f>IF(HR_Data[YearsAtCompany]&lt;=2,"Fresher", IF(HR_Data[YearsAtCompany]&lt;=5,"Junior", IF(HR_Data[YearsAtCompany]&lt;=10, "Mid","Senior")))</f>
        <v>Fresher</v>
      </c>
      <c r="AJ318" s="2" t="str">
        <f>IF(HR_Data[MonthlyIncome]&lt;=300,"Low", IF(HR_Data[MonthlyIncome]&lt;=7000,"Medium", "High"))</f>
        <v>Medium</v>
      </c>
      <c r="AK318" s="2" t="str">
        <f>VLOOKUP(HR_Data[JobRole], JobRole_Map[], 2, FALSE)</f>
        <v>Sales</v>
      </c>
    </row>
    <row r="319" spans="1:37" x14ac:dyDescent="0.25">
      <c r="A319" s="2">
        <v>51</v>
      </c>
      <c r="B319" t="s">
        <v>41</v>
      </c>
      <c r="C319" t="s">
        <v>33</v>
      </c>
      <c r="D319" t="s">
        <v>34</v>
      </c>
      <c r="E319">
        <v>3</v>
      </c>
      <c r="F319" t="s">
        <v>58</v>
      </c>
      <c r="G319">
        <v>3</v>
      </c>
      <c r="H319">
        <v>3</v>
      </c>
      <c r="I319" t="s">
        <v>66</v>
      </c>
      <c r="J319">
        <v>3</v>
      </c>
      <c r="K319" t="s">
        <v>50</v>
      </c>
      <c r="L319">
        <v>13116</v>
      </c>
      <c r="M319">
        <v>2</v>
      </c>
      <c r="N319" t="s">
        <v>41</v>
      </c>
      <c r="O319">
        <v>11</v>
      </c>
      <c r="P319">
        <v>3</v>
      </c>
      <c r="Q319">
        <v>0</v>
      </c>
      <c r="R319">
        <v>15</v>
      </c>
      <c r="S319">
        <v>2</v>
      </c>
      <c r="T319">
        <v>2</v>
      </c>
      <c r="U319">
        <v>2</v>
      </c>
      <c r="V319">
        <v>2</v>
      </c>
      <c r="W319" t="s">
        <v>51</v>
      </c>
      <c r="X319" s="1" t="d">
        <v>2019-01-02</v>
      </c>
      <c r="Z319" t="s">
        <v>59</v>
      </c>
      <c r="AA319" t="s">
        <v>40</v>
      </c>
      <c r="AB319">
        <v>1</v>
      </c>
      <c r="AC319">
        <v>2</v>
      </c>
      <c r="AD319" t="s">
        <v>32</v>
      </c>
      <c r="AE319" t="s">
        <v>42</v>
      </c>
      <c r="AF319" t="s">
        <v>57</v>
      </c>
      <c r="AG319">
        <f>IF(HR_Data[[#This Row],[Attrition]]="Yes",1,0)</f>
        <v>0</v>
      </c>
      <c r="AH319" t="str">
        <f>IF(HR_Data[Date_of_termination]="","Active","Left")</f>
        <v>Active</v>
      </c>
      <c r="AI319" t="str">
        <f>IF(HR_Data[YearsAtCompany]&lt;=2,"Fresher", IF(HR_Data[YearsAtCompany]&lt;=5,"Junior", IF(HR_Data[YearsAtCompany]&lt;=10, "Mid","Senior")))</f>
        <v>Fresher</v>
      </c>
      <c r="AJ319" s="2" t="str">
        <f>IF(HR_Data[MonthlyIncome]&lt;=300,"Low", IF(HR_Data[MonthlyIncome]&lt;=7000,"Medium", "High"))</f>
        <v>High</v>
      </c>
      <c r="AK319" s="2" t="str">
        <f>VLOOKUP(HR_Data[JobRole], JobRole_Map[], 2, FALSE)</f>
        <v>Management</v>
      </c>
    </row>
    <row r="320" spans="1:37" x14ac:dyDescent="0.25">
      <c r="A320" s="2">
        <v>46</v>
      </c>
      <c r="B320" t="s">
        <v>41</v>
      </c>
      <c r="C320" t="s">
        <v>33</v>
      </c>
      <c r="D320" t="s">
        <v>34</v>
      </c>
      <c r="E320">
        <v>2</v>
      </c>
      <c r="F320" t="s">
        <v>35</v>
      </c>
      <c r="G320">
        <v>3</v>
      </c>
      <c r="H320">
        <v>5</v>
      </c>
      <c r="I320" t="s">
        <v>49</v>
      </c>
      <c r="J320">
        <v>4</v>
      </c>
      <c r="K320" t="s">
        <v>55</v>
      </c>
      <c r="L320">
        <v>19328</v>
      </c>
      <c r="M320">
        <v>7</v>
      </c>
      <c r="N320" t="s">
        <v>32</v>
      </c>
      <c r="O320">
        <v>17</v>
      </c>
      <c r="P320">
        <v>3</v>
      </c>
      <c r="Q320">
        <v>1</v>
      </c>
      <c r="R320">
        <v>24</v>
      </c>
      <c r="S320">
        <v>3</v>
      </c>
      <c r="T320">
        <v>2</v>
      </c>
      <c r="U320">
        <v>2</v>
      </c>
      <c r="V320">
        <v>2</v>
      </c>
      <c r="W320" t="s">
        <v>56</v>
      </c>
      <c r="X320" s="1" t="d">
        <v>2019-02-19</v>
      </c>
      <c r="Z320" t="s">
        <v>63</v>
      </c>
      <c r="AA320" t="s">
        <v>46</v>
      </c>
      <c r="AB320">
        <v>3</v>
      </c>
      <c r="AC320">
        <v>0</v>
      </c>
      <c r="AD320" t="s">
        <v>41</v>
      </c>
      <c r="AE320" t="s">
        <v>47</v>
      </c>
      <c r="AF320" t="s">
        <v>43</v>
      </c>
      <c r="AG320">
        <f>IF(HR_Data[[#This Row],[Attrition]]="Yes",1,0)</f>
        <v>0</v>
      </c>
      <c r="AH320" t="str">
        <f>IF(HR_Data[Date_of_termination]="","Active","Left")</f>
        <v>Active</v>
      </c>
      <c r="AI320" t="str">
        <f>IF(HR_Data[YearsAtCompany]&lt;=2,"Fresher", IF(HR_Data[YearsAtCompany]&lt;=5,"Junior", IF(HR_Data[YearsAtCompany]&lt;=10, "Mid","Senior")))</f>
        <v>Fresher</v>
      </c>
      <c r="AJ320" s="2" t="str">
        <f>IF(HR_Data[MonthlyIncome]&lt;=300,"Low", IF(HR_Data[MonthlyIncome]&lt;=7000,"Medium", "High"))</f>
        <v>High</v>
      </c>
      <c r="AK320" s="2" t="str">
        <f>VLOOKUP(HR_Data[JobRole], JobRole_Map[], 2, FALSE)</f>
        <v>Management</v>
      </c>
    </row>
    <row r="321" spans="1:37" x14ac:dyDescent="0.25">
      <c r="A321" s="2">
        <v>46</v>
      </c>
      <c r="B321" t="s">
        <v>41</v>
      </c>
      <c r="C321" t="s">
        <v>68</v>
      </c>
      <c r="D321" t="s">
        <v>53</v>
      </c>
      <c r="E321">
        <v>26</v>
      </c>
      <c r="F321" t="s">
        <v>35</v>
      </c>
      <c r="G321">
        <v>2</v>
      </c>
      <c r="H321">
        <v>2</v>
      </c>
      <c r="I321" t="s">
        <v>64</v>
      </c>
      <c r="J321">
        <v>2</v>
      </c>
      <c r="K321" t="s">
        <v>37</v>
      </c>
      <c r="L321">
        <v>7991</v>
      </c>
      <c r="M321">
        <v>8</v>
      </c>
      <c r="N321" t="s">
        <v>41</v>
      </c>
      <c r="O321">
        <v>15</v>
      </c>
      <c r="P321">
        <v>3</v>
      </c>
      <c r="Q321">
        <v>0</v>
      </c>
      <c r="R321">
        <v>6</v>
      </c>
      <c r="S321">
        <v>3</v>
      </c>
      <c r="T321">
        <v>2</v>
      </c>
      <c r="U321">
        <v>2</v>
      </c>
      <c r="V321">
        <v>2</v>
      </c>
      <c r="W321" t="s">
        <v>38</v>
      </c>
      <c r="X321" s="1" t="d">
        <v>2019-04-19</v>
      </c>
      <c r="Z321" t="s">
        <v>52</v>
      </c>
      <c r="AA321" t="s">
        <v>40</v>
      </c>
      <c r="AB321">
        <v>5</v>
      </c>
      <c r="AC321">
        <v>0</v>
      </c>
      <c r="AD321" t="s">
        <v>41</v>
      </c>
      <c r="AE321" t="s">
        <v>60</v>
      </c>
      <c r="AF321" t="s">
        <v>43</v>
      </c>
      <c r="AG321">
        <f>IF(HR_Data[[#This Row],[Attrition]]="Yes",1,0)</f>
        <v>0</v>
      </c>
      <c r="AH321" t="str">
        <f>IF(HR_Data[Date_of_termination]="","Active","Left")</f>
        <v>Active</v>
      </c>
      <c r="AI321" t="str">
        <f>IF(HR_Data[YearsAtCompany]&lt;=2,"Fresher", IF(HR_Data[YearsAtCompany]&lt;=5,"Junior", IF(HR_Data[YearsAtCompany]&lt;=10, "Mid","Senior")))</f>
        <v>Fresher</v>
      </c>
      <c r="AJ321" s="2" t="str">
        <f>IF(HR_Data[MonthlyIncome]&lt;=300,"Low", IF(HR_Data[MonthlyIncome]&lt;=7000,"Medium", "High"))</f>
        <v>High</v>
      </c>
      <c r="AK321" s="2" t="str">
        <f>VLOOKUP(HR_Data[JobRole], JobRole_Map[], 2, FALSE)</f>
        <v>Sales</v>
      </c>
    </row>
    <row r="322" spans="1:37" x14ac:dyDescent="0.25">
      <c r="A322" s="2">
        <v>39</v>
      </c>
      <c r="B322" t="s">
        <v>41</v>
      </c>
      <c r="C322" t="s">
        <v>61</v>
      </c>
      <c r="D322" t="s">
        <v>53</v>
      </c>
      <c r="E322">
        <v>20</v>
      </c>
      <c r="F322" t="s">
        <v>35</v>
      </c>
      <c r="G322">
        <v>3</v>
      </c>
      <c r="H322">
        <v>2</v>
      </c>
      <c r="I322" t="s">
        <v>64</v>
      </c>
      <c r="J322">
        <v>4</v>
      </c>
      <c r="K322" t="s">
        <v>55</v>
      </c>
      <c r="L322">
        <v>4127</v>
      </c>
      <c r="M322">
        <v>2</v>
      </c>
      <c r="N322" t="s">
        <v>41</v>
      </c>
      <c r="O322">
        <v>18</v>
      </c>
      <c r="P322">
        <v>3</v>
      </c>
      <c r="Q322">
        <v>1</v>
      </c>
      <c r="R322">
        <v>7</v>
      </c>
      <c r="S322">
        <v>6</v>
      </c>
      <c r="T322">
        <v>2</v>
      </c>
      <c r="U322">
        <v>2</v>
      </c>
      <c r="V322">
        <v>2</v>
      </c>
      <c r="W322" t="s">
        <v>56</v>
      </c>
      <c r="X322" s="1" t="d">
        <v>2019-03-10</v>
      </c>
      <c r="Z322" t="s">
        <v>52</v>
      </c>
      <c r="AA322" t="s">
        <v>46</v>
      </c>
      <c r="AB322">
        <v>2</v>
      </c>
      <c r="AC322">
        <v>1</v>
      </c>
      <c r="AD322" t="s">
        <v>41</v>
      </c>
      <c r="AE322" t="s">
        <v>60</v>
      </c>
      <c r="AF322" t="s">
        <v>43</v>
      </c>
      <c r="AG322">
        <f>IF(HR_Data[[#This Row],[Attrition]]="Yes",1,0)</f>
        <v>0</v>
      </c>
      <c r="AH322" t="str">
        <f>IF(HR_Data[Date_of_termination]="","Active","Left")</f>
        <v>Active</v>
      </c>
      <c r="AI322" t="str">
        <f>IF(HR_Data[YearsAtCompany]&lt;=2,"Fresher", IF(HR_Data[YearsAtCompany]&lt;=5,"Junior", IF(HR_Data[YearsAtCompany]&lt;=10, "Mid","Senior")))</f>
        <v>Fresher</v>
      </c>
      <c r="AJ322" s="2" t="str">
        <f>IF(HR_Data[MonthlyIncome]&lt;=300,"Low", IF(HR_Data[MonthlyIncome]&lt;=7000,"Medium", "High"))</f>
        <v>Medium</v>
      </c>
      <c r="AK322" s="2" t="str">
        <f>VLOOKUP(HR_Data[JobRole], JobRole_Map[], 2, FALSE)</f>
        <v>Sales</v>
      </c>
    </row>
    <row r="323" spans="1:37" x14ac:dyDescent="0.25">
      <c r="A323" s="2">
        <v>58</v>
      </c>
      <c r="B323" t="s">
        <v>41</v>
      </c>
      <c r="C323" t="s">
        <v>61</v>
      </c>
      <c r="D323" t="s">
        <v>34</v>
      </c>
      <c r="E323">
        <v>15</v>
      </c>
      <c r="F323" t="s">
        <v>35</v>
      </c>
      <c r="G323">
        <v>3</v>
      </c>
      <c r="H323">
        <v>4</v>
      </c>
      <c r="I323" t="s">
        <v>49</v>
      </c>
      <c r="J323">
        <v>3</v>
      </c>
      <c r="K323" t="s">
        <v>50</v>
      </c>
      <c r="L323">
        <v>15787</v>
      </c>
      <c r="M323">
        <v>2</v>
      </c>
      <c r="N323" t="s">
        <v>32</v>
      </c>
      <c r="O323">
        <v>14</v>
      </c>
      <c r="P323">
        <v>3</v>
      </c>
      <c r="Q323">
        <v>0</v>
      </c>
      <c r="R323">
        <v>23</v>
      </c>
      <c r="S323">
        <v>3</v>
      </c>
      <c r="T323">
        <v>2</v>
      </c>
      <c r="U323">
        <v>2</v>
      </c>
      <c r="V323">
        <v>2</v>
      </c>
      <c r="W323" t="s">
        <v>65</v>
      </c>
      <c r="X323" s="1" t="d">
        <v>2019-05-29</v>
      </c>
      <c r="Z323" t="s">
        <v>52</v>
      </c>
      <c r="AA323" t="s">
        <v>46</v>
      </c>
      <c r="AB323">
        <v>0</v>
      </c>
      <c r="AC323">
        <v>2</v>
      </c>
      <c r="AD323" t="s">
        <v>41</v>
      </c>
      <c r="AE323" t="s">
        <v>62</v>
      </c>
      <c r="AF323" t="s">
        <v>57</v>
      </c>
      <c r="AG323">
        <f>IF(HR_Data[[#This Row],[Attrition]]="Yes",1,0)</f>
        <v>0</v>
      </c>
      <c r="AH323" t="str">
        <f>IF(HR_Data[Date_of_termination]="","Active","Left")</f>
        <v>Active</v>
      </c>
      <c r="AI323" t="str">
        <f>IF(HR_Data[YearsAtCompany]&lt;=2,"Fresher", IF(HR_Data[YearsAtCompany]&lt;=5,"Junior", IF(HR_Data[YearsAtCompany]&lt;=10, "Mid","Senior")))</f>
        <v>Fresher</v>
      </c>
      <c r="AJ323" s="2" t="str">
        <f>IF(HR_Data[MonthlyIncome]&lt;=300,"Low", IF(HR_Data[MonthlyIncome]&lt;=7000,"Medium", "High"))</f>
        <v>High</v>
      </c>
      <c r="AK323" s="2" t="str">
        <f>VLOOKUP(HR_Data[JobRole], JobRole_Map[], 2, FALSE)</f>
        <v>Management</v>
      </c>
    </row>
    <row r="324" spans="1:37" x14ac:dyDescent="0.25">
      <c r="A324" s="2">
        <v>29</v>
      </c>
      <c r="B324" t="s">
        <v>32</v>
      </c>
      <c r="C324" t="s">
        <v>33</v>
      </c>
      <c r="D324" t="s">
        <v>70</v>
      </c>
      <c r="E324">
        <v>13</v>
      </c>
      <c r="F324" t="s">
        <v>35</v>
      </c>
      <c r="G324">
        <v>2</v>
      </c>
      <c r="H324">
        <v>1</v>
      </c>
      <c r="I324" t="s">
        <v>70</v>
      </c>
      <c r="J324">
        <v>1</v>
      </c>
      <c r="K324" t="s">
        <v>55</v>
      </c>
      <c r="L324">
        <v>2335</v>
      </c>
      <c r="M324">
        <v>4</v>
      </c>
      <c r="N324" t="s">
        <v>32</v>
      </c>
      <c r="O324">
        <v>15</v>
      </c>
      <c r="P324">
        <v>3</v>
      </c>
      <c r="Q324">
        <v>3</v>
      </c>
      <c r="R324">
        <v>4</v>
      </c>
      <c r="S324">
        <v>3</v>
      </c>
      <c r="T324">
        <v>2</v>
      </c>
      <c r="U324">
        <v>2</v>
      </c>
      <c r="V324">
        <v>0</v>
      </c>
      <c r="W324" t="s">
        <v>65</v>
      </c>
      <c r="X324" s="1" t="d">
        <v>2019-04-06</v>
      </c>
      <c r="Z324" t="s">
        <v>45</v>
      </c>
      <c r="AA324" t="s">
        <v>46</v>
      </c>
      <c r="AB324">
        <v>3</v>
      </c>
      <c r="AC324">
        <v>0</v>
      </c>
      <c r="AD324" t="s">
        <v>32</v>
      </c>
      <c r="AE324" t="s">
        <v>60</v>
      </c>
      <c r="AF324" t="s">
        <v>57</v>
      </c>
      <c r="AG324">
        <f>IF(HR_Data[[#This Row],[Attrition]]="Yes",1,0)</f>
        <v>1</v>
      </c>
      <c r="AH324" t="str">
        <f>IF(HR_Data[Date_of_termination]="","Active","Left")</f>
        <v>Active</v>
      </c>
      <c r="AI324" t="str">
        <f>IF(HR_Data[YearsAtCompany]&lt;=2,"Fresher", IF(HR_Data[YearsAtCompany]&lt;=5,"Junior", IF(HR_Data[YearsAtCompany]&lt;=10, "Mid","Senior")))</f>
        <v>Fresher</v>
      </c>
      <c r="AJ324" s="2" t="str">
        <f>IF(HR_Data[MonthlyIncome]&lt;=300,"Low", IF(HR_Data[MonthlyIncome]&lt;=7000,"Medium", "High"))</f>
        <v>Medium</v>
      </c>
      <c r="AK324" s="2" t="str">
        <f>VLOOKUP(HR_Data[JobRole], JobRole_Map[], 2, FALSE)</f>
        <v>HR</v>
      </c>
    </row>
    <row r="325" spans="1:37" x14ac:dyDescent="0.25">
      <c r="A325" s="2">
        <v>47</v>
      </c>
      <c r="B325" t="s">
        <v>41</v>
      </c>
      <c r="C325" t="s">
        <v>33</v>
      </c>
      <c r="D325" t="s">
        <v>34</v>
      </c>
      <c r="E325">
        <v>9</v>
      </c>
      <c r="F325" t="s">
        <v>58</v>
      </c>
      <c r="G325">
        <v>3</v>
      </c>
      <c r="H325">
        <v>1</v>
      </c>
      <c r="I325" t="s">
        <v>36</v>
      </c>
      <c r="J325">
        <v>3</v>
      </c>
      <c r="K325" t="s">
        <v>37</v>
      </c>
      <c r="L325">
        <v>2105</v>
      </c>
      <c r="M325">
        <v>4</v>
      </c>
      <c r="N325" t="s">
        <v>41</v>
      </c>
      <c r="O325">
        <v>12</v>
      </c>
      <c r="P325">
        <v>3</v>
      </c>
      <c r="Q325">
        <v>0</v>
      </c>
      <c r="R325">
        <v>7</v>
      </c>
      <c r="S325">
        <v>2</v>
      </c>
      <c r="T325">
        <v>2</v>
      </c>
      <c r="U325">
        <v>2</v>
      </c>
      <c r="V325">
        <v>0</v>
      </c>
      <c r="W325" t="s">
        <v>65</v>
      </c>
      <c r="X325" s="1" t="d">
        <v>2019-01-05</v>
      </c>
      <c r="Z325" t="s">
        <v>59</v>
      </c>
      <c r="AA325" t="s">
        <v>46</v>
      </c>
      <c r="AB325">
        <v>1</v>
      </c>
      <c r="AC325">
        <v>1</v>
      </c>
      <c r="AD325" t="s">
        <v>32</v>
      </c>
      <c r="AE325" t="s">
        <v>47</v>
      </c>
      <c r="AF325" t="s">
        <v>43</v>
      </c>
      <c r="AG325">
        <f>IF(HR_Data[[#This Row],[Attrition]]="Yes",1,0)</f>
        <v>0</v>
      </c>
      <c r="AH325" t="str">
        <f>IF(HR_Data[Date_of_termination]="","Active","Left")</f>
        <v>Active</v>
      </c>
      <c r="AI325" t="str">
        <f>IF(HR_Data[YearsAtCompany]&lt;=2,"Fresher", IF(HR_Data[YearsAtCompany]&lt;=5,"Junior", IF(HR_Data[YearsAtCompany]&lt;=10, "Mid","Senior")))</f>
        <v>Fresher</v>
      </c>
      <c r="AJ325" s="2" t="str">
        <f>IF(HR_Data[MonthlyIncome]&lt;=300,"Low", IF(HR_Data[MonthlyIncome]&lt;=7000,"Medium", "High"))</f>
        <v>Medium</v>
      </c>
      <c r="AK325" s="2" t="str">
        <f>VLOOKUP(HR_Data[JobRole], JobRole_Map[], 2, FALSE)</f>
        <v>Technical</v>
      </c>
    </row>
    <row r="326" spans="1:37" x14ac:dyDescent="0.25">
      <c r="A326" s="2">
        <v>32</v>
      </c>
      <c r="B326" t="s">
        <v>32</v>
      </c>
      <c r="C326" t="s">
        <v>33</v>
      </c>
      <c r="D326" t="s">
        <v>53</v>
      </c>
      <c r="E326">
        <v>2</v>
      </c>
      <c r="F326" t="s">
        <v>35</v>
      </c>
      <c r="G326">
        <v>2</v>
      </c>
      <c r="H326">
        <v>2</v>
      </c>
      <c r="I326" t="s">
        <v>64</v>
      </c>
      <c r="J326">
        <v>2</v>
      </c>
      <c r="K326" t="s">
        <v>37</v>
      </c>
      <c r="L326">
        <v>9907</v>
      </c>
      <c r="M326">
        <v>7</v>
      </c>
      <c r="N326" t="s">
        <v>32</v>
      </c>
      <c r="O326">
        <v>12</v>
      </c>
      <c r="P326">
        <v>3</v>
      </c>
      <c r="Q326">
        <v>0</v>
      </c>
      <c r="R326">
        <v>7</v>
      </c>
      <c r="S326">
        <v>3</v>
      </c>
      <c r="T326">
        <v>2</v>
      </c>
      <c r="U326">
        <v>2</v>
      </c>
      <c r="V326">
        <v>2</v>
      </c>
      <c r="W326" t="s">
        <v>51</v>
      </c>
      <c r="X326" s="1" t="d">
        <v>2019-03-21</v>
      </c>
      <c r="Z326" t="s">
        <v>59</v>
      </c>
      <c r="AA326" t="s">
        <v>40</v>
      </c>
      <c r="AB326">
        <v>5</v>
      </c>
      <c r="AC326">
        <v>3</v>
      </c>
      <c r="AD326" t="s">
        <v>41</v>
      </c>
      <c r="AE326" t="s">
        <v>47</v>
      </c>
      <c r="AF326" t="s">
        <v>48</v>
      </c>
      <c r="AG326">
        <f>IF(HR_Data[[#This Row],[Attrition]]="Yes",1,0)</f>
        <v>1</v>
      </c>
      <c r="AH326" t="str">
        <f>IF(HR_Data[Date_of_termination]="","Active","Left")</f>
        <v>Active</v>
      </c>
      <c r="AI326" t="str">
        <f>IF(HR_Data[YearsAtCompany]&lt;=2,"Fresher", IF(HR_Data[YearsAtCompany]&lt;=5,"Junior", IF(HR_Data[YearsAtCompany]&lt;=10, "Mid","Senior")))</f>
        <v>Fresher</v>
      </c>
      <c r="AJ326" s="2" t="str">
        <f>IF(HR_Data[MonthlyIncome]&lt;=300,"Low", IF(HR_Data[MonthlyIncome]&lt;=7000,"Medium", "High"))</f>
        <v>High</v>
      </c>
      <c r="AK326" s="2" t="str">
        <f>VLOOKUP(HR_Data[JobRole], JobRole_Map[], 2, FALSE)</f>
        <v>Sales</v>
      </c>
    </row>
    <row r="327" spans="1:37" x14ac:dyDescent="0.25">
      <c r="A327" s="2">
        <v>39</v>
      </c>
      <c r="B327" t="s">
        <v>41</v>
      </c>
      <c r="C327" t="s">
        <v>33</v>
      </c>
      <c r="D327" t="s">
        <v>34</v>
      </c>
      <c r="E327">
        <v>19</v>
      </c>
      <c r="F327" t="s">
        <v>35</v>
      </c>
      <c r="G327">
        <v>3</v>
      </c>
      <c r="H327">
        <v>2</v>
      </c>
      <c r="I327" t="s">
        <v>44</v>
      </c>
      <c r="J327">
        <v>4</v>
      </c>
      <c r="K327" t="s">
        <v>55</v>
      </c>
      <c r="L327">
        <v>3902</v>
      </c>
      <c r="M327">
        <v>8</v>
      </c>
      <c r="N327" t="s">
        <v>41</v>
      </c>
      <c r="O327">
        <v>14</v>
      </c>
      <c r="P327">
        <v>3</v>
      </c>
      <c r="Q327">
        <v>3</v>
      </c>
      <c r="R327">
        <v>7</v>
      </c>
      <c r="S327">
        <v>2</v>
      </c>
      <c r="T327">
        <v>2</v>
      </c>
      <c r="U327">
        <v>2</v>
      </c>
      <c r="V327">
        <v>2</v>
      </c>
      <c r="W327" t="s">
        <v>38</v>
      </c>
      <c r="X327" s="1" t="d">
        <v>2019-03-11</v>
      </c>
      <c r="Z327" t="s">
        <v>39</v>
      </c>
      <c r="AA327" t="s">
        <v>40</v>
      </c>
      <c r="AB327">
        <v>1</v>
      </c>
      <c r="AC327">
        <v>2</v>
      </c>
      <c r="AD327" t="s">
        <v>32</v>
      </c>
      <c r="AE327" t="s">
        <v>60</v>
      </c>
      <c r="AF327" t="s">
        <v>48</v>
      </c>
      <c r="AG327">
        <f>IF(HR_Data[[#This Row],[Attrition]]="Yes",1,0)</f>
        <v>0</v>
      </c>
      <c r="AH327" t="str">
        <f>IF(HR_Data[Date_of_termination]="","Active","Left")</f>
        <v>Active</v>
      </c>
      <c r="AI327" t="str">
        <f>IF(HR_Data[YearsAtCompany]&lt;=2,"Fresher", IF(HR_Data[YearsAtCompany]&lt;=5,"Junior", IF(HR_Data[YearsAtCompany]&lt;=10, "Mid","Senior")))</f>
        <v>Fresher</v>
      </c>
      <c r="AJ327" s="2" t="str">
        <f>IF(HR_Data[MonthlyIncome]&lt;=300,"Low", IF(HR_Data[MonthlyIncome]&lt;=7000,"Medium", "High"))</f>
        <v>Medium</v>
      </c>
      <c r="AK327" s="2" t="str">
        <f>VLOOKUP(HR_Data[JobRole], JobRole_Map[], 2, FALSE)</f>
        <v>Technical</v>
      </c>
    </row>
    <row r="328" spans="1:37" x14ac:dyDescent="0.25">
      <c r="A328" s="2">
        <v>44</v>
      </c>
      <c r="B328" t="s">
        <v>41</v>
      </c>
      <c r="C328" t="s">
        <v>33</v>
      </c>
      <c r="D328" t="s">
        <v>34</v>
      </c>
      <c r="E328">
        <v>1</v>
      </c>
      <c r="F328" t="s">
        <v>35</v>
      </c>
      <c r="G328">
        <v>4</v>
      </c>
      <c r="H328">
        <v>2</v>
      </c>
      <c r="I328" t="s">
        <v>69</v>
      </c>
      <c r="J328">
        <v>1</v>
      </c>
      <c r="K328" t="s">
        <v>50</v>
      </c>
      <c r="L328">
        <v>5033</v>
      </c>
      <c r="M328">
        <v>2</v>
      </c>
      <c r="N328" t="s">
        <v>41</v>
      </c>
      <c r="O328">
        <v>15</v>
      </c>
      <c r="P328">
        <v>3</v>
      </c>
      <c r="Q328">
        <v>1</v>
      </c>
      <c r="R328">
        <v>10</v>
      </c>
      <c r="S328">
        <v>5</v>
      </c>
      <c r="T328">
        <v>2</v>
      </c>
      <c r="U328">
        <v>2</v>
      </c>
      <c r="V328">
        <v>2</v>
      </c>
      <c r="W328" t="s">
        <v>56</v>
      </c>
      <c r="X328" s="1" t="d">
        <v>2019-06-30</v>
      </c>
      <c r="Z328" t="s">
        <v>45</v>
      </c>
      <c r="AA328" t="s">
        <v>46</v>
      </c>
      <c r="AB328">
        <v>0</v>
      </c>
      <c r="AC328">
        <v>2</v>
      </c>
      <c r="AD328" t="s">
        <v>41</v>
      </c>
      <c r="AE328" t="s">
        <v>62</v>
      </c>
      <c r="AF328" t="s">
        <v>57</v>
      </c>
      <c r="AG328">
        <f>IF(HR_Data[[#This Row],[Attrition]]="Yes",1,0)</f>
        <v>0</v>
      </c>
      <c r="AH328" t="str">
        <f>IF(HR_Data[Date_of_termination]="","Active","Left")</f>
        <v>Active</v>
      </c>
      <c r="AI328" t="str">
        <f>IF(HR_Data[YearsAtCompany]&lt;=2,"Fresher", IF(HR_Data[YearsAtCompany]&lt;=5,"Junior", IF(HR_Data[YearsAtCompany]&lt;=10, "Mid","Senior")))</f>
        <v>Fresher</v>
      </c>
      <c r="AJ328" s="2" t="str">
        <f>IF(HR_Data[MonthlyIncome]&lt;=300,"Low", IF(HR_Data[MonthlyIncome]&lt;=7000,"Medium", "High"))</f>
        <v>Medium</v>
      </c>
      <c r="AK328" s="2" t="str">
        <f>VLOOKUP(HR_Data[JobRole], JobRole_Map[], 2, FALSE)</f>
        <v>Operations</v>
      </c>
    </row>
    <row r="329" spans="1:37" x14ac:dyDescent="0.25">
      <c r="A329" s="2">
        <v>31</v>
      </c>
      <c r="B329" t="s">
        <v>41</v>
      </c>
      <c r="C329" t="s">
        <v>33</v>
      </c>
      <c r="D329" t="s">
        <v>34</v>
      </c>
      <c r="E329">
        <v>4</v>
      </c>
      <c r="F329" t="s">
        <v>58</v>
      </c>
      <c r="G329">
        <v>4</v>
      </c>
      <c r="H329">
        <v>1</v>
      </c>
      <c r="I329" t="s">
        <v>36</v>
      </c>
      <c r="J329">
        <v>3</v>
      </c>
      <c r="K329" t="s">
        <v>55</v>
      </c>
      <c r="L329">
        <v>3978</v>
      </c>
      <c r="M329">
        <v>8</v>
      </c>
      <c r="N329" t="s">
        <v>41</v>
      </c>
      <c r="O329">
        <v>12</v>
      </c>
      <c r="P329">
        <v>3</v>
      </c>
      <c r="Q329">
        <v>1</v>
      </c>
      <c r="R329">
        <v>4</v>
      </c>
      <c r="S329">
        <v>0</v>
      </c>
      <c r="T329">
        <v>2</v>
      </c>
      <c r="U329">
        <v>2</v>
      </c>
      <c r="V329">
        <v>2</v>
      </c>
      <c r="W329" t="s">
        <v>51</v>
      </c>
      <c r="X329" s="1" t="d">
        <v>2019-03-06</v>
      </c>
      <c r="Z329" t="s">
        <v>52</v>
      </c>
      <c r="AA329" t="s">
        <v>40</v>
      </c>
      <c r="AB329">
        <v>4</v>
      </c>
      <c r="AC329">
        <v>2</v>
      </c>
      <c r="AD329" t="s">
        <v>32</v>
      </c>
      <c r="AE329" t="s">
        <v>47</v>
      </c>
      <c r="AF329" t="s">
        <v>57</v>
      </c>
      <c r="AG329">
        <f>IF(HR_Data[[#This Row],[Attrition]]="Yes",1,0)</f>
        <v>0</v>
      </c>
      <c r="AH329" t="str">
        <f>IF(HR_Data[Date_of_termination]="","Active","Left")</f>
        <v>Active</v>
      </c>
      <c r="AI329" t="str">
        <f>IF(HR_Data[YearsAtCompany]&lt;=2,"Fresher", IF(HR_Data[YearsAtCompany]&lt;=5,"Junior", IF(HR_Data[YearsAtCompany]&lt;=10, "Mid","Senior")))</f>
        <v>Fresher</v>
      </c>
      <c r="AJ329" s="2" t="str">
        <f>IF(HR_Data[MonthlyIncome]&lt;=300,"Low", IF(HR_Data[MonthlyIncome]&lt;=7000,"Medium", "High"))</f>
        <v>Medium</v>
      </c>
      <c r="AK329" s="2" t="str">
        <f>VLOOKUP(HR_Data[JobRole], JobRole_Map[], 2, FALSE)</f>
        <v>Technical</v>
      </c>
    </row>
    <row r="330" spans="1:37" x14ac:dyDescent="0.25">
      <c r="A330" s="2">
        <v>28</v>
      </c>
      <c r="B330" t="s">
        <v>32</v>
      </c>
      <c r="C330" t="s">
        <v>33</v>
      </c>
      <c r="D330" t="s">
        <v>53</v>
      </c>
      <c r="E330">
        <v>13</v>
      </c>
      <c r="F330" t="s">
        <v>58</v>
      </c>
      <c r="G330">
        <v>3</v>
      </c>
      <c r="H330">
        <v>2</v>
      </c>
      <c r="I330" t="s">
        <v>64</v>
      </c>
      <c r="J330">
        <v>3</v>
      </c>
      <c r="K330" t="s">
        <v>37</v>
      </c>
      <c r="L330">
        <v>9854</v>
      </c>
      <c r="M330">
        <v>3</v>
      </c>
      <c r="N330" t="s">
        <v>32</v>
      </c>
      <c r="O330">
        <v>11</v>
      </c>
      <c r="P330">
        <v>3</v>
      </c>
      <c r="Q330">
        <v>0</v>
      </c>
      <c r="R330">
        <v>6</v>
      </c>
      <c r="S330">
        <v>0</v>
      </c>
      <c r="T330">
        <v>2</v>
      </c>
      <c r="U330">
        <v>2</v>
      </c>
      <c r="V330">
        <v>2</v>
      </c>
      <c r="W330" t="s">
        <v>65</v>
      </c>
      <c r="X330" s="1" t="d">
        <v>2019-06-27</v>
      </c>
      <c r="Z330" t="s">
        <v>45</v>
      </c>
      <c r="AA330" t="s">
        <v>40</v>
      </c>
      <c r="AB330">
        <v>4</v>
      </c>
      <c r="AC330">
        <v>2</v>
      </c>
      <c r="AD330" t="s">
        <v>32</v>
      </c>
      <c r="AE330" t="s">
        <v>62</v>
      </c>
      <c r="AF330" t="s">
        <v>48</v>
      </c>
      <c r="AG330">
        <f>IF(HR_Data[[#This Row],[Attrition]]="Yes",1,0)</f>
        <v>1</v>
      </c>
      <c r="AH330" t="str">
        <f>IF(HR_Data[Date_of_termination]="","Active","Left")</f>
        <v>Active</v>
      </c>
      <c r="AI330" t="str">
        <f>IF(HR_Data[YearsAtCompany]&lt;=2,"Fresher", IF(HR_Data[YearsAtCompany]&lt;=5,"Junior", IF(HR_Data[YearsAtCompany]&lt;=10, "Mid","Senior")))</f>
        <v>Fresher</v>
      </c>
      <c r="AJ330" s="2" t="str">
        <f>IF(HR_Data[MonthlyIncome]&lt;=300,"Low", IF(HR_Data[MonthlyIncome]&lt;=7000,"Medium", "High"))</f>
        <v>High</v>
      </c>
      <c r="AK330" s="2" t="str">
        <f>VLOOKUP(HR_Data[JobRole], JobRole_Map[], 2, FALSE)</f>
        <v>Sales</v>
      </c>
    </row>
    <row r="331" spans="1:37" x14ac:dyDescent="0.25">
      <c r="A331" s="2">
        <v>53</v>
      </c>
      <c r="B331" t="s">
        <v>32</v>
      </c>
      <c r="C331" t="s">
        <v>33</v>
      </c>
      <c r="D331" t="s">
        <v>53</v>
      </c>
      <c r="E331">
        <v>24</v>
      </c>
      <c r="F331" t="s">
        <v>35</v>
      </c>
      <c r="G331">
        <v>3</v>
      </c>
      <c r="H331">
        <v>3</v>
      </c>
      <c r="I331" t="s">
        <v>64</v>
      </c>
      <c r="J331">
        <v>1</v>
      </c>
      <c r="K331" t="s">
        <v>37</v>
      </c>
      <c r="L331">
        <v>10448</v>
      </c>
      <c r="M331">
        <v>6</v>
      </c>
      <c r="N331" t="s">
        <v>32</v>
      </c>
      <c r="O331">
        <v>13</v>
      </c>
      <c r="P331">
        <v>3</v>
      </c>
      <c r="Q331">
        <v>0</v>
      </c>
      <c r="R331">
        <v>15</v>
      </c>
      <c r="S331">
        <v>2</v>
      </c>
      <c r="T331">
        <v>2</v>
      </c>
      <c r="U331">
        <v>2</v>
      </c>
      <c r="V331">
        <v>2</v>
      </c>
      <c r="W331" t="s">
        <v>65</v>
      </c>
      <c r="X331" s="1" t="d">
        <v>2019-05-09</v>
      </c>
      <c r="Z331" t="s">
        <v>63</v>
      </c>
      <c r="AA331" t="s">
        <v>40</v>
      </c>
      <c r="AB331">
        <v>5</v>
      </c>
      <c r="AC331">
        <v>0</v>
      </c>
      <c r="AD331" t="s">
        <v>32</v>
      </c>
      <c r="AE331" t="s">
        <v>60</v>
      </c>
      <c r="AF331" t="s">
        <v>43</v>
      </c>
      <c r="AG331">
        <f>IF(HR_Data[[#This Row],[Attrition]]="Yes",1,0)</f>
        <v>1</v>
      </c>
      <c r="AH331" t="str">
        <f>IF(HR_Data[Date_of_termination]="","Active","Left")</f>
        <v>Active</v>
      </c>
      <c r="AI331" t="str">
        <f>IF(HR_Data[YearsAtCompany]&lt;=2,"Fresher", IF(HR_Data[YearsAtCompany]&lt;=5,"Junior", IF(HR_Data[YearsAtCompany]&lt;=10, "Mid","Senior")))</f>
        <v>Fresher</v>
      </c>
      <c r="AJ331" s="2" t="str">
        <f>IF(HR_Data[MonthlyIncome]&lt;=300,"Low", IF(HR_Data[MonthlyIncome]&lt;=7000,"Medium", "High"))</f>
        <v>High</v>
      </c>
      <c r="AK331" s="2" t="str">
        <f>VLOOKUP(HR_Data[JobRole], JobRole_Map[], 2, FALSE)</f>
        <v>Sales</v>
      </c>
    </row>
    <row r="332" spans="1:37" x14ac:dyDescent="0.25">
      <c r="A332" s="2">
        <v>25</v>
      </c>
      <c r="B332" t="s">
        <v>41</v>
      </c>
      <c r="C332" t="s">
        <v>33</v>
      </c>
      <c r="D332" t="s">
        <v>70</v>
      </c>
      <c r="E332">
        <v>2</v>
      </c>
      <c r="F332" t="s">
        <v>58</v>
      </c>
      <c r="G332">
        <v>3</v>
      </c>
      <c r="H332">
        <v>1</v>
      </c>
      <c r="I332" t="s">
        <v>70</v>
      </c>
      <c r="J332">
        <v>2</v>
      </c>
      <c r="K332" t="s">
        <v>50</v>
      </c>
      <c r="L332">
        <v>2187</v>
      </c>
      <c r="M332">
        <v>4</v>
      </c>
      <c r="N332" t="s">
        <v>41</v>
      </c>
      <c r="O332">
        <v>14</v>
      </c>
      <c r="P332">
        <v>3</v>
      </c>
      <c r="Q332">
        <v>0</v>
      </c>
      <c r="R332">
        <v>6</v>
      </c>
      <c r="S332">
        <v>3</v>
      </c>
      <c r="T332">
        <v>2</v>
      </c>
      <c r="U332">
        <v>1</v>
      </c>
      <c r="V332">
        <v>2</v>
      </c>
      <c r="W332" t="s">
        <v>38</v>
      </c>
      <c r="X332" s="1" t="d">
        <v>2019-05-24</v>
      </c>
      <c r="Z332" t="s">
        <v>39</v>
      </c>
      <c r="AA332" t="s">
        <v>40</v>
      </c>
      <c r="AB332">
        <v>3</v>
      </c>
      <c r="AC332">
        <v>0</v>
      </c>
      <c r="AD332" t="s">
        <v>41</v>
      </c>
      <c r="AE332" t="s">
        <v>62</v>
      </c>
      <c r="AF332" t="s">
        <v>48</v>
      </c>
      <c r="AG332">
        <f>IF(HR_Data[[#This Row],[Attrition]]="Yes",1,0)</f>
        <v>0</v>
      </c>
      <c r="AH332" t="str">
        <f>IF(HR_Data[Date_of_termination]="","Active","Left")</f>
        <v>Active</v>
      </c>
      <c r="AI332" t="str">
        <f>IF(HR_Data[YearsAtCompany]&lt;=2,"Fresher", IF(HR_Data[YearsAtCompany]&lt;=5,"Junior", IF(HR_Data[YearsAtCompany]&lt;=10, "Mid","Senior")))</f>
        <v>Fresher</v>
      </c>
      <c r="AJ332" s="2" t="str">
        <f>IF(HR_Data[MonthlyIncome]&lt;=300,"Low", IF(HR_Data[MonthlyIncome]&lt;=7000,"Medium", "High"))</f>
        <v>Medium</v>
      </c>
      <c r="AK332" s="2" t="str">
        <f>VLOOKUP(HR_Data[JobRole], JobRole_Map[], 2, FALSE)</f>
        <v>HR</v>
      </c>
    </row>
    <row r="333" spans="1:37" x14ac:dyDescent="0.25">
      <c r="A333" s="2">
        <v>25</v>
      </c>
      <c r="B333" t="s">
        <v>41</v>
      </c>
      <c r="C333" t="s">
        <v>33</v>
      </c>
      <c r="D333" t="s">
        <v>34</v>
      </c>
      <c r="E333">
        <v>2</v>
      </c>
      <c r="F333" t="s">
        <v>35</v>
      </c>
      <c r="G333">
        <v>3</v>
      </c>
      <c r="H333">
        <v>1</v>
      </c>
      <c r="I333" t="s">
        <v>36</v>
      </c>
      <c r="J333">
        <v>3</v>
      </c>
      <c r="K333" t="s">
        <v>55</v>
      </c>
      <c r="L333">
        <v>3977</v>
      </c>
      <c r="M333">
        <v>6</v>
      </c>
      <c r="N333" t="s">
        <v>32</v>
      </c>
      <c r="O333">
        <v>19</v>
      </c>
      <c r="P333">
        <v>3</v>
      </c>
      <c r="Q333">
        <v>1</v>
      </c>
      <c r="R333">
        <v>7</v>
      </c>
      <c r="S333">
        <v>2</v>
      </c>
      <c r="T333">
        <v>2</v>
      </c>
      <c r="U333">
        <v>0</v>
      </c>
      <c r="V333">
        <v>2</v>
      </c>
      <c r="W333" t="s">
        <v>65</v>
      </c>
      <c r="X333" s="1" t="d">
        <v>2019-06-24</v>
      </c>
      <c r="Z333" t="s">
        <v>52</v>
      </c>
      <c r="AA333" t="s">
        <v>46</v>
      </c>
      <c r="AB333">
        <v>2</v>
      </c>
      <c r="AC333">
        <v>2</v>
      </c>
      <c r="AD333" t="s">
        <v>32</v>
      </c>
      <c r="AE333" t="s">
        <v>42</v>
      </c>
      <c r="AF333" t="s">
        <v>43</v>
      </c>
      <c r="AG333">
        <f>IF(HR_Data[[#This Row],[Attrition]]="Yes",1,0)</f>
        <v>0</v>
      </c>
      <c r="AH333" t="str">
        <f>IF(HR_Data[Date_of_termination]="","Active","Left")</f>
        <v>Active</v>
      </c>
      <c r="AI333" t="str">
        <f>IF(HR_Data[YearsAtCompany]&lt;=2,"Fresher", IF(HR_Data[YearsAtCompany]&lt;=5,"Junior", IF(HR_Data[YearsAtCompany]&lt;=10, "Mid","Senior")))</f>
        <v>Fresher</v>
      </c>
      <c r="AJ333" s="2" t="str">
        <f>IF(HR_Data[MonthlyIncome]&lt;=300,"Low", IF(HR_Data[MonthlyIncome]&lt;=7000,"Medium", "High"))</f>
        <v>Medium</v>
      </c>
      <c r="AK333" s="2" t="str">
        <f>VLOOKUP(HR_Data[JobRole], JobRole_Map[], 2, FALSE)</f>
        <v>Technical</v>
      </c>
    </row>
    <row r="334" spans="1:37" x14ac:dyDescent="0.25">
      <c r="A334" s="2">
        <v>31</v>
      </c>
      <c r="B334" t="s">
        <v>41</v>
      </c>
      <c r="C334" t="s">
        <v>33</v>
      </c>
      <c r="D334" t="s">
        <v>53</v>
      </c>
      <c r="E334">
        <v>2</v>
      </c>
      <c r="F334" t="s">
        <v>35</v>
      </c>
      <c r="G334">
        <v>3</v>
      </c>
      <c r="H334">
        <v>1</v>
      </c>
      <c r="I334" t="s">
        <v>54</v>
      </c>
      <c r="J334">
        <v>3</v>
      </c>
      <c r="K334" t="s">
        <v>50</v>
      </c>
      <c r="L334">
        <v>3067</v>
      </c>
      <c r="M334">
        <v>0</v>
      </c>
      <c r="N334" t="s">
        <v>41</v>
      </c>
      <c r="O334">
        <v>19</v>
      </c>
      <c r="P334">
        <v>3</v>
      </c>
      <c r="Q334">
        <v>1</v>
      </c>
      <c r="R334">
        <v>3</v>
      </c>
      <c r="S334">
        <v>1</v>
      </c>
      <c r="T334">
        <v>2</v>
      </c>
      <c r="U334">
        <v>1</v>
      </c>
      <c r="V334">
        <v>2</v>
      </c>
      <c r="W334" t="s">
        <v>65</v>
      </c>
      <c r="X334" s="1" t="d">
        <v>2019-01-15</v>
      </c>
      <c r="Z334" t="s">
        <v>45</v>
      </c>
      <c r="AA334" t="s">
        <v>46</v>
      </c>
      <c r="AB334">
        <v>0</v>
      </c>
      <c r="AC334">
        <v>2</v>
      </c>
      <c r="AD334" t="s">
        <v>41</v>
      </c>
      <c r="AE334" t="s">
        <v>47</v>
      </c>
      <c r="AF334" t="s">
        <v>57</v>
      </c>
      <c r="AG334">
        <f>IF(HR_Data[[#This Row],[Attrition]]="Yes",1,0)</f>
        <v>0</v>
      </c>
      <c r="AH334" t="str">
        <f>IF(HR_Data[Date_of_termination]="","Active","Left")</f>
        <v>Active</v>
      </c>
      <c r="AI334" t="str">
        <f>IF(HR_Data[YearsAtCompany]&lt;=2,"Fresher", IF(HR_Data[YearsAtCompany]&lt;=5,"Junior", IF(HR_Data[YearsAtCompany]&lt;=10, "Mid","Senior")))</f>
        <v>Fresher</v>
      </c>
      <c r="AJ334" s="2" t="str">
        <f>IF(HR_Data[MonthlyIncome]&lt;=300,"Low", IF(HR_Data[MonthlyIncome]&lt;=7000,"Medium", "High"))</f>
        <v>Medium</v>
      </c>
      <c r="AK334" s="2" t="str">
        <f>VLOOKUP(HR_Data[JobRole], JobRole_Map[], 2, FALSE)</f>
        <v>Sales</v>
      </c>
    </row>
    <row r="335" spans="1:37" x14ac:dyDescent="0.25">
      <c r="A335" s="2">
        <v>35</v>
      </c>
      <c r="B335" t="s">
        <v>41</v>
      </c>
      <c r="C335" t="s">
        <v>33</v>
      </c>
      <c r="D335" t="s">
        <v>34</v>
      </c>
      <c r="E335">
        <v>11</v>
      </c>
      <c r="F335" t="s">
        <v>35</v>
      </c>
      <c r="G335">
        <v>3</v>
      </c>
      <c r="H335">
        <v>1</v>
      </c>
      <c r="I335" t="s">
        <v>36</v>
      </c>
      <c r="J335">
        <v>3</v>
      </c>
      <c r="K335" t="s">
        <v>50</v>
      </c>
      <c r="L335">
        <v>2660</v>
      </c>
      <c r="M335">
        <v>7</v>
      </c>
      <c r="N335" t="s">
        <v>32</v>
      </c>
      <c r="O335">
        <v>11</v>
      </c>
      <c r="P335">
        <v>3</v>
      </c>
      <c r="Q335">
        <v>1</v>
      </c>
      <c r="R335">
        <v>5</v>
      </c>
      <c r="S335">
        <v>3</v>
      </c>
      <c r="T335">
        <v>2</v>
      </c>
      <c r="U335">
        <v>2</v>
      </c>
      <c r="V335">
        <v>2</v>
      </c>
      <c r="W335" t="s">
        <v>56</v>
      </c>
      <c r="X335" s="1" t="d">
        <v>2019-04-05</v>
      </c>
      <c r="Z335" t="s">
        <v>63</v>
      </c>
      <c r="AA335" t="s">
        <v>40</v>
      </c>
      <c r="AB335">
        <v>2</v>
      </c>
      <c r="AC335">
        <v>1</v>
      </c>
      <c r="AD335" t="s">
        <v>41</v>
      </c>
      <c r="AE335" t="s">
        <v>60</v>
      </c>
      <c r="AF335" t="s">
        <v>48</v>
      </c>
      <c r="AG335">
        <f>IF(HR_Data[[#This Row],[Attrition]]="Yes",1,0)</f>
        <v>0</v>
      </c>
      <c r="AH335" t="str">
        <f>IF(HR_Data[Date_of_termination]="","Active","Left")</f>
        <v>Active</v>
      </c>
      <c r="AI335" t="str">
        <f>IF(HR_Data[YearsAtCompany]&lt;=2,"Fresher", IF(HR_Data[YearsAtCompany]&lt;=5,"Junior", IF(HR_Data[YearsAtCompany]&lt;=10, "Mid","Senior")))</f>
        <v>Fresher</v>
      </c>
      <c r="AJ335" s="2" t="str">
        <f>IF(HR_Data[MonthlyIncome]&lt;=300,"Low", IF(HR_Data[MonthlyIncome]&lt;=7000,"Medium", "High"))</f>
        <v>Medium</v>
      </c>
      <c r="AK335" s="2" t="str">
        <f>VLOOKUP(HR_Data[JobRole], JobRole_Map[], 2, FALSE)</f>
        <v>Technical</v>
      </c>
    </row>
    <row r="336" spans="1:37" x14ac:dyDescent="0.25">
      <c r="A336" s="2">
        <v>32</v>
      </c>
      <c r="B336" t="s">
        <v>41</v>
      </c>
      <c r="C336" t="s">
        <v>33</v>
      </c>
      <c r="D336" t="s">
        <v>53</v>
      </c>
      <c r="E336">
        <v>1</v>
      </c>
      <c r="F336" t="s">
        <v>35</v>
      </c>
      <c r="G336">
        <v>2</v>
      </c>
      <c r="H336">
        <v>1</v>
      </c>
      <c r="I336" t="s">
        <v>54</v>
      </c>
      <c r="J336">
        <v>2</v>
      </c>
      <c r="K336" t="s">
        <v>50</v>
      </c>
      <c r="L336">
        <v>2269</v>
      </c>
      <c r="M336">
        <v>0</v>
      </c>
      <c r="N336" t="s">
        <v>41</v>
      </c>
      <c r="O336">
        <v>14</v>
      </c>
      <c r="P336">
        <v>3</v>
      </c>
      <c r="Q336">
        <v>1</v>
      </c>
      <c r="R336">
        <v>3</v>
      </c>
      <c r="S336">
        <v>2</v>
      </c>
      <c r="T336">
        <v>2</v>
      </c>
      <c r="U336">
        <v>2</v>
      </c>
      <c r="V336">
        <v>2</v>
      </c>
      <c r="W336" t="s">
        <v>38</v>
      </c>
      <c r="X336" s="1" t="d">
        <v>2019-04-19</v>
      </c>
      <c r="Z336" t="s">
        <v>63</v>
      </c>
      <c r="AA336" t="s">
        <v>46</v>
      </c>
      <c r="AB336">
        <v>3</v>
      </c>
      <c r="AC336">
        <v>2</v>
      </c>
      <c r="AD336" t="s">
        <v>41</v>
      </c>
      <c r="AE336" t="s">
        <v>62</v>
      </c>
      <c r="AF336" t="s">
        <v>48</v>
      </c>
      <c r="AG336">
        <f>IF(HR_Data[[#This Row],[Attrition]]="Yes",1,0)</f>
        <v>0</v>
      </c>
      <c r="AH336" t="str">
        <f>IF(HR_Data[Date_of_termination]="","Active","Left")</f>
        <v>Active</v>
      </c>
      <c r="AI336" t="str">
        <f>IF(HR_Data[YearsAtCompany]&lt;=2,"Fresher", IF(HR_Data[YearsAtCompany]&lt;=5,"Junior", IF(HR_Data[YearsAtCompany]&lt;=10, "Mid","Senior")))</f>
        <v>Fresher</v>
      </c>
      <c r="AJ336" s="2" t="str">
        <f>IF(HR_Data[MonthlyIncome]&lt;=300,"Low", IF(HR_Data[MonthlyIncome]&lt;=7000,"Medium", "High"))</f>
        <v>Medium</v>
      </c>
      <c r="AK336" s="2" t="str">
        <f>VLOOKUP(HR_Data[JobRole], JobRole_Map[], 2, FALSE)</f>
        <v>Sales</v>
      </c>
    </row>
    <row r="337" spans="1:37" x14ac:dyDescent="0.25">
      <c r="A337" s="2">
        <v>21</v>
      </c>
      <c r="B337" t="s">
        <v>41</v>
      </c>
      <c r="C337" t="s">
        <v>33</v>
      </c>
      <c r="D337" t="s">
        <v>53</v>
      </c>
      <c r="E337">
        <v>5</v>
      </c>
      <c r="F337" t="s">
        <v>35</v>
      </c>
      <c r="G337">
        <v>3</v>
      </c>
      <c r="H337">
        <v>1</v>
      </c>
      <c r="I337" t="s">
        <v>54</v>
      </c>
      <c r="J337">
        <v>1</v>
      </c>
      <c r="K337" t="s">
        <v>37</v>
      </c>
      <c r="L337">
        <v>2380</v>
      </c>
      <c r="M337">
        <v>1</v>
      </c>
      <c r="N337" t="s">
        <v>32</v>
      </c>
      <c r="O337">
        <v>11</v>
      </c>
      <c r="P337">
        <v>3</v>
      </c>
      <c r="Q337">
        <v>0</v>
      </c>
      <c r="R337">
        <v>2</v>
      </c>
      <c r="S337">
        <v>6</v>
      </c>
      <c r="T337">
        <v>2</v>
      </c>
      <c r="U337">
        <v>1</v>
      </c>
      <c r="V337">
        <v>2</v>
      </c>
      <c r="W337" t="s">
        <v>65</v>
      </c>
      <c r="X337" s="1" t="d">
        <v>2019-02-02</v>
      </c>
      <c r="Z337" t="s">
        <v>63</v>
      </c>
      <c r="AA337" t="s">
        <v>40</v>
      </c>
      <c r="AB337">
        <v>4</v>
      </c>
      <c r="AC337">
        <v>2</v>
      </c>
      <c r="AD337" t="s">
        <v>32</v>
      </c>
      <c r="AE337" t="s">
        <v>47</v>
      </c>
      <c r="AF337" t="s">
        <v>48</v>
      </c>
      <c r="AG337">
        <f>IF(HR_Data[[#This Row],[Attrition]]="Yes",1,0)</f>
        <v>0</v>
      </c>
      <c r="AH337" t="str">
        <f>IF(HR_Data[Date_of_termination]="","Active","Left")</f>
        <v>Active</v>
      </c>
      <c r="AI337" t="str">
        <f>IF(HR_Data[YearsAtCompany]&lt;=2,"Fresher", IF(HR_Data[YearsAtCompany]&lt;=5,"Junior", IF(HR_Data[YearsAtCompany]&lt;=10, "Mid","Senior")))</f>
        <v>Fresher</v>
      </c>
      <c r="AJ337" s="2" t="str">
        <f>IF(HR_Data[MonthlyIncome]&lt;=300,"Low", IF(HR_Data[MonthlyIncome]&lt;=7000,"Medium", "High"))</f>
        <v>Medium</v>
      </c>
      <c r="AK337" s="2" t="str">
        <f>VLOOKUP(HR_Data[JobRole], JobRole_Map[], 2, FALSE)</f>
        <v>Sales</v>
      </c>
    </row>
    <row r="338" spans="1:37" x14ac:dyDescent="0.25">
      <c r="A338" s="2">
        <v>29</v>
      </c>
      <c r="B338" t="s">
        <v>32</v>
      </c>
      <c r="C338" t="s">
        <v>33</v>
      </c>
      <c r="D338" t="s">
        <v>34</v>
      </c>
      <c r="E338">
        <v>1</v>
      </c>
      <c r="F338" t="s">
        <v>35</v>
      </c>
      <c r="G338">
        <v>3</v>
      </c>
      <c r="H338">
        <v>1</v>
      </c>
      <c r="I338" t="s">
        <v>44</v>
      </c>
      <c r="J338">
        <v>4</v>
      </c>
      <c r="K338" t="s">
        <v>50</v>
      </c>
      <c r="L338">
        <v>4787</v>
      </c>
      <c r="M338">
        <v>9</v>
      </c>
      <c r="N338" t="s">
        <v>32</v>
      </c>
      <c r="O338">
        <v>14</v>
      </c>
      <c r="P338">
        <v>3</v>
      </c>
      <c r="Q338">
        <v>3</v>
      </c>
      <c r="R338">
        <v>4</v>
      </c>
      <c r="S338">
        <v>3</v>
      </c>
      <c r="T338">
        <v>2</v>
      </c>
      <c r="U338">
        <v>2</v>
      </c>
      <c r="V338">
        <v>2</v>
      </c>
      <c r="W338" t="s">
        <v>56</v>
      </c>
      <c r="X338" s="1" t="d">
        <v>2019-05-21</v>
      </c>
      <c r="Z338" t="s">
        <v>39</v>
      </c>
      <c r="AA338" t="s">
        <v>40</v>
      </c>
      <c r="AB338">
        <v>0</v>
      </c>
      <c r="AC338">
        <v>0</v>
      </c>
      <c r="AD338" t="s">
        <v>32</v>
      </c>
      <c r="AE338" t="s">
        <v>47</v>
      </c>
      <c r="AF338" t="s">
        <v>48</v>
      </c>
      <c r="AG338">
        <f>IF(HR_Data[[#This Row],[Attrition]]="Yes",1,0)</f>
        <v>1</v>
      </c>
      <c r="AH338" t="str">
        <f>IF(HR_Data[Date_of_termination]="","Active","Left")</f>
        <v>Active</v>
      </c>
      <c r="AI338" t="str">
        <f>IF(HR_Data[YearsAtCompany]&lt;=2,"Fresher", IF(HR_Data[YearsAtCompany]&lt;=5,"Junior", IF(HR_Data[YearsAtCompany]&lt;=10, "Mid","Senior")))</f>
        <v>Fresher</v>
      </c>
      <c r="AJ338" s="2" t="str">
        <f>IF(HR_Data[MonthlyIncome]&lt;=300,"Low", IF(HR_Data[MonthlyIncome]&lt;=7000,"Medium", "High"))</f>
        <v>Medium</v>
      </c>
      <c r="AK338" s="2" t="str">
        <f>VLOOKUP(HR_Data[JobRole], JobRole_Map[], 2, FALSE)</f>
        <v>Technical</v>
      </c>
    </row>
    <row r="339" spans="1:37" x14ac:dyDescent="0.25">
      <c r="A339" s="2">
        <v>40</v>
      </c>
      <c r="B339" t="s">
        <v>41</v>
      </c>
      <c r="C339" t="s">
        <v>33</v>
      </c>
      <c r="D339" t="s">
        <v>34</v>
      </c>
      <c r="E339">
        <v>2</v>
      </c>
      <c r="F339" t="s">
        <v>35</v>
      </c>
      <c r="G339">
        <v>2</v>
      </c>
      <c r="H339">
        <v>1</v>
      </c>
      <c r="I339" t="s">
        <v>44</v>
      </c>
      <c r="J339">
        <v>3</v>
      </c>
      <c r="K339" t="s">
        <v>37</v>
      </c>
      <c r="L339">
        <v>2809</v>
      </c>
      <c r="M339">
        <v>2</v>
      </c>
      <c r="N339" t="s">
        <v>41</v>
      </c>
      <c r="O339">
        <v>14</v>
      </c>
      <c r="P339">
        <v>3</v>
      </c>
      <c r="Q339">
        <v>0</v>
      </c>
      <c r="R339">
        <v>8</v>
      </c>
      <c r="S339">
        <v>2</v>
      </c>
      <c r="T339">
        <v>2</v>
      </c>
      <c r="U339">
        <v>2</v>
      </c>
      <c r="V339">
        <v>2</v>
      </c>
      <c r="W339" t="s">
        <v>56</v>
      </c>
      <c r="X339" s="1" t="d">
        <v>2019-06-23</v>
      </c>
      <c r="Z339" t="s">
        <v>63</v>
      </c>
      <c r="AA339" t="s">
        <v>40</v>
      </c>
      <c r="AB339">
        <v>4</v>
      </c>
      <c r="AC339">
        <v>2</v>
      </c>
      <c r="AD339" t="s">
        <v>32</v>
      </c>
      <c r="AE339" t="s">
        <v>62</v>
      </c>
      <c r="AF339" t="s">
        <v>48</v>
      </c>
      <c r="AG339">
        <f>IF(HR_Data[[#This Row],[Attrition]]="Yes",1,0)</f>
        <v>0</v>
      </c>
      <c r="AH339" t="str">
        <f>IF(HR_Data[Date_of_termination]="","Active","Left")</f>
        <v>Active</v>
      </c>
      <c r="AI339" t="str">
        <f>IF(HR_Data[YearsAtCompany]&lt;=2,"Fresher", IF(HR_Data[YearsAtCompany]&lt;=5,"Junior", IF(HR_Data[YearsAtCompany]&lt;=10, "Mid","Senior")))</f>
        <v>Fresher</v>
      </c>
      <c r="AJ339" s="2" t="str">
        <f>IF(HR_Data[MonthlyIncome]&lt;=300,"Low", IF(HR_Data[MonthlyIncome]&lt;=7000,"Medium", "High"))</f>
        <v>Medium</v>
      </c>
      <c r="AK339" s="2" t="str">
        <f>VLOOKUP(HR_Data[JobRole], JobRole_Map[], 2, FALSE)</f>
        <v>Technical</v>
      </c>
    </row>
    <row r="340" spans="1:37" x14ac:dyDescent="0.25">
      <c r="A340" s="2">
        <v>38</v>
      </c>
      <c r="B340" t="s">
        <v>41</v>
      </c>
      <c r="C340" t="s">
        <v>33</v>
      </c>
      <c r="D340" t="s">
        <v>34</v>
      </c>
      <c r="E340">
        <v>2</v>
      </c>
      <c r="F340" t="s">
        <v>35</v>
      </c>
      <c r="G340">
        <v>3</v>
      </c>
      <c r="H340">
        <v>1</v>
      </c>
      <c r="I340" t="s">
        <v>44</v>
      </c>
      <c r="J340">
        <v>4</v>
      </c>
      <c r="K340" t="s">
        <v>37</v>
      </c>
      <c r="L340">
        <v>3944</v>
      </c>
      <c r="M340">
        <v>5</v>
      </c>
      <c r="N340" t="s">
        <v>32</v>
      </c>
      <c r="O340">
        <v>11</v>
      </c>
      <c r="P340">
        <v>3</v>
      </c>
      <c r="Q340">
        <v>0</v>
      </c>
      <c r="R340">
        <v>6</v>
      </c>
      <c r="S340">
        <v>3</v>
      </c>
      <c r="T340">
        <v>3</v>
      </c>
      <c r="U340">
        <v>1</v>
      </c>
      <c r="V340">
        <v>2</v>
      </c>
      <c r="W340" t="s">
        <v>51</v>
      </c>
      <c r="X340" s="1" t="d">
        <v>2018-05-17</v>
      </c>
      <c r="Z340" t="s">
        <v>45</v>
      </c>
      <c r="AA340" t="s">
        <v>40</v>
      </c>
      <c r="AB340">
        <v>3</v>
      </c>
      <c r="AC340">
        <v>1</v>
      </c>
      <c r="AD340" t="s">
        <v>32</v>
      </c>
      <c r="AE340" t="s">
        <v>42</v>
      </c>
      <c r="AF340" t="s">
        <v>48</v>
      </c>
      <c r="AG340">
        <f>IF(HR_Data[[#This Row],[Attrition]]="Yes",1,0)</f>
        <v>0</v>
      </c>
      <c r="AH340" t="str">
        <f>IF(HR_Data[Date_of_termination]="","Active","Left")</f>
        <v>Active</v>
      </c>
      <c r="AI340" t="str">
        <f>IF(HR_Data[YearsAtCompany]&lt;=2,"Fresher", IF(HR_Data[YearsAtCompany]&lt;=5,"Junior", IF(HR_Data[YearsAtCompany]&lt;=10, "Mid","Senior")))</f>
        <v>Junior</v>
      </c>
      <c r="AJ340" s="2" t="str">
        <f>IF(HR_Data[MonthlyIncome]&lt;=300,"Low", IF(HR_Data[MonthlyIncome]&lt;=7000,"Medium", "High"))</f>
        <v>Medium</v>
      </c>
      <c r="AK340" s="2" t="str">
        <f>VLOOKUP(HR_Data[JobRole], JobRole_Map[], 2, FALSE)</f>
        <v>Technical</v>
      </c>
    </row>
    <row r="341" spans="1:37" x14ac:dyDescent="0.25">
      <c r="A341" s="2">
        <v>50</v>
      </c>
      <c r="B341" t="s">
        <v>32</v>
      </c>
      <c r="C341" t="s">
        <v>33</v>
      </c>
      <c r="D341" t="s">
        <v>53</v>
      </c>
      <c r="E341">
        <v>3</v>
      </c>
      <c r="F341" t="s">
        <v>35</v>
      </c>
      <c r="G341">
        <v>2</v>
      </c>
      <c r="H341">
        <v>1</v>
      </c>
      <c r="I341" t="s">
        <v>54</v>
      </c>
      <c r="J341">
        <v>3</v>
      </c>
      <c r="K341" t="s">
        <v>50</v>
      </c>
      <c r="L341">
        <v>2683</v>
      </c>
      <c r="M341">
        <v>1</v>
      </c>
      <c r="N341" t="s">
        <v>32</v>
      </c>
      <c r="O341">
        <v>14</v>
      </c>
      <c r="P341">
        <v>3</v>
      </c>
      <c r="Q341">
        <v>0</v>
      </c>
      <c r="R341">
        <v>3</v>
      </c>
      <c r="S341">
        <v>2</v>
      </c>
      <c r="T341">
        <v>3</v>
      </c>
      <c r="U341">
        <v>0</v>
      </c>
      <c r="V341">
        <v>2</v>
      </c>
      <c r="W341" t="s">
        <v>56</v>
      </c>
      <c r="X341" s="1" t="d">
        <v>2018-01-17</v>
      </c>
      <c r="Z341" t="s">
        <v>59</v>
      </c>
      <c r="AA341" t="s">
        <v>46</v>
      </c>
      <c r="AB341">
        <v>3</v>
      </c>
      <c r="AC341">
        <v>0</v>
      </c>
      <c r="AD341" t="s">
        <v>32</v>
      </c>
      <c r="AE341" t="s">
        <v>62</v>
      </c>
      <c r="AF341" t="s">
        <v>43</v>
      </c>
      <c r="AG341">
        <f>IF(HR_Data[[#This Row],[Attrition]]="Yes",1,0)</f>
        <v>1</v>
      </c>
      <c r="AH341" t="str">
        <f>IF(HR_Data[Date_of_termination]="","Active","Left")</f>
        <v>Active</v>
      </c>
      <c r="AI341" t="str">
        <f>IF(HR_Data[YearsAtCompany]&lt;=2,"Fresher", IF(HR_Data[YearsAtCompany]&lt;=5,"Junior", IF(HR_Data[YearsAtCompany]&lt;=10, "Mid","Senior")))</f>
        <v>Junior</v>
      </c>
      <c r="AJ341" s="2" t="str">
        <f>IF(HR_Data[MonthlyIncome]&lt;=300,"Low", IF(HR_Data[MonthlyIncome]&lt;=7000,"Medium", "High"))</f>
        <v>Medium</v>
      </c>
      <c r="AK341" s="2" t="str">
        <f>VLOOKUP(HR_Data[JobRole], JobRole_Map[], 2, FALSE)</f>
        <v>Sales</v>
      </c>
    </row>
    <row r="342" spans="1:37" x14ac:dyDescent="0.25">
      <c r="A342" s="2">
        <v>35</v>
      </c>
      <c r="B342" t="s">
        <v>41</v>
      </c>
      <c r="C342" t="s">
        <v>61</v>
      </c>
      <c r="D342" t="s">
        <v>34</v>
      </c>
      <c r="E342">
        <v>1</v>
      </c>
      <c r="F342" t="s">
        <v>35</v>
      </c>
      <c r="G342">
        <v>3</v>
      </c>
      <c r="H342">
        <v>1</v>
      </c>
      <c r="I342" t="s">
        <v>44</v>
      </c>
      <c r="J342">
        <v>1</v>
      </c>
      <c r="K342" t="s">
        <v>50</v>
      </c>
      <c r="L342">
        <v>2194</v>
      </c>
      <c r="M342">
        <v>4</v>
      </c>
      <c r="N342" t="s">
        <v>41</v>
      </c>
      <c r="O342">
        <v>13</v>
      </c>
      <c r="P342">
        <v>3</v>
      </c>
      <c r="Q342">
        <v>1</v>
      </c>
      <c r="R342">
        <v>5</v>
      </c>
      <c r="S342">
        <v>2</v>
      </c>
      <c r="T342">
        <v>3</v>
      </c>
      <c r="U342">
        <v>1</v>
      </c>
      <c r="V342">
        <v>2</v>
      </c>
      <c r="W342" t="s">
        <v>38</v>
      </c>
      <c r="X342" s="1" t="d">
        <v>2018-01-02</v>
      </c>
      <c r="Z342" t="s">
        <v>45</v>
      </c>
      <c r="AA342" t="s">
        <v>46</v>
      </c>
      <c r="AB342">
        <v>2</v>
      </c>
      <c r="AC342">
        <v>3</v>
      </c>
      <c r="AD342" t="s">
        <v>32</v>
      </c>
      <c r="AE342" t="s">
        <v>47</v>
      </c>
      <c r="AF342" t="s">
        <v>57</v>
      </c>
      <c r="AG342">
        <f>IF(HR_Data[[#This Row],[Attrition]]="Yes",1,0)</f>
        <v>0</v>
      </c>
      <c r="AH342" t="str">
        <f>IF(HR_Data[Date_of_termination]="","Active","Left")</f>
        <v>Active</v>
      </c>
      <c r="AI342" t="str">
        <f>IF(HR_Data[YearsAtCompany]&lt;=2,"Fresher", IF(HR_Data[YearsAtCompany]&lt;=5,"Junior", IF(HR_Data[YearsAtCompany]&lt;=10, "Mid","Senior")))</f>
        <v>Junior</v>
      </c>
      <c r="AJ342" s="2" t="str">
        <f>IF(HR_Data[MonthlyIncome]&lt;=300,"Low", IF(HR_Data[MonthlyIncome]&lt;=7000,"Medium", "High"))</f>
        <v>Medium</v>
      </c>
      <c r="AK342" s="2" t="str">
        <f>VLOOKUP(HR_Data[JobRole], JobRole_Map[], 2, FALSE)</f>
        <v>Technical</v>
      </c>
    </row>
    <row r="343" spans="1:37" x14ac:dyDescent="0.25">
      <c r="A343" s="2">
        <v>24</v>
      </c>
      <c r="B343" t="s">
        <v>41</v>
      </c>
      <c r="C343" t="s">
        <v>33</v>
      </c>
      <c r="D343" t="s">
        <v>53</v>
      </c>
      <c r="E343">
        <v>3</v>
      </c>
      <c r="F343" t="s">
        <v>58</v>
      </c>
      <c r="G343">
        <v>3</v>
      </c>
      <c r="H343">
        <v>2</v>
      </c>
      <c r="I343" t="s">
        <v>64</v>
      </c>
      <c r="J343">
        <v>3</v>
      </c>
      <c r="K343" t="s">
        <v>50</v>
      </c>
      <c r="L343">
        <v>4999</v>
      </c>
      <c r="M343">
        <v>0</v>
      </c>
      <c r="N343" t="s">
        <v>41</v>
      </c>
      <c r="O343">
        <v>21</v>
      </c>
      <c r="P343">
        <v>4</v>
      </c>
      <c r="Q343">
        <v>1</v>
      </c>
      <c r="R343">
        <v>4</v>
      </c>
      <c r="S343">
        <v>2</v>
      </c>
      <c r="T343">
        <v>3</v>
      </c>
      <c r="U343">
        <v>0</v>
      </c>
      <c r="V343">
        <v>2</v>
      </c>
      <c r="W343" t="s">
        <v>38</v>
      </c>
      <c r="X343" s="1" t="d">
        <v>2018-04-27</v>
      </c>
      <c r="Z343" t="s">
        <v>52</v>
      </c>
      <c r="AA343" t="s">
        <v>40</v>
      </c>
      <c r="AB343">
        <v>1</v>
      </c>
      <c r="AC343">
        <v>1</v>
      </c>
      <c r="AD343" t="s">
        <v>41</v>
      </c>
      <c r="AE343" t="s">
        <v>47</v>
      </c>
      <c r="AF343" t="s">
        <v>57</v>
      </c>
      <c r="AG343">
        <f>IF(HR_Data[[#This Row],[Attrition]]="Yes",1,0)</f>
        <v>0</v>
      </c>
      <c r="AH343" t="str">
        <f>IF(HR_Data[Date_of_termination]="","Active","Left")</f>
        <v>Active</v>
      </c>
      <c r="AI343" t="str">
        <f>IF(HR_Data[YearsAtCompany]&lt;=2,"Fresher", IF(HR_Data[YearsAtCompany]&lt;=5,"Junior", IF(HR_Data[YearsAtCompany]&lt;=10, "Mid","Senior")))</f>
        <v>Junior</v>
      </c>
      <c r="AJ343" s="2" t="str">
        <f>IF(HR_Data[MonthlyIncome]&lt;=300,"Low", IF(HR_Data[MonthlyIncome]&lt;=7000,"Medium", "High"))</f>
        <v>Medium</v>
      </c>
      <c r="AK343" s="2" t="str">
        <f>VLOOKUP(HR_Data[JobRole], JobRole_Map[], 2, FALSE)</f>
        <v>Sales</v>
      </c>
    </row>
    <row r="344" spans="1:37" x14ac:dyDescent="0.25">
      <c r="A344" s="2">
        <v>44</v>
      </c>
      <c r="B344" t="s">
        <v>41</v>
      </c>
      <c r="C344" t="s">
        <v>68</v>
      </c>
      <c r="D344" t="s">
        <v>34</v>
      </c>
      <c r="E344">
        <v>23</v>
      </c>
      <c r="F344" t="s">
        <v>35</v>
      </c>
      <c r="G344">
        <v>3</v>
      </c>
      <c r="H344">
        <v>2</v>
      </c>
      <c r="I344" t="s">
        <v>36</v>
      </c>
      <c r="J344">
        <v>2</v>
      </c>
      <c r="K344" t="s">
        <v>50</v>
      </c>
      <c r="L344">
        <v>2042</v>
      </c>
      <c r="M344">
        <v>4</v>
      </c>
      <c r="N344" t="s">
        <v>41</v>
      </c>
      <c r="O344">
        <v>12</v>
      </c>
      <c r="P344">
        <v>3</v>
      </c>
      <c r="Q344">
        <v>1</v>
      </c>
      <c r="R344">
        <v>17</v>
      </c>
      <c r="S344">
        <v>3</v>
      </c>
      <c r="T344">
        <v>3</v>
      </c>
      <c r="U344">
        <v>1</v>
      </c>
      <c r="V344">
        <v>2</v>
      </c>
      <c r="W344" t="s">
        <v>38</v>
      </c>
      <c r="X344" s="1" t="d">
        <v>2018-03-23</v>
      </c>
      <c r="Z344" t="s">
        <v>52</v>
      </c>
      <c r="AA344" t="s">
        <v>46</v>
      </c>
      <c r="AB344">
        <v>5</v>
      </c>
      <c r="AC344">
        <v>0</v>
      </c>
      <c r="AD344" t="s">
        <v>32</v>
      </c>
      <c r="AE344" t="s">
        <v>42</v>
      </c>
      <c r="AF344" t="s">
        <v>57</v>
      </c>
      <c r="AG344">
        <f>IF(HR_Data[[#This Row],[Attrition]]="Yes",1,0)</f>
        <v>0</v>
      </c>
      <c r="AH344" t="str">
        <f>IF(HR_Data[Date_of_termination]="","Active","Left")</f>
        <v>Active</v>
      </c>
      <c r="AI344" t="str">
        <f>IF(HR_Data[YearsAtCompany]&lt;=2,"Fresher", IF(HR_Data[YearsAtCompany]&lt;=5,"Junior", IF(HR_Data[YearsAtCompany]&lt;=10, "Mid","Senior")))</f>
        <v>Junior</v>
      </c>
      <c r="AJ344" s="2" t="str">
        <f>IF(HR_Data[MonthlyIncome]&lt;=300,"Low", IF(HR_Data[MonthlyIncome]&lt;=7000,"Medium", "High"))</f>
        <v>Medium</v>
      </c>
      <c r="AK344" s="2" t="str">
        <f>VLOOKUP(HR_Data[JobRole], JobRole_Map[], 2, FALSE)</f>
        <v>Technical</v>
      </c>
    </row>
    <row r="345" spans="1:37" x14ac:dyDescent="0.25">
      <c r="A345" s="2">
        <v>37</v>
      </c>
      <c r="B345" t="s">
        <v>32</v>
      </c>
      <c r="C345" t="s">
        <v>33</v>
      </c>
      <c r="D345" t="s">
        <v>70</v>
      </c>
      <c r="E345">
        <v>6</v>
      </c>
      <c r="F345" t="s">
        <v>35</v>
      </c>
      <c r="G345">
        <v>3</v>
      </c>
      <c r="H345">
        <v>1</v>
      </c>
      <c r="I345" t="s">
        <v>70</v>
      </c>
      <c r="J345">
        <v>1</v>
      </c>
      <c r="K345" t="s">
        <v>55</v>
      </c>
      <c r="L345">
        <v>2073</v>
      </c>
      <c r="M345">
        <v>4</v>
      </c>
      <c r="N345" t="s">
        <v>32</v>
      </c>
      <c r="O345">
        <v>22</v>
      </c>
      <c r="P345">
        <v>4</v>
      </c>
      <c r="Q345">
        <v>0</v>
      </c>
      <c r="R345">
        <v>7</v>
      </c>
      <c r="S345">
        <v>3</v>
      </c>
      <c r="T345">
        <v>3</v>
      </c>
      <c r="U345">
        <v>0</v>
      </c>
      <c r="V345">
        <v>2</v>
      </c>
      <c r="W345" t="s">
        <v>56</v>
      </c>
      <c r="X345" s="1" t="d">
        <v>2018-02-18</v>
      </c>
      <c r="Z345" t="s">
        <v>63</v>
      </c>
      <c r="AA345" t="s">
        <v>46</v>
      </c>
      <c r="AB345">
        <v>1</v>
      </c>
      <c r="AC345">
        <v>0</v>
      </c>
      <c r="AD345" t="s">
        <v>32</v>
      </c>
      <c r="AE345" t="s">
        <v>60</v>
      </c>
      <c r="AF345" t="s">
        <v>57</v>
      </c>
      <c r="AG345">
        <f>IF(HR_Data[[#This Row],[Attrition]]="Yes",1,0)</f>
        <v>1</v>
      </c>
      <c r="AH345" t="str">
        <f>IF(HR_Data[Date_of_termination]="","Active","Left")</f>
        <v>Active</v>
      </c>
      <c r="AI345" t="str">
        <f>IF(HR_Data[YearsAtCompany]&lt;=2,"Fresher", IF(HR_Data[YearsAtCompany]&lt;=5,"Junior", IF(HR_Data[YearsAtCompany]&lt;=10, "Mid","Senior")))</f>
        <v>Junior</v>
      </c>
      <c r="AJ345" s="2" t="str">
        <f>IF(HR_Data[MonthlyIncome]&lt;=300,"Low", IF(HR_Data[MonthlyIncome]&lt;=7000,"Medium", "High"))</f>
        <v>Medium</v>
      </c>
      <c r="AK345" s="2" t="str">
        <f>VLOOKUP(HR_Data[JobRole], JobRole_Map[], 2, FALSE)</f>
        <v>HR</v>
      </c>
    </row>
    <row r="346" spans="1:37" x14ac:dyDescent="0.25">
      <c r="A346" s="2">
        <v>59</v>
      </c>
      <c r="B346" t="s">
        <v>41</v>
      </c>
      <c r="C346" t="s">
        <v>68</v>
      </c>
      <c r="D346" t="s">
        <v>70</v>
      </c>
      <c r="E346">
        <v>2</v>
      </c>
      <c r="F346" t="s">
        <v>58</v>
      </c>
      <c r="G346">
        <v>2</v>
      </c>
      <c r="H346">
        <v>5</v>
      </c>
      <c r="I346" t="s">
        <v>66</v>
      </c>
      <c r="J346">
        <v>4</v>
      </c>
      <c r="K346" t="s">
        <v>50</v>
      </c>
      <c r="L346">
        <v>18844</v>
      </c>
      <c r="M346">
        <v>9</v>
      </c>
      <c r="N346" t="s">
        <v>41</v>
      </c>
      <c r="O346">
        <v>21</v>
      </c>
      <c r="P346">
        <v>4</v>
      </c>
      <c r="Q346">
        <v>1</v>
      </c>
      <c r="R346">
        <v>30</v>
      </c>
      <c r="S346">
        <v>3</v>
      </c>
      <c r="T346">
        <v>3</v>
      </c>
      <c r="U346">
        <v>2</v>
      </c>
      <c r="V346">
        <v>2</v>
      </c>
      <c r="W346" t="s">
        <v>65</v>
      </c>
      <c r="X346" s="1" t="d">
        <v>2018-06-02</v>
      </c>
      <c r="Z346" t="s">
        <v>52</v>
      </c>
      <c r="AA346" t="s">
        <v>40</v>
      </c>
      <c r="AB346">
        <v>4</v>
      </c>
      <c r="AC346">
        <v>2</v>
      </c>
      <c r="AD346" t="s">
        <v>41</v>
      </c>
      <c r="AE346" t="s">
        <v>60</v>
      </c>
      <c r="AF346" t="s">
        <v>48</v>
      </c>
      <c r="AG346">
        <f>IF(HR_Data[[#This Row],[Attrition]]="Yes",1,0)</f>
        <v>0</v>
      </c>
      <c r="AH346" t="str">
        <f>IF(HR_Data[Date_of_termination]="","Active","Left")</f>
        <v>Active</v>
      </c>
      <c r="AI346" t="str">
        <f>IF(HR_Data[YearsAtCompany]&lt;=2,"Fresher", IF(HR_Data[YearsAtCompany]&lt;=5,"Junior", IF(HR_Data[YearsAtCompany]&lt;=10, "Mid","Senior")))</f>
        <v>Junior</v>
      </c>
      <c r="AJ346" s="2" t="str">
        <f>IF(HR_Data[MonthlyIncome]&lt;=300,"Low", IF(HR_Data[MonthlyIncome]&lt;=7000,"Medium", "High"))</f>
        <v>High</v>
      </c>
      <c r="AK346" s="2" t="str">
        <f>VLOOKUP(HR_Data[JobRole], JobRole_Map[], 2, FALSE)</f>
        <v>Management</v>
      </c>
    </row>
    <row r="347" spans="1:37" x14ac:dyDescent="0.25">
      <c r="A347" s="2">
        <v>43</v>
      </c>
      <c r="B347" t="s">
        <v>41</v>
      </c>
      <c r="C347" t="s">
        <v>61</v>
      </c>
      <c r="D347" t="s">
        <v>34</v>
      </c>
      <c r="E347">
        <v>28</v>
      </c>
      <c r="F347" t="s">
        <v>58</v>
      </c>
      <c r="G347">
        <v>4</v>
      </c>
      <c r="H347">
        <v>1</v>
      </c>
      <c r="I347" t="s">
        <v>44</v>
      </c>
      <c r="J347">
        <v>3</v>
      </c>
      <c r="K347" t="s">
        <v>37</v>
      </c>
      <c r="L347">
        <v>4739</v>
      </c>
      <c r="M347">
        <v>4</v>
      </c>
      <c r="N347" t="s">
        <v>41</v>
      </c>
      <c r="O347">
        <v>12</v>
      </c>
      <c r="P347">
        <v>3</v>
      </c>
      <c r="Q347">
        <v>0</v>
      </c>
      <c r="R347">
        <v>18</v>
      </c>
      <c r="S347">
        <v>2</v>
      </c>
      <c r="T347">
        <v>3</v>
      </c>
      <c r="U347">
        <v>1</v>
      </c>
      <c r="V347">
        <v>2</v>
      </c>
      <c r="W347" t="s">
        <v>51</v>
      </c>
      <c r="X347" s="1" t="d">
        <v>2018-02-13</v>
      </c>
      <c r="Z347" t="s">
        <v>59</v>
      </c>
      <c r="AA347" t="s">
        <v>40</v>
      </c>
      <c r="AB347">
        <v>2</v>
      </c>
      <c r="AC347">
        <v>2</v>
      </c>
      <c r="AD347" t="s">
        <v>41</v>
      </c>
      <c r="AE347" t="s">
        <v>60</v>
      </c>
      <c r="AF347" t="s">
        <v>57</v>
      </c>
      <c r="AG347">
        <f>IF(HR_Data[[#This Row],[Attrition]]="Yes",1,0)</f>
        <v>0</v>
      </c>
      <c r="AH347" t="str">
        <f>IF(HR_Data[Date_of_termination]="","Active","Left")</f>
        <v>Active</v>
      </c>
      <c r="AI347" t="str">
        <f>IF(HR_Data[YearsAtCompany]&lt;=2,"Fresher", IF(HR_Data[YearsAtCompany]&lt;=5,"Junior", IF(HR_Data[YearsAtCompany]&lt;=10, "Mid","Senior")))</f>
        <v>Junior</v>
      </c>
      <c r="AJ347" s="2" t="str">
        <f>IF(HR_Data[MonthlyIncome]&lt;=300,"Low", IF(HR_Data[MonthlyIncome]&lt;=7000,"Medium", "High"))</f>
        <v>Medium</v>
      </c>
      <c r="AK347" s="2" t="str">
        <f>VLOOKUP(HR_Data[JobRole], JobRole_Map[], 2, FALSE)</f>
        <v>Technical</v>
      </c>
    </row>
    <row r="348" spans="1:37" x14ac:dyDescent="0.25">
      <c r="A348" s="2">
        <v>36</v>
      </c>
      <c r="B348" t="s">
        <v>41</v>
      </c>
      <c r="C348" t="s">
        <v>33</v>
      </c>
      <c r="D348" t="s">
        <v>34</v>
      </c>
      <c r="E348">
        <v>6</v>
      </c>
      <c r="F348" t="s">
        <v>35</v>
      </c>
      <c r="G348">
        <v>3</v>
      </c>
      <c r="H348">
        <v>2</v>
      </c>
      <c r="I348" t="s">
        <v>67</v>
      </c>
      <c r="J348">
        <v>2</v>
      </c>
      <c r="K348" t="s">
        <v>55</v>
      </c>
      <c r="L348">
        <v>4941</v>
      </c>
      <c r="M348">
        <v>6</v>
      </c>
      <c r="N348" t="s">
        <v>41</v>
      </c>
      <c r="O348">
        <v>20</v>
      </c>
      <c r="P348">
        <v>4</v>
      </c>
      <c r="Q348">
        <v>2</v>
      </c>
      <c r="R348">
        <v>7</v>
      </c>
      <c r="S348">
        <v>0</v>
      </c>
      <c r="T348">
        <v>3</v>
      </c>
      <c r="U348">
        <v>0</v>
      </c>
      <c r="V348">
        <v>1</v>
      </c>
      <c r="W348" t="s">
        <v>38</v>
      </c>
      <c r="X348" s="1" t="d">
        <v>2018-06-18</v>
      </c>
      <c r="Z348" t="s">
        <v>59</v>
      </c>
      <c r="AA348" t="s">
        <v>40</v>
      </c>
      <c r="AB348">
        <v>0</v>
      </c>
      <c r="AC348">
        <v>2</v>
      </c>
      <c r="AD348" t="s">
        <v>41</v>
      </c>
      <c r="AE348" t="s">
        <v>42</v>
      </c>
      <c r="AF348" t="s">
        <v>57</v>
      </c>
      <c r="AG348">
        <f>IF(HR_Data[[#This Row],[Attrition]]="Yes",1,0)</f>
        <v>0</v>
      </c>
      <c r="AH348" t="str">
        <f>IF(HR_Data[Date_of_termination]="","Active","Left")</f>
        <v>Active</v>
      </c>
      <c r="AI348" t="str">
        <f>IF(HR_Data[YearsAtCompany]&lt;=2,"Fresher", IF(HR_Data[YearsAtCompany]&lt;=5,"Junior", IF(HR_Data[YearsAtCompany]&lt;=10, "Mid","Senior")))</f>
        <v>Junior</v>
      </c>
      <c r="AJ348" s="2" t="str">
        <f>IF(HR_Data[MonthlyIncome]&lt;=300,"Low", IF(HR_Data[MonthlyIncome]&lt;=7000,"Medium", "High"))</f>
        <v>Medium</v>
      </c>
      <c r="AK348" s="2" t="str">
        <f>VLOOKUP(HR_Data[JobRole], JobRole_Map[], 2, FALSE)</f>
        <v>Operations</v>
      </c>
    </row>
    <row r="349" spans="1:37" x14ac:dyDescent="0.25">
      <c r="A349" s="2">
        <v>38</v>
      </c>
      <c r="B349" t="s">
        <v>41</v>
      </c>
      <c r="C349" t="s">
        <v>33</v>
      </c>
      <c r="D349" t="s">
        <v>34</v>
      </c>
      <c r="E349">
        <v>3</v>
      </c>
      <c r="F349" t="s">
        <v>58</v>
      </c>
      <c r="G349">
        <v>3</v>
      </c>
      <c r="H349">
        <v>2</v>
      </c>
      <c r="I349" t="s">
        <v>44</v>
      </c>
      <c r="J349">
        <v>3</v>
      </c>
      <c r="K349" t="s">
        <v>37</v>
      </c>
      <c r="L349">
        <v>4317</v>
      </c>
      <c r="M349">
        <v>3</v>
      </c>
      <c r="N349" t="s">
        <v>32</v>
      </c>
      <c r="O349">
        <v>20</v>
      </c>
      <c r="P349">
        <v>4</v>
      </c>
      <c r="Q349">
        <v>0</v>
      </c>
      <c r="R349">
        <v>19</v>
      </c>
      <c r="S349">
        <v>2</v>
      </c>
      <c r="T349">
        <v>3</v>
      </c>
      <c r="U349">
        <v>2</v>
      </c>
      <c r="V349">
        <v>2</v>
      </c>
      <c r="W349" t="s">
        <v>65</v>
      </c>
      <c r="X349" s="1" t="d">
        <v>2018-04-24</v>
      </c>
      <c r="Z349" t="s">
        <v>39</v>
      </c>
      <c r="AA349" t="s">
        <v>46</v>
      </c>
      <c r="AB349">
        <v>5</v>
      </c>
      <c r="AC349">
        <v>0</v>
      </c>
      <c r="AD349" t="s">
        <v>32</v>
      </c>
      <c r="AE349" t="s">
        <v>42</v>
      </c>
      <c r="AF349" t="s">
        <v>57</v>
      </c>
      <c r="AG349">
        <f>IF(HR_Data[[#This Row],[Attrition]]="Yes",1,0)</f>
        <v>0</v>
      </c>
      <c r="AH349" t="str">
        <f>IF(HR_Data[Date_of_termination]="","Active","Left")</f>
        <v>Active</v>
      </c>
      <c r="AI349" t="str">
        <f>IF(HR_Data[YearsAtCompany]&lt;=2,"Fresher", IF(HR_Data[YearsAtCompany]&lt;=5,"Junior", IF(HR_Data[YearsAtCompany]&lt;=10, "Mid","Senior")))</f>
        <v>Junior</v>
      </c>
      <c r="AJ349" s="2" t="str">
        <f>IF(HR_Data[MonthlyIncome]&lt;=300,"Low", IF(HR_Data[MonthlyIncome]&lt;=7000,"Medium", "High"))</f>
        <v>Medium</v>
      </c>
      <c r="AK349" s="2" t="str">
        <f>VLOOKUP(HR_Data[JobRole], JobRole_Map[], 2, FALSE)</f>
        <v>Technical</v>
      </c>
    </row>
    <row r="350" spans="1:37" x14ac:dyDescent="0.25">
      <c r="A350" s="2">
        <v>30</v>
      </c>
      <c r="B350" t="s">
        <v>41</v>
      </c>
      <c r="C350" t="s">
        <v>33</v>
      </c>
      <c r="D350" t="s">
        <v>34</v>
      </c>
      <c r="E350">
        <v>5</v>
      </c>
      <c r="F350" t="s">
        <v>58</v>
      </c>
      <c r="G350">
        <v>3</v>
      </c>
      <c r="H350">
        <v>1</v>
      </c>
      <c r="I350" t="s">
        <v>44</v>
      </c>
      <c r="J350">
        <v>1</v>
      </c>
      <c r="K350" t="s">
        <v>55</v>
      </c>
      <c r="L350">
        <v>3204</v>
      </c>
      <c r="M350">
        <v>5</v>
      </c>
      <c r="N350" t="s">
        <v>41</v>
      </c>
      <c r="O350">
        <v>14</v>
      </c>
      <c r="P350">
        <v>3</v>
      </c>
      <c r="Q350">
        <v>1</v>
      </c>
      <c r="R350">
        <v>8</v>
      </c>
      <c r="S350">
        <v>3</v>
      </c>
      <c r="T350">
        <v>3</v>
      </c>
      <c r="U350">
        <v>2</v>
      </c>
      <c r="V350">
        <v>2</v>
      </c>
      <c r="W350" t="s">
        <v>65</v>
      </c>
      <c r="X350" s="1" t="d">
        <v>2018-05-25</v>
      </c>
      <c r="Z350" t="s">
        <v>52</v>
      </c>
      <c r="AA350" t="s">
        <v>40</v>
      </c>
      <c r="AB350">
        <v>0</v>
      </c>
      <c r="AC350">
        <v>2</v>
      </c>
      <c r="AD350" t="s">
        <v>41</v>
      </c>
      <c r="AE350" t="s">
        <v>62</v>
      </c>
      <c r="AF350" t="s">
        <v>57</v>
      </c>
      <c r="AG350">
        <f>IF(HR_Data[[#This Row],[Attrition]]="Yes",1,0)</f>
        <v>0</v>
      </c>
      <c r="AH350" t="str">
        <f>IF(HR_Data[Date_of_termination]="","Active","Left")</f>
        <v>Active</v>
      </c>
      <c r="AI350" t="str">
        <f>IF(HR_Data[YearsAtCompany]&lt;=2,"Fresher", IF(HR_Data[YearsAtCompany]&lt;=5,"Junior", IF(HR_Data[YearsAtCompany]&lt;=10, "Mid","Senior")))</f>
        <v>Junior</v>
      </c>
      <c r="AJ350" s="2" t="str">
        <f>IF(HR_Data[MonthlyIncome]&lt;=300,"Low", IF(HR_Data[MonthlyIncome]&lt;=7000,"Medium", "High"))</f>
        <v>Medium</v>
      </c>
      <c r="AK350" s="2" t="str">
        <f>VLOOKUP(HR_Data[JobRole], JobRole_Map[], 2, FALSE)</f>
        <v>Technical</v>
      </c>
    </row>
    <row r="351" spans="1:37" x14ac:dyDescent="0.25">
      <c r="A351" s="2">
        <v>33</v>
      </c>
      <c r="B351" t="s">
        <v>41</v>
      </c>
      <c r="C351" t="s">
        <v>33</v>
      </c>
      <c r="D351" t="s">
        <v>34</v>
      </c>
      <c r="E351">
        <v>2</v>
      </c>
      <c r="F351" t="s">
        <v>35</v>
      </c>
      <c r="G351">
        <v>3</v>
      </c>
      <c r="H351">
        <v>1</v>
      </c>
      <c r="I351" t="s">
        <v>44</v>
      </c>
      <c r="J351">
        <v>4</v>
      </c>
      <c r="K351" t="s">
        <v>37</v>
      </c>
      <c r="L351">
        <v>2500</v>
      </c>
      <c r="M351">
        <v>0</v>
      </c>
      <c r="N351" t="s">
        <v>41</v>
      </c>
      <c r="O351">
        <v>14</v>
      </c>
      <c r="P351">
        <v>3</v>
      </c>
      <c r="Q351">
        <v>0</v>
      </c>
      <c r="R351">
        <v>4</v>
      </c>
      <c r="S351">
        <v>2</v>
      </c>
      <c r="T351">
        <v>3</v>
      </c>
      <c r="U351">
        <v>0</v>
      </c>
      <c r="V351">
        <v>2</v>
      </c>
      <c r="W351" t="s">
        <v>38</v>
      </c>
      <c r="X351" s="1" t="d">
        <v>2018-01-04</v>
      </c>
      <c r="Z351" t="s">
        <v>45</v>
      </c>
      <c r="AA351" t="s">
        <v>40</v>
      </c>
      <c r="AB351">
        <v>0</v>
      </c>
      <c r="AC351">
        <v>0</v>
      </c>
      <c r="AD351" t="s">
        <v>41</v>
      </c>
      <c r="AE351" t="s">
        <v>47</v>
      </c>
      <c r="AF351" t="s">
        <v>43</v>
      </c>
      <c r="AG351">
        <f>IF(HR_Data[[#This Row],[Attrition]]="Yes",1,0)</f>
        <v>0</v>
      </c>
      <c r="AH351" t="str">
        <f>IF(HR_Data[Date_of_termination]="","Active","Left")</f>
        <v>Active</v>
      </c>
      <c r="AI351" t="str">
        <f>IF(HR_Data[YearsAtCompany]&lt;=2,"Fresher", IF(HR_Data[YearsAtCompany]&lt;=5,"Junior", IF(HR_Data[YearsAtCompany]&lt;=10, "Mid","Senior")))</f>
        <v>Junior</v>
      </c>
      <c r="AJ351" s="2" t="str">
        <f>IF(HR_Data[MonthlyIncome]&lt;=300,"Low", IF(HR_Data[MonthlyIncome]&lt;=7000,"Medium", "High"))</f>
        <v>Medium</v>
      </c>
      <c r="AK351" s="2" t="str">
        <f>VLOOKUP(HR_Data[JobRole], JobRole_Map[], 2, FALSE)</f>
        <v>Technical</v>
      </c>
    </row>
    <row r="352" spans="1:37" x14ac:dyDescent="0.25">
      <c r="A352" s="2">
        <v>34</v>
      </c>
      <c r="B352" t="s">
        <v>41</v>
      </c>
      <c r="C352" t="s">
        <v>33</v>
      </c>
      <c r="D352" t="s">
        <v>34</v>
      </c>
      <c r="E352">
        <v>27</v>
      </c>
      <c r="F352" t="s">
        <v>58</v>
      </c>
      <c r="G352">
        <v>3</v>
      </c>
      <c r="H352">
        <v>1</v>
      </c>
      <c r="I352" t="s">
        <v>44</v>
      </c>
      <c r="J352">
        <v>2</v>
      </c>
      <c r="K352" t="s">
        <v>37</v>
      </c>
      <c r="L352">
        <v>2311</v>
      </c>
      <c r="M352">
        <v>2</v>
      </c>
      <c r="N352" t="s">
        <v>41</v>
      </c>
      <c r="O352">
        <v>15</v>
      </c>
      <c r="P352">
        <v>3</v>
      </c>
      <c r="Q352">
        <v>0</v>
      </c>
      <c r="R352">
        <v>9</v>
      </c>
      <c r="S352">
        <v>3</v>
      </c>
      <c r="T352">
        <v>3</v>
      </c>
      <c r="U352">
        <v>1</v>
      </c>
      <c r="V352">
        <v>2</v>
      </c>
      <c r="W352" t="s">
        <v>56</v>
      </c>
      <c r="X352" s="1" t="d">
        <v>2018-01-24</v>
      </c>
      <c r="Z352" t="s">
        <v>39</v>
      </c>
      <c r="AA352" t="s">
        <v>40</v>
      </c>
      <c r="AB352">
        <v>5</v>
      </c>
      <c r="AC352">
        <v>3</v>
      </c>
      <c r="AD352" t="s">
        <v>41</v>
      </c>
      <c r="AE352" t="s">
        <v>60</v>
      </c>
      <c r="AF352" t="s">
        <v>57</v>
      </c>
      <c r="AG352">
        <f>IF(HR_Data[[#This Row],[Attrition]]="Yes",1,0)</f>
        <v>0</v>
      </c>
      <c r="AH352" t="str">
        <f>IF(HR_Data[Date_of_termination]="","Active","Left")</f>
        <v>Active</v>
      </c>
      <c r="AI352" t="str">
        <f>IF(HR_Data[YearsAtCompany]&lt;=2,"Fresher", IF(HR_Data[YearsAtCompany]&lt;=5,"Junior", IF(HR_Data[YearsAtCompany]&lt;=10, "Mid","Senior")))</f>
        <v>Junior</v>
      </c>
      <c r="AJ352" s="2" t="str">
        <f>IF(HR_Data[MonthlyIncome]&lt;=300,"Low", IF(HR_Data[MonthlyIncome]&lt;=7000,"Medium", "High"))</f>
        <v>Medium</v>
      </c>
      <c r="AK352" s="2" t="str">
        <f>VLOOKUP(HR_Data[JobRole], JobRole_Map[], 2, FALSE)</f>
        <v>Technical</v>
      </c>
    </row>
    <row r="353" spans="1:37" x14ac:dyDescent="0.25">
      <c r="A353" s="2">
        <v>50</v>
      </c>
      <c r="B353" t="s">
        <v>41</v>
      </c>
      <c r="C353" t="s">
        <v>33</v>
      </c>
      <c r="D353" t="s">
        <v>34</v>
      </c>
      <c r="E353">
        <v>1</v>
      </c>
      <c r="F353" t="s">
        <v>35</v>
      </c>
      <c r="G353">
        <v>2</v>
      </c>
      <c r="H353">
        <v>1</v>
      </c>
      <c r="I353" t="s">
        <v>36</v>
      </c>
      <c r="J353">
        <v>3</v>
      </c>
      <c r="K353" t="s">
        <v>50</v>
      </c>
      <c r="L353">
        <v>3690</v>
      </c>
      <c r="M353">
        <v>2</v>
      </c>
      <c r="N353" t="s">
        <v>41</v>
      </c>
      <c r="O353">
        <v>15</v>
      </c>
      <c r="P353">
        <v>3</v>
      </c>
      <c r="Q353">
        <v>1</v>
      </c>
      <c r="R353">
        <v>5</v>
      </c>
      <c r="S353">
        <v>2</v>
      </c>
      <c r="T353">
        <v>3</v>
      </c>
      <c r="U353">
        <v>0</v>
      </c>
      <c r="V353">
        <v>2</v>
      </c>
      <c r="W353" t="s">
        <v>65</v>
      </c>
      <c r="X353" s="1" t="d">
        <v>2018-02-08</v>
      </c>
      <c r="Z353" t="s">
        <v>52</v>
      </c>
      <c r="AA353" t="s">
        <v>46</v>
      </c>
      <c r="AB353">
        <v>5</v>
      </c>
      <c r="AC353">
        <v>2</v>
      </c>
      <c r="AD353" t="s">
        <v>32</v>
      </c>
      <c r="AE353" t="s">
        <v>47</v>
      </c>
      <c r="AF353" t="s">
        <v>48</v>
      </c>
      <c r="AG353">
        <f>IF(HR_Data[[#This Row],[Attrition]]="Yes",1,0)</f>
        <v>0</v>
      </c>
      <c r="AH353" t="str">
        <f>IF(HR_Data[Date_of_termination]="","Active","Left")</f>
        <v>Active</v>
      </c>
      <c r="AI353" t="str">
        <f>IF(HR_Data[YearsAtCompany]&lt;=2,"Fresher", IF(HR_Data[YearsAtCompany]&lt;=5,"Junior", IF(HR_Data[YearsAtCompany]&lt;=10, "Mid","Senior")))</f>
        <v>Junior</v>
      </c>
      <c r="AJ353" s="2" t="str">
        <f>IF(HR_Data[MonthlyIncome]&lt;=300,"Low", IF(HR_Data[MonthlyIncome]&lt;=7000,"Medium", "High"))</f>
        <v>Medium</v>
      </c>
      <c r="AK353" s="2" t="str">
        <f>VLOOKUP(HR_Data[JobRole], JobRole_Map[], 2, FALSE)</f>
        <v>Technical</v>
      </c>
    </row>
    <row r="354" spans="1:37" x14ac:dyDescent="0.25">
      <c r="A354" s="2">
        <v>40</v>
      </c>
      <c r="B354" t="s">
        <v>41</v>
      </c>
      <c r="C354" t="s">
        <v>68</v>
      </c>
      <c r="D354" t="s">
        <v>34</v>
      </c>
      <c r="E354">
        <v>9</v>
      </c>
      <c r="F354" t="s">
        <v>35</v>
      </c>
      <c r="G354">
        <v>2</v>
      </c>
      <c r="H354">
        <v>2</v>
      </c>
      <c r="I354" t="s">
        <v>69</v>
      </c>
      <c r="J354">
        <v>4</v>
      </c>
      <c r="K354" t="s">
        <v>50</v>
      </c>
      <c r="L354">
        <v>4876</v>
      </c>
      <c r="M354">
        <v>9</v>
      </c>
      <c r="N354" t="s">
        <v>41</v>
      </c>
      <c r="O354">
        <v>14</v>
      </c>
      <c r="P354">
        <v>3</v>
      </c>
      <c r="Q354">
        <v>1</v>
      </c>
      <c r="R354">
        <v>5</v>
      </c>
      <c r="S354">
        <v>5</v>
      </c>
      <c r="T354">
        <v>3</v>
      </c>
      <c r="U354">
        <v>0</v>
      </c>
      <c r="V354">
        <v>2</v>
      </c>
      <c r="W354" t="s">
        <v>65</v>
      </c>
      <c r="X354" s="1" t="d">
        <v>2018-03-07</v>
      </c>
      <c r="Z354" t="s">
        <v>39</v>
      </c>
      <c r="AA354" t="s">
        <v>40</v>
      </c>
      <c r="AB354">
        <v>3</v>
      </c>
      <c r="AC354">
        <v>1</v>
      </c>
      <c r="AD354" t="s">
        <v>32</v>
      </c>
      <c r="AE354" t="s">
        <v>42</v>
      </c>
      <c r="AF354" t="s">
        <v>57</v>
      </c>
      <c r="AG354">
        <f>IF(HR_Data[[#This Row],[Attrition]]="Yes",1,0)</f>
        <v>0</v>
      </c>
      <c r="AH354" t="str">
        <f>IF(HR_Data[Date_of_termination]="","Active","Left")</f>
        <v>Active</v>
      </c>
      <c r="AI354" t="str">
        <f>IF(HR_Data[YearsAtCompany]&lt;=2,"Fresher", IF(HR_Data[YearsAtCompany]&lt;=5,"Junior", IF(HR_Data[YearsAtCompany]&lt;=10, "Mid","Senior")))</f>
        <v>Junior</v>
      </c>
      <c r="AJ354" s="2" t="str">
        <f>IF(HR_Data[MonthlyIncome]&lt;=300,"Low", IF(HR_Data[MonthlyIncome]&lt;=7000,"Medium", "High"))</f>
        <v>Medium</v>
      </c>
      <c r="AK354" s="2" t="str">
        <f>VLOOKUP(HR_Data[JobRole], JobRole_Map[], 2, FALSE)</f>
        <v>Operations</v>
      </c>
    </row>
    <row r="355" spans="1:37" x14ac:dyDescent="0.25">
      <c r="A355" s="2">
        <v>33</v>
      </c>
      <c r="B355" t="s">
        <v>41</v>
      </c>
      <c r="C355" t="s">
        <v>33</v>
      </c>
      <c r="D355" t="s">
        <v>34</v>
      </c>
      <c r="E355">
        <v>4</v>
      </c>
      <c r="F355" t="s">
        <v>58</v>
      </c>
      <c r="G355">
        <v>2</v>
      </c>
      <c r="H355">
        <v>1</v>
      </c>
      <c r="I355" t="s">
        <v>44</v>
      </c>
      <c r="J355">
        <v>2</v>
      </c>
      <c r="K355" t="s">
        <v>50</v>
      </c>
      <c r="L355">
        <v>2622</v>
      </c>
      <c r="M355">
        <v>6</v>
      </c>
      <c r="N355" t="s">
        <v>41</v>
      </c>
      <c r="O355">
        <v>21</v>
      </c>
      <c r="P355">
        <v>4</v>
      </c>
      <c r="Q355">
        <v>0</v>
      </c>
      <c r="R355">
        <v>7</v>
      </c>
      <c r="S355">
        <v>3</v>
      </c>
      <c r="T355">
        <v>3</v>
      </c>
      <c r="U355">
        <v>1</v>
      </c>
      <c r="V355">
        <v>1</v>
      </c>
      <c r="W355" t="s">
        <v>51</v>
      </c>
      <c r="X355" s="1" t="d">
        <v>2018-04-05</v>
      </c>
      <c r="Z355" t="s">
        <v>52</v>
      </c>
      <c r="AA355" t="s">
        <v>46</v>
      </c>
      <c r="AB355">
        <v>1</v>
      </c>
      <c r="AC355">
        <v>1</v>
      </c>
      <c r="AD355" t="s">
        <v>32</v>
      </c>
      <c r="AE355" t="s">
        <v>47</v>
      </c>
      <c r="AF355" t="s">
        <v>43</v>
      </c>
      <c r="AG355">
        <f>IF(HR_Data[[#This Row],[Attrition]]="Yes",1,0)</f>
        <v>0</v>
      </c>
      <c r="AH355" t="str">
        <f>IF(HR_Data[Date_of_termination]="","Active","Left")</f>
        <v>Active</v>
      </c>
      <c r="AI355" t="str">
        <f>IF(HR_Data[YearsAtCompany]&lt;=2,"Fresher", IF(HR_Data[YearsAtCompany]&lt;=5,"Junior", IF(HR_Data[YearsAtCompany]&lt;=10, "Mid","Senior")))</f>
        <v>Junior</v>
      </c>
      <c r="AJ355" s="2" t="str">
        <f>IF(HR_Data[MonthlyIncome]&lt;=300,"Low", IF(HR_Data[MonthlyIncome]&lt;=7000,"Medium", "High"))</f>
        <v>Medium</v>
      </c>
      <c r="AK355" s="2" t="str">
        <f>VLOOKUP(HR_Data[JobRole], JobRole_Map[], 2, FALSE)</f>
        <v>Technical</v>
      </c>
    </row>
    <row r="356" spans="1:37" x14ac:dyDescent="0.25">
      <c r="A356" s="2">
        <v>32</v>
      </c>
      <c r="B356" t="s">
        <v>32</v>
      </c>
      <c r="C356" t="s">
        <v>33</v>
      </c>
      <c r="D356" t="s">
        <v>34</v>
      </c>
      <c r="E356">
        <v>1</v>
      </c>
      <c r="F356" t="s">
        <v>35</v>
      </c>
      <c r="G356">
        <v>2</v>
      </c>
      <c r="H356">
        <v>1</v>
      </c>
      <c r="I356" t="s">
        <v>36</v>
      </c>
      <c r="J356">
        <v>3</v>
      </c>
      <c r="K356" t="s">
        <v>37</v>
      </c>
      <c r="L356">
        <v>3730</v>
      </c>
      <c r="M356">
        <v>0</v>
      </c>
      <c r="N356" t="s">
        <v>32</v>
      </c>
      <c r="O356">
        <v>14</v>
      </c>
      <c r="P356">
        <v>3</v>
      </c>
      <c r="Q356">
        <v>0</v>
      </c>
      <c r="R356">
        <v>4</v>
      </c>
      <c r="S356">
        <v>2</v>
      </c>
      <c r="T356">
        <v>3</v>
      </c>
      <c r="U356">
        <v>1</v>
      </c>
      <c r="V356">
        <v>2</v>
      </c>
      <c r="W356" t="s">
        <v>56</v>
      </c>
      <c r="X356" s="1" t="d">
        <v>2018-02-21</v>
      </c>
      <c r="Z356" t="s">
        <v>63</v>
      </c>
      <c r="AA356" t="s">
        <v>40</v>
      </c>
      <c r="AB356">
        <v>0</v>
      </c>
      <c r="AC356">
        <v>1</v>
      </c>
      <c r="AD356" t="s">
        <v>32</v>
      </c>
      <c r="AE356" t="s">
        <v>42</v>
      </c>
      <c r="AF356" t="s">
        <v>57</v>
      </c>
      <c r="AG356">
        <f>IF(HR_Data[[#This Row],[Attrition]]="Yes",1,0)</f>
        <v>1</v>
      </c>
      <c r="AH356" t="str">
        <f>IF(HR_Data[Date_of_termination]="","Active","Left")</f>
        <v>Active</v>
      </c>
      <c r="AI356" t="str">
        <f>IF(HR_Data[YearsAtCompany]&lt;=2,"Fresher", IF(HR_Data[YearsAtCompany]&lt;=5,"Junior", IF(HR_Data[YearsAtCompany]&lt;=10, "Mid","Senior")))</f>
        <v>Junior</v>
      </c>
      <c r="AJ356" s="2" t="str">
        <f>IF(HR_Data[MonthlyIncome]&lt;=300,"Low", IF(HR_Data[MonthlyIncome]&lt;=7000,"Medium", "High"))</f>
        <v>Medium</v>
      </c>
      <c r="AK356" s="2" t="str">
        <f>VLOOKUP(HR_Data[JobRole], JobRole_Map[], 2, FALSE)</f>
        <v>Technical</v>
      </c>
    </row>
    <row r="357" spans="1:37" x14ac:dyDescent="0.25">
      <c r="A357" s="2">
        <v>39</v>
      </c>
      <c r="B357" t="s">
        <v>41</v>
      </c>
      <c r="C357" t="s">
        <v>33</v>
      </c>
      <c r="D357" t="s">
        <v>34</v>
      </c>
      <c r="E357">
        <v>1</v>
      </c>
      <c r="F357" t="s">
        <v>58</v>
      </c>
      <c r="G357">
        <v>3</v>
      </c>
      <c r="H357">
        <v>1</v>
      </c>
      <c r="I357" t="s">
        <v>36</v>
      </c>
      <c r="J357">
        <v>3</v>
      </c>
      <c r="K357" t="s">
        <v>55</v>
      </c>
      <c r="L357">
        <v>2232</v>
      </c>
      <c r="M357">
        <v>7</v>
      </c>
      <c r="N357" t="s">
        <v>41</v>
      </c>
      <c r="O357">
        <v>14</v>
      </c>
      <c r="P357">
        <v>3</v>
      </c>
      <c r="Q357">
        <v>3</v>
      </c>
      <c r="R357">
        <v>7</v>
      </c>
      <c r="S357">
        <v>1</v>
      </c>
      <c r="T357">
        <v>3</v>
      </c>
      <c r="U357">
        <v>1</v>
      </c>
      <c r="V357">
        <v>2</v>
      </c>
      <c r="W357" t="s">
        <v>56</v>
      </c>
      <c r="X357" s="1" t="d">
        <v>2018-03-25</v>
      </c>
      <c r="Z357" t="s">
        <v>63</v>
      </c>
      <c r="AA357" t="s">
        <v>40</v>
      </c>
      <c r="AB357">
        <v>5</v>
      </c>
      <c r="AC357">
        <v>2</v>
      </c>
      <c r="AD357" t="s">
        <v>32</v>
      </c>
      <c r="AE357" t="s">
        <v>47</v>
      </c>
      <c r="AF357" t="s">
        <v>43</v>
      </c>
      <c r="AG357">
        <f>IF(HR_Data[[#This Row],[Attrition]]="Yes",1,0)</f>
        <v>0</v>
      </c>
      <c r="AH357" t="str">
        <f>IF(HR_Data[Date_of_termination]="","Active","Left")</f>
        <v>Active</v>
      </c>
      <c r="AI357" t="str">
        <f>IF(HR_Data[YearsAtCompany]&lt;=2,"Fresher", IF(HR_Data[YearsAtCompany]&lt;=5,"Junior", IF(HR_Data[YearsAtCompany]&lt;=10, "Mid","Senior")))</f>
        <v>Junior</v>
      </c>
      <c r="AJ357" s="2" t="str">
        <f>IF(HR_Data[MonthlyIncome]&lt;=300,"Low", IF(HR_Data[MonthlyIncome]&lt;=7000,"Medium", "High"))</f>
        <v>Medium</v>
      </c>
      <c r="AK357" s="2" t="str">
        <f>VLOOKUP(HR_Data[JobRole], JobRole_Map[], 2, FALSE)</f>
        <v>Technical</v>
      </c>
    </row>
    <row r="358" spans="1:37" x14ac:dyDescent="0.25">
      <c r="A358" s="2">
        <v>32</v>
      </c>
      <c r="B358" t="s">
        <v>41</v>
      </c>
      <c r="C358" t="s">
        <v>68</v>
      </c>
      <c r="D358" t="s">
        <v>53</v>
      </c>
      <c r="E358">
        <v>26</v>
      </c>
      <c r="F358" t="s">
        <v>35</v>
      </c>
      <c r="G358">
        <v>3</v>
      </c>
      <c r="H358">
        <v>2</v>
      </c>
      <c r="I358" t="s">
        <v>64</v>
      </c>
      <c r="J358">
        <v>4</v>
      </c>
      <c r="K358" t="s">
        <v>50</v>
      </c>
      <c r="L358">
        <v>4465</v>
      </c>
      <c r="M358">
        <v>0</v>
      </c>
      <c r="N358" t="s">
        <v>41</v>
      </c>
      <c r="O358">
        <v>18</v>
      </c>
      <c r="P358">
        <v>3</v>
      </c>
      <c r="Q358">
        <v>0</v>
      </c>
      <c r="R358">
        <v>4</v>
      </c>
      <c r="S358">
        <v>2</v>
      </c>
      <c r="T358">
        <v>3</v>
      </c>
      <c r="U358">
        <v>2</v>
      </c>
      <c r="V358">
        <v>2</v>
      </c>
      <c r="W358" t="s">
        <v>51</v>
      </c>
      <c r="X358" s="1" t="d">
        <v>2018-04-12</v>
      </c>
      <c r="Z358" t="s">
        <v>39</v>
      </c>
      <c r="AA358" t="s">
        <v>40</v>
      </c>
      <c r="AB358">
        <v>3</v>
      </c>
      <c r="AC358">
        <v>1</v>
      </c>
      <c r="AD358" t="s">
        <v>41</v>
      </c>
      <c r="AE358" t="s">
        <v>60</v>
      </c>
      <c r="AF358" t="s">
        <v>48</v>
      </c>
      <c r="AG358">
        <f>IF(HR_Data[[#This Row],[Attrition]]="Yes",1,0)</f>
        <v>0</v>
      </c>
      <c r="AH358" t="str">
        <f>IF(HR_Data[Date_of_termination]="","Active","Left")</f>
        <v>Active</v>
      </c>
      <c r="AI358" t="str">
        <f>IF(HR_Data[YearsAtCompany]&lt;=2,"Fresher", IF(HR_Data[YearsAtCompany]&lt;=5,"Junior", IF(HR_Data[YearsAtCompany]&lt;=10, "Mid","Senior")))</f>
        <v>Junior</v>
      </c>
      <c r="AJ358" s="2" t="str">
        <f>IF(HR_Data[MonthlyIncome]&lt;=300,"Low", IF(HR_Data[MonthlyIncome]&lt;=7000,"Medium", "High"))</f>
        <v>Medium</v>
      </c>
      <c r="AK358" s="2" t="str">
        <f>VLOOKUP(HR_Data[JobRole], JobRole_Map[], 2, FALSE)</f>
        <v>Sales</v>
      </c>
    </row>
    <row r="359" spans="1:37" x14ac:dyDescent="0.25">
      <c r="A359" s="2">
        <v>37</v>
      </c>
      <c r="B359" t="s">
        <v>41</v>
      </c>
      <c r="C359" t="s">
        <v>33</v>
      </c>
      <c r="D359" t="s">
        <v>34</v>
      </c>
      <c r="E359">
        <v>1</v>
      </c>
      <c r="F359" t="s">
        <v>58</v>
      </c>
      <c r="G359">
        <v>2</v>
      </c>
      <c r="H359">
        <v>1</v>
      </c>
      <c r="I359" t="s">
        <v>44</v>
      </c>
      <c r="J359">
        <v>1</v>
      </c>
      <c r="K359" t="s">
        <v>50</v>
      </c>
      <c r="L359">
        <v>3920</v>
      </c>
      <c r="M359">
        <v>2</v>
      </c>
      <c r="N359" t="s">
        <v>41</v>
      </c>
      <c r="O359">
        <v>14</v>
      </c>
      <c r="P359">
        <v>3</v>
      </c>
      <c r="Q359">
        <v>1</v>
      </c>
      <c r="R359">
        <v>17</v>
      </c>
      <c r="S359">
        <v>2</v>
      </c>
      <c r="T359">
        <v>3</v>
      </c>
      <c r="U359">
        <v>0</v>
      </c>
      <c r="V359">
        <v>2</v>
      </c>
      <c r="W359" t="s">
        <v>56</v>
      </c>
      <c r="X359" s="1" t="d">
        <v>2018-06-26</v>
      </c>
      <c r="Z359" t="s">
        <v>63</v>
      </c>
      <c r="AA359" t="s">
        <v>46</v>
      </c>
      <c r="AB359">
        <v>5</v>
      </c>
      <c r="AC359">
        <v>1</v>
      </c>
      <c r="AD359" t="s">
        <v>32</v>
      </c>
      <c r="AE359" t="s">
        <v>47</v>
      </c>
      <c r="AF359" t="s">
        <v>48</v>
      </c>
      <c r="AG359">
        <f>IF(HR_Data[[#This Row],[Attrition]]="Yes",1,0)</f>
        <v>0</v>
      </c>
      <c r="AH359" t="str">
        <f>IF(HR_Data[Date_of_termination]="","Active","Left")</f>
        <v>Active</v>
      </c>
      <c r="AI359" t="str">
        <f>IF(HR_Data[YearsAtCompany]&lt;=2,"Fresher", IF(HR_Data[YearsAtCompany]&lt;=5,"Junior", IF(HR_Data[YearsAtCompany]&lt;=10, "Mid","Senior")))</f>
        <v>Junior</v>
      </c>
      <c r="AJ359" s="2" t="str">
        <f>IF(HR_Data[MonthlyIncome]&lt;=300,"Low", IF(HR_Data[MonthlyIncome]&lt;=7000,"Medium", "High"))</f>
        <v>Medium</v>
      </c>
      <c r="AK359" s="2" t="str">
        <f>VLOOKUP(HR_Data[JobRole], JobRole_Map[], 2, FALSE)</f>
        <v>Technical</v>
      </c>
    </row>
    <row r="360" spans="1:37" x14ac:dyDescent="0.25">
      <c r="A360" s="2">
        <v>45</v>
      </c>
      <c r="B360" t="s">
        <v>41</v>
      </c>
      <c r="C360" t="s">
        <v>61</v>
      </c>
      <c r="D360" t="s">
        <v>34</v>
      </c>
      <c r="E360">
        <v>7</v>
      </c>
      <c r="F360" t="s">
        <v>35</v>
      </c>
      <c r="G360">
        <v>4</v>
      </c>
      <c r="H360">
        <v>2</v>
      </c>
      <c r="I360" t="s">
        <v>67</v>
      </c>
      <c r="J360">
        <v>3</v>
      </c>
      <c r="K360" t="s">
        <v>50</v>
      </c>
      <c r="L360">
        <v>6434</v>
      </c>
      <c r="M360">
        <v>4</v>
      </c>
      <c r="N360" t="s">
        <v>41</v>
      </c>
      <c r="O360">
        <v>17</v>
      </c>
      <c r="P360">
        <v>3</v>
      </c>
      <c r="Q360">
        <v>1</v>
      </c>
      <c r="R360">
        <v>9</v>
      </c>
      <c r="S360">
        <v>1</v>
      </c>
      <c r="T360">
        <v>3</v>
      </c>
      <c r="U360">
        <v>0</v>
      </c>
      <c r="V360">
        <v>2</v>
      </c>
      <c r="W360" t="s">
        <v>51</v>
      </c>
      <c r="X360" s="1" t="d">
        <v>2018-04-17</v>
      </c>
      <c r="Z360" t="s">
        <v>52</v>
      </c>
      <c r="AA360" t="s">
        <v>40</v>
      </c>
      <c r="AB360">
        <v>1</v>
      </c>
      <c r="AC360">
        <v>3</v>
      </c>
      <c r="AD360" t="s">
        <v>41</v>
      </c>
      <c r="AE360" t="s">
        <v>42</v>
      </c>
      <c r="AF360" t="s">
        <v>57</v>
      </c>
      <c r="AG360">
        <f>IF(HR_Data[[#This Row],[Attrition]]="Yes",1,0)</f>
        <v>0</v>
      </c>
      <c r="AH360" t="str">
        <f>IF(HR_Data[Date_of_termination]="","Active","Left")</f>
        <v>Active</v>
      </c>
      <c r="AI360" t="str">
        <f>IF(HR_Data[YearsAtCompany]&lt;=2,"Fresher", IF(HR_Data[YearsAtCompany]&lt;=5,"Junior", IF(HR_Data[YearsAtCompany]&lt;=10, "Mid","Senior")))</f>
        <v>Junior</v>
      </c>
      <c r="AJ360" s="2" t="str">
        <f>IF(HR_Data[MonthlyIncome]&lt;=300,"Low", IF(HR_Data[MonthlyIncome]&lt;=7000,"Medium", "High"))</f>
        <v>Medium</v>
      </c>
      <c r="AK360" s="2" t="str">
        <f>VLOOKUP(HR_Data[JobRole], JobRole_Map[], 2, FALSE)</f>
        <v>Operations</v>
      </c>
    </row>
    <row r="361" spans="1:37" x14ac:dyDescent="0.25">
      <c r="A361" s="2">
        <v>42</v>
      </c>
      <c r="B361" t="s">
        <v>41</v>
      </c>
      <c r="C361" t="s">
        <v>33</v>
      </c>
      <c r="D361" t="s">
        <v>34</v>
      </c>
      <c r="E361">
        <v>17</v>
      </c>
      <c r="F361" t="s">
        <v>58</v>
      </c>
      <c r="G361">
        <v>4</v>
      </c>
      <c r="H361">
        <v>2</v>
      </c>
      <c r="I361" t="s">
        <v>44</v>
      </c>
      <c r="J361">
        <v>1</v>
      </c>
      <c r="K361" t="s">
        <v>37</v>
      </c>
      <c r="L361">
        <v>6545</v>
      </c>
      <c r="M361">
        <v>3</v>
      </c>
      <c r="N361" t="s">
        <v>32</v>
      </c>
      <c r="O361">
        <v>13</v>
      </c>
      <c r="P361">
        <v>3</v>
      </c>
      <c r="Q361">
        <v>0</v>
      </c>
      <c r="R361">
        <v>10</v>
      </c>
      <c r="S361">
        <v>1</v>
      </c>
      <c r="T361">
        <v>3</v>
      </c>
      <c r="U361">
        <v>0</v>
      </c>
      <c r="V361">
        <v>2</v>
      </c>
      <c r="W361" t="s">
        <v>51</v>
      </c>
      <c r="X361" s="1" t="d">
        <v>2018-04-15</v>
      </c>
      <c r="Z361" t="s">
        <v>63</v>
      </c>
      <c r="AA361" t="s">
        <v>40</v>
      </c>
      <c r="AB361">
        <v>3</v>
      </c>
      <c r="AC361">
        <v>1</v>
      </c>
      <c r="AD361" t="s">
        <v>41</v>
      </c>
      <c r="AE361" t="s">
        <v>47</v>
      </c>
      <c r="AF361" t="s">
        <v>43</v>
      </c>
      <c r="AG361">
        <f>IF(HR_Data[[#This Row],[Attrition]]="Yes",1,0)</f>
        <v>0</v>
      </c>
      <c r="AH361" t="str">
        <f>IF(HR_Data[Date_of_termination]="","Active","Left")</f>
        <v>Active</v>
      </c>
      <c r="AI361" t="str">
        <f>IF(HR_Data[YearsAtCompany]&lt;=2,"Fresher", IF(HR_Data[YearsAtCompany]&lt;=5,"Junior", IF(HR_Data[YearsAtCompany]&lt;=10, "Mid","Senior")))</f>
        <v>Junior</v>
      </c>
      <c r="AJ361" s="2" t="str">
        <f>IF(HR_Data[MonthlyIncome]&lt;=300,"Low", IF(HR_Data[MonthlyIncome]&lt;=7000,"Medium", "High"))</f>
        <v>Medium</v>
      </c>
      <c r="AK361" s="2" t="str">
        <f>VLOOKUP(HR_Data[JobRole], JobRole_Map[], 2, FALSE)</f>
        <v>Technical</v>
      </c>
    </row>
    <row r="362" spans="1:37" x14ac:dyDescent="0.25">
      <c r="A362" s="2">
        <v>29</v>
      </c>
      <c r="B362" t="s">
        <v>41</v>
      </c>
      <c r="C362" t="s">
        <v>33</v>
      </c>
      <c r="D362" t="s">
        <v>53</v>
      </c>
      <c r="E362">
        <v>20</v>
      </c>
      <c r="F362" t="s">
        <v>35</v>
      </c>
      <c r="G362">
        <v>3</v>
      </c>
      <c r="H362">
        <v>2</v>
      </c>
      <c r="I362" t="s">
        <v>64</v>
      </c>
      <c r="J362">
        <v>4</v>
      </c>
      <c r="K362" t="s">
        <v>55</v>
      </c>
      <c r="L362">
        <v>6931</v>
      </c>
      <c r="M362">
        <v>2</v>
      </c>
      <c r="N362" t="s">
        <v>41</v>
      </c>
      <c r="O362">
        <v>14</v>
      </c>
      <c r="P362">
        <v>3</v>
      </c>
      <c r="Q362">
        <v>1</v>
      </c>
      <c r="R362">
        <v>10</v>
      </c>
      <c r="S362">
        <v>2</v>
      </c>
      <c r="T362">
        <v>3</v>
      </c>
      <c r="U362">
        <v>0</v>
      </c>
      <c r="V362">
        <v>2</v>
      </c>
      <c r="W362" t="s">
        <v>38</v>
      </c>
      <c r="X362" s="1" t="d">
        <v>2018-04-27</v>
      </c>
      <c r="Z362" t="s">
        <v>63</v>
      </c>
      <c r="AA362" t="s">
        <v>40</v>
      </c>
      <c r="AB362">
        <v>4</v>
      </c>
      <c r="AC362">
        <v>2</v>
      </c>
      <c r="AD362" t="s">
        <v>32</v>
      </c>
      <c r="AE362" t="s">
        <v>47</v>
      </c>
      <c r="AF362" t="s">
        <v>43</v>
      </c>
      <c r="AG362">
        <f>IF(HR_Data[[#This Row],[Attrition]]="Yes",1,0)</f>
        <v>0</v>
      </c>
      <c r="AH362" t="str">
        <f>IF(HR_Data[Date_of_termination]="","Active","Left")</f>
        <v>Active</v>
      </c>
      <c r="AI362" t="str">
        <f>IF(HR_Data[YearsAtCompany]&lt;=2,"Fresher", IF(HR_Data[YearsAtCompany]&lt;=5,"Junior", IF(HR_Data[YearsAtCompany]&lt;=10, "Mid","Senior")))</f>
        <v>Junior</v>
      </c>
      <c r="AJ362" s="2" t="str">
        <f>IF(HR_Data[MonthlyIncome]&lt;=300,"Low", IF(HR_Data[MonthlyIncome]&lt;=7000,"Medium", "High"))</f>
        <v>Medium</v>
      </c>
      <c r="AK362" s="2" t="str">
        <f>VLOOKUP(HR_Data[JobRole], JobRole_Map[], 2, FALSE)</f>
        <v>Sales</v>
      </c>
    </row>
    <row r="363" spans="1:37" x14ac:dyDescent="0.25">
      <c r="A363" s="2">
        <v>21</v>
      </c>
      <c r="B363" t="s">
        <v>41</v>
      </c>
      <c r="C363" t="s">
        <v>33</v>
      </c>
      <c r="D363" t="s">
        <v>34</v>
      </c>
      <c r="E363">
        <v>3</v>
      </c>
      <c r="F363" t="s">
        <v>35</v>
      </c>
      <c r="G363">
        <v>2</v>
      </c>
      <c r="H363">
        <v>1</v>
      </c>
      <c r="I363" t="s">
        <v>44</v>
      </c>
      <c r="J363">
        <v>3</v>
      </c>
      <c r="K363" t="s">
        <v>37</v>
      </c>
      <c r="L363">
        <v>3230</v>
      </c>
      <c r="M363">
        <v>1</v>
      </c>
      <c r="N363" t="s">
        <v>41</v>
      </c>
      <c r="O363">
        <v>17</v>
      </c>
      <c r="P363">
        <v>3</v>
      </c>
      <c r="Q363">
        <v>0</v>
      </c>
      <c r="R363">
        <v>3</v>
      </c>
      <c r="S363">
        <v>4</v>
      </c>
      <c r="T363">
        <v>3</v>
      </c>
      <c r="U363">
        <v>1</v>
      </c>
      <c r="V363">
        <v>0</v>
      </c>
      <c r="W363" t="s">
        <v>38</v>
      </c>
      <c r="X363" s="1" t="d">
        <v>2018-03-20</v>
      </c>
      <c r="Z363" t="s">
        <v>52</v>
      </c>
      <c r="AA363" t="s">
        <v>46</v>
      </c>
      <c r="AB363">
        <v>2</v>
      </c>
      <c r="AC363">
        <v>0</v>
      </c>
      <c r="AD363" t="s">
        <v>41</v>
      </c>
      <c r="AE363" t="s">
        <v>60</v>
      </c>
      <c r="AF363" t="s">
        <v>48</v>
      </c>
      <c r="AG363">
        <f>IF(HR_Data[[#This Row],[Attrition]]="Yes",1,0)</f>
        <v>0</v>
      </c>
      <c r="AH363" t="str">
        <f>IF(HR_Data[Date_of_termination]="","Active","Left")</f>
        <v>Active</v>
      </c>
      <c r="AI363" t="str">
        <f>IF(HR_Data[YearsAtCompany]&lt;=2,"Fresher", IF(HR_Data[YearsAtCompany]&lt;=5,"Junior", IF(HR_Data[YearsAtCompany]&lt;=10, "Mid","Senior")))</f>
        <v>Junior</v>
      </c>
      <c r="AJ363" s="2" t="str">
        <f>IF(HR_Data[MonthlyIncome]&lt;=300,"Low", IF(HR_Data[MonthlyIncome]&lt;=7000,"Medium", "High"))</f>
        <v>Medium</v>
      </c>
      <c r="AK363" s="2" t="str">
        <f>VLOOKUP(HR_Data[JobRole], JobRole_Map[], 2, FALSE)</f>
        <v>Technical</v>
      </c>
    </row>
    <row r="364" spans="1:37" x14ac:dyDescent="0.25">
      <c r="A364" s="2">
        <v>26</v>
      </c>
      <c r="B364" t="s">
        <v>32</v>
      </c>
      <c r="C364" t="s">
        <v>33</v>
      </c>
      <c r="D364" t="s">
        <v>34</v>
      </c>
      <c r="E364">
        <v>16</v>
      </c>
      <c r="F364" t="s">
        <v>35</v>
      </c>
      <c r="G364">
        <v>3</v>
      </c>
      <c r="H364">
        <v>1</v>
      </c>
      <c r="I364" t="s">
        <v>36</v>
      </c>
      <c r="J364">
        <v>2</v>
      </c>
      <c r="K364" t="s">
        <v>55</v>
      </c>
      <c r="L364">
        <v>2373</v>
      </c>
      <c r="M364">
        <v>2</v>
      </c>
      <c r="N364" t="s">
        <v>32</v>
      </c>
      <c r="O364">
        <v>13</v>
      </c>
      <c r="P364">
        <v>3</v>
      </c>
      <c r="Q364">
        <v>1</v>
      </c>
      <c r="R364">
        <v>5</v>
      </c>
      <c r="S364">
        <v>2</v>
      </c>
      <c r="T364">
        <v>3</v>
      </c>
      <c r="U364">
        <v>0</v>
      </c>
      <c r="V364">
        <v>2</v>
      </c>
      <c r="W364" t="s">
        <v>65</v>
      </c>
      <c r="X364" s="1" t="d">
        <v>2018-05-10</v>
      </c>
      <c r="Z364" t="s">
        <v>39</v>
      </c>
      <c r="AA364" t="s">
        <v>40</v>
      </c>
      <c r="AB364">
        <v>2</v>
      </c>
      <c r="AC364">
        <v>2</v>
      </c>
      <c r="AD364" t="s">
        <v>32</v>
      </c>
      <c r="AE364" t="s">
        <v>62</v>
      </c>
      <c r="AF364" t="s">
        <v>43</v>
      </c>
      <c r="AG364">
        <f>IF(HR_Data[[#This Row],[Attrition]]="Yes",1,0)</f>
        <v>1</v>
      </c>
      <c r="AH364" t="str">
        <f>IF(HR_Data[Date_of_termination]="","Active","Left")</f>
        <v>Active</v>
      </c>
      <c r="AI364" t="str">
        <f>IF(HR_Data[YearsAtCompany]&lt;=2,"Fresher", IF(HR_Data[YearsAtCompany]&lt;=5,"Junior", IF(HR_Data[YearsAtCompany]&lt;=10, "Mid","Senior")))</f>
        <v>Junior</v>
      </c>
      <c r="AJ364" s="2" t="str">
        <f>IF(HR_Data[MonthlyIncome]&lt;=300,"Low", IF(HR_Data[MonthlyIncome]&lt;=7000,"Medium", "High"))</f>
        <v>Medium</v>
      </c>
      <c r="AK364" s="2" t="str">
        <f>VLOOKUP(HR_Data[JobRole], JobRole_Map[], 2, FALSE)</f>
        <v>Technical</v>
      </c>
    </row>
    <row r="365" spans="1:37" x14ac:dyDescent="0.25">
      <c r="A365" s="2">
        <v>49</v>
      </c>
      <c r="B365" t="s">
        <v>41</v>
      </c>
      <c r="C365" t="s">
        <v>61</v>
      </c>
      <c r="D365" t="s">
        <v>34</v>
      </c>
      <c r="E365">
        <v>10</v>
      </c>
      <c r="F365" t="s">
        <v>58</v>
      </c>
      <c r="G365">
        <v>3</v>
      </c>
      <c r="H365">
        <v>5</v>
      </c>
      <c r="I365" t="s">
        <v>49</v>
      </c>
      <c r="J365">
        <v>1</v>
      </c>
      <c r="K365" t="s">
        <v>37</v>
      </c>
      <c r="L365">
        <v>18665</v>
      </c>
      <c r="M365">
        <v>9</v>
      </c>
      <c r="N365" t="s">
        <v>32</v>
      </c>
      <c r="O365">
        <v>11</v>
      </c>
      <c r="P365">
        <v>3</v>
      </c>
      <c r="Q365">
        <v>0</v>
      </c>
      <c r="R365">
        <v>22</v>
      </c>
      <c r="S365">
        <v>4</v>
      </c>
      <c r="T365">
        <v>3</v>
      </c>
      <c r="U365">
        <v>1</v>
      </c>
      <c r="V365">
        <v>2</v>
      </c>
      <c r="W365" t="s">
        <v>38</v>
      </c>
      <c r="X365" s="1" t="d">
        <v>2018-02-24</v>
      </c>
      <c r="Z365" t="s">
        <v>52</v>
      </c>
      <c r="AA365" t="s">
        <v>46</v>
      </c>
      <c r="AB365">
        <v>3</v>
      </c>
      <c r="AC365">
        <v>2</v>
      </c>
      <c r="AD365" t="s">
        <v>41</v>
      </c>
      <c r="AE365" t="s">
        <v>62</v>
      </c>
      <c r="AF365" t="s">
        <v>57</v>
      </c>
      <c r="AG365">
        <f>IF(HR_Data[[#This Row],[Attrition]]="Yes",1,0)</f>
        <v>0</v>
      </c>
      <c r="AH365" t="str">
        <f>IF(HR_Data[Date_of_termination]="","Active","Left")</f>
        <v>Active</v>
      </c>
      <c r="AI365" t="str">
        <f>IF(HR_Data[YearsAtCompany]&lt;=2,"Fresher", IF(HR_Data[YearsAtCompany]&lt;=5,"Junior", IF(HR_Data[YearsAtCompany]&lt;=10, "Mid","Senior")))</f>
        <v>Junior</v>
      </c>
      <c r="AJ365" s="2" t="str">
        <f>IF(HR_Data[MonthlyIncome]&lt;=300,"Low", IF(HR_Data[MonthlyIncome]&lt;=7000,"Medium", "High"))</f>
        <v>High</v>
      </c>
      <c r="AK365" s="2" t="str">
        <f>VLOOKUP(HR_Data[JobRole], JobRole_Map[], 2, FALSE)</f>
        <v>Management</v>
      </c>
    </row>
    <row r="366" spans="1:37" x14ac:dyDescent="0.25">
      <c r="A366" s="2">
        <v>28</v>
      </c>
      <c r="B366" t="s">
        <v>32</v>
      </c>
      <c r="C366" t="s">
        <v>33</v>
      </c>
      <c r="D366" t="s">
        <v>34</v>
      </c>
      <c r="E366">
        <v>2</v>
      </c>
      <c r="F366" t="s">
        <v>35</v>
      </c>
      <c r="G366">
        <v>1</v>
      </c>
      <c r="H366">
        <v>1</v>
      </c>
      <c r="I366" t="s">
        <v>44</v>
      </c>
      <c r="J366">
        <v>4</v>
      </c>
      <c r="K366" t="s">
        <v>50</v>
      </c>
      <c r="L366">
        <v>3464</v>
      </c>
      <c r="M366">
        <v>5</v>
      </c>
      <c r="N366" t="s">
        <v>32</v>
      </c>
      <c r="O366">
        <v>13</v>
      </c>
      <c r="P366">
        <v>3</v>
      </c>
      <c r="Q366">
        <v>0</v>
      </c>
      <c r="R366">
        <v>5</v>
      </c>
      <c r="S366">
        <v>4</v>
      </c>
      <c r="T366">
        <v>3</v>
      </c>
      <c r="U366">
        <v>2</v>
      </c>
      <c r="V366">
        <v>2</v>
      </c>
      <c r="W366" t="s">
        <v>65</v>
      </c>
      <c r="X366" s="1" t="d">
        <v>2018-05-20</v>
      </c>
      <c r="Z366" t="s">
        <v>39</v>
      </c>
      <c r="AA366" t="s">
        <v>40</v>
      </c>
      <c r="AB366">
        <v>2</v>
      </c>
      <c r="AC366">
        <v>3</v>
      </c>
      <c r="AD366" t="s">
        <v>32</v>
      </c>
      <c r="AE366" t="s">
        <v>47</v>
      </c>
      <c r="AF366" t="s">
        <v>57</v>
      </c>
      <c r="AG366">
        <f>IF(HR_Data[[#This Row],[Attrition]]="Yes",1,0)</f>
        <v>1</v>
      </c>
      <c r="AH366" t="str">
        <f>IF(HR_Data[Date_of_termination]="","Active","Left")</f>
        <v>Active</v>
      </c>
      <c r="AI366" t="str">
        <f>IF(HR_Data[YearsAtCompany]&lt;=2,"Fresher", IF(HR_Data[YearsAtCompany]&lt;=5,"Junior", IF(HR_Data[YearsAtCompany]&lt;=10, "Mid","Senior")))</f>
        <v>Junior</v>
      </c>
      <c r="AJ366" s="2" t="str">
        <f>IF(HR_Data[MonthlyIncome]&lt;=300,"Low", IF(HR_Data[MonthlyIncome]&lt;=7000,"Medium", "High"))</f>
        <v>Medium</v>
      </c>
      <c r="AK366" s="2" t="str">
        <f>VLOOKUP(HR_Data[JobRole], JobRole_Map[], 2, FALSE)</f>
        <v>Technical</v>
      </c>
    </row>
    <row r="367" spans="1:37" x14ac:dyDescent="0.25">
      <c r="A367" s="2">
        <v>47</v>
      </c>
      <c r="B367" t="s">
        <v>41</v>
      </c>
      <c r="C367" t="s">
        <v>33</v>
      </c>
      <c r="D367" t="s">
        <v>34</v>
      </c>
      <c r="E367">
        <v>5</v>
      </c>
      <c r="F367" t="s">
        <v>35</v>
      </c>
      <c r="G367">
        <v>3</v>
      </c>
      <c r="H367">
        <v>5</v>
      </c>
      <c r="I367" t="s">
        <v>49</v>
      </c>
      <c r="J367">
        <v>3</v>
      </c>
      <c r="K367" t="s">
        <v>50</v>
      </c>
      <c r="L367">
        <v>18300</v>
      </c>
      <c r="M367">
        <v>4</v>
      </c>
      <c r="N367" t="s">
        <v>41</v>
      </c>
      <c r="O367">
        <v>11</v>
      </c>
      <c r="P367">
        <v>3</v>
      </c>
      <c r="Q367">
        <v>1</v>
      </c>
      <c r="R367">
        <v>21</v>
      </c>
      <c r="S367">
        <v>2</v>
      </c>
      <c r="T367">
        <v>3</v>
      </c>
      <c r="U367">
        <v>1</v>
      </c>
      <c r="V367">
        <v>1</v>
      </c>
      <c r="W367" t="s">
        <v>65</v>
      </c>
      <c r="X367" s="1" t="d">
        <v>2018-06-23</v>
      </c>
      <c r="Z367" t="s">
        <v>45</v>
      </c>
      <c r="AA367" t="s">
        <v>46</v>
      </c>
      <c r="AB367">
        <v>1</v>
      </c>
      <c r="AC367">
        <v>2</v>
      </c>
      <c r="AD367" t="s">
        <v>41</v>
      </c>
      <c r="AE367" t="s">
        <v>62</v>
      </c>
      <c r="AF367" t="s">
        <v>57</v>
      </c>
      <c r="AG367">
        <f>IF(HR_Data[[#This Row],[Attrition]]="Yes",1,0)</f>
        <v>0</v>
      </c>
      <c r="AH367" t="str">
        <f>IF(HR_Data[Date_of_termination]="","Active","Left")</f>
        <v>Active</v>
      </c>
      <c r="AI367" t="str">
        <f>IF(HR_Data[YearsAtCompany]&lt;=2,"Fresher", IF(HR_Data[YearsAtCompany]&lt;=5,"Junior", IF(HR_Data[YearsAtCompany]&lt;=10, "Mid","Senior")))</f>
        <v>Junior</v>
      </c>
      <c r="AJ367" s="2" t="str">
        <f>IF(HR_Data[MonthlyIncome]&lt;=300,"Low", IF(HR_Data[MonthlyIncome]&lt;=7000,"Medium", "High"))</f>
        <v>High</v>
      </c>
      <c r="AK367" s="2" t="str">
        <f>VLOOKUP(HR_Data[JobRole], JobRole_Map[], 2, FALSE)</f>
        <v>Management</v>
      </c>
    </row>
    <row r="368" spans="1:37" x14ac:dyDescent="0.25">
      <c r="A368" s="2">
        <v>29</v>
      </c>
      <c r="B368" t="s">
        <v>41</v>
      </c>
      <c r="C368" t="s">
        <v>33</v>
      </c>
      <c r="D368" t="s">
        <v>34</v>
      </c>
      <c r="E368">
        <v>9</v>
      </c>
      <c r="F368" t="s">
        <v>35</v>
      </c>
      <c r="G368">
        <v>2</v>
      </c>
      <c r="H368">
        <v>1</v>
      </c>
      <c r="I368" t="s">
        <v>36</v>
      </c>
      <c r="J368">
        <v>4</v>
      </c>
      <c r="K368" t="s">
        <v>37</v>
      </c>
      <c r="L368">
        <v>3983</v>
      </c>
      <c r="M368">
        <v>0</v>
      </c>
      <c r="N368" t="s">
        <v>41</v>
      </c>
      <c r="O368">
        <v>17</v>
      </c>
      <c r="P368">
        <v>3</v>
      </c>
      <c r="Q368">
        <v>0</v>
      </c>
      <c r="R368">
        <v>4</v>
      </c>
      <c r="S368">
        <v>2</v>
      </c>
      <c r="T368">
        <v>3</v>
      </c>
      <c r="U368">
        <v>2</v>
      </c>
      <c r="V368">
        <v>2</v>
      </c>
      <c r="W368" t="s">
        <v>56</v>
      </c>
      <c r="X368" s="1" t="d">
        <v>2018-06-23</v>
      </c>
      <c r="Z368" t="s">
        <v>52</v>
      </c>
      <c r="AA368" t="s">
        <v>46</v>
      </c>
      <c r="AB368">
        <v>1</v>
      </c>
      <c r="AC368">
        <v>0</v>
      </c>
      <c r="AD368" t="s">
        <v>32</v>
      </c>
      <c r="AE368" t="s">
        <v>42</v>
      </c>
      <c r="AF368" t="s">
        <v>48</v>
      </c>
      <c r="AG368">
        <f>IF(HR_Data[[#This Row],[Attrition]]="Yes",1,0)</f>
        <v>0</v>
      </c>
      <c r="AH368" t="str">
        <f>IF(HR_Data[Date_of_termination]="","Active","Left")</f>
        <v>Active</v>
      </c>
      <c r="AI368" t="str">
        <f>IF(HR_Data[YearsAtCompany]&lt;=2,"Fresher", IF(HR_Data[YearsAtCompany]&lt;=5,"Junior", IF(HR_Data[YearsAtCompany]&lt;=10, "Mid","Senior")))</f>
        <v>Junior</v>
      </c>
      <c r="AJ368" s="2" t="str">
        <f>IF(HR_Data[MonthlyIncome]&lt;=300,"Low", IF(HR_Data[MonthlyIncome]&lt;=7000,"Medium", "High"))</f>
        <v>Medium</v>
      </c>
      <c r="AK368" s="2" t="str">
        <f>VLOOKUP(HR_Data[JobRole], JobRole_Map[], 2, FALSE)</f>
        <v>Technical</v>
      </c>
    </row>
    <row r="369" spans="1:37" x14ac:dyDescent="0.25">
      <c r="A369" s="2">
        <v>42</v>
      </c>
      <c r="B369" t="s">
        <v>41</v>
      </c>
      <c r="C369" t="s">
        <v>33</v>
      </c>
      <c r="D369" t="s">
        <v>70</v>
      </c>
      <c r="E369">
        <v>2</v>
      </c>
      <c r="F369" t="s">
        <v>35</v>
      </c>
      <c r="G369">
        <v>3</v>
      </c>
      <c r="H369">
        <v>1</v>
      </c>
      <c r="I369" t="s">
        <v>70</v>
      </c>
      <c r="J369">
        <v>3</v>
      </c>
      <c r="K369" t="s">
        <v>55</v>
      </c>
      <c r="L369">
        <v>2696</v>
      </c>
      <c r="M369">
        <v>0</v>
      </c>
      <c r="N369" t="s">
        <v>32</v>
      </c>
      <c r="O369">
        <v>11</v>
      </c>
      <c r="P369">
        <v>3</v>
      </c>
      <c r="Q369">
        <v>1</v>
      </c>
      <c r="R369">
        <v>4</v>
      </c>
      <c r="S369">
        <v>5</v>
      </c>
      <c r="T369">
        <v>3</v>
      </c>
      <c r="U369">
        <v>1</v>
      </c>
      <c r="V369">
        <v>0</v>
      </c>
      <c r="W369" t="s">
        <v>38</v>
      </c>
      <c r="X369" s="1" t="d">
        <v>2018-01-09</v>
      </c>
      <c r="Z369" t="s">
        <v>45</v>
      </c>
      <c r="AA369" t="s">
        <v>40</v>
      </c>
      <c r="AB369">
        <v>4</v>
      </c>
      <c r="AC369">
        <v>2</v>
      </c>
      <c r="AD369" t="s">
        <v>41</v>
      </c>
      <c r="AE369" t="s">
        <v>42</v>
      </c>
      <c r="AF369" t="s">
        <v>43</v>
      </c>
      <c r="AG369">
        <f>IF(HR_Data[[#This Row],[Attrition]]="Yes",1,0)</f>
        <v>0</v>
      </c>
      <c r="AH369" t="str">
        <f>IF(HR_Data[Date_of_termination]="","Active","Left")</f>
        <v>Active</v>
      </c>
      <c r="AI369" t="str">
        <f>IF(HR_Data[YearsAtCompany]&lt;=2,"Fresher", IF(HR_Data[YearsAtCompany]&lt;=5,"Junior", IF(HR_Data[YearsAtCompany]&lt;=10, "Mid","Senior")))</f>
        <v>Junior</v>
      </c>
      <c r="AJ369" s="2" t="str">
        <f>IF(HR_Data[MonthlyIncome]&lt;=300,"Low", IF(HR_Data[MonthlyIncome]&lt;=7000,"Medium", "High"))</f>
        <v>Medium</v>
      </c>
      <c r="AK369" s="2" t="str">
        <f>VLOOKUP(HR_Data[JobRole], JobRole_Map[], 2, FALSE)</f>
        <v>HR</v>
      </c>
    </row>
    <row r="370" spans="1:37" x14ac:dyDescent="0.25">
      <c r="A370" s="2">
        <v>21</v>
      </c>
      <c r="B370" t="s">
        <v>32</v>
      </c>
      <c r="C370" t="s">
        <v>61</v>
      </c>
      <c r="D370" t="s">
        <v>53</v>
      </c>
      <c r="E370">
        <v>1</v>
      </c>
      <c r="F370" t="s">
        <v>58</v>
      </c>
      <c r="G370">
        <v>2</v>
      </c>
      <c r="H370">
        <v>1</v>
      </c>
      <c r="I370" t="s">
        <v>54</v>
      </c>
      <c r="J370">
        <v>2</v>
      </c>
      <c r="K370" t="s">
        <v>37</v>
      </c>
      <c r="L370">
        <v>2174</v>
      </c>
      <c r="M370">
        <v>1</v>
      </c>
      <c r="N370" t="s">
        <v>32</v>
      </c>
      <c r="O370">
        <v>11</v>
      </c>
      <c r="P370">
        <v>3</v>
      </c>
      <c r="Q370">
        <v>0</v>
      </c>
      <c r="R370">
        <v>3</v>
      </c>
      <c r="S370">
        <v>3</v>
      </c>
      <c r="T370">
        <v>3</v>
      </c>
      <c r="U370">
        <v>1</v>
      </c>
      <c r="V370">
        <v>2</v>
      </c>
      <c r="W370" t="s">
        <v>56</v>
      </c>
      <c r="X370" s="1" t="d">
        <v>2018-03-26</v>
      </c>
      <c r="Z370" t="s">
        <v>63</v>
      </c>
      <c r="AA370" t="s">
        <v>46</v>
      </c>
      <c r="AB370">
        <v>3</v>
      </c>
      <c r="AC370">
        <v>1</v>
      </c>
      <c r="AD370" t="s">
        <v>41</v>
      </c>
      <c r="AE370" t="s">
        <v>42</v>
      </c>
      <c r="AF370" t="s">
        <v>48</v>
      </c>
      <c r="AG370">
        <f>IF(HR_Data[[#This Row],[Attrition]]="Yes",1,0)</f>
        <v>1</v>
      </c>
      <c r="AH370" t="str">
        <f>IF(HR_Data[Date_of_termination]="","Active","Left")</f>
        <v>Active</v>
      </c>
      <c r="AI370" t="str">
        <f>IF(HR_Data[YearsAtCompany]&lt;=2,"Fresher", IF(HR_Data[YearsAtCompany]&lt;=5,"Junior", IF(HR_Data[YearsAtCompany]&lt;=10, "Mid","Senior")))</f>
        <v>Junior</v>
      </c>
      <c r="AJ370" s="2" t="str">
        <f>IF(HR_Data[MonthlyIncome]&lt;=300,"Low", IF(HR_Data[MonthlyIncome]&lt;=7000,"Medium", "High"))</f>
        <v>Medium</v>
      </c>
      <c r="AK370" s="2" t="str">
        <f>VLOOKUP(HR_Data[JobRole], JobRole_Map[], 2, FALSE)</f>
        <v>Sales</v>
      </c>
    </row>
    <row r="371" spans="1:37" x14ac:dyDescent="0.25">
      <c r="A371" s="2">
        <v>57</v>
      </c>
      <c r="B371" t="s">
        <v>41</v>
      </c>
      <c r="C371" t="s">
        <v>33</v>
      </c>
      <c r="D371" t="s">
        <v>34</v>
      </c>
      <c r="E371">
        <v>1</v>
      </c>
      <c r="F371" t="s">
        <v>35</v>
      </c>
      <c r="G371">
        <v>3</v>
      </c>
      <c r="H371">
        <v>2</v>
      </c>
      <c r="I371" t="s">
        <v>69</v>
      </c>
      <c r="J371">
        <v>3</v>
      </c>
      <c r="K371" t="s">
        <v>50</v>
      </c>
      <c r="L371">
        <v>6755</v>
      </c>
      <c r="M371">
        <v>2</v>
      </c>
      <c r="N371" t="s">
        <v>41</v>
      </c>
      <c r="O371">
        <v>11</v>
      </c>
      <c r="P371">
        <v>3</v>
      </c>
      <c r="Q371">
        <v>0</v>
      </c>
      <c r="R371">
        <v>15</v>
      </c>
      <c r="S371">
        <v>2</v>
      </c>
      <c r="T371">
        <v>3</v>
      </c>
      <c r="U371">
        <v>1</v>
      </c>
      <c r="V371">
        <v>2</v>
      </c>
      <c r="W371" t="s">
        <v>38</v>
      </c>
      <c r="X371" s="1" t="d">
        <v>2018-02-04</v>
      </c>
      <c r="Z371" t="s">
        <v>45</v>
      </c>
      <c r="AA371" t="s">
        <v>46</v>
      </c>
      <c r="AB371">
        <v>4</v>
      </c>
      <c r="AC371">
        <v>1</v>
      </c>
      <c r="AD371" t="s">
        <v>32</v>
      </c>
      <c r="AE371" t="s">
        <v>42</v>
      </c>
      <c r="AF371" t="s">
        <v>43</v>
      </c>
      <c r="AG371">
        <f>IF(HR_Data[[#This Row],[Attrition]]="Yes",1,0)</f>
        <v>0</v>
      </c>
      <c r="AH371" t="str">
        <f>IF(HR_Data[Date_of_termination]="","Active","Left")</f>
        <v>Active</v>
      </c>
      <c r="AI371" t="str">
        <f>IF(HR_Data[YearsAtCompany]&lt;=2,"Fresher", IF(HR_Data[YearsAtCompany]&lt;=5,"Junior", IF(HR_Data[YearsAtCompany]&lt;=10, "Mid","Senior")))</f>
        <v>Junior</v>
      </c>
      <c r="AJ371" s="2" t="str">
        <f>IF(HR_Data[MonthlyIncome]&lt;=300,"Low", IF(HR_Data[MonthlyIncome]&lt;=7000,"Medium", "High"))</f>
        <v>Medium</v>
      </c>
      <c r="AK371" s="2" t="str">
        <f>VLOOKUP(HR_Data[JobRole], JobRole_Map[], 2, FALSE)</f>
        <v>Operations</v>
      </c>
    </row>
    <row r="372" spans="1:37" x14ac:dyDescent="0.25">
      <c r="A372" s="2">
        <v>21</v>
      </c>
      <c r="B372" t="s">
        <v>41</v>
      </c>
      <c r="C372" t="s">
        <v>68</v>
      </c>
      <c r="D372" t="s">
        <v>53</v>
      </c>
      <c r="E372">
        <v>9</v>
      </c>
      <c r="F372" t="s">
        <v>35</v>
      </c>
      <c r="G372">
        <v>3</v>
      </c>
      <c r="H372">
        <v>1</v>
      </c>
      <c r="I372" t="s">
        <v>54</v>
      </c>
      <c r="J372">
        <v>4</v>
      </c>
      <c r="K372" t="s">
        <v>37</v>
      </c>
      <c r="L372">
        <v>2610</v>
      </c>
      <c r="M372">
        <v>1</v>
      </c>
      <c r="N372" t="s">
        <v>41</v>
      </c>
      <c r="O372">
        <v>24</v>
      </c>
      <c r="P372">
        <v>4</v>
      </c>
      <c r="Q372">
        <v>0</v>
      </c>
      <c r="R372">
        <v>3</v>
      </c>
      <c r="S372">
        <v>3</v>
      </c>
      <c r="T372">
        <v>3</v>
      </c>
      <c r="U372">
        <v>2</v>
      </c>
      <c r="V372">
        <v>2</v>
      </c>
      <c r="W372" t="s">
        <v>38</v>
      </c>
      <c r="X372" s="1" t="d">
        <v>2018-05-01</v>
      </c>
      <c r="Z372" t="s">
        <v>52</v>
      </c>
      <c r="AA372" t="s">
        <v>40</v>
      </c>
      <c r="AB372">
        <v>3</v>
      </c>
      <c r="AC372">
        <v>2</v>
      </c>
      <c r="AD372" t="s">
        <v>41</v>
      </c>
      <c r="AE372" t="s">
        <v>60</v>
      </c>
      <c r="AF372" t="s">
        <v>43</v>
      </c>
      <c r="AG372">
        <f>IF(HR_Data[[#This Row],[Attrition]]="Yes",1,0)</f>
        <v>0</v>
      </c>
      <c r="AH372" t="str">
        <f>IF(HR_Data[Date_of_termination]="","Active","Left")</f>
        <v>Active</v>
      </c>
      <c r="AI372" t="str">
        <f>IF(HR_Data[YearsAtCompany]&lt;=2,"Fresher", IF(HR_Data[YearsAtCompany]&lt;=5,"Junior", IF(HR_Data[YearsAtCompany]&lt;=10, "Mid","Senior")))</f>
        <v>Junior</v>
      </c>
      <c r="AJ372" s="2" t="str">
        <f>IF(HR_Data[MonthlyIncome]&lt;=300,"Low", IF(HR_Data[MonthlyIncome]&lt;=7000,"Medium", "High"))</f>
        <v>Medium</v>
      </c>
      <c r="AK372" s="2" t="str">
        <f>VLOOKUP(HR_Data[JobRole], JobRole_Map[], 2, FALSE)</f>
        <v>Sales</v>
      </c>
    </row>
    <row r="373" spans="1:37" x14ac:dyDescent="0.25">
      <c r="A373" s="2">
        <v>29</v>
      </c>
      <c r="B373" t="s">
        <v>41</v>
      </c>
      <c r="C373" t="s">
        <v>33</v>
      </c>
      <c r="D373" t="s">
        <v>34</v>
      </c>
      <c r="E373">
        <v>23</v>
      </c>
      <c r="F373" t="s">
        <v>35</v>
      </c>
      <c r="G373">
        <v>3</v>
      </c>
      <c r="H373">
        <v>1</v>
      </c>
      <c r="I373" t="s">
        <v>44</v>
      </c>
      <c r="J373">
        <v>4</v>
      </c>
      <c r="K373" t="s">
        <v>37</v>
      </c>
      <c r="L373">
        <v>2201</v>
      </c>
      <c r="M373">
        <v>9</v>
      </c>
      <c r="N373" t="s">
        <v>41</v>
      </c>
      <c r="O373">
        <v>16</v>
      </c>
      <c r="P373">
        <v>3</v>
      </c>
      <c r="Q373">
        <v>0</v>
      </c>
      <c r="R373">
        <v>6</v>
      </c>
      <c r="S373">
        <v>4</v>
      </c>
      <c r="T373">
        <v>3</v>
      </c>
      <c r="U373">
        <v>1</v>
      </c>
      <c r="V373">
        <v>2</v>
      </c>
      <c r="W373" t="s">
        <v>51</v>
      </c>
      <c r="X373" s="1" t="d">
        <v>2018-02-13</v>
      </c>
      <c r="Z373" t="s">
        <v>52</v>
      </c>
      <c r="AA373" t="s">
        <v>46</v>
      </c>
      <c r="AB373">
        <v>3</v>
      </c>
      <c r="AC373">
        <v>0</v>
      </c>
      <c r="AD373" t="s">
        <v>32</v>
      </c>
      <c r="AE373" t="s">
        <v>47</v>
      </c>
      <c r="AF373" t="s">
        <v>57</v>
      </c>
      <c r="AG373">
        <f>IF(HR_Data[[#This Row],[Attrition]]="Yes",1,0)</f>
        <v>0</v>
      </c>
      <c r="AH373" t="str">
        <f>IF(HR_Data[Date_of_termination]="","Active","Left")</f>
        <v>Active</v>
      </c>
      <c r="AI373" t="str">
        <f>IF(HR_Data[YearsAtCompany]&lt;=2,"Fresher", IF(HR_Data[YearsAtCompany]&lt;=5,"Junior", IF(HR_Data[YearsAtCompany]&lt;=10, "Mid","Senior")))</f>
        <v>Junior</v>
      </c>
      <c r="AJ373" s="2" t="str">
        <f>IF(HR_Data[MonthlyIncome]&lt;=300,"Low", IF(HR_Data[MonthlyIncome]&lt;=7000,"Medium", "High"))</f>
        <v>Medium</v>
      </c>
      <c r="AK373" s="2" t="str">
        <f>VLOOKUP(HR_Data[JobRole], JobRole_Map[], 2, FALSE)</f>
        <v>Technical</v>
      </c>
    </row>
    <row r="374" spans="1:37" x14ac:dyDescent="0.25">
      <c r="A374" s="2">
        <v>34</v>
      </c>
      <c r="B374" t="s">
        <v>41</v>
      </c>
      <c r="C374" t="s">
        <v>68</v>
      </c>
      <c r="D374" t="s">
        <v>53</v>
      </c>
      <c r="E374">
        <v>4</v>
      </c>
      <c r="F374" t="s">
        <v>58</v>
      </c>
      <c r="G374">
        <v>3</v>
      </c>
      <c r="H374">
        <v>2</v>
      </c>
      <c r="I374" t="s">
        <v>64</v>
      </c>
      <c r="J374">
        <v>3</v>
      </c>
      <c r="K374" t="s">
        <v>50</v>
      </c>
      <c r="L374">
        <v>6538</v>
      </c>
      <c r="M374">
        <v>9</v>
      </c>
      <c r="N374" t="s">
        <v>41</v>
      </c>
      <c r="O374">
        <v>15</v>
      </c>
      <c r="P374">
        <v>3</v>
      </c>
      <c r="Q374">
        <v>1</v>
      </c>
      <c r="R374">
        <v>6</v>
      </c>
      <c r="S374">
        <v>3</v>
      </c>
      <c r="T374">
        <v>3</v>
      </c>
      <c r="U374">
        <v>1</v>
      </c>
      <c r="V374">
        <v>2</v>
      </c>
      <c r="W374" t="s">
        <v>56</v>
      </c>
      <c r="X374" s="1" t="d">
        <v>2018-05-03</v>
      </c>
      <c r="Z374" t="s">
        <v>45</v>
      </c>
      <c r="AA374" t="s">
        <v>40</v>
      </c>
      <c r="AB374">
        <v>4</v>
      </c>
      <c r="AC374">
        <v>2</v>
      </c>
      <c r="AD374" t="s">
        <v>32</v>
      </c>
      <c r="AE374" t="s">
        <v>42</v>
      </c>
      <c r="AF374" t="s">
        <v>43</v>
      </c>
      <c r="AG374">
        <f>IF(HR_Data[[#This Row],[Attrition]]="Yes",1,0)</f>
        <v>0</v>
      </c>
      <c r="AH374" t="str">
        <f>IF(HR_Data[Date_of_termination]="","Active","Left")</f>
        <v>Active</v>
      </c>
      <c r="AI374" t="str">
        <f>IF(HR_Data[YearsAtCompany]&lt;=2,"Fresher", IF(HR_Data[YearsAtCompany]&lt;=5,"Junior", IF(HR_Data[YearsAtCompany]&lt;=10, "Mid","Senior")))</f>
        <v>Junior</v>
      </c>
      <c r="AJ374" s="2" t="str">
        <f>IF(HR_Data[MonthlyIncome]&lt;=300,"Low", IF(HR_Data[MonthlyIncome]&lt;=7000,"Medium", "High"))</f>
        <v>Medium</v>
      </c>
      <c r="AK374" s="2" t="str">
        <f>VLOOKUP(HR_Data[JobRole], JobRole_Map[], 2, FALSE)</f>
        <v>Sales</v>
      </c>
    </row>
    <row r="375" spans="1:37" x14ac:dyDescent="0.25">
      <c r="A375" s="2">
        <v>43</v>
      </c>
      <c r="B375" t="s">
        <v>41</v>
      </c>
      <c r="C375" t="s">
        <v>61</v>
      </c>
      <c r="D375" t="s">
        <v>34</v>
      </c>
      <c r="E375">
        <v>21</v>
      </c>
      <c r="F375" t="s">
        <v>35</v>
      </c>
      <c r="G375">
        <v>3</v>
      </c>
      <c r="H375">
        <v>1</v>
      </c>
      <c r="I375" t="s">
        <v>36</v>
      </c>
      <c r="J375">
        <v>4</v>
      </c>
      <c r="K375" t="s">
        <v>50</v>
      </c>
      <c r="L375">
        <v>2258</v>
      </c>
      <c r="M375">
        <v>7</v>
      </c>
      <c r="N375" t="s">
        <v>41</v>
      </c>
      <c r="O375">
        <v>20</v>
      </c>
      <c r="P375">
        <v>4</v>
      </c>
      <c r="Q375">
        <v>1</v>
      </c>
      <c r="R375">
        <v>8</v>
      </c>
      <c r="S375">
        <v>1</v>
      </c>
      <c r="T375">
        <v>3</v>
      </c>
      <c r="U375">
        <v>1</v>
      </c>
      <c r="V375">
        <v>2</v>
      </c>
      <c r="W375" t="s">
        <v>51</v>
      </c>
      <c r="X375" s="1" t="d">
        <v>2018-04-20</v>
      </c>
      <c r="Z375" t="s">
        <v>52</v>
      </c>
      <c r="AA375" t="s">
        <v>46</v>
      </c>
      <c r="AB375">
        <v>3</v>
      </c>
      <c r="AC375">
        <v>1</v>
      </c>
      <c r="AD375" t="s">
        <v>41</v>
      </c>
      <c r="AE375" t="s">
        <v>60</v>
      </c>
      <c r="AF375" t="s">
        <v>43</v>
      </c>
      <c r="AG375">
        <f>IF(HR_Data[[#This Row],[Attrition]]="Yes",1,0)</f>
        <v>0</v>
      </c>
      <c r="AH375" t="str">
        <f>IF(HR_Data[Date_of_termination]="","Active","Left")</f>
        <v>Active</v>
      </c>
      <c r="AI375" t="str">
        <f>IF(HR_Data[YearsAtCompany]&lt;=2,"Fresher", IF(HR_Data[YearsAtCompany]&lt;=5,"Junior", IF(HR_Data[YearsAtCompany]&lt;=10, "Mid","Senior")))</f>
        <v>Junior</v>
      </c>
      <c r="AJ375" s="2" t="str">
        <f>IF(HR_Data[MonthlyIncome]&lt;=300,"Low", IF(HR_Data[MonthlyIncome]&lt;=7000,"Medium", "High"))</f>
        <v>Medium</v>
      </c>
      <c r="AK375" s="2" t="str">
        <f>VLOOKUP(HR_Data[JobRole], JobRole_Map[], 2, FALSE)</f>
        <v>Technical</v>
      </c>
    </row>
    <row r="376" spans="1:37" x14ac:dyDescent="0.25">
      <c r="A376" s="2">
        <v>26</v>
      </c>
      <c r="B376" t="s">
        <v>41</v>
      </c>
      <c r="C376" t="s">
        <v>33</v>
      </c>
      <c r="D376" t="s">
        <v>34</v>
      </c>
      <c r="E376">
        <v>23</v>
      </c>
      <c r="F376" t="s">
        <v>58</v>
      </c>
      <c r="G376">
        <v>3</v>
      </c>
      <c r="H376">
        <v>1</v>
      </c>
      <c r="I376" t="s">
        <v>44</v>
      </c>
      <c r="J376">
        <v>4</v>
      </c>
      <c r="K376" t="s">
        <v>55</v>
      </c>
      <c r="L376">
        <v>2886</v>
      </c>
      <c r="M376">
        <v>1</v>
      </c>
      <c r="N376" t="s">
        <v>41</v>
      </c>
      <c r="O376">
        <v>22</v>
      </c>
      <c r="P376">
        <v>4</v>
      </c>
      <c r="Q376">
        <v>2</v>
      </c>
      <c r="R376">
        <v>3</v>
      </c>
      <c r="S376">
        <v>3</v>
      </c>
      <c r="T376">
        <v>3</v>
      </c>
      <c r="U376">
        <v>0</v>
      </c>
      <c r="V376">
        <v>2</v>
      </c>
      <c r="W376" t="s">
        <v>56</v>
      </c>
      <c r="X376" s="1" t="d">
        <v>2018-06-07</v>
      </c>
      <c r="Z376" t="s">
        <v>39</v>
      </c>
      <c r="AA376" t="s">
        <v>40</v>
      </c>
      <c r="AB376">
        <v>2</v>
      </c>
      <c r="AC376">
        <v>2</v>
      </c>
      <c r="AD376" t="s">
        <v>41</v>
      </c>
      <c r="AE376" t="s">
        <v>47</v>
      </c>
      <c r="AF376" t="s">
        <v>43</v>
      </c>
      <c r="AG376">
        <f>IF(HR_Data[[#This Row],[Attrition]]="Yes",1,0)</f>
        <v>0</v>
      </c>
      <c r="AH376" t="str">
        <f>IF(HR_Data[Date_of_termination]="","Active","Left")</f>
        <v>Active</v>
      </c>
      <c r="AI376" t="str">
        <f>IF(HR_Data[YearsAtCompany]&lt;=2,"Fresher", IF(HR_Data[YearsAtCompany]&lt;=5,"Junior", IF(HR_Data[YearsAtCompany]&lt;=10, "Mid","Senior")))</f>
        <v>Junior</v>
      </c>
      <c r="AJ376" s="2" t="str">
        <f>IF(HR_Data[MonthlyIncome]&lt;=300,"Low", IF(HR_Data[MonthlyIncome]&lt;=7000,"Medium", "High"))</f>
        <v>Medium</v>
      </c>
      <c r="AK376" s="2" t="str">
        <f>VLOOKUP(HR_Data[JobRole], JobRole_Map[], 2, FALSE)</f>
        <v>Technical</v>
      </c>
    </row>
    <row r="377" spans="1:37" x14ac:dyDescent="0.25">
      <c r="A377" s="2">
        <v>46</v>
      </c>
      <c r="B377" t="s">
        <v>41</v>
      </c>
      <c r="C377" t="s">
        <v>33</v>
      </c>
      <c r="D377" t="s">
        <v>34</v>
      </c>
      <c r="E377">
        <v>2</v>
      </c>
      <c r="F377" t="s">
        <v>35</v>
      </c>
      <c r="G377">
        <v>3</v>
      </c>
      <c r="H377">
        <v>4</v>
      </c>
      <c r="I377" t="s">
        <v>49</v>
      </c>
      <c r="J377">
        <v>3</v>
      </c>
      <c r="K377" t="s">
        <v>50</v>
      </c>
      <c r="L377">
        <v>17861</v>
      </c>
      <c r="M377">
        <v>6</v>
      </c>
      <c r="N377" t="s">
        <v>41</v>
      </c>
      <c r="O377">
        <v>13</v>
      </c>
      <c r="P377">
        <v>3</v>
      </c>
      <c r="Q377">
        <v>0</v>
      </c>
      <c r="R377">
        <v>26</v>
      </c>
      <c r="S377">
        <v>2</v>
      </c>
      <c r="T377">
        <v>3</v>
      </c>
      <c r="U377">
        <v>0</v>
      </c>
      <c r="V377">
        <v>1</v>
      </c>
      <c r="W377" t="s">
        <v>51</v>
      </c>
      <c r="X377" s="1" t="d">
        <v>2018-03-23</v>
      </c>
      <c r="Z377" t="s">
        <v>59</v>
      </c>
      <c r="AA377" t="s">
        <v>46</v>
      </c>
      <c r="AB377">
        <v>2</v>
      </c>
      <c r="AC377">
        <v>0</v>
      </c>
      <c r="AD377" t="s">
        <v>41</v>
      </c>
      <c r="AE377" t="s">
        <v>47</v>
      </c>
      <c r="AF377" t="s">
        <v>43</v>
      </c>
      <c r="AG377">
        <f>IF(HR_Data[[#This Row],[Attrition]]="Yes",1,0)</f>
        <v>0</v>
      </c>
      <c r="AH377" t="str">
        <f>IF(HR_Data[Date_of_termination]="","Active","Left")</f>
        <v>Active</v>
      </c>
      <c r="AI377" t="str">
        <f>IF(HR_Data[YearsAtCompany]&lt;=2,"Fresher", IF(HR_Data[YearsAtCompany]&lt;=5,"Junior", IF(HR_Data[YearsAtCompany]&lt;=10, "Mid","Senior")))</f>
        <v>Junior</v>
      </c>
      <c r="AJ377" s="2" t="str">
        <f>IF(HR_Data[MonthlyIncome]&lt;=300,"Low", IF(HR_Data[MonthlyIncome]&lt;=7000,"Medium", "High"))</f>
        <v>High</v>
      </c>
      <c r="AK377" s="2" t="str">
        <f>VLOOKUP(HR_Data[JobRole], JobRole_Map[], 2, FALSE)</f>
        <v>Management</v>
      </c>
    </row>
    <row r="378" spans="1:37" x14ac:dyDescent="0.25">
      <c r="A378" s="2">
        <v>46</v>
      </c>
      <c r="B378" t="s">
        <v>41</v>
      </c>
      <c r="C378" t="s">
        <v>33</v>
      </c>
      <c r="D378" t="s">
        <v>53</v>
      </c>
      <c r="E378">
        <v>10</v>
      </c>
      <c r="F378" t="s">
        <v>58</v>
      </c>
      <c r="G378">
        <v>2</v>
      </c>
      <c r="H378">
        <v>3</v>
      </c>
      <c r="I378" t="s">
        <v>64</v>
      </c>
      <c r="J378">
        <v>4</v>
      </c>
      <c r="K378" t="s">
        <v>50</v>
      </c>
      <c r="L378">
        <v>9071</v>
      </c>
      <c r="M378">
        <v>2</v>
      </c>
      <c r="N378" t="s">
        <v>32</v>
      </c>
      <c r="O378">
        <v>19</v>
      </c>
      <c r="P378">
        <v>3</v>
      </c>
      <c r="Q378">
        <v>1</v>
      </c>
      <c r="R378">
        <v>15</v>
      </c>
      <c r="S378">
        <v>3</v>
      </c>
      <c r="T378">
        <v>3</v>
      </c>
      <c r="U378">
        <v>1</v>
      </c>
      <c r="V378">
        <v>2</v>
      </c>
      <c r="W378" t="s">
        <v>65</v>
      </c>
      <c r="X378" s="1" t="d">
        <v>2018-03-10</v>
      </c>
      <c r="Z378" t="s">
        <v>45</v>
      </c>
      <c r="AA378" t="s">
        <v>46</v>
      </c>
      <c r="AB378">
        <v>0</v>
      </c>
      <c r="AC378">
        <v>1</v>
      </c>
      <c r="AD378" t="s">
        <v>32</v>
      </c>
      <c r="AE378" t="s">
        <v>62</v>
      </c>
      <c r="AF378" t="s">
        <v>43</v>
      </c>
      <c r="AG378">
        <f>IF(HR_Data[[#This Row],[Attrition]]="Yes",1,0)</f>
        <v>0</v>
      </c>
      <c r="AH378" t="str">
        <f>IF(HR_Data[Date_of_termination]="","Active","Left")</f>
        <v>Active</v>
      </c>
      <c r="AI378" t="str">
        <f>IF(HR_Data[YearsAtCompany]&lt;=2,"Fresher", IF(HR_Data[YearsAtCompany]&lt;=5,"Junior", IF(HR_Data[YearsAtCompany]&lt;=10, "Mid","Senior")))</f>
        <v>Junior</v>
      </c>
      <c r="AJ378" s="2" t="str">
        <f>IF(HR_Data[MonthlyIncome]&lt;=300,"Low", IF(HR_Data[MonthlyIncome]&lt;=7000,"Medium", "High"))</f>
        <v>High</v>
      </c>
      <c r="AK378" s="2" t="str">
        <f>VLOOKUP(HR_Data[JobRole], JobRole_Map[], 2, FALSE)</f>
        <v>Sales</v>
      </c>
    </row>
    <row r="379" spans="1:37" x14ac:dyDescent="0.25">
      <c r="A379" s="2">
        <v>30</v>
      </c>
      <c r="B379" t="s">
        <v>41</v>
      </c>
      <c r="C379" t="s">
        <v>33</v>
      </c>
      <c r="D379" t="s">
        <v>53</v>
      </c>
      <c r="E379">
        <v>7</v>
      </c>
      <c r="F379" t="s">
        <v>35</v>
      </c>
      <c r="G379">
        <v>3</v>
      </c>
      <c r="H379">
        <v>1</v>
      </c>
      <c r="I379" t="s">
        <v>54</v>
      </c>
      <c r="J379">
        <v>2</v>
      </c>
      <c r="K379" t="s">
        <v>37</v>
      </c>
      <c r="L379">
        <v>2983</v>
      </c>
      <c r="M379">
        <v>0</v>
      </c>
      <c r="N379" t="s">
        <v>41</v>
      </c>
      <c r="O379">
        <v>14</v>
      </c>
      <c r="P379">
        <v>3</v>
      </c>
      <c r="Q379">
        <v>0</v>
      </c>
      <c r="R379">
        <v>4</v>
      </c>
      <c r="S379">
        <v>3</v>
      </c>
      <c r="T379">
        <v>3</v>
      </c>
      <c r="U379">
        <v>1</v>
      </c>
      <c r="V379">
        <v>2</v>
      </c>
      <c r="W379" t="s">
        <v>51</v>
      </c>
      <c r="X379" s="1" t="d">
        <v>2018-06-01</v>
      </c>
      <c r="Z379" t="s">
        <v>52</v>
      </c>
      <c r="AA379" t="s">
        <v>40</v>
      </c>
      <c r="AB379">
        <v>2</v>
      </c>
      <c r="AC379">
        <v>0</v>
      </c>
      <c r="AD379" t="s">
        <v>41</v>
      </c>
      <c r="AE379" t="s">
        <v>62</v>
      </c>
      <c r="AF379" t="s">
        <v>43</v>
      </c>
      <c r="AG379">
        <f>IF(HR_Data[[#This Row],[Attrition]]="Yes",1,0)</f>
        <v>0</v>
      </c>
      <c r="AH379" t="str">
        <f>IF(HR_Data[Date_of_termination]="","Active","Left")</f>
        <v>Active</v>
      </c>
      <c r="AI379" t="str">
        <f>IF(HR_Data[YearsAtCompany]&lt;=2,"Fresher", IF(HR_Data[YearsAtCompany]&lt;=5,"Junior", IF(HR_Data[YearsAtCompany]&lt;=10, "Mid","Senior")))</f>
        <v>Junior</v>
      </c>
      <c r="AJ379" s="2" t="str">
        <f>IF(HR_Data[MonthlyIncome]&lt;=300,"Low", IF(HR_Data[MonthlyIncome]&lt;=7000,"Medium", "High"))</f>
        <v>Medium</v>
      </c>
      <c r="AK379" s="2" t="str">
        <f>VLOOKUP(HR_Data[JobRole], JobRole_Map[], 2, FALSE)</f>
        <v>Sales</v>
      </c>
    </row>
    <row r="380" spans="1:37" x14ac:dyDescent="0.25">
      <c r="A380" s="2">
        <v>34</v>
      </c>
      <c r="B380" t="s">
        <v>32</v>
      </c>
      <c r="C380" t="s">
        <v>61</v>
      </c>
      <c r="D380" t="s">
        <v>70</v>
      </c>
      <c r="E380">
        <v>23</v>
      </c>
      <c r="F380" t="s">
        <v>58</v>
      </c>
      <c r="G380">
        <v>3</v>
      </c>
      <c r="H380">
        <v>3</v>
      </c>
      <c r="I380" t="s">
        <v>70</v>
      </c>
      <c r="J380">
        <v>1</v>
      </c>
      <c r="K380" t="s">
        <v>55</v>
      </c>
      <c r="L380">
        <v>9950</v>
      </c>
      <c r="M380">
        <v>9</v>
      </c>
      <c r="N380" t="s">
        <v>32</v>
      </c>
      <c r="O380">
        <v>15</v>
      </c>
      <c r="P380">
        <v>3</v>
      </c>
      <c r="Q380">
        <v>3</v>
      </c>
      <c r="R380">
        <v>11</v>
      </c>
      <c r="S380">
        <v>2</v>
      </c>
      <c r="T380">
        <v>3</v>
      </c>
      <c r="U380">
        <v>0</v>
      </c>
      <c r="V380">
        <v>2</v>
      </c>
      <c r="W380" t="s">
        <v>56</v>
      </c>
      <c r="X380" s="1" t="d">
        <v>2018-02-08</v>
      </c>
      <c r="Z380" t="s">
        <v>45</v>
      </c>
      <c r="AA380" t="s">
        <v>46</v>
      </c>
      <c r="AB380">
        <v>0</v>
      </c>
      <c r="AC380">
        <v>2</v>
      </c>
      <c r="AD380" t="s">
        <v>41</v>
      </c>
      <c r="AE380" t="s">
        <v>60</v>
      </c>
      <c r="AF380" t="s">
        <v>57</v>
      </c>
      <c r="AG380">
        <f>IF(HR_Data[[#This Row],[Attrition]]="Yes",1,0)</f>
        <v>1</v>
      </c>
      <c r="AH380" t="str">
        <f>IF(HR_Data[Date_of_termination]="","Active","Left")</f>
        <v>Active</v>
      </c>
      <c r="AI380" t="str">
        <f>IF(HR_Data[YearsAtCompany]&lt;=2,"Fresher", IF(HR_Data[YearsAtCompany]&lt;=5,"Junior", IF(HR_Data[YearsAtCompany]&lt;=10, "Mid","Senior")))</f>
        <v>Junior</v>
      </c>
      <c r="AJ380" s="2" t="str">
        <f>IF(HR_Data[MonthlyIncome]&lt;=300,"Low", IF(HR_Data[MonthlyIncome]&lt;=7000,"Medium", "High"))</f>
        <v>High</v>
      </c>
      <c r="AK380" s="2" t="str">
        <f>VLOOKUP(HR_Data[JobRole], JobRole_Map[], 2, FALSE)</f>
        <v>HR</v>
      </c>
    </row>
    <row r="381" spans="1:37" x14ac:dyDescent="0.25">
      <c r="A381" s="2">
        <v>29</v>
      </c>
      <c r="B381" t="s">
        <v>41</v>
      </c>
      <c r="C381" t="s">
        <v>33</v>
      </c>
      <c r="D381" t="s">
        <v>34</v>
      </c>
      <c r="E381">
        <v>19</v>
      </c>
      <c r="F381" t="s">
        <v>35</v>
      </c>
      <c r="G381">
        <v>3</v>
      </c>
      <c r="H381">
        <v>2</v>
      </c>
      <c r="I381" t="s">
        <v>67</v>
      </c>
      <c r="J381">
        <v>4</v>
      </c>
      <c r="K381" t="s">
        <v>55</v>
      </c>
      <c r="L381">
        <v>4262</v>
      </c>
      <c r="M381">
        <v>4</v>
      </c>
      <c r="N381" t="s">
        <v>41</v>
      </c>
      <c r="O381">
        <v>12</v>
      </c>
      <c r="P381">
        <v>3</v>
      </c>
      <c r="Q381">
        <v>2</v>
      </c>
      <c r="R381">
        <v>8</v>
      </c>
      <c r="S381">
        <v>2</v>
      </c>
      <c r="T381">
        <v>3</v>
      </c>
      <c r="U381">
        <v>1</v>
      </c>
      <c r="V381">
        <v>2</v>
      </c>
      <c r="W381" t="s">
        <v>38</v>
      </c>
      <c r="X381" s="1" t="d">
        <v>2018-05-04</v>
      </c>
      <c r="Z381" t="s">
        <v>52</v>
      </c>
      <c r="AA381" t="s">
        <v>40</v>
      </c>
      <c r="AB381">
        <v>2</v>
      </c>
      <c r="AC381">
        <v>3</v>
      </c>
      <c r="AD381" t="s">
        <v>41</v>
      </c>
      <c r="AE381" t="s">
        <v>42</v>
      </c>
      <c r="AF381" t="s">
        <v>43</v>
      </c>
      <c r="AG381">
        <f>IF(HR_Data[[#This Row],[Attrition]]="Yes",1,0)</f>
        <v>0</v>
      </c>
      <c r="AH381" t="str">
        <f>IF(HR_Data[Date_of_termination]="","Active","Left")</f>
        <v>Active</v>
      </c>
      <c r="AI381" t="str">
        <f>IF(HR_Data[YearsAtCompany]&lt;=2,"Fresher", IF(HR_Data[YearsAtCompany]&lt;=5,"Junior", IF(HR_Data[YearsAtCompany]&lt;=10, "Mid","Senior")))</f>
        <v>Junior</v>
      </c>
      <c r="AJ381" s="2" t="str">
        <f>IF(HR_Data[MonthlyIncome]&lt;=300,"Low", IF(HR_Data[MonthlyIncome]&lt;=7000,"Medium", "High"))</f>
        <v>Medium</v>
      </c>
      <c r="AK381" s="2" t="str">
        <f>VLOOKUP(HR_Data[JobRole], JobRole_Map[], 2, FALSE)</f>
        <v>Operations</v>
      </c>
    </row>
    <row r="382" spans="1:37" x14ac:dyDescent="0.25">
      <c r="A382" s="2">
        <v>31</v>
      </c>
      <c r="B382" t="s">
        <v>32</v>
      </c>
      <c r="C382" t="s">
        <v>33</v>
      </c>
      <c r="D382" t="s">
        <v>53</v>
      </c>
      <c r="E382">
        <v>13</v>
      </c>
      <c r="F382" t="s">
        <v>35</v>
      </c>
      <c r="G382">
        <v>3</v>
      </c>
      <c r="H382">
        <v>2</v>
      </c>
      <c r="I382" t="s">
        <v>64</v>
      </c>
      <c r="J382">
        <v>1</v>
      </c>
      <c r="K382" t="s">
        <v>55</v>
      </c>
      <c r="L382">
        <v>4233</v>
      </c>
      <c r="M382">
        <v>2</v>
      </c>
      <c r="N382" t="s">
        <v>41</v>
      </c>
      <c r="O382">
        <v>17</v>
      </c>
      <c r="P382">
        <v>3</v>
      </c>
      <c r="Q382">
        <v>0</v>
      </c>
      <c r="R382">
        <v>9</v>
      </c>
      <c r="S382">
        <v>2</v>
      </c>
      <c r="T382">
        <v>3</v>
      </c>
      <c r="U382">
        <v>1</v>
      </c>
      <c r="V382">
        <v>2</v>
      </c>
      <c r="W382" t="s">
        <v>65</v>
      </c>
      <c r="X382" s="1" t="d">
        <v>2018-05-16</v>
      </c>
      <c r="Z382" t="s">
        <v>52</v>
      </c>
      <c r="AA382" t="s">
        <v>46</v>
      </c>
      <c r="AB382">
        <v>4</v>
      </c>
      <c r="AC382">
        <v>2</v>
      </c>
      <c r="AD382" t="s">
        <v>41</v>
      </c>
      <c r="AE382" t="s">
        <v>47</v>
      </c>
      <c r="AF382" t="s">
        <v>43</v>
      </c>
      <c r="AG382">
        <f>IF(HR_Data[[#This Row],[Attrition]]="Yes",1,0)</f>
        <v>1</v>
      </c>
      <c r="AH382" t="str">
        <f>IF(HR_Data[Date_of_termination]="","Active","Left")</f>
        <v>Active</v>
      </c>
      <c r="AI382" t="str">
        <f>IF(HR_Data[YearsAtCompany]&lt;=2,"Fresher", IF(HR_Data[YearsAtCompany]&lt;=5,"Junior", IF(HR_Data[YearsAtCompany]&lt;=10, "Mid","Senior")))</f>
        <v>Junior</v>
      </c>
      <c r="AJ382" s="2" t="str">
        <f>IF(HR_Data[MonthlyIncome]&lt;=300,"Low", IF(HR_Data[MonthlyIncome]&lt;=7000,"Medium", "High"))</f>
        <v>Medium</v>
      </c>
      <c r="AK382" s="2" t="str">
        <f>VLOOKUP(HR_Data[JobRole], JobRole_Map[], 2, FALSE)</f>
        <v>Sales</v>
      </c>
    </row>
    <row r="383" spans="1:37" x14ac:dyDescent="0.25">
      <c r="A383" s="2">
        <v>35</v>
      </c>
      <c r="B383" t="s">
        <v>41</v>
      </c>
      <c r="C383" t="s">
        <v>33</v>
      </c>
      <c r="D383" t="s">
        <v>34</v>
      </c>
      <c r="E383">
        <v>25</v>
      </c>
      <c r="F383" t="s">
        <v>35</v>
      </c>
      <c r="G383">
        <v>2</v>
      </c>
      <c r="H383">
        <v>2</v>
      </c>
      <c r="I383" t="s">
        <v>36</v>
      </c>
      <c r="J383">
        <v>4</v>
      </c>
      <c r="K383" t="s">
        <v>37</v>
      </c>
      <c r="L383">
        <v>3681</v>
      </c>
      <c r="M383">
        <v>4</v>
      </c>
      <c r="N383" t="s">
        <v>41</v>
      </c>
      <c r="O383">
        <v>14</v>
      </c>
      <c r="P383">
        <v>3</v>
      </c>
      <c r="Q383">
        <v>0</v>
      </c>
      <c r="R383">
        <v>9</v>
      </c>
      <c r="S383">
        <v>3</v>
      </c>
      <c r="T383">
        <v>3</v>
      </c>
      <c r="U383">
        <v>0</v>
      </c>
      <c r="V383">
        <v>2</v>
      </c>
      <c r="W383" t="s">
        <v>51</v>
      </c>
      <c r="X383" s="1" t="d">
        <v>2018-01-06</v>
      </c>
      <c r="Z383" t="s">
        <v>52</v>
      </c>
      <c r="AA383" t="s">
        <v>40</v>
      </c>
      <c r="AB383">
        <v>2</v>
      </c>
      <c r="AC383">
        <v>1</v>
      </c>
      <c r="AD383" t="s">
        <v>41</v>
      </c>
      <c r="AE383" t="s">
        <v>42</v>
      </c>
      <c r="AF383" t="s">
        <v>48</v>
      </c>
      <c r="AG383">
        <f>IF(HR_Data[[#This Row],[Attrition]]="Yes",1,0)</f>
        <v>0</v>
      </c>
      <c r="AH383" t="str">
        <f>IF(HR_Data[Date_of_termination]="","Active","Left")</f>
        <v>Active</v>
      </c>
      <c r="AI383" t="str">
        <f>IF(HR_Data[YearsAtCompany]&lt;=2,"Fresher", IF(HR_Data[YearsAtCompany]&lt;=5,"Junior", IF(HR_Data[YearsAtCompany]&lt;=10, "Mid","Senior")))</f>
        <v>Junior</v>
      </c>
      <c r="AJ383" s="2" t="str">
        <f>IF(HR_Data[MonthlyIncome]&lt;=300,"Low", IF(HR_Data[MonthlyIncome]&lt;=7000,"Medium", "High"))</f>
        <v>Medium</v>
      </c>
      <c r="AK383" s="2" t="str">
        <f>VLOOKUP(HR_Data[JobRole], JobRole_Map[], 2, FALSE)</f>
        <v>Technical</v>
      </c>
    </row>
    <row r="384" spans="1:37" x14ac:dyDescent="0.25">
      <c r="A384" s="2">
        <v>37</v>
      </c>
      <c r="B384" t="s">
        <v>41</v>
      </c>
      <c r="C384" t="s">
        <v>33</v>
      </c>
      <c r="D384" t="s">
        <v>53</v>
      </c>
      <c r="E384">
        <v>2</v>
      </c>
      <c r="F384" t="s">
        <v>35</v>
      </c>
      <c r="G384">
        <v>3</v>
      </c>
      <c r="H384">
        <v>2</v>
      </c>
      <c r="I384" t="s">
        <v>64</v>
      </c>
      <c r="J384">
        <v>3</v>
      </c>
      <c r="K384" t="s">
        <v>50</v>
      </c>
      <c r="L384">
        <v>9602</v>
      </c>
      <c r="M384">
        <v>4</v>
      </c>
      <c r="N384" t="s">
        <v>32</v>
      </c>
      <c r="O384">
        <v>11</v>
      </c>
      <c r="P384">
        <v>3</v>
      </c>
      <c r="Q384">
        <v>1</v>
      </c>
      <c r="R384">
        <v>17</v>
      </c>
      <c r="S384">
        <v>3</v>
      </c>
      <c r="T384">
        <v>3</v>
      </c>
      <c r="U384">
        <v>1</v>
      </c>
      <c r="V384">
        <v>0</v>
      </c>
      <c r="W384" t="s">
        <v>65</v>
      </c>
      <c r="X384" s="1" t="d">
        <v>2018-04-02</v>
      </c>
      <c r="Z384" t="s">
        <v>63</v>
      </c>
      <c r="AA384" t="s">
        <v>40</v>
      </c>
      <c r="AB384">
        <v>4</v>
      </c>
      <c r="AC384">
        <v>0</v>
      </c>
      <c r="AD384" t="s">
        <v>32</v>
      </c>
      <c r="AE384" t="s">
        <v>60</v>
      </c>
      <c r="AF384" t="s">
        <v>57</v>
      </c>
      <c r="AG384">
        <f>IF(HR_Data[[#This Row],[Attrition]]="Yes",1,0)</f>
        <v>0</v>
      </c>
      <c r="AH384" t="str">
        <f>IF(HR_Data[Date_of_termination]="","Active","Left")</f>
        <v>Active</v>
      </c>
      <c r="AI384" t="str">
        <f>IF(HR_Data[YearsAtCompany]&lt;=2,"Fresher", IF(HR_Data[YearsAtCompany]&lt;=5,"Junior", IF(HR_Data[YearsAtCompany]&lt;=10, "Mid","Senior")))</f>
        <v>Junior</v>
      </c>
      <c r="AJ384" s="2" t="str">
        <f>IF(HR_Data[MonthlyIncome]&lt;=300,"Low", IF(HR_Data[MonthlyIncome]&lt;=7000,"Medium", "High"))</f>
        <v>High</v>
      </c>
      <c r="AK384" s="2" t="str">
        <f>VLOOKUP(HR_Data[JobRole], JobRole_Map[], 2, FALSE)</f>
        <v>Sales</v>
      </c>
    </row>
    <row r="385" spans="1:37" x14ac:dyDescent="0.25">
      <c r="A385" s="2">
        <v>48</v>
      </c>
      <c r="B385" t="s">
        <v>41</v>
      </c>
      <c r="C385" t="s">
        <v>33</v>
      </c>
      <c r="D385" t="s">
        <v>34</v>
      </c>
      <c r="E385">
        <v>1</v>
      </c>
      <c r="F385" t="s">
        <v>58</v>
      </c>
      <c r="G385">
        <v>2</v>
      </c>
      <c r="H385">
        <v>4</v>
      </c>
      <c r="I385" t="s">
        <v>66</v>
      </c>
      <c r="J385">
        <v>1</v>
      </c>
      <c r="K385" t="s">
        <v>50</v>
      </c>
      <c r="L385">
        <v>15402</v>
      </c>
      <c r="M385">
        <v>7</v>
      </c>
      <c r="N385" t="s">
        <v>41</v>
      </c>
      <c r="O385">
        <v>11</v>
      </c>
      <c r="P385">
        <v>3</v>
      </c>
      <c r="Q385">
        <v>1</v>
      </c>
      <c r="R385">
        <v>21</v>
      </c>
      <c r="S385">
        <v>3</v>
      </c>
      <c r="T385">
        <v>3</v>
      </c>
      <c r="U385">
        <v>0</v>
      </c>
      <c r="V385">
        <v>2</v>
      </c>
      <c r="W385" t="s">
        <v>65</v>
      </c>
      <c r="X385" s="1" t="d">
        <v>2018-02-22</v>
      </c>
      <c r="Z385" t="s">
        <v>45</v>
      </c>
      <c r="AA385" t="s">
        <v>46</v>
      </c>
      <c r="AB385">
        <v>4</v>
      </c>
      <c r="AC385">
        <v>1</v>
      </c>
      <c r="AD385" t="s">
        <v>32</v>
      </c>
      <c r="AE385" t="s">
        <v>47</v>
      </c>
      <c r="AF385" t="s">
        <v>48</v>
      </c>
      <c r="AG385">
        <f>IF(HR_Data[[#This Row],[Attrition]]="Yes",1,0)</f>
        <v>0</v>
      </c>
      <c r="AH385" t="str">
        <f>IF(HR_Data[Date_of_termination]="","Active","Left")</f>
        <v>Active</v>
      </c>
      <c r="AI385" t="str">
        <f>IF(HR_Data[YearsAtCompany]&lt;=2,"Fresher", IF(HR_Data[YearsAtCompany]&lt;=5,"Junior", IF(HR_Data[YearsAtCompany]&lt;=10, "Mid","Senior")))</f>
        <v>Junior</v>
      </c>
      <c r="AJ385" s="2" t="str">
        <f>IF(HR_Data[MonthlyIncome]&lt;=300,"Low", IF(HR_Data[MonthlyIncome]&lt;=7000,"Medium", "High"))</f>
        <v>High</v>
      </c>
      <c r="AK385" s="2" t="str">
        <f>VLOOKUP(HR_Data[JobRole], JobRole_Map[], 2, FALSE)</f>
        <v>Management</v>
      </c>
    </row>
    <row r="386" spans="1:37" x14ac:dyDescent="0.25">
      <c r="A386" s="2">
        <v>21</v>
      </c>
      <c r="B386" t="s">
        <v>41</v>
      </c>
      <c r="C386" t="s">
        <v>33</v>
      </c>
      <c r="D386" t="s">
        <v>53</v>
      </c>
      <c r="E386">
        <v>22</v>
      </c>
      <c r="F386" t="s">
        <v>35</v>
      </c>
      <c r="G386">
        <v>3</v>
      </c>
      <c r="H386">
        <v>1</v>
      </c>
      <c r="I386" t="s">
        <v>54</v>
      </c>
      <c r="J386">
        <v>3</v>
      </c>
      <c r="K386" t="s">
        <v>37</v>
      </c>
      <c r="L386">
        <v>3447</v>
      </c>
      <c r="M386">
        <v>1</v>
      </c>
      <c r="N386" t="s">
        <v>41</v>
      </c>
      <c r="O386">
        <v>11</v>
      </c>
      <c r="P386">
        <v>3</v>
      </c>
      <c r="Q386">
        <v>0</v>
      </c>
      <c r="R386">
        <v>3</v>
      </c>
      <c r="S386">
        <v>2</v>
      </c>
      <c r="T386">
        <v>3</v>
      </c>
      <c r="U386">
        <v>1</v>
      </c>
      <c r="V386">
        <v>2</v>
      </c>
      <c r="W386" t="s">
        <v>65</v>
      </c>
      <c r="X386" s="1" t="d">
        <v>2018-03-27</v>
      </c>
      <c r="Z386" t="s">
        <v>63</v>
      </c>
      <c r="AA386" t="s">
        <v>46</v>
      </c>
      <c r="AB386">
        <v>4</v>
      </c>
      <c r="AC386">
        <v>0</v>
      </c>
      <c r="AD386" t="s">
        <v>32</v>
      </c>
      <c r="AE386" t="s">
        <v>47</v>
      </c>
      <c r="AF386" t="s">
        <v>43</v>
      </c>
      <c r="AG386">
        <f>IF(HR_Data[[#This Row],[Attrition]]="Yes",1,0)</f>
        <v>0</v>
      </c>
      <c r="AH386" t="str">
        <f>IF(HR_Data[Date_of_termination]="","Active","Left")</f>
        <v>Active</v>
      </c>
      <c r="AI386" t="str">
        <f>IF(HR_Data[YearsAtCompany]&lt;=2,"Fresher", IF(HR_Data[YearsAtCompany]&lt;=5,"Junior", IF(HR_Data[YearsAtCompany]&lt;=10, "Mid","Senior")))</f>
        <v>Junior</v>
      </c>
      <c r="AJ386" s="2" t="str">
        <f>IF(HR_Data[MonthlyIncome]&lt;=300,"Low", IF(HR_Data[MonthlyIncome]&lt;=7000,"Medium", "High"))</f>
        <v>Medium</v>
      </c>
      <c r="AK386" s="2" t="str">
        <f>VLOOKUP(HR_Data[JobRole], JobRole_Map[], 2, FALSE)</f>
        <v>Sales</v>
      </c>
    </row>
    <row r="387" spans="1:37" x14ac:dyDescent="0.25">
      <c r="A387" s="2">
        <v>26</v>
      </c>
      <c r="B387" t="s">
        <v>41</v>
      </c>
      <c r="C387" t="s">
        <v>33</v>
      </c>
      <c r="D387" t="s">
        <v>34</v>
      </c>
      <c r="E387">
        <v>6</v>
      </c>
      <c r="F387" t="s">
        <v>58</v>
      </c>
      <c r="G387">
        <v>3</v>
      </c>
      <c r="H387">
        <v>1</v>
      </c>
      <c r="I387" t="s">
        <v>36</v>
      </c>
      <c r="J387">
        <v>4</v>
      </c>
      <c r="K387" t="s">
        <v>50</v>
      </c>
      <c r="L387">
        <v>2659</v>
      </c>
      <c r="M387">
        <v>1</v>
      </c>
      <c r="N387" t="s">
        <v>32</v>
      </c>
      <c r="O387">
        <v>13</v>
      </c>
      <c r="P387">
        <v>3</v>
      </c>
      <c r="Q387">
        <v>1</v>
      </c>
      <c r="R387">
        <v>3</v>
      </c>
      <c r="S387">
        <v>2</v>
      </c>
      <c r="T387">
        <v>3</v>
      </c>
      <c r="U387">
        <v>0</v>
      </c>
      <c r="V387">
        <v>2</v>
      </c>
      <c r="W387" t="s">
        <v>56</v>
      </c>
      <c r="X387" s="1" t="d">
        <v>2018-03-06</v>
      </c>
      <c r="Z387" t="s">
        <v>59</v>
      </c>
      <c r="AA387" t="s">
        <v>40</v>
      </c>
      <c r="AB387">
        <v>5</v>
      </c>
      <c r="AC387">
        <v>2</v>
      </c>
      <c r="AD387" t="s">
        <v>41</v>
      </c>
      <c r="AE387" t="s">
        <v>60</v>
      </c>
      <c r="AF387" t="s">
        <v>57</v>
      </c>
      <c r="AG387">
        <f>IF(HR_Data[[#This Row],[Attrition]]="Yes",1,0)</f>
        <v>0</v>
      </c>
      <c r="AH387" t="str">
        <f>IF(HR_Data[Date_of_termination]="","Active","Left")</f>
        <v>Active</v>
      </c>
      <c r="AI387" t="str">
        <f>IF(HR_Data[YearsAtCompany]&lt;=2,"Fresher", IF(HR_Data[YearsAtCompany]&lt;=5,"Junior", IF(HR_Data[YearsAtCompany]&lt;=10, "Mid","Senior")))</f>
        <v>Junior</v>
      </c>
      <c r="AJ387" s="2" t="str">
        <f>IF(HR_Data[MonthlyIncome]&lt;=300,"Low", IF(HR_Data[MonthlyIncome]&lt;=7000,"Medium", "High"))</f>
        <v>Medium</v>
      </c>
      <c r="AK387" s="2" t="str">
        <f>VLOOKUP(HR_Data[JobRole], JobRole_Map[], 2, FALSE)</f>
        <v>Technical</v>
      </c>
    </row>
    <row r="388" spans="1:37" x14ac:dyDescent="0.25">
      <c r="A388" s="2">
        <v>36</v>
      </c>
      <c r="B388" t="s">
        <v>41</v>
      </c>
      <c r="C388" t="s">
        <v>33</v>
      </c>
      <c r="D388" t="s">
        <v>34</v>
      </c>
      <c r="E388">
        <v>9</v>
      </c>
      <c r="F388" t="s">
        <v>35</v>
      </c>
      <c r="G388">
        <v>2</v>
      </c>
      <c r="H388">
        <v>2</v>
      </c>
      <c r="I388" t="s">
        <v>67</v>
      </c>
      <c r="J388">
        <v>2</v>
      </c>
      <c r="K388" t="s">
        <v>55</v>
      </c>
      <c r="L388">
        <v>8847</v>
      </c>
      <c r="M388">
        <v>2</v>
      </c>
      <c r="N388" t="s">
        <v>32</v>
      </c>
      <c r="O388">
        <v>11</v>
      </c>
      <c r="P388">
        <v>3</v>
      </c>
      <c r="Q388">
        <v>1</v>
      </c>
      <c r="R388">
        <v>13</v>
      </c>
      <c r="S388">
        <v>2</v>
      </c>
      <c r="T388">
        <v>3</v>
      </c>
      <c r="U388">
        <v>0</v>
      </c>
      <c r="V388">
        <v>2</v>
      </c>
      <c r="W388" t="s">
        <v>38</v>
      </c>
      <c r="X388" s="1" t="d">
        <v>2018-01-07</v>
      </c>
      <c r="Z388" t="s">
        <v>59</v>
      </c>
      <c r="AA388" t="s">
        <v>40</v>
      </c>
      <c r="AB388">
        <v>5</v>
      </c>
      <c r="AC388">
        <v>2</v>
      </c>
      <c r="AD388" t="s">
        <v>41</v>
      </c>
      <c r="AE388" t="s">
        <v>62</v>
      </c>
      <c r="AF388" t="s">
        <v>57</v>
      </c>
      <c r="AG388">
        <f>IF(HR_Data[[#This Row],[Attrition]]="Yes",1,0)</f>
        <v>0</v>
      </c>
      <c r="AH388" t="str">
        <f>IF(HR_Data[Date_of_termination]="","Active","Left")</f>
        <v>Active</v>
      </c>
      <c r="AI388" t="str">
        <f>IF(HR_Data[YearsAtCompany]&lt;=2,"Fresher", IF(HR_Data[YearsAtCompany]&lt;=5,"Junior", IF(HR_Data[YearsAtCompany]&lt;=10, "Mid","Senior")))</f>
        <v>Junior</v>
      </c>
      <c r="AJ388" s="2" t="str">
        <f>IF(HR_Data[MonthlyIncome]&lt;=300,"Low", IF(HR_Data[MonthlyIncome]&lt;=7000,"Medium", "High"))</f>
        <v>High</v>
      </c>
      <c r="AK388" s="2" t="str">
        <f>VLOOKUP(HR_Data[JobRole], JobRole_Map[], 2, FALSE)</f>
        <v>Operations</v>
      </c>
    </row>
    <row r="389" spans="1:37" x14ac:dyDescent="0.25">
      <c r="A389" s="2">
        <v>23</v>
      </c>
      <c r="B389" t="s">
        <v>41</v>
      </c>
      <c r="C389" t="s">
        <v>33</v>
      </c>
      <c r="D389" t="s">
        <v>34</v>
      </c>
      <c r="E389">
        <v>4</v>
      </c>
      <c r="F389" t="s">
        <v>35</v>
      </c>
      <c r="G389">
        <v>4</v>
      </c>
      <c r="H389">
        <v>1</v>
      </c>
      <c r="I389" t="s">
        <v>44</v>
      </c>
      <c r="J389">
        <v>1</v>
      </c>
      <c r="K389" t="s">
        <v>50</v>
      </c>
      <c r="L389">
        <v>2819</v>
      </c>
      <c r="M389">
        <v>2</v>
      </c>
      <c r="N389" t="s">
        <v>41</v>
      </c>
      <c r="O389">
        <v>16</v>
      </c>
      <c r="P389">
        <v>3</v>
      </c>
      <c r="Q389">
        <v>1</v>
      </c>
      <c r="R389">
        <v>5</v>
      </c>
      <c r="S389">
        <v>3</v>
      </c>
      <c r="T389">
        <v>3</v>
      </c>
      <c r="U389">
        <v>0</v>
      </c>
      <c r="V389">
        <v>2</v>
      </c>
      <c r="W389" t="s">
        <v>56</v>
      </c>
      <c r="X389" s="1" t="d">
        <v>2018-05-05</v>
      </c>
      <c r="Z389" t="s">
        <v>63</v>
      </c>
      <c r="AA389" t="s">
        <v>40</v>
      </c>
      <c r="AB389">
        <v>5</v>
      </c>
      <c r="AC389">
        <v>1</v>
      </c>
      <c r="AD389" t="s">
        <v>41</v>
      </c>
      <c r="AE389" t="s">
        <v>62</v>
      </c>
      <c r="AF389" t="s">
        <v>48</v>
      </c>
      <c r="AG389">
        <f>IF(HR_Data[[#This Row],[Attrition]]="Yes",1,0)</f>
        <v>0</v>
      </c>
      <c r="AH389" t="str">
        <f>IF(HR_Data[Date_of_termination]="","Active","Left")</f>
        <v>Active</v>
      </c>
      <c r="AI389" t="str">
        <f>IF(HR_Data[YearsAtCompany]&lt;=2,"Fresher", IF(HR_Data[YearsAtCompany]&lt;=5,"Junior", IF(HR_Data[YearsAtCompany]&lt;=10, "Mid","Senior")))</f>
        <v>Junior</v>
      </c>
      <c r="AJ389" s="2" t="str">
        <f>IF(HR_Data[MonthlyIncome]&lt;=300,"Low", IF(HR_Data[MonthlyIncome]&lt;=7000,"Medium", "High"))</f>
        <v>Medium</v>
      </c>
      <c r="AK389" s="2" t="str">
        <f>VLOOKUP(HR_Data[JobRole], JobRole_Map[], 2, FALSE)</f>
        <v>Technical</v>
      </c>
    </row>
    <row r="390" spans="1:37" x14ac:dyDescent="0.25">
      <c r="A390" s="2">
        <v>25</v>
      </c>
      <c r="B390" t="s">
        <v>41</v>
      </c>
      <c r="C390" t="s">
        <v>33</v>
      </c>
      <c r="D390" t="s">
        <v>53</v>
      </c>
      <c r="E390">
        <v>8</v>
      </c>
      <c r="F390" t="s">
        <v>35</v>
      </c>
      <c r="G390">
        <v>4</v>
      </c>
      <c r="H390">
        <v>2</v>
      </c>
      <c r="I390" t="s">
        <v>64</v>
      </c>
      <c r="J390">
        <v>2</v>
      </c>
      <c r="K390" t="s">
        <v>50</v>
      </c>
      <c r="L390">
        <v>4851</v>
      </c>
      <c r="M390">
        <v>0</v>
      </c>
      <c r="N390" t="s">
        <v>41</v>
      </c>
      <c r="O390">
        <v>22</v>
      </c>
      <c r="P390">
        <v>4</v>
      </c>
      <c r="Q390">
        <v>1</v>
      </c>
      <c r="R390">
        <v>4</v>
      </c>
      <c r="S390">
        <v>4</v>
      </c>
      <c r="T390">
        <v>3</v>
      </c>
      <c r="U390">
        <v>1</v>
      </c>
      <c r="V390">
        <v>2</v>
      </c>
      <c r="W390" t="s">
        <v>65</v>
      </c>
      <c r="X390" s="1" t="d">
        <v>2018-02-08</v>
      </c>
      <c r="Z390" t="s">
        <v>59</v>
      </c>
      <c r="AA390" t="s">
        <v>46</v>
      </c>
      <c r="AB390">
        <v>1</v>
      </c>
      <c r="AC390">
        <v>0</v>
      </c>
      <c r="AD390" t="s">
        <v>41</v>
      </c>
      <c r="AE390" t="s">
        <v>60</v>
      </c>
      <c r="AF390" t="s">
        <v>57</v>
      </c>
      <c r="AG390">
        <f>IF(HR_Data[[#This Row],[Attrition]]="Yes",1,0)</f>
        <v>0</v>
      </c>
      <c r="AH390" t="str">
        <f>IF(HR_Data[Date_of_termination]="","Active","Left")</f>
        <v>Active</v>
      </c>
      <c r="AI390" t="str">
        <f>IF(HR_Data[YearsAtCompany]&lt;=2,"Fresher", IF(HR_Data[YearsAtCompany]&lt;=5,"Junior", IF(HR_Data[YearsAtCompany]&lt;=10, "Mid","Senior")))</f>
        <v>Junior</v>
      </c>
      <c r="AJ390" s="2" t="str">
        <f>IF(HR_Data[MonthlyIncome]&lt;=300,"Low", IF(HR_Data[MonthlyIncome]&lt;=7000,"Medium", "High"))</f>
        <v>Medium</v>
      </c>
      <c r="AK390" s="2" t="str">
        <f>VLOOKUP(HR_Data[JobRole], JobRole_Map[], 2, FALSE)</f>
        <v>Sales</v>
      </c>
    </row>
    <row r="391" spans="1:37" x14ac:dyDescent="0.25">
      <c r="A391" s="2">
        <v>35</v>
      </c>
      <c r="B391" t="s">
        <v>41</v>
      </c>
      <c r="C391" t="s">
        <v>33</v>
      </c>
      <c r="D391" t="s">
        <v>53</v>
      </c>
      <c r="E391">
        <v>8</v>
      </c>
      <c r="F391" t="s">
        <v>58</v>
      </c>
      <c r="G391">
        <v>3</v>
      </c>
      <c r="H391">
        <v>1</v>
      </c>
      <c r="I391" t="s">
        <v>54</v>
      </c>
      <c r="J391">
        <v>4</v>
      </c>
      <c r="K391" t="s">
        <v>50</v>
      </c>
      <c r="L391">
        <v>2572</v>
      </c>
      <c r="M391">
        <v>1</v>
      </c>
      <c r="N391" t="s">
        <v>41</v>
      </c>
      <c r="O391">
        <v>16</v>
      </c>
      <c r="P391">
        <v>3</v>
      </c>
      <c r="Q391">
        <v>1</v>
      </c>
      <c r="R391">
        <v>3</v>
      </c>
      <c r="S391">
        <v>1</v>
      </c>
      <c r="T391">
        <v>3</v>
      </c>
      <c r="U391">
        <v>0</v>
      </c>
      <c r="V391">
        <v>2</v>
      </c>
      <c r="W391" t="s">
        <v>51</v>
      </c>
      <c r="X391" s="1" t="d">
        <v>2018-05-29</v>
      </c>
      <c r="Z391" t="s">
        <v>59</v>
      </c>
      <c r="AA391" t="s">
        <v>46</v>
      </c>
      <c r="AB391">
        <v>1</v>
      </c>
      <c r="AC391">
        <v>1</v>
      </c>
      <c r="AD391" t="s">
        <v>32</v>
      </c>
      <c r="AE391" t="s">
        <v>60</v>
      </c>
      <c r="AF391" t="s">
        <v>48</v>
      </c>
      <c r="AG391">
        <f>IF(HR_Data[[#This Row],[Attrition]]="Yes",1,0)</f>
        <v>0</v>
      </c>
      <c r="AH391" t="str">
        <f>IF(HR_Data[Date_of_termination]="","Active","Left")</f>
        <v>Active</v>
      </c>
      <c r="AI391" t="str">
        <f>IF(HR_Data[YearsAtCompany]&lt;=2,"Fresher", IF(HR_Data[YearsAtCompany]&lt;=5,"Junior", IF(HR_Data[YearsAtCompany]&lt;=10, "Mid","Senior")))</f>
        <v>Junior</v>
      </c>
      <c r="AJ391" s="2" t="str">
        <f>IF(HR_Data[MonthlyIncome]&lt;=300,"Low", IF(HR_Data[MonthlyIncome]&lt;=7000,"Medium", "High"))</f>
        <v>Medium</v>
      </c>
      <c r="AK391" s="2" t="str">
        <f>VLOOKUP(HR_Data[JobRole], JobRole_Map[], 2, FALSE)</f>
        <v>Sales</v>
      </c>
    </row>
    <row r="392" spans="1:37" x14ac:dyDescent="0.25">
      <c r="A392" s="2">
        <v>34</v>
      </c>
      <c r="B392" t="s">
        <v>41</v>
      </c>
      <c r="C392" t="s">
        <v>33</v>
      </c>
      <c r="D392" t="s">
        <v>53</v>
      </c>
      <c r="E392">
        <v>8</v>
      </c>
      <c r="F392" t="s">
        <v>58</v>
      </c>
      <c r="G392">
        <v>3</v>
      </c>
      <c r="H392">
        <v>2</v>
      </c>
      <c r="I392" t="s">
        <v>64</v>
      </c>
      <c r="J392">
        <v>1</v>
      </c>
      <c r="K392" t="s">
        <v>50</v>
      </c>
      <c r="L392">
        <v>6500</v>
      </c>
      <c r="M392">
        <v>5</v>
      </c>
      <c r="N392" t="s">
        <v>41</v>
      </c>
      <c r="O392">
        <v>17</v>
      </c>
      <c r="P392">
        <v>3</v>
      </c>
      <c r="Q392">
        <v>1</v>
      </c>
      <c r="R392">
        <v>6</v>
      </c>
      <c r="S392">
        <v>1</v>
      </c>
      <c r="T392">
        <v>3</v>
      </c>
      <c r="U392">
        <v>1</v>
      </c>
      <c r="V392">
        <v>2</v>
      </c>
      <c r="W392" t="s">
        <v>51</v>
      </c>
      <c r="X392" s="1" t="d">
        <v>2018-05-01</v>
      </c>
      <c r="Z392" t="s">
        <v>63</v>
      </c>
      <c r="AA392" t="s">
        <v>40</v>
      </c>
      <c r="AB392">
        <v>3</v>
      </c>
      <c r="AC392">
        <v>2</v>
      </c>
      <c r="AD392" t="s">
        <v>32</v>
      </c>
      <c r="AE392" t="s">
        <v>47</v>
      </c>
      <c r="AF392" t="s">
        <v>48</v>
      </c>
      <c r="AG392">
        <f>IF(HR_Data[[#This Row],[Attrition]]="Yes",1,0)</f>
        <v>0</v>
      </c>
      <c r="AH392" t="str">
        <f>IF(HR_Data[Date_of_termination]="","Active","Left")</f>
        <v>Active</v>
      </c>
      <c r="AI392" t="str">
        <f>IF(HR_Data[YearsAtCompany]&lt;=2,"Fresher", IF(HR_Data[YearsAtCompany]&lt;=5,"Junior", IF(HR_Data[YearsAtCompany]&lt;=10, "Mid","Senior")))</f>
        <v>Junior</v>
      </c>
      <c r="AJ392" s="2" t="str">
        <f>IF(HR_Data[MonthlyIncome]&lt;=300,"Low", IF(HR_Data[MonthlyIncome]&lt;=7000,"Medium", "High"))</f>
        <v>Medium</v>
      </c>
      <c r="AK392" s="2" t="str">
        <f>VLOOKUP(HR_Data[JobRole], JobRole_Map[], 2, FALSE)</f>
        <v>Sales</v>
      </c>
    </row>
    <row r="393" spans="1:37" x14ac:dyDescent="0.25">
      <c r="A393" s="2">
        <v>33</v>
      </c>
      <c r="B393" t="s">
        <v>32</v>
      </c>
      <c r="C393" t="s">
        <v>33</v>
      </c>
      <c r="D393" t="s">
        <v>53</v>
      </c>
      <c r="E393">
        <v>16</v>
      </c>
      <c r="F393" t="s">
        <v>58</v>
      </c>
      <c r="G393">
        <v>3</v>
      </c>
      <c r="H393">
        <v>2</v>
      </c>
      <c r="I393" t="s">
        <v>64</v>
      </c>
      <c r="J393">
        <v>1</v>
      </c>
      <c r="K393" t="s">
        <v>37</v>
      </c>
      <c r="L393">
        <v>5324</v>
      </c>
      <c r="M393">
        <v>5</v>
      </c>
      <c r="N393" t="s">
        <v>41</v>
      </c>
      <c r="O393">
        <v>15</v>
      </c>
      <c r="P393">
        <v>3</v>
      </c>
      <c r="Q393">
        <v>0</v>
      </c>
      <c r="R393">
        <v>6</v>
      </c>
      <c r="S393">
        <v>3</v>
      </c>
      <c r="T393">
        <v>3</v>
      </c>
      <c r="U393">
        <v>0</v>
      </c>
      <c r="V393">
        <v>2</v>
      </c>
      <c r="W393" t="s">
        <v>51</v>
      </c>
      <c r="X393" s="1" t="d">
        <v>2018-02-23</v>
      </c>
      <c r="Z393" t="s">
        <v>45</v>
      </c>
      <c r="AA393" t="s">
        <v>40</v>
      </c>
      <c r="AB393">
        <v>1</v>
      </c>
      <c r="AC393">
        <v>3</v>
      </c>
      <c r="AD393" t="s">
        <v>41</v>
      </c>
      <c r="AE393" t="s">
        <v>60</v>
      </c>
      <c r="AF393" t="s">
        <v>43</v>
      </c>
      <c r="AG393">
        <f>IF(HR_Data[[#This Row],[Attrition]]="Yes",1,0)</f>
        <v>1</v>
      </c>
      <c r="AH393" t="str">
        <f>IF(HR_Data[Date_of_termination]="","Active","Left")</f>
        <v>Active</v>
      </c>
      <c r="AI393" t="str">
        <f>IF(HR_Data[YearsAtCompany]&lt;=2,"Fresher", IF(HR_Data[YearsAtCompany]&lt;=5,"Junior", IF(HR_Data[YearsAtCompany]&lt;=10, "Mid","Senior")))</f>
        <v>Junior</v>
      </c>
      <c r="AJ393" s="2" t="str">
        <f>IF(HR_Data[MonthlyIncome]&lt;=300,"Low", IF(HR_Data[MonthlyIncome]&lt;=7000,"Medium", "High"))</f>
        <v>Medium</v>
      </c>
      <c r="AK393" s="2" t="str">
        <f>VLOOKUP(HR_Data[JobRole], JobRole_Map[], 2, FALSE)</f>
        <v>Sales</v>
      </c>
    </row>
    <row r="394" spans="1:37" x14ac:dyDescent="0.25">
      <c r="A394" s="2">
        <v>34</v>
      </c>
      <c r="B394" t="s">
        <v>41</v>
      </c>
      <c r="C394" t="s">
        <v>33</v>
      </c>
      <c r="D394" t="s">
        <v>70</v>
      </c>
      <c r="E394">
        <v>3</v>
      </c>
      <c r="F394" t="s">
        <v>35</v>
      </c>
      <c r="G394">
        <v>3</v>
      </c>
      <c r="H394">
        <v>1</v>
      </c>
      <c r="I394" t="s">
        <v>70</v>
      </c>
      <c r="J394">
        <v>4</v>
      </c>
      <c r="K394" t="s">
        <v>50</v>
      </c>
      <c r="L394">
        <v>3737</v>
      </c>
      <c r="M394">
        <v>0</v>
      </c>
      <c r="N394" t="s">
        <v>41</v>
      </c>
      <c r="O394">
        <v>19</v>
      </c>
      <c r="P394">
        <v>3</v>
      </c>
      <c r="Q394">
        <v>1</v>
      </c>
      <c r="R394">
        <v>4</v>
      </c>
      <c r="S394">
        <v>1</v>
      </c>
      <c r="T394">
        <v>3</v>
      </c>
      <c r="U394">
        <v>0</v>
      </c>
      <c r="V394">
        <v>2</v>
      </c>
      <c r="W394" t="s">
        <v>51</v>
      </c>
      <c r="X394" s="1" t="d">
        <v>2018-04-14</v>
      </c>
      <c r="Z394" t="s">
        <v>39</v>
      </c>
      <c r="AA394" t="s">
        <v>46</v>
      </c>
      <c r="AB394">
        <v>0</v>
      </c>
      <c r="AC394">
        <v>1</v>
      </c>
      <c r="AD394" t="s">
        <v>41</v>
      </c>
      <c r="AE394" t="s">
        <v>42</v>
      </c>
      <c r="AF394" t="s">
        <v>57</v>
      </c>
      <c r="AG394">
        <f>IF(HR_Data[[#This Row],[Attrition]]="Yes",1,0)</f>
        <v>0</v>
      </c>
      <c r="AH394" t="str">
        <f>IF(HR_Data[Date_of_termination]="","Active","Left")</f>
        <v>Active</v>
      </c>
      <c r="AI394" t="str">
        <f>IF(HR_Data[YearsAtCompany]&lt;=2,"Fresher", IF(HR_Data[YearsAtCompany]&lt;=5,"Junior", IF(HR_Data[YearsAtCompany]&lt;=10, "Mid","Senior")))</f>
        <v>Junior</v>
      </c>
      <c r="AJ394" s="2" t="str">
        <f>IF(HR_Data[MonthlyIncome]&lt;=300,"Low", IF(HR_Data[MonthlyIncome]&lt;=7000,"Medium", "High"))</f>
        <v>Medium</v>
      </c>
      <c r="AK394" s="2" t="str">
        <f>VLOOKUP(HR_Data[JobRole], JobRole_Map[], 2, FALSE)</f>
        <v>HR</v>
      </c>
    </row>
    <row r="395" spans="1:37" x14ac:dyDescent="0.25">
      <c r="A395" s="2">
        <v>44</v>
      </c>
      <c r="B395" t="s">
        <v>41</v>
      </c>
      <c r="C395" t="s">
        <v>33</v>
      </c>
      <c r="D395" t="s">
        <v>34</v>
      </c>
      <c r="E395">
        <v>8</v>
      </c>
      <c r="F395" t="s">
        <v>35</v>
      </c>
      <c r="G395">
        <v>4</v>
      </c>
      <c r="H395">
        <v>1</v>
      </c>
      <c r="I395" t="s">
        <v>36</v>
      </c>
      <c r="J395">
        <v>4</v>
      </c>
      <c r="K395" t="s">
        <v>50</v>
      </c>
      <c r="L395">
        <v>2818</v>
      </c>
      <c r="M395">
        <v>2</v>
      </c>
      <c r="N395" t="s">
        <v>32</v>
      </c>
      <c r="O395">
        <v>24</v>
      </c>
      <c r="P395">
        <v>4</v>
      </c>
      <c r="Q395">
        <v>1</v>
      </c>
      <c r="R395">
        <v>10</v>
      </c>
      <c r="S395">
        <v>2</v>
      </c>
      <c r="T395">
        <v>3</v>
      </c>
      <c r="U395">
        <v>0</v>
      </c>
      <c r="V395">
        <v>2</v>
      </c>
      <c r="W395" t="s">
        <v>65</v>
      </c>
      <c r="X395" s="1" t="d">
        <v>2018-01-24</v>
      </c>
      <c r="Z395" t="s">
        <v>45</v>
      </c>
      <c r="AA395" t="s">
        <v>46</v>
      </c>
      <c r="AB395">
        <v>4</v>
      </c>
      <c r="AC395">
        <v>2</v>
      </c>
      <c r="AD395" t="s">
        <v>41</v>
      </c>
      <c r="AE395" t="s">
        <v>47</v>
      </c>
      <c r="AF395" t="s">
        <v>57</v>
      </c>
      <c r="AG395">
        <f>IF(HR_Data[[#This Row],[Attrition]]="Yes",1,0)</f>
        <v>0</v>
      </c>
      <c r="AH395" t="str">
        <f>IF(HR_Data[Date_of_termination]="","Active","Left")</f>
        <v>Active</v>
      </c>
      <c r="AI395" t="str">
        <f>IF(HR_Data[YearsAtCompany]&lt;=2,"Fresher", IF(HR_Data[YearsAtCompany]&lt;=5,"Junior", IF(HR_Data[YearsAtCompany]&lt;=10, "Mid","Senior")))</f>
        <v>Junior</v>
      </c>
      <c r="AJ395" s="2" t="str">
        <f>IF(HR_Data[MonthlyIncome]&lt;=300,"Low", IF(HR_Data[MonthlyIncome]&lt;=7000,"Medium", "High"))</f>
        <v>Medium</v>
      </c>
      <c r="AK395" s="2" t="str">
        <f>VLOOKUP(HR_Data[JobRole], JobRole_Map[], 2, FALSE)</f>
        <v>Technical</v>
      </c>
    </row>
    <row r="396" spans="1:37" x14ac:dyDescent="0.25">
      <c r="A396" s="2">
        <v>32</v>
      </c>
      <c r="B396" t="s">
        <v>41</v>
      </c>
      <c r="C396" t="s">
        <v>68</v>
      </c>
      <c r="D396" t="s">
        <v>34</v>
      </c>
      <c r="E396">
        <v>1</v>
      </c>
      <c r="F396" t="s">
        <v>35</v>
      </c>
      <c r="G396">
        <v>3</v>
      </c>
      <c r="H396">
        <v>1</v>
      </c>
      <c r="I396" t="s">
        <v>36</v>
      </c>
      <c r="J396">
        <v>4</v>
      </c>
      <c r="K396" t="s">
        <v>55</v>
      </c>
      <c r="L396">
        <v>2314</v>
      </c>
      <c r="M396">
        <v>0</v>
      </c>
      <c r="N396" t="s">
        <v>41</v>
      </c>
      <c r="O396">
        <v>12</v>
      </c>
      <c r="P396">
        <v>3</v>
      </c>
      <c r="Q396">
        <v>1</v>
      </c>
      <c r="R396">
        <v>4</v>
      </c>
      <c r="S396">
        <v>2</v>
      </c>
      <c r="T396">
        <v>3</v>
      </c>
      <c r="U396">
        <v>0</v>
      </c>
      <c r="V396">
        <v>2</v>
      </c>
      <c r="W396" t="s">
        <v>56</v>
      </c>
      <c r="X396" s="1" t="d">
        <v>2018-01-08</v>
      </c>
      <c r="Z396" t="s">
        <v>45</v>
      </c>
      <c r="AA396" t="s">
        <v>40</v>
      </c>
      <c r="AB396">
        <v>1</v>
      </c>
      <c r="AC396">
        <v>2</v>
      </c>
      <c r="AD396" t="s">
        <v>32</v>
      </c>
      <c r="AE396" t="s">
        <v>60</v>
      </c>
      <c r="AF396" t="s">
        <v>57</v>
      </c>
      <c r="AG396">
        <f>IF(HR_Data[[#This Row],[Attrition]]="Yes",1,0)</f>
        <v>0</v>
      </c>
      <c r="AH396" t="str">
        <f>IF(HR_Data[Date_of_termination]="","Active","Left")</f>
        <v>Active</v>
      </c>
      <c r="AI396" t="str">
        <f>IF(HR_Data[YearsAtCompany]&lt;=2,"Fresher", IF(HR_Data[YearsAtCompany]&lt;=5,"Junior", IF(HR_Data[YearsAtCompany]&lt;=10, "Mid","Senior")))</f>
        <v>Junior</v>
      </c>
      <c r="AJ396" s="2" t="str">
        <f>IF(HR_Data[MonthlyIncome]&lt;=300,"Low", IF(HR_Data[MonthlyIncome]&lt;=7000,"Medium", "High"))</f>
        <v>Medium</v>
      </c>
      <c r="AK396" s="2" t="str">
        <f>VLOOKUP(HR_Data[JobRole], JobRole_Map[], 2, FALSE)</f>
        <v>Technical</v>
      </c>
    </row>
    <row r="397" spans="1:37" x14ac:dyDescent="0.25">
      <c r="A397" s="2">
        <v>29</v>
      </c>
      <c r="B397" t="s">
        <v>32</v>
      </c>
      <c r="C397" t="s">
        <v>33</v>
      </c>
      <c r="D397" t="s">
        <v>53</v>
      </c>
      <c r="E397">
        <v>1</v>
      </c>
      <c r="F397" t="s">
        <v>58</v>
      </c>
      <c r="G397">
        <v>2</v>
      </c>
      <c r="H397">
        <v>1</v>
      </c>
      <c r="I397" t="s">
        <v>54</v>
      </c>
      <c r="J397">
        <v>3</v>
      </c>
      <c r="K397" t="s">
        <v>55</v>
      </c>
      <c r="L397">
        <v>2800</v>
      </c>
      <c r="M397">
        <v>6</v>
      </c>
      <c r="N397" t="s">
        <v>32</v>
      </c>
      <c r="O397">
        <v>19</v>
      </c>
      <c r="P397">
        <v>3</v>
      </c>
      <c r="Q397">
        <v>3</v>
      </c>
      <c r="R397">
        <v>5</v>
      </c>
      <c r="S397">
        <v>3</v>
      </c>
      <c r="T397">
        <v>3</v>
      </c>
      <c r="U397">
        <v>0</v>
      </c>
      <c r="V397">
        <v>2</v>
      </c>
      <c r="W397" t="s">
        <v>56</v>
      </c>
      <c r="X397" s="1" t="d">
        <v>2018-01-03</v>
      </c>
      <c r="Z397" t="s">
        <v>45</v>
      </c>
      <c r="AA397" t="s">
        <v>40</v>
      </c>
      <c r="AB397">
        <v>1</v>
      </c>
      <c r="AC397">
        <v>2</v>
      </c>
      <c r="AD397" t="s">
        <v>41</v>
      </c>
      <c r="AE397" t="s">
        <v>60</v>
      </c>
      <c r="AF397" t="s">
        <v>57</v>
      </c>
      <c r="AG397">
        <f>IF(HR_Data[[#This Row],[Attrition]]="Yes",1,0)</f>
        <v>1</v>
      </c>
      <c r="AH397" t="str">
        <f>IF(HR_Data[Date_of_termination]="","Active","Left")</f>
        <v>Active</v>
      </c>
      <c r="AI397" t="str">
        <f>IF(HR_Data[YearsAtCompany]&lt;=2,"Fresher", IF(HR_Data[YearsAtCompany]&lt;=5,"Junior", IF(HR_Data[YearsAtCompany]&lt;=10, "Mid","Senior")))</f>
        <v>Junior</v>
      </c>
      <c r="AJ397" s="2" t="str">
        <f>IF(HR_Data[MonthlyIncome]&lt;=300,"Low", IF(HR_Data[MonthlyIncome]&lt;=7000,"Medium", "High"))</f>
        <v>Medium</v>
      </c>
      <c r="AK397" s="2" t="str">
        <f>VLOOKUP(HR_Data[JobRole], JobRole_Map[], 2, FALSE)</f>
        <v>Sales</v>
      </c>
    </row>
    <row r="398" spans="1:37" x14ac:dyDescent="0.25">
      <c r="A398" s="2">
        <v>47</v>
      </c>
      <c r="B398" t="s">
        <v>41</v>
      </c>
      <c r="C398" t="s">
        <v>33</v>
      </c>
      <c r="D398" t="s">
        <v>53</v>
      </c>
      <c r="E398">
        <v>2</v>
      </c>
      <c r="F398" t="s">
        <v>58</v>
      </c>
      <c r="G398">
        <v>2</v>
      </c>
      <c r="H398">
        <v>1</v>
      </c>
      <c r="I398" t="s">
        <v>54</v>
      </c>
      <c r="J398">
        <v>4</v>
      </c>
      <c r="K398" t="s">
        <v>37</v>
      </c>
      <c r="L398">
        <v>3294</v>
      </c>
      <c r="M398">
        <v>1</v>
      </c>
      <c r="N398" t="s">
        <v>32</v>
      </c>
      <c r="O398">
        <v>18</v>
      </c>
      <c r="P398">
        <v>3</v>
      </c>
      <c r="Q398">
        <v>0</v>
      </c>
      <c r="R398">
        <v>3</v>
      </c>
      <c r="S398">
        <v>3</v>
      </c>
      <c r="T398">
        <v>3</v>
      </c>
      <c r="U398">
        <v>1</v>
      </c>
      <c r="V398">
        <v>2</v>
      </c>
      <c r="W398" t="s">
        <v>51</v>
      </c>
      <c r="X398" s="1" t="d">
        <v>2018-04-28</v>
      </c>
      <c r="Z398" t="s">
        <v>59</v>
      </c>
      <c r="AA398" t="s">
        <v>46</v>
      </c>
      <c r="AB398">
        <v>0</v>
      </c>
      <c r="AC398">
        <v>2</v>
      </c>
      <c r="AD398" t="s">
        <v>32</v>
      </c>
      <c r="AE398" t="s">
        <v>60</v>
      </c>
      <c r="AF398" t="s">
        <v>48</v>
      </c>
      <c r="AG398">
        <f>IF(HR_Data[[#This Row],[Attrition]]="Yes",1,0)</f>
        <v>0</v>
      </c>
      <c r="AH398" t="str">
        <f>IF(HR_Data[Date_of_termination]="","Active","Left")</f>
        <v>Active</v>
      </c>
      <c r="AI398" t="str">
        <f>IF(HR_Data[YearsAtCompany]&lt;=2,"Fresher", IF(HR_Data[YearsAtCompany]&lt;=5,"Junior", IF(HR_Data[YearsAtCompany]&lt;=10, "Mid","Senior")))</f>
        <v>Junior</v>
      </c>
      <c r="AJ398" s="2" t="str">
        <f>IF(HR_Data[MonthlyIncome]&lt;=300,"Low", IF(HR_Data[MonthlyIncome]&lt;=7000,"Medium", "High"))</f>
        <v>Medium</v>
      </c>
      <c r="AK398" s="2" t="str">
        <f>VLOOKUP(HR_Data[JobRole], JobRole_Map[], 2, FALSE)</f>
        <v>Sales</v>
      </c>
    </row>
    <row r="399" spans="1:37" x14ac:dyDescent="0.25">
      <c r="A399" s="2">
        <v>22</v>
      </c>
      <c r="B399" t="s">
        <v>32</v>
      </c>
      <c r="C399" t="s">
        <v>33</v>
      </c>
      <c r="D399" t="s">
        <v>34</v>
      </c>
      <c r="E399">
        <v>3</v>
      </c>
      <c r="F399" t="s">
        <v>58</v>
      </c>
      <c r="G399">
        <v>3</v>
      </c>
      <c r="H399">
        <v>2</v>
      </c>
      <c r="I399" t="s">
        <v>67</v>
      </c>
      <c r="J399">
        <v>3</v>
      </c>
      <c r="K399" t="s">
        <v>50</v>
      </c>
      <c r="L399">
        <v>4171</v>
      </c>
      <c r="M399">
        <v>0</v>
      </c>
      <c r="N399" t="s">
        <v>32</v>
      </c>
      <c r="O399">
        <v>19</v>
      </c>
      <c r="P399">
        <v>3</v>
      </c>
      <c r="Q399">
        <v>1</v>
      </c>
      <c r="R399">
        <v>4</v>
      </c>
      <c r="S399">
        <v>3</v>
      </c>
      <c r="T399">
        <v>3</v>
      </c>
      <c r="U399">
        <v>0</v>
      </c>
      <c r="V399">
        <v>2</v>
      </c>
      <c r="W399" t="s">
        <v>51</v>
      </c>
      <c r="X399" s="1" t="d">
        <v>2018-04-11</v>
      </c>
      <c r="Z399" t="s">
        <v>52</v>
      </c>
      <c r="AA399" t="s">
        <v>40</v>
      </c>
      <c r="AB399">
        <v>5</v>
      </c>
      <c r="AC399">
        <v>2</v>
      </c>
      <c r="AD399" t="s">
        <v>41</v>
      </c>
      <c r="AE399" t="s">
        <v>47</v>
      </c>
      <c r="AF399" t="s">
        <v>43</v>
      </c>
      <c r="AG399">
        <f>IF(HR_Data[[#This Row],[Attrition]]="Yes",1,0)</f>
        <v>1</v>
      </c>
      <c r="AH399" t="str">
        <f>IF(HR_Data[Date_of_termination]="","Active","Left")</f>
        <v>Active</v>
      </c>
      <c r="AI399" t="str">
        <f>IF(HR_Data[YearsAtCompany]&lt;=2,"Fresher", IF(HR_Data[YearsAtCompany]&lt;=5,"Junior", IF(HR_Data[YearsAtCompany]&lt;=10, "Mid","Senior")))</f>
        <v>Junior</v>
      </c>
      <c r="AJ399" s="2" t="str">
        <f>IF(HR_Data[MonthlyIncome]&lt;=300,"Low", IF(HR_Data[MonthlyIncome]&lt;=7000,"Medium", "High"))</f>
        <v>Medium</v>
      </c>
      <c r="AK399" s="2" t="str">
        <f>VLOOKUP(HR_Data[JobRole], JobRole_Map[], 2, FALSE)</f>
        <v>Operations</v>
      </c>
    </row>
    <row r="400" spans="1:37" x14ac:dyDescent="0.25">
      <c r="A400" s="2">
        <v>33</v>
      </c>
      <c r="B400" t="s">
        <v>41</v>
      </c>
      <c r="C400" t="s">
        <v>33</v>
      </c>
      <c r="D400" t="s">
        <v>34</v>
      </c>
      <c r="E400">
        <v>1</v>
      </c>
      <c r="F400" t="s">
        <v>35</v>
      </c>
      <c r="G400">
        <v>2</v>
      </c>
      <c r="H400">
        <v>1</v>
      </c>
      <c r="I400" t="s">
        <v>44</v>
      </c>
      <c r="J400">
        <v>1</v>
      </c>
      <c r="K400" t="s">
        <v>37</v>
      </c>
      <c r="L400">
        <v>2799</v>
      </c>
      <c r="M400">
        <v>3</v>
      </c>
      <c r="N400" t="s">
        <v>32</v>
      </c>
      <c r="O400">
        <v>11</v>
      </c>
      <c r="P400">
        <v>3</v>
      </c>
      <c r="Q400">
        <v>0</v>
      </c>
      <c r="R400">
        <v>6</v>
      </c>
      <c r="S400">
        <v>1</v>
      </c>
      <c r="T400">
        <v>3</v>
      </c>
      <c r="U400">
        <v>0</v>
      </c>
      <c r="V400">
        <v>2</v>
      </c>
      <c r="W400" t="s">
        <v>56</v>
      </c>
      <c r="X400" s="1" t="d">
        <v>2018-01-22</v>
      </c>
      <c r="Z400" t="s">
        <v>63</v>
      </c>
      <c r="AA400" t="s">
        <v>40</v>
      </c>
      <c r="AB400">
        <v>4</v>
      </c>
      <c r="AC400">
        <v>3</v>
      </c>
      <c r="AD400" t="s">
        <v>32</v>
      </c>
      <c r="AE400" t="s">
        <v>47</v>
      </c>
      <c r="AF400" t="s">
        <v>48</v>
      </c>
      <c r="AG400">
        <f>IF(HR_Data[[#This Row],[Attrition]]="Yes",1,0)</f>
        <v>0</v>
      </c>
      <c r="AH400" t="str">
        <f>IF(HR_Data[Date_of_termination]="","Active","Left")</f>
        <v>Active</v>
      </c>
      <c r="AI400" t="str">
        <f>IF(HR_Data[YearsAtCompany]&lt;=2,"Fresher", IF(HR_Data[YearsAtCompany]&lt;=5,"Junior", IF(HR_Data[YearsAtCompany]&lt;=10, "Mid","Senior")))</f>
        <v>Junior</v>
      </c>
      <c r="AJ400" s="2" t="str">
        <f>IF(HR_Data[MonthlyIncome]&lt;=300,"Low", IF(HR_Data[MonthlyIncome]&lt;=7000,"Medium", "High"))</f>
        <v>Medium</v>
      </c>
      <c r="AK400" s="2" t="str">
        <f>VLOOKUP(HR_Data[JobRole], JobRole_Map[], 2, FALSE)</f>
        <v>Technical</v>
      </c>
    </row>
    <row r="401" spans="1:37" x14ac:dyDescent="0.25">
      <c r="A401" s="2">
        <v>32</v>
      </c>
      <c r="B401" t="s">
        <v>41</v>
      </c>
      <c r="C401" t="s">
        <v>68</v>
      </c>
      <c r="D401" t="s">
        <v>34</v>
      </c>
      <c r="E401">
        <v>1</v>
      </c>
      <c r="F401" t="s">
        <v>58</v>
      </c>
      <c r="G401">
        <v>2</v>
      </c>
      <c r="H401">
        <v>1</v>
      </c>
      <c r="I401" t="s">
        <v>36</v>
      </c>
      <c r="J401">
        <v>2</v>
      </c>
      <c r="K401" t="s">
        <v>50</v>
      </c>
      <c r="L401">
        <v>2332</v>
      </c>
      <c r="M401">
        <v>6</v>
      </c>
      <c r="N401" t="s">
        <v>41</v>
      </c>
      <c r="O401">
        <v>20</v>
      </c>
      <c r="P401">
        <v>4</v>
      </c>
      <c r="Q401">
        <v>0</v>
      </c>
      <c r="R401">
        <v>5</v>
      </c>
      <c r="S401">
        <v>3</v>
      </c>
      <c r="T401">
        <v>3</v>
      </c>
      <c r="U401">
        <v>0</v>
      </c>
      <c r="V401">
        <v>2</v>
      </c>
      <c r="W401" t="s">
        <v>51</v>
      </c>
      <c r="X401" s="1" t="d">
        <v>2018-04-09</v>
      </c>
      <c r="Z401" t="s">
        <v>39</v>
      </c>
      <c r="AA401" t="s">
        <v>46</v>
      </c>
      <c r="AB401">
        <v>3</v>
      </c>
      <c r="AC401">
        <v>3</v>
      </c>
      <c r="AD401" t="s">
        <v>32</v>
      </c>
      <c r="AE401" t="s">
        <v>47</v>
      </c>
      <c r="AF401" t="s">
        <v>48</v>
      </c>
      <c r="AG401">
        <f>IF(HR_Data[[#This Row],[Attrition]]="Yes",1,0)</f>
        <v>0</v>
      </c>
      <c r="AH401" t="str">
        <f>IF(HR_Data[Date_of_termination]="","Active","Left")</f>
        <v>Active</v>
      </c>
      <c r="AI401" t="str">
        <f>IF(HR_Data[YearsAtCompany]&lt;=2,"Fresher", IF(HR_Data[YearsAtCompany]&lt;=5,"Junior", IF(HR_Data[YearsAtCompany]&lt;=10, "Mid","Senior")))</f>
        <v>Junior</v>
      </c>
      <c r="AJ401" s="2" t="str">
        <f>IF(HR_Data[MonthlyIncome]&lt;=300,"Low", IF(HR_Data[MonthlyIncome]&lt;=7000,"Medium", "High"))</f>
        <v>Medium</v>
      </c>
      <c r="AK401" s="2" t="str">
        <f>VLOOKUP(HR_Data[JobRole], JobRole_Map[], 2, FALSE)</f>
        <v>Technical</v>
      </c>
    </row>
    <row r="402" spans="1:37" x14ac:dyDescent="0.25">
      <c r="A402" s="2">
        <v>29</v>
      </c>
      <c r="B402" t="s">
        <v>41</v>
      </c>
      <c r="C402" t="s">
        <v>61</v>
      </c>
      <c r="D402" t="s">
        <v>53</v>
      </c>
      <c r="E402">
        <v>20</v>
      </c>
      <c r="F402" t="s">
        <v>58</v>
      </c>
      <c r="G402">
        <v>3</v>
      </c>
      <c r="H402">
        <v>1</v>
      </c>
      <c r="I402" t="s">
        <v>54</v>
      </c>
      <c r="J402">
        <v>4</v>
      </c>
      <c r="K402" t="s">
        <v>50</v>
      </c>
      <c r="L402">
        <v>2157</v>
      </c>
      <c r="M402">
        <v>1</v>
      </c>
      <c r="N402" t="s">
        <v>41</v>
      </c>
      <c r="O402">
        <v>15</v>
      </c>
      <c r="P402">
        <v>3</v>
      </c>
      <c r="Q402">
        <v>1</v>
      </c>
      <c r="R402">
        <v>3</v>
      </c>
      <c r="S402">
        <v>5</v>
      </c>
      <c r="T402">
        <v>3</v>
      </c>
      <c r="U402">
        <v>0</v>
      </c>
      <c r="V402">
        <v>2</v>
      </c>
      <c r="W402" t="s">
        <v>56</v>
      </c>
      <c r="X402" s="1" t="d">
        <v>2018-05-16</v>
      </c>
      <c r="Z402" t="s">
        <v>39</v>
      </c>
      <c r="AA402" t="s">
        <v>46</v>
      </c>
      <c r="AB402">
        <v>3</v>
      </c>
      <c r="AC402">
        <v>1</v>
      </c>
      <c r="AD402" t="s">
        <v>32</v>
      </c>
      <c r="AE402" t="s">
        <v>47</v>
      </c>
      <c r="AF402" t="s">
        <v>48</v>
      </c>
      <c r="AG402">
        <f>IF(HR_Data[[#This Row],[Attrition]]="Yes",1,0)</f>
        <v>0</v>
      </c>
      <c r="AH402" t="str">
        <f>IF(HR_Data[Date_of_termination]="","Active","Left")</f>
        <v>Active</v>
      </c>
      <c r="AI402" t="str">
        <f>IF(HR_Data[YearsAtCompany]&lt;=2,"Fresher", IF(HR_Data[YearsAtCompany]&lt;=5,"Junior", IF(HR_Data[YearsAtCompany]&lt;=10, "Mid","Senior")))</f>
        <v>Junior</v>
      </c>
      <c r="AJ402" s="2" t="str">
        <f>IF(HR_Data[MonthlyIncome]&lt;=300,"Low", IF(HR_Data[MonthlyIncome]&lt;=7000,"Medium", "High"))</f>
        <v>Medium</v>
      </c>
      <c r="AK402" s="2" t="str">
        <f>VLOOKUP(HR_Data[JobRole], JobRole_Map[], 2, FALSE)</f>
        <v>Sales</v>
      </c>
    </row>
    <row r="403" spans="1:37" x14ac:dyDescent="0.25">
      <c r="A403" s="2">
        <v>31</v>
      </c>
      <c r="B403" t="s">
        <v>32</v>
      </c>
      <c r="C403" t="s">
        <v>68</v>
      </c>
      <c r="D403" t="s">
        <v>34</v>
      </c>
      <c r="E403">
        <v>9</v>
      </c>
      <c r="F403" t="s">
        <v>35</v>
      </c>
      <c r="G403">
        <v>2</v>
      </c>
      <c r="H403">
        <v>1</v>
      </c>
      <c r="I403" t="s">
        <v>44</v>
      </c>
      <c r="J403">
        <v>1</v>
      </c>
      <c r="K403" t="s">
        <v>37</v>
      </c>
      <c r="L403">
        <v>2321</v>
      </c>
      <c r="M403">
        <v>0</v>
      </c>
      <c r="N403" t="s">
        <v>32</v>
      </c>
      <c r="O403">
        <v>22</v>
      </c>
      <c r="P403">
        <v>4</v>
      </c>
      <c r="Q403">
        <v>0</v>
      </c>
      <c r="R403">
        <v>4</v>
      </c>
      <c r="S403">
        <v>0</v>
      </c>
      <c r="T403">
        <v>3</v>
      </c>
      <c r="U403">
        <v>1</v>
      </c>
      <c r="V403">
        <v>2</v>
      </c>
      <c r="W403" t="s">
        <v>56</v>
      </c>
      <c r="X403" s="1" t="d">
        <v>2018-04-27</v>
      </c>
      <c r="Z403" t="s">
        <v>52</v>
      </c>
      <c r="AA403" t="s">
        <v>40</v>
      </c>
      <c r="AB403">
        <v>1</v>
      </c>
      <c r="AC403">
        <v>1</v>
      </c>
      <c r="AD403" t="s">
        <v>32</v>
      </c>
      <c r="AE403" t="s">
        <v>47</v>
      </c>
      <c r="AF403" t="s">
        <v>57</v>
      </c>
      <c r="AG403">
        <f>IF(HR_Data[[#This Row],[Attrition]]="Yes",1,0)</f>
        <v>1</v>
      </c>
      <c r="AH403" t="str">
        <f>IF(HR_Data[Date_of_termination]="","Active","Left")</f>
        <v>Active</v>
      </c>
      <c r="AI403" t="str">
        <f>IF(HR_Data[YearsAtCompany]&lt;=2,"Fresher", IF(HR_Data[YearsAtCompany]&lt;=5,"Junior", IF(HR_Data[YearsAtCompany]&lt;=10, "Mid","Senior")))</f>
        <v>Junior</v>
      </c>
      <c r="AJ403" s="2" t="str">
        <f>IF(HR_Data[MonthlyIncome]&lt;=300,"Low", IF(HR_Data[MonthlyIncome]&lt;=7000,"Medium", "High"))</f>
        <v>Medium</v>
      </c>
      <c r="AK403" s="2" t="str">
        <f>VLOOKUP(HR_Data[JobRole], JobRole_Map[], 2, FALSE)</f>
        <v>Technical</v>
      </c>
    </row>
    <row r="404" spans="1:37" x14ac:dyDescent="0.25">
      <c r="A404" s="2">
        <v>33</v>
      </c>
      <c r="B404" t="s">
        <v>41</v>
      </c>
      <c r="C404" t="s">
        <v>33</v>
      </c>
      <c r="D404" t="s">
        <v>34</v>
      </c>
      <c r="E404">
        <v>13</v>
      </c>
      <c r="F404" t="s">
        <v>58</v>
      </c>
      <c r="G404">
        <v>3</v>
      </c>
      <c r="H404">
        <v>1</v>
      </c>
      <c r="I404" t="s">
        <v>44</v>
      </c>
      <c r="J404">
        <v>4</v>
      </c>
      <c r="K404" t="s">
        <v>37</v>
      </c>
      <c r="L404">
        <v>3452</v>
      </c>
      <c r="M404">
        <v>3</v>
      </c>
      <c r="N404" t="s">
        <v>41</v>
      </c>
      <c r="O404">
        <v>18</v>
      </c>
      <c r="P404">
        <v>3</v>
      </c>
      <c r="Q404">
        <v>0</v>
      </c>
      <c r="R404">
        <v>5</v>
      </c>
      <c r="S404">
        <v>4</v>
      </c>
      <c r="T404">
        <v>3</v>
      </c>
      <c r="U404">
        <v>0</v>
      </c>
      <c r="V404">
        <v>2</v>
      </c>
      <c r="W404" t="s">
        <v>51</v>
      </c>
      <c r="X404" s="1" t="d">
        <v>2018-03-01</v>
      </c>
      <c r="Z404" t="s">
        <v>63</v>
      </c>
      <c r="AA404" t="s">
        <v>40</v>
      </c>
      <c r="AB404">
        <v>5</v>
      </c>
      <c r="AC404">
        <v>2</v>
      </c>
      <c r="AD404" t="s">
        <v>41</v>
      </c>
      <c r="AE404" t="s">
        <v>60</v>
      </c>
      <c r="AF404" t="s">
        <v>57</v>
      </c>
      <c r="AG404">
        <f>IF(HR_Data[[#This Row],[Attrition]]="Yes",1,0)</f>
        <v>0</v>
      </c>
      <c r="AH404" t="str">
        <f>IF(HR_Data[Date_of_termination]="","Active","Left")</f>
        <v>Active</v>
      </c>
      <c r="AI404" t="str">
        <f>IF(HR_Data[YearsAtCompany]&lt;=2,"Fresher", IF(HR_Data[YearsAtCompany]&lt;=5,"Junior", IF(HR_Data[YearsAtCompany]&lt;=10, "Mid","Senior")))</f>
        <v>Junior</v>
      </c>
      <c r="AJ404" s="2" t="str">
        <f>IF(HR_Data[MonthlyIncome]&lt;=300,"Low", IF(HR_Data[MonthlyIncome]&lt;=7000,"Medium", "High"))</f>
        <v>Medium</v>
      </c>
      <c r="AK404" s="2" t="str">
        <f>VLOOKUP(HR_Data[JobRole], JobRole_Map[], 2, FALSE)</f>
        <v>Technical</v>
      </c>
    </row>
    <row r="405" spans="1:37" x14ac:dyDescent="0.25">
      <c r="A405" s="2">
        <v>30</v>
      </c>
      <c r="B405" t="s">
        <v>32</v>
      </c>
      <c r="C405" t="s">
        <v>61</v>
      </c>
      <c r="D405" t="s">
        <v>34</v>
      </c>
      <c r="E405">
        <v>5</v>
      </c>
      <c r="F405" t="s">
        <v>58</v>
      </c>
      <c r="G405">
        <v>3</v>
      </c>
      <c r="H405">
        <v>1</v>
      </c>
      <c r="I405" t="s">
        <v>36</v>
      </c>
      <c r="J405">
        <v>2</v>
      </c>
      <c r="K405" t="s">
        <v>37</v>
      </c>
      <c r="L405">
        <v>2422</v>
      </c>
      <c r="M405">
        <v>0</v>
      </c>
      <c r="N405" t="s">
        <v>41</v>
      </c>
      <c r="O405">
        <v>17</v>
      </c>
      <c r="P405">
        <v>3</v>
      </c>
      <c r="Q405">
        <v>0</v>
      </c>
      <c r="R405">
        <v>4</v>
      </c>
      <c r="S405">
        <v>3</v>
      </c>
      <c r="T405">
        <v>3</v>
      </c>
      <c r="U405">
        <v>1</v>
      </c>
      <c r="V405">
        <v>2</v>
      </c>
      <c r="W405" t="s">
        <v>51</v>
      </c>
      <c r="X405" s="1" t="d">
        <v>2018-03-07</v>
      </c>
      <c r="Z405" t="s">
        <v>52</v>
      </c>
      <c r="AA405" t="s">
        <v>40</v>
      </c>
      <c r="AB405">
        <v>1</v>
      </c>
      <c r="AC405">
        <v>1</v>
      </c>
      <c r="AD405" t="s">
        <v>32</v>
      </c>
      <c r="AE405" t="s">
        <v>62</v>
      </c>
      <c r="AF405" t="s">
        <v>48</v>
      </c>
      <c r="AG405">
        <f>IF(HR_Data[[#This Row],[Attrition]]="Yes",1,0)</f>
        <v>1</v>
      </c>
      <c r="AH405" t="str">
        <f>IF(HR_Data[Date_of_termination]="","Active","Left")</f>
        <v>Active</v>
      </c>
      <c r="AI405" t="str">
        <f>IF(HR_Data[YearsAtCompany]&lt;=2,"Fresher", IF(HR_Data[YearsAtCompany]&lt;=5,"Junior", IF(HR_Data[YearsAtCompany]&lt;=10, "Mid","Senior")))</f>
        <v>Junior</v>
      </c>
      <c r="AJ405" s="2" t="str">
        <f>IF(HR_Data[MonthlyIncome]&lt;=300,"Low", IF(HR_Data[MonthlyIncome]&lt;=7000,"Medium", "High"))</f>
        <v>Medium</v>
      </c>
      <c r="AK405" s="2" t="str">
        <f>VLOOKUP(HR_Data[JobRole], JobRole_Map[], 2, FALSE)</f>
        <v>Technical</v>
      </c>
    </row>
    <row r="406" spans="1:37" x14ac:dyDescent="0.25">
      <c r="A406" s="2">
        <v>27</v>
      </c>
      <c r="B406" t="s">
        <v>41</v>
      </c>
      <c r="C406" t="s">
        <v>33</v>
      </c>
      <c r="D406" t="s">
        <v>34</v>
      </c>
      <c r="E406">
        <v>2</v>
      </c>
      <c r="F406" t="s">
        <v>58</v>
      </c>
      <c r="G406">
        <v>3</v>
      </c>
      <c r="H406">
        <v>2</v>
      </c>
      <c r="I406" t="s">
        <v>67</v>
      </c>
      <c r="J406">
        <v>4</v>
      </c>
      <c r="K406" t="s">
        <v>50</v>
      </c>
      <c r="L406">
        <v>4227</v>
      </c>
      <c r="M406">
        <v>0</v>
      </c>
      <c r="N406" t="s">
        <v>41</v>
      </c>
      <c r="O406">
        <v>18</v>
      </c>
      <c r="P406">
        <v>3</v>
      </c>
      <c r="Q406">
        <v>1</v>
      </c>
      <c r="R406">
        <v>4</v>
      </c>
      <c r="S406">
        <v>2</v>
      </c>
      <c r="T406">
        <v>3</v>
      </c>
      <c r="U406">
        <v>2</v>
      </c>
      <c r="V406">
        <v>2</v>
      </c>
      <c r="W406" t="s">
        <v>38</v>
      </c>
      <c r="X406" s="1" t="d">
        <v>2018-03-09</v>
      </c>
      <c r="Z406" t="s">
        <v>63</v>
      </c>
      <c r="AA406" t="s">
        <v>40</v>
      </c>
      <c r="AB406">
        <v>5</v>
      </c>
      <c r="AC406">
        <v>2</v>
      </c>
      <c r="AD406" t="s">
        <v>41</v>
      </c>
      <c r="AE406" t="s">
        <v>60</v>
      </c>
      <c r="AF406" t="s">
        <v>57</v>
      </c>
      <c r="AG406">
        <f>IF(HR_Data[[#This Row],[Attrition]]="Yes",1,0)</f>
        <v>0</v>
      </c>
      <c r="AH406" t="str">
        <f>IF(HR_Data[Date_of_termination]="","Active","Left")</f>
        <v>Active</v>
      </c>
      <c r="AI406" t="str">
        <f>IF(HR_Data[YearsAtCompany]&lt;=2,"Fresher", IF(HR_Data[YearsAtCompany]&lt;=5,"Junior", IF(HR_Data[YearsAtCompany]&lt;=10, "Mid","Senior")))</f>
        <v>Junior</v>
      </c>
      <c r="AJ406" s="2" t="str">
        <f>IF(HR_Data[MonthlyIncome]&lt;=300,"Low", IF(HR_Data[MonthlyIncome]&lt;=7000,"Medium", "High"))</f>
        <v>Medium</v>
      </c>
      <c r="AK406" s="2" t="str">
        <f>VLOOKUP(HR_Data[JobRole], JobRole_Map[], 2, FALSE)</f>
        <v>Operations</v>
      </c>
    </row>
    <row r="407" spans="1:37" x14ac:dyDescent="0.25">
      <c r="A407" s="2">
        <v>35</v>
      </c>
      <c r="B407" t="s">
        <v>41</v>
      </c>
      <c r="C407" t="s">
        <v>33</v>
      </c>
      <c r="D407" t="s">
        <v>34</v>
      </c>
      <c r="E407">
        <v>10</v>
      </c>
      <c r="F407" t="s">
        <v>35</v>
      </c>
      <c r="G407">
        <v>3</v>
      </c>
      <c r="H407">
        <v>1</v>
      </c>
      <c r="I407" t="s">
        <v>36</v>
      </c>
      <c r="J407">
        <v>4</v>
      </c>
      <c r="K407" t="s">
        <v>55</v>
      </c>
      <c r="L407">
        <v>3917</v>
      </c>
      <c r="M407">
        <v>1</v>
      </c>
      <c r="N407" t="s">
        <v>41</v>
      </c>
      <c r="O407">
        <v>20</v>
      </c>
      <c r="P407">
        <v>4</v>
      </c>
      <c r="Q407">
        <v>1</v>
      </c>
      <c r="R407">
        <v>3</v>
      </c>
      <c r="S407">
        <v>4</v>
      </c>
      <c r="T407">
        <v>3</v>
      </c>
      <c r="U407">
        <v>1</v>
      </c>
      <c r="V407">
        <v>2</v>
      </c>
      <c r="W407" t="s">
        <v>56</v>
      </c>
      <c r="X407" s="1" t="d">
        <v>2018-02-08</v>
      </c>
      <c r="Z407" t="s">
        <v>59</v>
      </c>
      <c r="AA407" t="s">
        <v>46</v>
      </c>
      <c r="AB407">
        <v>2</v>
      </c>
      <c r="AC407">
        <v>0</v>
      </c>
      <c r="AD407" t="s">
        <v>32</v>
      </c>
      <c r="AE407" t="s">
        <v>60</v>
      </c>
      <c r="AF407" t="s">
        <v>48</v>
      </c>
      <c r="AG407">
        <f>IF(HR_Data[[#This Row],[Attrition]]="Yes",1,0)</f>
        <v>0</v>
      </c>
      <c r="AH407" t="str">
        <f>IF(HR_Data[Date_of_termination]="","Active","Left")</f>
        <v>Active</v>
      </c>
      <c r="AI407" t="str">
        <f>IF(HR_Data[YearsAtCompany]&lt;=2,"Fresher", IF(HR_Data[YearsAtCompany]&lt;=5,"Junior", IF(HR_Data[YearsAtCompany]&lt;=10, "Mid","Senior")))</f>
        <v>Junior</v>
      </c>
      <c r="AJ407" s="2" t="str">
        <f>IF(HR_Data[MonthlyIncome]&lt;=300,"Low", IF(HR_Data[MonthlyIncome]&lt;=7000,"Medium", "High"))</f>
        <v>Medium</v>
      </c>
      <c r="AK407" s="2" t="str">
        <f>VLOOKUP(HR_Data[JobRole], JobRole_Map[], 2, FALSE)</f>
        <v>Technical</v>
      </c>
    </row>
    <row r="408" spans="1:37" x14ac:dyDescent="0.25">
      <c r="A408" s="2">
        <v>26</v>
      </c>
      <c r="B408" t="s">
        <v>32</v>
      </c>
      <c r="C408" t="s">
        <v>61</v>
      </c>
      <c r="D408" t="s">
        <v>34</v>
      </c>
      <c r="E408">
        <v>2</v>
      </c>
      <c r="F408" t="s">
        <v>35</v>
      </c>
      <c r="G408">
        <v>3</v>
      </c>
      <c r="H408">
        <v>1</v>
      </c>
      <c r="I408" t="s">
        <v>44</v>
      </c>
      <c r="J408">
        <v>1</v>
      </c>
      <c r="K408" t="s">
        <v>50</v>
      </c>
      <c r="L408">
        <v>2042</v>
      </c>
      <c r="M408">
        <v>6</v>
      </c>
      <c r="N408" t="s">
        <v>32</v>
      </c>
      <c r="O408">
        <v>14</v>
      </c>
      <c r="P408">
        <v>3</v>
      </c>
      <c r="Q408">
        <v>1</v>
      </c>
      <c r="R408">
        <v>6</v>
      </c>
      <c r="S408">
        <v>2</v>
      </c>
      <c r="T408">
        <v>3</v>
      </c>
      <c r="U408">
        <v>1</v>
      </c>
      <c r="V408">
        <v>2</v>
      </c>
      <c r="W408" t="s">
        <v>65</v>
      </c>
      <c r="X408" s="1" t="d">
        <v>2018-03-02</v>
      </c>
      <c r="Z408" t="s">
        <v>39</v>
      </c>
      <c r="AA408" t="s">
        <v>40</v>
      </c>
      <c r="AB408">
        <v>5</v>
      </c>
      <c r="AC408">
        <v>3</v>
      </c>
      <c r="AD408" t="s">
        <v>32</v>
      </c>
      <c r="AE408" t="s">
        <v>62</v>
      </c>
      <c r="AF408" t="s">
        <v>43</v>
      </c>
      <c r="AG408">
        <f>IF(HR_Data[[#This Row],[Attrition]]="Yes",1,0)</f>
        <v>1</v>
      </c>
      <c r="AH408" t="str">
        <f>IF(HR_Data[Date_of_termination]="","Active","Left")</f>
        <v>Active</v>
      </c>
      <c r="AI408" t="str">
        <f>IF(HR_Data[YearsAtCompany]&lt;=2,"Fresher", IF(HR_Data[YearsAtCompany]&lt;=5,"Junior", IF(HR_Data[YearsAtCompany]&lt;=10, "Mid","Senior")))</f>
        <v>Junior</v>
      </c>
      <c r="AJ408" s="2" t="str">
        <f>IF(HR_Data[MonthlyIncome]&lt;=300,"Low", IF(HR_Data[MonthlyIncome]&lt;=7000,"Medium", "High"))</f>
        <v>Medium</v>
      </c>
      <c r="AK408" s="2" t="str">
        <f>VLOOKUP(HR_Data[JobRole], JobRole_Map[], 2, FALSE)</f>
        <v>Technical</v>
      </c>
    </row>
    <row r="409" spans="1:37" x14ac:dyDescent="0.25">
      <c r="A409" s="2">
        <v>27</v>
      </c>
      <c r="B409" t="s">
        <v>41</v>
      </c>
      <c r="C409" t="s">
        <v>68</v>
      </c>
      <c r="D409" t="s">
        <v>34</v>
      </c>
      <c r="E409">
        <v>8</v>
      </c>
      <c r="F409" t="s">
        <v>35</v>
      </c>
      <c r="G409">
        <v>1</v>
      </c>
      <c r="H409">
        <v>1</v>
      </c>
      <c r="I409" t="s">
        <v>36</v>
      </c>
      <c r="J409">
        <v>3</v>
      </c>
      <c r="K409" t="s">
        <v>50</v>
      </c>
      <c r="L409">
        <v>4621</v>
      </c>
      <c r="M409">
        <v>1</v>
      </c>
      <c r="N409" t="s">
        <v>41</v>
      </c>
      <c r="O409">
        <v>19</v>
      </c>
      <c r="P409">
        <v>3</v>
      </c>
      <c r="Q409">
        <v>3</v>
      </c>
      <c r="R409">
        <v>3</v>
      </c>
      <c r="S409">
        <v>4</v>
      </c>
      <c r="T409">
        <v>3</v>
      </c>
      <c r="U409">
        <v>1</v>
      </c>
      <c r="V409">
        <v>2</v>
      </c>
      <c r="W409" t="s">
        <v>65</v>
      </c>
      <c r="X409" s="1" t="d">
        <v>2018-06-17</v>
      </c>
      <c r="Z409" t="s">
        <v>59</v>
      </c>
      <c r="AA409" t="s">
        <v>46</v>
      </c>
      <c r="AB409">
        <v>0</v>
      </c>
      <c r="AC409">
        <v>0</v>
      </c>
      <c r="AD409" t="s">
        <v>41</v>
      </c>
      <c r="AE409" t="s">
        <v>60</v>
      </c>
      <c r="AF409" t="s">
        <v>57</v>
      </c>
      <c r="AG409">
        <f>IF(HR_Data[[#This Row],[Attrition]]="Yes",1,0)</f>
        <v>0</v>
      </c>
      <c r="AH409" t="str">
        <f>IF(HR_Data[Date_of_termination]="","Active","Left")</f>
        <v>Active</v>
      </c>
      <c r="AI409" t="str">
        <f>IF(HR_Data[YearsAtCompany]&lt;=2,"Fresher", IF(HR_Data[YearsAtCompany]&lt;=5,"Junior", IF(HR_Data[YearsAtCompany]&lt;=10, "Mid","Senior")))</f>
        <v>Junior</v>
      </c>
      <c r="AJ409" s="2" t="str">
        <f>IF(HR_Data[MonthlyIncome]&lt;=300,"Low", IF(HR_Data[MonthlyIncome]&lt;=7000,"Medium", "High"))</f>
        <v>Medium</v>
      </c>
      <c r="AK409" s="2" t="str">
        <f>VLOOKUP(HR_Data[JobRole], JobRole_Map[], 2, FALSE)</f>
        <v>Technical</v>
      </c>
    </row>
    <row r="410" spans="1:37" x14ac:dyDescent="0.25">
      <c r="A410" s="2">
        <v>55</v>
      </c>
      <c r="B410" t="s">
        <v>41</v>
      </c>
      <c r="C410" t="s">
        <v>61</v>
      </c>
      <c r="D410" t="s">
        <v>34</v>
      </c>
      <c r="E410">
        <v>2</v>
      </c>
      <c r="F410" t="s">
        <v>35</v>
      </c>
      <c r="G410">
        <v>3</v>
      </c>
      <c r="H410">
        <v>3</v>
      </c>
      <c r="I410" t="s">
        <v>67</v>
      </c>
      <c r="J410">
        <v>2</v>
      </c>
      <c r="K410" t="s">
        <v>50</v>
      </c>
      <c r="L410">
        <v>10976</v>
      </c>
      <c r="M410">
        <v>3</v>
      </c>
      <c r="N410" t="s">
        <v>41</v>
      </c>
      <c r="O410">
        <v>18</v>
      </c>
      <c r="P410">
        <v>3</v>
      </c>
      <c r="Q410">
        <v>1</v>
      </c>
      <c r="R410">
        <v>23</v>
      </c>
      <c r="S410">
        <v>4</v>
      </c>
      <c r="T410">
        <v>3</v>
      </c>
      <c r="U410">
        <v>1</v>
      </c>
      <c r="V410">
        <v>2</v>
      </c>
      <c r="W410" t="s">
        <v>51</v>
      </c>
      <c r="X410" s="1" t="d">
        <v>2018-06-30</v>
      </c>
      <c r="Z410" t="s">
        <v>45</v>
      </c>
      <c r="AA410" t="s">
        <v>40</v>
      </c>
      <c r="AB410">
        <v>1</v>
      </c>
      <c r="AC410">
        <v>3</v>
      </c>
      <c r="AD410" t="s">
        <v>32</v>
      </c>
      <c r="AE410" t="s">
        <v>47</v>
      </c>
      <c r="AF410" t="s">
        <v>43</v>
      </c>
      <c r="AG410">
        <f>IF(HR_Data[[#This Row],[Attrition]]="Yes",1,0)</f>
        <v>0</v>
      </c>
      <c r="AH410" t="str">
        <f>IF(HR_Data[Date_of_termination]="","Active","Left")</f>
        <v>Active</v>
      </c>
      <c r="AI410" t="str">
        <f>IF(HR_Data[YearsAtCompany]&lt;=2,"Fresher", IF(HR_Data[YearsAtCompany]&lt;=5,"Junior", IF(HR_Data[YearsAtCompany]&lt;=10, "Mid","Senior")))</f>
        <v>Junior</v>
      </c>
      <c r="AJ410" s="2" t="str">
        <f>IF(HR_Data[MonthlyIncome]&lt;=300,"Low", IF(HR_Data[MonthlyIncome]&lt;=7000,"Medium", "High"))</f>
        <v>High</v>
      </c>
      <c r="AK410" s="2" t="str">
        <f>VLOOKUP(HR_Data[JobRole], JobRole_Map[], 2, FALSE)</f>
        <v>Operations</v>
      </c>
    </row>
    <row r="411" spans="1:37" x14ac:dyDescent="0.25">
      <c r="A411" s="2">
        <v>33</v>
      </c>
      <c r="B411" t="s">
        <v>41</v>
      </c>
      <c r="C411" t="s">
        <v>33</v>
      </c>
      <c r="D411" t="s">
        <v>34</v>
      </c>
      <c r="E411">
        <v>5</v>
      </c>
      <c r="F411" t="s">
        <v>35</v>
      </c>
      <c r="G411">
        <v>2</v>
      </c>
      <c r="H411">
        <v>3</v>
      </c>
      <c r="I411" t="s">
        <v>69</v>
      </c>
      <c r="J411">
        <v>4</v>
      </c>
      <c r="K411" t="s">
        <v>55</v>
      </c>
      <c r="L411">
        <v>7119</v>
      </c>
      <c r="M411">
        <v>4</v>
      </c>
      <c r="N411" t="s">
        <v>41</v>
      </c>
      <c r="O411">
        <v>15</v>
      </c>
      <c r="P411">
        <v>3</v>
      </c>
      <c r="Q411">
        <v>1</v>
      </c>
      <c r="R411">
        <v>9</v>
      </c>
      <c r="S411">
        <v>2</v>
      </c>
      <c r="T411">
        <v>3</v>
      </c>
      <c r="U411">
        <v>1</v>
      </c>
      <c r="V411">
        <v>2</v>
      </c>
      <c r="W411" t="s">
        <v>51</v>
      </c>
      <c r="X411" s="1" t="d">
        <v>2018-05-02</v>
      </c>
      <c r="Z411" t="s">
        <v>63</v>
      </c>
      <c r="AA411" t="s">
        <v>46</v>
      </c>
      <c r="AB411">
        <v>4</v>
      </c>
      <c r="AC411">
        <v>0</v>
      </c>
      <c r="AD411" t="s">
        <v>32</v>
      </c>
      <c r="AE411" t="s">
        <v>42</v>
      </c>
      <c r="AF411" t="s">
        <v>57</v>
      </c>
      <c r="AG411">
        <f>IF(HR_Data[[#This Row],[Attrition]]="Yes",1,0)</f>
        <v>0</v>
      </c>
      <c r="AH411" t="str">
        <f>IF(HR_Data[Date_of_termination]="","Active","Left")</f>
        <v>Active</v>
      </c>
      <c r="AI411" t="str">
        <f>IF(HR_Data[YearsAtCompany]&lt;=2,"Fresher", IF(HR_Data[YearsAtCompany]&lt;=5,"Junior", IF(HR_Data[YearsAtCompany]&lt;=10, "Mid","Senior")))</f>
        <v>Junior</v>
      </c>
      <c r="AJ411" s="2" t="str">
        <f>IF(HR_Data[MonthlyIncome]&lt;=300,"Low", IF(HR_Data[MonthlyIncome]&lt;=7000,"Medium", "High"))</f>
        <v>High</v>
      </c>
      <c r="AK411" s="2" t="str">
        <f>VLOOKUP(HR_Data[JobRole], JobRole_Map[], 2, FALSE)</f>
        <v>Operations</v>
      </c>
    </row>
    <row r="412" spans="1:37" x14ac:dyDescent="0.25">
      <c r="A412" s="2">
        <v>33</v>
      </c>
      <c r="B412" t="s">
        <v>41</v>
      </c>
      <c r="C412" t="s">
        <v>61</v>
      </c>
      <c r="D412" t="s">
        <v>53</v>
      </c>
      <c r="E412">
        <v>7</v>
      </c>
      <c r="F412" t="s">
        <v>58</v>
      </c>
      <c r="G412">
        <v>3</v>
      </c>
      <c r="H412">
        <v>2</v>
      </c>
      <c r="I412" t="s">
        <v>64</v>
      </c>
      <c r="J412">
        <v>2</v>
      </c>
      <c r="K412" t="s">
        <v>50</v>
      </c>
      <c r="L412">
        <v>4302</v>
      </c>
      <c r="M412">
        <v>0</v>
      </c>
      <c r="N412" t="s">
        <v>41</v>
      </c>
      <c r="O412">
        <v>17</v>
      </c>
      <c r="P412">
        <v>3</v>
      </c>
      <c r="Q412">
        <v>1</v>
      </c>
      <c r="R412">
        <v>4</v>
      </c>
      <c r="S412">
        <v>3</v>
      </c>
      <c r="T412">
        <v>3</v>
      </c>
      <c r="U412">
        <v>0</v>
      </c>
      <c r="V412">
        <v>2</v>
      </c>
      <c r="W412" t="s">
        <v>51</v>
      </c>
      <c r="X412" s="1" t="d">
        <v>2018-02-03</v>
      </c>
      <c r="Z412" t="s">
        <v>59</v>
      </c>
      <c r="AA412" t="s">
        <v>40</v>
      </c>
      <c r="AB412">
        <v>5</v>
      </c>
      <c r="AC412">
        <v>2</v>
      </c>
      <c r="AD412" t="s">
        <v>41</v>
      </c>
      <c r="AE412" t="s">
        <v>60</v>
      </c>
      <c r="AF412" t="s">
        <v>48</v>
      </c>
      <c r="AG412">
        <f>IF(HR_Data[[#This Row],[Attrition]]="Yes",1,0)</f>
        <v>0</v>
      </c>
      <c r="AH412" t="str">
        <f>IF(HR_Data[Date_of_termination]="","Active","Left")</f>
        <v>Active</v>
      </c>
      <c r="AI412" t="str">
        <f>IF(HR_Data[YearsAtCompany]&lt;=2,"Fresher", IF(HR_Data[YearsAtCompany]&lt;=5,"Junior", IF(HR_Data[YearsAtCompany]&lt;=10, "Mid","Senior")))</f>
        <v>Junior</v>
      </c>
      <c r="AJ412" s="2" t="str">
        <f>IF(HR_Data[MonthlyIncome]&lt;=300,"Low", IF(HR_Data[MonthlyIncome]&lt;=7000,"Medium", "High"))</f>
        <v>Medium</v>
      </c>
      <c r="AK412" s="2" t="str">
        <f>VLOOKUP(HR_Data[JobRole], JobRole_Map[], 2, FALSE)</f>
        <v>Sales</v>
      </c>
    </row>
    <row r="413" spans="1:37" x14ac:dyDescent="0.25">
      <c r="A413" s="2">
        <v>34</v>
      </c>
      <c r="B413" t="s">
        <v>41</v>
      </c>
      <c r="C413" t="s">
        <v>61</v>
      </c>
      <c r="D413" t="s">
        <v>34</v>
      </c>
      <c r="E413">
        <v>2</v>
      </c>
      <c r="F413" t="s">
        <v>35</v>
      </c>
      <c r="G413">
        <v>3</v>
      </c>
      <c r="H413">
        <v>2</v>
      </c>
      <c r="I413" t="s">
        <v>67</v>
      </c>
      <c r="J413">
        <v>3</v>
      </c>
      <c r="K413" t="s">
        <v>37</v>
      </c>
      <c r="L413">
        <v>4033</v>
      </c>
      <c r="M413">
        <v>2</v>
      </c>
      <c r="N413" t="s">
        <v>41</v>
      </c>
      <c r="O413">
        <v>11</v>
      </c>
      <c r="P413">
        <v>3</v>
      </c>
      <c r="Q413">
        <v>0</v>
      </c>
      <c r="R413">
        <v>5</v>
      </c>
      <c r="S413">
        <v>3</v>
      </c>
      <c r="T413">
        <v>3</v>
      </c>
      <c r="U413">
        <v>0</v>
      </c>
      <c r="V413">
        <v>2</v>
      </c>
      <c r="W413" t="s">
        <v>65</v>
      </c>
      <c r="X413" s="1" t="d">
        <v>2018-03-05</v>
      </c>
      <c r="Z413" t="s">
        <v>59</v>
      </c>
      <c r="AA413" t="s">
        <v>40</v>
      </c>
      <c r="AB413">
        <v>4</v>
      </c>
      <c r="AC413">
        <v>1</v>
      </c>
      <c r="AD413" t="s">
        <v>41</v>
      </c>
      <c r="AE413" t="s">
        <v>60</v>
      </c>
      <c r="AF413" t="s">
        <v>43</v>
      </c>
      <c r="AG413">
        <f>IF(HR_Data[[#This Row],[Attrition]]="Yes",1,0)</f>
        <v>0</v>
      </c>
      <c r="AH413" t="str">
        <f>IF(HR_Data[Date_of_termination]="","Active","Left")</f>
        <v>Active</v>
      </c>
      <c r="AI413" t="str">
        <f>IF(HR_Data[YearsAtCompany]&lt;=2,"Fresher", IF(HR_Data[YearsAtCompany]&lt;=5,"Junior", IF(HR_Data[YearsAtCompany]&lt;=10, "Mid","Senior")))</f>
        <v>Junior</v>
      </c>
      <c r="AJ413" s="2" t="str">
        <f>IF(HR_Data[MonthlyIncome]&lt;=300,"Low", IF(HR_Data[MonthlyIncome]&lt;=7000,"Medium", "High"))</f>
        <v>Medium</v>
      </c>
      <c r="AK413" s="2" t="str">
        <f>VLOOKUP(HR_Data[JobRole], JobRole_Map[], 2, FALSE)</f>
        <v>Operations</v>
      </c>
    </row>
    <row r="414" spans="1:37" x14ac:dyDescent="0.25">
      <c r="A414" s="2">
        <v>28</v>
      </c>
      <c r="B414" t="s">
        <v>41</v>
      </c>
      <c r="C414" t="s">
        <v>61</v>
      </c>
      <c r="D414" t="s">
        <v>34</v>
      </c>
      <c r="E414">
        <v>6</v>
      </c>
      <c r="F414" t="s">
        <v>35</v>
      </c>
      <c r="G414">
        <v>2</v>
      </c>
      <c r="H414">
        <v>1</v>
      </c>
      <c r="I414" t="s">
        <v>44</v>
      </c>
      <c r="J414">
        <v>3</v>
      </c>
      <c r="K414" t="s">
        <v>55</v>
      </c>
      <c r="L414">
        <v>2703</v>
      </c>
      <c r="M414">
        <v>1</v>
      </c>
      <c r="N414" t="s">
        <v>32</v>
      </c>
      <c r="O414">
        <v>14</v>
      </c>
      <c r="P414">
        <v>3</v>
      </c>
      <c r="Q414">
        <v>1</v>
      </c>
      <c r="R414">
        <v>3</v>
      </c>
      <c r="S414">
        <v>2</v>
      </c>
      <c r="T414">
        <v>3</v>
      </c>
      <c r="U414">
        <v>0</v>
      </c>
      <c r="V414">
        <v>2</v>
      </c>
      <c r="W414" t="s">
        <v>51</v>
      </c>
      <c r="X414" s="1" t="d">
        <v>2018-01-30</v>
      </c>
      <c r="Z414" t="s">
        <v>63</v>
      </c>
      <c r="AA414" t="s">
        <v>46</v>
      </c>
      <c r="AB414">
        <v>4</v>
      </c>
      <c r="AC414">
        <v>3</v>
      </c>
      <c r="AD414" t="s">
        <v>41</v>
      </c>
      <c r="AE414" t="s">
        <v>47</v>
      </c>
      <c r="AF414" t="s">
        <v>48</v>
      </c>
      <c r="AG414">
        <f>IF(HR_Data[[#This Row],[Attrition]]="Yes",1,0)</f>
        <v>0</v>
      </c>
      <c r="AH414" t="str">
        <f>IF(HR_Data[Date_of_termination]="","Active","Left")</f>
        <v>Active</v>
      </c>
      <c r="AI414" t="str">
        <f>IF(HR_Data[YearsAtCompany]&lt;=2,"Fresher", IF(HR_Data[YearsAtCompany]&lt;=5,"Junior", IF(HR_Data[YearsAtCompany]&lt;=10, "Mid","Senior")))</f>
        <v>Junior</v>
      </c>
      <c r="AJ414" s="2" t="str">
        <f>IF(HR_Data[MonthlyIncome]&lt;=300,"Low", IF(HR_Data[MonthlyIncome]&lt;=7000,"Medium", "High"))</f>
        <v>Medium</v>
      </c>
      <c r="AK414" s="2" t="str">
        <f>VLOOKUP(HR_Data[JobRole], JobRole_Map[], 2, FALSE)</f>
        <v>Technical</v>
      </c>
    </row>
    <row r="415" spans="1:37" x14ac:dyDescent="0.25">
      <c r="A415" s="2">
        <v>45</v>
      </c>
      <c r="B415" t="s">
        <v>41</v>
      </c>
      <c r="C415" t="s">
        <v>33</v>
      </c>
      <c r="D415" t="s">
        <v>34</v>
      </c>
      <c r="E415">
        <v>7</v>
      </c>
      <c r="F415" t="s">
        <v>58</v>
      </c>
      <c r="G415">
        <v>3</v>
      </c>
      <c r="H415">
        <v>1</v>
      </c>
      <c r="I415" t="s">
        <v>44</v>
      </c>
      <c r="J415">
        <v>3</v>
      </c>
      <c r="K415" t="s">
        <v>50</v>
      </c>
      <c r="L415">
        <v>4477</v>
      </c>
      <c r="M415">
        <v>4</v>
      </c>
      <c r="N415" t="s">
        <v>32</v>
      </c>
      <c r="O415">
        <v>19</v>
      </c>
      <c r="P415">
        <v>3</v>
      </c>
      <c r="Q415">
        <v>1</v>
      </c>
      <c r="R415">
        <v>7</v>
      </c>
      <c r="S415">
        <v>2</v>
      </c>
      <c r="T415">
        <v>3</v>
      </c>
      <c r="U415">
        <v>0</v>
      </c>
      <c r="V415">
        <v>2</v>
      </c>
      <c r="W415" t="s">
        <v>51</v>
      </c>
      <c r="X415" s="1" t="d">
        <v>2018-03-30</v>
      </c>
      <c r="Z415" t="s">
        <v>39</v>
      </c>
      <c r="AA415" t="s">
        <v>40</v>
      </c>
      <c r="AB415">
        <v>0</v>
      </c>
      <c r="AC415">
        <v>1</v>
      </c>
      <c r="AD415" t="s">
        <v>32</v>
      </c>
      <c r="AE415" t="s">
        <v>60</v>
      </c>
      <c r="AF415" t="s">
        <v>57</v>
      </c>
      <c r="AG415">
        <f>IF(HR_Data[[#This Row],[Attrition]]="Yes",1,0)</f>
        <v>0</v>
      </c>
      <c r="AH415" t="str">
        <f>IF(HR_Data[Date_of_termination]="","Active","Left")</f>
        <v>Active</v>
      </c>
      <c r="AI415" t="str">
        <f>IF(HR_Data[YearsAtCompany]&lt;=2,"Fresher", IF(HR_Data[YearsAtCompany]&lt;=5,"Junior", IF(HR_Data[YearsAtCompany]&lt;=10, "Mid","Senior")))</f>
        <v>Junior</v>
      </c>
      <c r="AJ415" s="2" t="str">
        <f>IF(HR_Data[MonthlyIncome]&lt;=300,"Low", IF(HR_Data[MonthlyIncome]&lt;=7000,"Medium", "High"))</f>
        <v>Medium</v>
      </c>
      <c r="AK415" s="2" t="str">
        <f>VLOOKUP(HR_Data[JobRole], JobRole_Map[], 2, FALSE)</f>
        <v>Technical</v>
      </c>
    </row>
    <row r="416" spans="1:37" x14ac:dyDescent="0.25">
      <c r="A416" s="2">
        <v>29</v>
      </c>
      <c r="B416" t="s">
        <v>41</v>
      </c>
      <c r="C416" t="s">
        <v>33</v>
      </c>
      <c r="D416" t="s">
        <v>34</v>
      </c>
      <c r="E416">
        <v>1</v>
      </c>
      <c r="F416" t="s">
        <v>58</v>
      </c>
      <c r="G416">
        <v>3</v>
      </c>
      <c r="H416">
        <v>1</v>
      </c>
      <c r="I416" t="s">
        <v>44</v>
      </c>
      <c r="J416">
        <v>4</v>
      </c>
      <c r="K416" t="s">
        <v>55</v>
      </c>
      <c r="L416">
        <v>3760</v>
      </c>
      <c r="M416">
        <v>1</v>
      </c>
      <c r="N416" t="s">
        <v>41</v>
      </c>
      <c r="O416">
        <v>15</v>
      </c>
      <c r="P416">
        <v>3</v>
      </c>
      <c r="Q416">
        <v>3</v>
      </c>
      <c r="R416">
        <v>3</v>
      </c>
      <c r="S416">
        <v>5</v>
      </c>
      <c r="T416">
        <v>3</v>
      </c>
      <c r="U416">
        <v>1</v>
      </c>
      <c r="V416">
        <v>2</v>
      </c>
      <c r="W416" t="s">
        <v>56</v>
      </c>
      <c r="X416" s="1" t="d">
        <v>2018-06-14</v>
      </c>
      <c r="Z416" t="s">
        <v>59</v>
      </c>
      <c r="AA416" t="s">
        <v>46</v>
      </c>
      <c r="AB416">
        <v>0</v>
      </c>
      <c r="AC416">
        <v>2</v>
      </c>
      <c r="AD416" t="s">
        <v>32</v>
      </c>
      <c r="AE416" t="s">
        <v>42</v>
      </c>
      <c r="AF416" t="s">
        <v>43</v>
      </c>
      <c r="AG416">
        <f>IF(HR_Data[[#This Row],[Attrition]]="Yes",1,0)</f>
        <v>0</v>
      </c>
      <c r="AH416" t="str">
        <f>IF(HR_Data[Date_of_termination]="","Active","Left")</f>
        <v>Active</v>
      </c>
      <c r="AI416" t="str">
        <f>IF(HR_Data[YearsAtCompany]&lt;=2,"Fresher", IF(HR_Data[YearsAtCompany]&lt;=5,"Junior", IF(HR_Data[YearsAtCompany]&lt;=10, "Mid","Senior")))</f>
        <v>Junior</v>
      </c>
      <c r="AJ416" s="2" t="str">
        <f>IF(HR_Data[MonthlyIncome]&lt;=300,"Low", IF(HR_Data[MonthlyIncome]&lt;=7000,"Medium", "High"))</f>
        <v>Medium</v>
      </c>
      <c r="AK416" s="2" t="str">
        <f>VLOOKUP(HR_Data[JobRole], JobRole_Map[], 2, FALSE)</f>
        <v>Technical</v>
      </c>
    </row>
    <row r="417" spans="1:37" x14ac:dyDescent="0.25">
      <c r="A417" s="2">
        <v>34</v>
      </c>
      <c r="B417" t="s">
        <v>41</v>
      </c>
      <c r="C417" t="s">
        <v>33</v>
      </c>
      <c r="D417" t="s">
        <v>53</v>
      </c>
      <c r="E417">
        <v>2</v>
      </c>
      <c r="F417" t="s">
        <v>58</v>
      </c>
      <c r="G417">
        <v>3</v>
      </c>
      <c r="H417">
        <v>2</v>
      </c>
      <c r="I417" t="s">
        <v>64</v>
      </c>
      <c r="J417">
        <v>1</v>
      </c>
      <c r="K417" t="s">
        <v>37</v>
      </c>
      <c r="L417">
        <v>4538</v>
      </c>
      <c r="M417">
        <v>0</v>
      </c>
      <c r="N417" t="s">
        <v>32</v>
      </c>
      <c r="O417">
        <v>12</v>
      </c>
      <c r="P417">
        <v>3</v>
      </c>
      <c r="Q417">
        <v>0</v>
      </c>
      <c r="R417">
        <v>4</v>
      </c>
      <c r="S417">
        <v>3</v>
      </c>
      <c r="T417">
        <v>3</v>
      </c>
      <c r="U417">
        <v>0</v>
      </c>
      <c r="V417">
        <v>2</v>
      </c>
      <c r="W417" t="s">
        <v>51</v>
      </c>
      <c r="X417" s="1" t="d">
        <v>2018-02-25</v>
      </c>
      <c r="Z417" t="s">
        <v>52</v>
      </c>
      <c r="AA417" t="s">
        <v>40</v>
      </c>
      <c r="AB417">
        <v>1</v>
      </c>
      <c r="AC417">
        <v>3</v>
      </c>
      <c r="AD417" t="s">
        <v>41</v>
      </c>
      <c r="AE417" t="s">
        <v>62</v>
      </c>
      <c r="AF417" t="s">
        <v>57</v>
      </c>
      <c r="AG417">
        <f>IF(HR_Data[[#This Row],[Attrition]]="Yes",1,0)</f>
        <v>0</v>
      </c>
      <c r="AH417" t="str">
        <f>IF(HR_Data[Date_of_termination]="","Active","Left")</f>
        <v>Active</v>
      </c>
      <c r="AI417" t="str">
        <f>IF(HR_Data[YearsAtCompany]&lt;=2,"Fresher", IF(HR_Data[YearsAtCompany]&lt;=5,"Junior", IF(HR_Data[YearsAtCompany]&lt;=10, "Mid","Senior")))</f>
        <v>Junior</v>
      </c>
      <c r="AJ417" s="2" t="str">
        <f>IF(HR_Data[MonthlyIncome]&lt;=300,"Low", IF(HR_Data[MonthlyIncome]&lt;=7000,"Medium", "High"))</f>
        <v>Medium</v>
      </c>
      <c r="AK417" s="2" t="str">
        <f>VLOOKUP(HR_Data[JobRole], JobRole_Map[], 2, FALSE)</f>
        <v>Sales</v>
      </c>
    </row>
    <row r="418" spans="1:37" x14ac:dyDescent="0.25">
      <c r="A418" s="2">
        <v>35</v>
      </c>
      <c r="B418" t="s">
        <v>41</v>
      </c>
      <c r="C418" t="s">
        <v>33</v>
      </c>
      <c r="D418" t="s">
        <v>34</v>
      </c>
      <c r="E418">
        <v>6</v>
      </c>
      <c r="F418" t="s">
        <v>35</v>
      </c>
      <c r="G418">
        <v>3</v>
      </c>
      <c r="H418">
        <v>1</v>
      </c>
      <c r="I418" t="s">
        <v>44</v>
      </c>
      <c r="J418">
        <v>3</v>
      </c>
      <c r="K418" t="s">
        <v>50</v>
      </c>
      <c r="L418">
        <v>3506</v>
      </c>
      <c r="M418">
        <v>0</v>
      </c>
      <c r="N418" t="s">
        <v>32</v>
      </c>
      <c r="O418">
        <v>14</v>
      </c>
      <c r="P418">
        <v>3</v>
      </c>
      <c r="Q418">
        <v>0</v>
      </c>
      <c r="R418">
        <v>4</v>
      </c>
      <c r="S418">
        <v>3</v>
      </c>
      <c r="T418">
        <v>3</v>
      </c>
      <c r="U418">
        <v>2</v>
      </c>
      <c r="V418">
        <v>2</v>
      </c>
      <c r="W418" t="s">
        <v>51</v>
      </c>
      <c r="X418" s="1" t="d">
        <v>2018-03-03</v>
      </c>
      <c r="Z418" t="s">
        <v>63</v>
      </c>
      <c r="AA418" t="s">
        <v>46</v>
      </c>
      <c r="AB418">
        <v>0</v>
      </c>
      <c r="AC418">
        <v>2</v>
      </c>
      <c r="AD418" t="s">
        <v>41</v>
      </c>
      <c r="AE418" t="s">
        <v>47</v>
      </c>
      <c r="AF418" t="s">
        <v>57</v>
      </c>
      <c r="AG418">
        <f>IF(HR_Data[[#This Row],[Attrition]]="Yes",1,0)</f>
        <v>0</v>
      </c>
      <c r="AH418" t="str">
        <f>IF(HR_Data[Date_of_termination]="","Active","Left")</f>
        <v>Active</v>
      </c>
      <c r="AI418" t="str">
        <f>IF(HR_Data[YearsAtCompany]&lt;=2,"Fresher", IF(HR_Data[YearsAtCompany]&lt;=5,"Junior", IF(HR_Data[YearsAtCompany]&lt;=10, "Mid","Senior")))</f>
        <v>Junior</v>
      </c>
      <c r="AJ418" s="2" t="str">
        <f>IF(HR_Data[MonthlyIncome]&lt;=300,"Low", IF(HR_Data[MonthlyIncome]&lt;=7000,"Medium", "High"))</f>
        <v>Medium</v>
      </c>
      <c r="AK418" s="2" t="str">
        <f>VLOOKUP(HR_Data[JobRole], JobRole_Map[], 2, FALSE)</f>
        <v>Technical</v>
      </c>
    </row>
    <row r="419" spans="1:37" x14ac:dyDescent="0.25">
      <c r="A419" s="2">
        <v>28</v>
      </c>
      <c r="B419" t="s">
        <v>41</v>
      </c>
      <c r="C419" t="s">
        <v>33</v>
      </c>
      <c r="D419" t="s">
        <v>34</v>
      </c>
      <c r="E419">
        <v>1</v>
      </c>
      <c r="F419" t="s">
        <v>35</v>
      </c>
      <c r="G419">
        <v>3</v>
      </c>
      <c r="H419">
        <v>1</v>
      </c>
      <c r="I419" t="s">
        <v>44</v>
      </c>
      <c r="J419">
        <v>1</v>
      </c>
      <c r="K419" t="s">
        <v>37</v>
      </c>
      <c r="L419">
        <v>2080</v>
      </c>
      <c r="M419">
        <v>2</v>
      </c>
      <c r="N419" t="s">
        <v>41</v>
      </c>
      <c r="O419">
        <v>11</v>
      </c>
      <c r="P419">
        <v>3</v>
      </c>
      <c r="Q419">
        <v>0</v>
      </c>
      <c r="R419">
        <v>5</v>
      </c>
      <c r="S419">
        <v>2</v>
      </c>
      <c r="T419">
        <v>3</v>
      </c>
      <c r="U419">
        <v>1</v>
      </c>
      <c r="V419">
        <v>2</v>
      </c>
      <c r="W419" t="s">
        <v>51</v>
      </c>
      <c r="X419" s="1" t="d">
        <v>2018-04-18</v>
      </c>
      <c r="Z419" t="s">
        <v>45</v>
      </c>
      <c r="AA419" t="s">
        <v>40</v>
      </c>
      <c r="AB419">
        <v>3</v>
      </c>
      <c r="AC419">
        <v>1</v>
      </c>
      <c r="AD419" t="s">
        <v>32</v>
      </c>
      <c r="AE419" t="s">
        <v>62</v>
      </c>
      <c r="AF419" t="s">
        <v>48</v>
      </c>
      <c r="AG419">
        <f>IF(HR_Data[[#This Row],[Attrition]]="Yes",1,0)</f>
        <v>0</v>
      </c>
      <c r="AH419" t="str">
        <f>IF(HR_Data[Date_of_termination]="","Active","Left")</f>
        <v>Active</v>
      </c>
      <c r="AI419" t="str">
        <f>IF(HR_Data[YearsAtCompany]&lt;=2,"Fresher", IF(HR_Data[YearsAtCompany]&lt;=5,"Junior", IF(HR_Data[YearsAtCompany]&lt;=10, "Mid","Senior")))</f>
        <v>Junior</v>
      </c>
      <c r="AJ419" s="2" t="str">
        <f>IF(HR_Data[MonthlyIncome]&lt;=300,"Low", IF(HR_Data[MonthlyIncome]&lt;=7000,"Medium", "High"))</f>
        <v>Medium</v>
      </c>
      <c r="AK419" s="2" t="str">
        <f>VLOOKUP(HR_Data[JobRole], JobRole_Map[], 2, FALSE)</f>
        <v>Technical</v>
      </c>
    </row>
    <row r="420" spans="1:37" x14ac:dyDescent="0.25">
      <c r="A420" s="2">
        <v>50</v>
      </c>
      <c r="B420" t="s">
        <v>41</v>
      </c>
      <c r="C420" t="s">
        <v>33</v>
      </c>
      <c r="D420" t="s">
        <v>34</v>
      </c>
      <c r="E420">
        <v>28</v>
      </c>
      <c r="F420" t="s">
        <v>58</v>
      </c>
      <c r="G420">
        <v>3</v>
      </c>
      <c r="H420">
        <v>4</v>
      </c>
      <c r="I420" t="s">
        <v>49</v>
      </c>
      <c r="J420">
        <v>1</v>
      </c>
      <c r="K420" t="s">
        <v>50</v>
      </c>
      <c r="L420">
        <v>16880</v>
      </c>
      <c r="M420">
        <v>4</v>
      </c>
      <c r="N420" t="s">
        <v>32</v>
      </c>
      <c r="O420">
        <v>11</v>
      </c>
      <c r="P420">
        <v>3</v>
      </c>
      <c r="Q420">
        <v>0</v>
      </c>
      <c r="R420">
        <v>25</v>
      </c>
      <c r="S420">
        <v>2</v>
      </c>
      <c r="T420">
        <v>3</v>
      </c>
      <c r="U420">
        <v>1</v>
      </c>
      <c r="V420">
        <v>2</v>
      </c>
      <c r="W420" t="s">
        <v>65</v>
      </c>
      <c r="X420" s="1" t="d">
        <v>2018-05-04</v>
      </c>
      <c r="Z420" t="s">
        <v>45</v>
      </c>
      <c r="AA420" t="s">
        <v>40</v>
      </c>
      <c r="AB420">
        <v>0</v>
      </c>
      <c r="AC420">
        <v>1</v>
      </c>
      <c r="AD420" t="s">
        <v>32</v>
      </c>
      <c r="AE420" t="s">
        <v>60</v>
      </c>
      <c r="AF420" t="s">
        <v>48</v>
      </c>
      <c r="AG420">
        <f>IF(HR_Data[[#This Row],[Attrition]]="Yes",1,0)</f>
        <v>0</v>
      </c>
      <c r="AH420" t="str">
        <f>IF(HR_Data[Date_of_termination]="","Active","Left")</f>
        <v>Active</v>
      </c>
      <c r="AI420" t="str">
        <f>IF(HR_Data[YearsAtCompany]&lt;=2,"Fresher", IF(HR_Data[YearsAtCompany]&lt;=5,"Junior", IF(HR_Data[YearsAtCompany]&lt;=10, "Mid","Senior")))</f>
        <v>Junior</v>
      </c>
      <c r="AJ420" s="2" t="str">
        <f>IF(HR_Data[MonthlyIncome]&lt;=300,"Low", IF(HR_Data[MonthlyIncome]&lt;=7000,"Medium", "High"))</f>
        <v>High</v>
      </c>
      <c r="AK420" s="2" t="str">
        <f>VLOOKUP(HR_Data[JobRole], JobRole_Map[], 2, FALSE)</f>
        <v>Management</v>
      </c>
    </row>
    <row r="421" spans="1:37" x14ac:dyDescent="0.25">
      <c r="A421" s="2">
        <v>31</v>
      </c>
      <c r="B421" t="s">
        <v>32</v>
      </c>
      <c r="C421" t="s">
        <v>61</v>
      </c>
      <c r="D421" t="s">
        <v>53</v>
      </c>
      <c r="E421">
        <v>1</v>
      </c>
      <c r="F421" t="s">
        <v>58</v>
      </c>
      <c r="G421">
        <v>3</v>
      </c>
      <c r="H421">
        <v>1</v>
      </c>
      <c r="I421" t="s">
        <v>54</v>
      </c>
      <c r="J421">
        <v>2</v>
      </c>
      <c r="K421" t="s">
        <v>37</v>
      </c>
      <c r="L421">
        <v>2302</v>
      </c>
      <c r="M421">
        <v>1</v>
      </c>
      <c r="N421" t="s">
        <v>32</v>
      </c>
      <c r="O421">
        <v>11</v>
      </c>
      <c r="P421">
        <v>3</v>
      </c>
      <c r="Q421">
        <v>0</v>
      </c>
      <c r="R421">
        <v>3</v>
      </c>
      <c r="S421">
        <v>2</v>
      </c>
      <c r="T421">
        <v>3</v>
      </c>
      <c r="U421">
        <v>2</v>
      </c>
      <c r="V421">
        <v>2</v>
      </c>
      <c r="W421" t="s">
        <v>65</v>
      </c>
      <c r="X421" s="1" t="d">
        <v>2018-04-11</v>
      </c>
      <c r="Z421" t="s">
        <v>52</v>
      </c>
      <c r="AA421" t="s">
        <v>40</v>
      </c>
      <c r="AB421">
        <v>4</v>
      </c>
      <c r="AC421">
        <v>3</v>
      </c>
      <c r="AD421" t="s">
        <v>41</v>
      </c>
      <c r="AE421" t="s">
        <v>47</v>
      </c>
      <c r="AF421" t="s">
        <v>48</v>
      </c>
      <c r="AG421">
        <f>IF(HR_Data[[#This Row],[Attrition]]="Yes",1,0)</f>
        <v>1</v>
      </c>
      <c r="AH421" t="str">
        <f>IF(HR_Data[Date_of_termination]="","Active","Left")</f>
        <v>Active</v>
      </c>
      <c r="AI421" t="str">
        <f>IF(HR_Data[YearsAtCompany]&lt;=2,"Fresher", IF(HR_Data[YearsAtCompany]&lt;=5,"Junior", IF(HR_Data[YearsAtCompany]&lt;=10, "Mid","Senior")))</f>
        <v>Junior</v>
      </c>
      <c r="AJ421" s="2" t="str">
        <f>IF(HR_Data[MonthlyIncome]&lt;=300,"Low", IF(HR_Data[MonthlyIncome]&lt;=7000,"Medium", "High"))</f>
        <v>Medium</v>
      </c>
      <c r="AK421" s="2" t="str">
        <f>VLOOKUP(HR_Data[JobRole], JobRole_Map[], 2, FALSE)</f>
        <v>Sales</v>
      </c>
    </row>
    <row r="422" spans="1:37" x14ac:dyDescent="0.25">
      <c r="A422" s="2">
        <v>44</v>
      </c>
      <c r="B422" t="s">
        <v>32</v>
      </c>
      <c r="C422" t="s">
        <v>33</v>
      </c>
      <c r="D422" t="s">
        <v>34</v>
      </c>
      <c r="E422">
        <v>3</v>
      </c>
      <c r="F422" t="s">
        <v>35</v>
      </c>
      <c r="G422">
        <v>3</v>
      </c>
      <c r="H422">
        <v>1</v>
      </c>
      <c r="I422" t="s">
        <v>36</v>
      </c>
      <c r="J422">
        <v>1</v>
      </c>
      <c r="K422" t="s">
        <v>50</v>
      </c>
      <c r="L422">
        <v>2362</v>
      </c>
      <c r="M422">
        <v>4</v>
      </c>
      <c r="N422" t="s">
        <v>41</v>
      </c>
      <c r="O422">
        <v>12</v>
      </c>
      <c r="P422">
        <v>3</v>
      </c>
      <c r="Q422">
        <v>0</v>
      </c>
      <c r="R422">
        <v>10</v>
      </c>
      <c r="S422">
        <v>4</v>
      </c>
      <c r="T422">
        <v>3</v>
      </c>
      <c r="U422">
        <v>1</v>
      </c>
      <c r="V422">
        <v>2</v>
      </c>
      <c r="W422" t="s">
        <v>51</v>
      </c>
      <c r="X422" s="1" t="d">
        <v>2018-04-17</v>
      </c>
      <c r="Z422" t="s">
        <v>52</v>
      </c>
      <c r="AA422" t="s">
        <v>40</v>
      </c>
      <c r="AB422">
        <v>1</v>
      </c>
      <c r="AC422">
        <v>1</v>
      </c>
      <c r="AD422" t="s">
        <v>32</v>
      </c>
      <c r="AE422" t="s">
        <v>62</v>
      </c>
      <c r="AF422" t="s">
        <v>57</v>
      </c>
      <c r="AG422">
        <f>IF(HR_Data[[#This Row],[Attrition]]="Yes",1,0)</f>
        <v>1</v>
      </c>
      <c r="AH422" t="str">
        <f>IF(HR_Data[Date_of_termination]="","Active","Left")</f>
        <v>Active</v>
      </c>
      <c r="AI422" t="str">
        <f>IF(HR_Data[YearsAtCompany]&lt;=2,"Fresher", IF(HR_Data[YearsAtCompany]&lt;=5,"Junior", IF(HR_Data[YearsAtCompany]&lt;=10, "Mid","Senior")))</f>
        <v>Junior</v>
      </c>
      <c r="AJ422" s="2" t="str">
        <f>IF(HR_Data[MonthlyIncome]&lt;=300,"Low", IF(HR_Data[MonthlyIncome]&lt;=7000,"Medium", "High"))</f>
        <v>Medium</v>
      </c>
      <c r="AK422" s="2" t="str">
        <f>VLOOKUP(HR_Data[JobRole], JobRole_Map[], 2, FALSE)</f>
        <v>Technical</v>
      </c>
    </row>
    <row r="423" spans="1:37" x14ac:dyDescent="0.25">
      <c r="A423" s="2">
        <v>25</v>
      </c>
      <c r="B423" t="s">
        <v>41</v>
      </c>
      <c r="C423" t="s">
        <v>33</v>
      </c>
      <c r="D423" t="s">
        <v>34</v>
      </c>
      <c r="E423">
        <v>19</v>
      </c>
      <c r="F423" t="s">
        <v>35</v>
      </c>
      <c r="G423">
        <v>3</v>
      </c>
      <c r="H423">
        <v>1</v>
      </c>
      <c r="I423" t="s">
        <v>36</v>
      </c>
      <c r="J423">
        <v>4</v>
      </c>
      <c r="K423" t="s">
        <v>50</v>
      </c>
      <c r="L423">
        <v>3669</v>
      </c>
      <c r="M423">
        <v>3</v>
      </c>
      <c r="N423" t="s">
        <v>41</v>
      </c>
      <c r="O423">
        <v>11</v>
      </c>
      <c r="P423">
        <v>3</v>
      </c>
      <c r="Q423">
        <v>3</v>
      </c>
      <c r="R423">
        <v>7</v>
      </c>
      <c r="S423">
        <v>6</v>
      </c>
      <c r="T423">
        <v>3</v>
      </c>
      <c r="U423">
        <v>1</v>
      </c>
      <c r="V423">
        <v>2</v>
      </c>
      <c r="W423" t="s">
        <v>51</v>
      </c>
      <c r="X423" s="1" t="d">
        <v>2018-05-03</v>
      </c>
      <c r="Z423" t="s">
        <v>39</v>
      </c>
      <c r="AA423" t="s">
        <v>40</v>
      </c>
      <c r="AB423">
        <v>3</v>
      </c>
      <c r="AC423">
        <v>0</v>
      </c>
      <c r="AD423" t="s">
        <v>41</v>
      </c>
      <c r="AE423" t="s">
        <v>62</v>
      </c>
      <c r="AF423" t="s">
        <v>57</v>
      </c>
      <c r="AG423">
        <f>IF(HR_Data[[#This Row],[Attrition]]="Yes",1,0)</f>
        <v>0</v>
      </c>
      <c r="AH423" t="str">
        <f>IF(HR_Data[Date_of_termination]="","Active","Left")</f>
        <v>Active</v>
      </c>
      <c r="AI423" t="str">
        <f>IF(HR_Data[YearsAtCompany]&lt;=2,"Fresher", IF(HR_Data[YearsAtCompany]&lt;=5,"Junior", IF(HR_Data[YearsAtCompany]&lt;=10, "Mid","Senior")))</f>
        <v>Junior</v>
      </c>
      <c r="AJ423" s="2" t="str">
        <f>IF(HR_Data[MonthlyIncome]&lt;=300,"Low", IF(HR_Data[MonthlyIncome]&lt;=7000,"Medium", "High"))</f>
        <v>Medium</v>
      </c>
      <c r="AK423" s="2" t="str">
        <f>VLOOKUP(HR_Data[JobRole], JobRole_Map[], 2, FALSE)</f>
        <v>Technical</v>
      </c>
    </row>
    <row r="424" spans="1:37" x14ac:dyDescent="0.25">
      <c r="A424" s="2">
        <v>32</v>
      </c>
      <c r="B424" t="s">
        <v>41</v>
      </c>
      <c r="C424" t="s">
        <v>33</v>
      </c>
      <c r="D424" t="s">
        <v>53</v>
      </c>
      <c r="E424">
        <v>2</v>
      </c>
      <c r="F424" t="s">
        <v>35</v>
      </c>
      <c r="G424">
        <v>3</v>
      </c>
      <c r="H424">
        <v>2</v>
      </c>
      <c r="I424" t="s">
        <v>64</v>
      </c>
      <c r="J424">
        <v>2</v>
      </c>
      <c r="K424" t="s">
        <v>50</v>
      </c>
      <c r="L424">
        <v>4078</v>
      </c>
      <c r="M424">
        <v>0</v>
      </c>
      <c r="N424" t="s">
        <v>32</v>
      </c>
      <c r="O424">
        <v>13</v>
      </c>
      <c r="P424">
        <v>3</v>
      </c>
      <c r="Q424">
        <v>3</v>
      </c>
      <c r="R424">
        <v>4</v>
      </c>
      <c r="S424">
        <v>3</v>
      </c>
      <c r="T424">
        <v>3</v>
      </c>
      <c r="U424">
        <v>1</v>
      </c>
      <c r="V424">
        <v>2</v>
      </c>
      <c r="W424" t="s">
        <v>56</v>
      </c>
      <c r="X424" s="1" t="d">
        <v>2018-06-08</v>
      </c>
      <c r="Z424" t="s">
        <v>63</v>
      </c>
      <c r="AA424" t="s">
        <v>46</v>
      </c>
      <c r="AB424">
        <v>2</v>
      </c>
      <c r="AC424">
        <v>3</v>
      </c>
      <c r="AD424" t="s">
        <v>41</v>
      </c>
      <c r="AE424" t="s">
        <v>42</v>
      </c>
      <c r="AF424" t="s">
        <v>43</v>
      </c>
      <c r="AG424">
        <f>IF(HR_Data[[#This Row],[Attrition]]="Yes",1,0)</f>
        <v>0</v>
      </c>
      <c r="AH424" t="str">
        <f>IF(HR_Data[Date_of_termination]="","Active","Left")</f>
        <v>Active</v>
      </c>
      <c r="AI424" t="str">
        <f>IF(HR_Data[YearsAtCompany]&lt;=2,"Fresher", IF(HR_Data[YearsAtCompany]&lt;=5,"Junior", IF(HR_Data[YearsAtCompany]&lt;=10, "Mid","Senior")))</f>
        <v>Junior</v>
      </c>
      <c r="AJ424" s="2" t="str">
        <f>IF(HR_Data[MonthlyIncome]&lt;=300,"Low", IF(HR_Data[MonthlyIncome]&lt;=7000,"Medium", "High"))</f>
        <v>Medium</v>
      </c>
      <c r="AK424" s="2" t="str">
        <f>VLOOKUP(HR_Data[JobRole], JobRole_Map[], 2, FALSE)</f>
        <v>Sales</v>
      </c>
    </row>
    <row r="425" spans="1:37" x14ac:dyDescent="0.25">
      <c r="A425" s="2">
        <v>25</v>
      </c>
      <c r="B425" t="s">
        <v>41</v>
      </c>
      <c r="C425" t="s">
        <v>33</v>
      </c>
      <c r="D425" t="s">
        <v>53</v>
      </c>
      <c r="E425">
        <v>18</v>
      </c>
      <c r="F425" t="s">
        <v>35</v>
      </c>
      <c r="G425">
        <v>4</v>
      </c>
      <c r="H425">
        <v>2</v>
      </c>
      <c r="I425" t="s">
        <v>64</v>
      </c>
      <c r="J425">
        <v>3</v>
      </c>
      <c r="K425" t="s">
        <v>50</v>
      </c>
      <c r="L425">
        <v>6232</v>
      </c>
      <c r="M425">
        <v>2</v>
      </c>
      <c r="N425" t="s">
        <v>41</v>
      </c>
      <c r="O425">
        <v>11</v>
      </c>
      <c r="P425">
        <v>3</v>
      </c>
      <c r="Q425">
        <v>0</v>
      </c>
      <c r="R425">
        <v>6</v>
      </c>
      <c r="S425">
        <v>3</v>
      </c>
      <c r="T425">
        <v>3</v>
      </c>
      <c r="U425">
        <v>1</v>
      </c>
      <c r="V425">
        <v>2</v>
      </c>
      <c r="W425" t="s">
        <v>56</v>
      </c>
      <c r="X425" s="1" t="d">
        <v>2018-01-02</v>
      </c>
      <c r="Z425" t="s">
        <v>39</v>
      </c>
      <c r="AA425" t="s">
        <v>46</v>
      </c>
      <c r="AB425">
        <v>0</v>
      </c>
      <c r="AC425">
        <v>0</v>
      </c>
      <c r="AD425" t="s">
        <v>32</v>
      </c>
      <c r="AE425" t="s">
        <v>60</v>
      </c>
      <c r="AF425" t="s">
        <v>57</v>
      </c>
      <c r="AG425">
        <f>IF(HR_Data[[#This Row],[Attrition]]="Yes",1,0)</f>
        <v>0</v>
      </c>
      <c r="AH425" t="str">
        <f>IF(HR_Data[Date_of_termination]="","Active","Left")</f>
        <v>Active</v>
      </c>
      <c r="AI425" t="str">
        <f>IF(HR_Data[YearsAtCompany]&lt;=2,"Fresher", IF(HR_Data[YearsAtCompany]&lt;=5,"Junior", IF(HR_Data[YearsAtCompany]&lt;=10, "Mid","Senior")))</f>
        <v>Junior</v>
      </c>
      <c r="AJ425" s="2" t="str">
        <f>IF(HR_Data[MonthlyIncome]&lt;=300,"Low", IF(HR_Data[MonthlyIncome]&lt;=7000,"Medium", "High"))</f>
        <v>Medium</v>
      </c>
      <c r="AK425" s="2" t="str">
        <f>VLOOKUP(HR_Data[JobRole], JobRole_Map[], 2, FALSE)</f>
        <v>Sales</v>
      </c>
    </row>
    <row r="426" spans="1:37" x14ac:dyDescent="0.25">
      <c r="A426" s="2">
        <v>37</v>
      </c>
      <c r="B426" t="s">
        <v>41</v>
      </c>
      <c r="C426" t="s">
        <v>33</v>
      </c>
      <c r="D426" t="s">
        <v>34</v>
      </c>
      <c r="E426">
        <v>11</v>
      </c>
      <c r="F426" t="s">
        <v>58</v>
      </c>
      <c r="G426">
        <v>3</v>
      </c>
      <c r="H426">
        <v>1</v>
      </c>
      <c r="I426" t="s">
        <v>36</v>
      </c>
      <c r="J426">
        <v>3</v>
      </c>
      <c r="K426" t="s">
        <v>37</v>
      </c>
      <c r="L426">
        <v>3629</v>
      </c>
      <c r="M426">
        <v>4</v>
      </c>
      <c r="N426" t="s">
        <v>41</v>
      </c>
      <c r="O426">
        <v>18</v>
      </c>
      <c r="P426">
        <v>3</v>
      </c>
      <c r="Q426">
        <v>0</v>
      </c>
      <c r="R426">
        <v>8</v>
      </c>
      <c r="S426">
        <v>6</v>
      </c>
      <c r="T426">
        <v>3</v>
      </c>
      <c r="U426">
        <v>0</v>
      </c>
      <c r="V426">
        <v>2</v>
      </c>
      <c r="W426" t="s">
        <v>65</v>
      </c>
      <c r="X426" s="1" t="d">
        <v>2018-02-20</v>
      </c>
      <c r="Z426" t="s">
        <v>39</v>
      </c>
      <c r="AA426" t="s">
        <v>40</v>
      </c>
      <c r="AB426">
        <v>5</v>
      </c>
      <c r="AC426">
        <v>2</v>
      </c>
      <c r="AD426" t="s">
        <v>32</v>
      </c>
      <c r="AE426" t="s">
        <v>62</v>
      </c>
      <c r="AF426" t="s">
        <v>57</v>
      </c>
      <c r="AG426">
        <f>IF(HR_Data[[#This Row],[Attrition]]="Yes",1,0)</f>
        <v>0</v>
      </c>
      <c r="AH426" t="str">
        <f>IF(HR_Data[Date_of_termination]="","Active","Left")</f>
        <v>Active</v>
      </c>
      <c r="AI426" t="str">
        <f>IF(HR_Data[YearsAtCompany]&lt;=2,"Fresher", IF(HR_Data[YearsAtCompany]&lt;=5,"Junior", IF(HR_Data[YearsAtCompany]&lt;=10, "Mid","Senior")))</f>
        <v>Junior</v>
      </c>
      <c r="AJ426" s="2" t="str">
        <f>IF(HR_Data[MonthlyIncome]&lt;=300,"Low", IF(HR_Data[MonthlyIncome]&lt;=7000,"Medium", "High"))</f>
        <v>Medium</v>
      </c>
      <c r="AK426" s="2" t="str">
        <f>VLOOKUP(HR_Data[JobRole], JobRole_Map[], 2, FALSE)</f>
        <v>Technical</v>
      </c>
    </row>
    <row r="427" spans="1:37" x14ac:dyDescent="0.25">
      <c r="A427" s="2">
        <v>25</v>
      </c>
      <c r="B427" t="s">
        <v>41</v>
      </c>
      <c r="C427" t="s">
        <v>33</v>
      </c>
      <c r="D427" t="s">
        <v>34</v>
      </c>
      <c r="E427">
        <v>1</v>
      </c>
      <c r="F427" t="s">
        <v>35</v>
      </c>
      <c r="G427">
        <v>3</v>
      </c>
      <c r="H427">
        <v>1</v>
      </c>
      <c r="I427" t="s">
        <v>36</v>
      </c>
      <c r="J427">
        <v>4</v>
      </c>
      <c r="K427" t="s">
        <v>50</v>
      </c>
      <c r="L427">
        <v>3229</v>
      </c>
      <c r="M427">
        <v>4</v>
      </c>
      <c r="N427" t="s">
        <v>41</v>
      </c>
      <c r="O427">
        <v>11</v>
      </c>
      <c r="P427">
        <v>3</v>
      </c>
      <c r="Q427">
        <v>1</v>
      </c>
      <c r="R427">
        <v>7</v>
      </c>
      <c r="S427">
        <v>2</v>
      </c>
      <c r="T427">
        <v>3</v>
      </c>
      <c r="U427">
        <v>0</v>
      </c>
      <c r="V427">
        <v>2</v>
      </c>
      <c r="W427" t="s">
        <v>51</v>
      </c>
      <c r="X427" s="1" t="d">
        <v>2018-03-24</v>
      </c>
      <c r="Z427" t="s">
        <v>63</v>
      </c>
      <c r="AA427" t="s">
        <v>46</v>
      </c>
      <c r="AB427">
        <v>1</v>
      </c>
      <c r="AC427">
        <v>3</v>
      </c>
      <c r="AD427" t="s">
        <v>41</v>
      </c>
      <c r="AE427" t="s">
        <v>60</v>
      </c>
      <c r="AF427" t="s">
        <v>57</v>
      </c>
      <c r="AG427">
        <f>IF(HR_Data[[#This Row],[Attrition]]="Yes",1,0)</f>
        <v>0</v>
      </c>
      <c r="AH427" t="str">
        <f>IF(HR_Data[Date_of_termination]="","Active","Left")</f>
        <v>Active</v>
      </c>
      <c r="AI427" t="str">
        <f>IF(HR_Data[YearsAtCompany]&lt;=2,"Fresher", IF(HR_Data[YearsAtCompany]&lt;=5,"Junior", IF(HR_Data[YearsAtCompany]&lt;=10, "Mid","Senior")))</f>
        <v>Junior</v>
      </c>
      <c r="AJ427" s="2" t="str">
        <f>IF(HR_Data[MonthlyIncome]&lt;=300,"Low", IF(HR_Data[MonthlyIncome]&lt;=7000,"Medium", "High"))</f>
        <v>Medium</v>
      </c>
      <c r="AK427" s="2" t="str">
        <f>VLOOKUP(HR_Data[JobRole], JobRole_Map[], 2, FALSE)</f>
        <v>Technical</v>
      </c>
    </row>
    <row r="428" spans="1:37" x14ac:dyDescent="0.25">
      <c r="A428" s="2">
        <v>30</v>
      </c>
      <c r="B428" t="s">
        <v>41</v>
      </c>
      <c r="C428" t="s">
        <v>33</v>
      </c>
      <c r="D428" t="s">
        <v>53</v>
      </c>
      <c r="E428">
        <v>7</v>
      </c>
      <c r="F428" t="s">
        <v>58</v>
      </c>
      <c r="G428">
        <v>3</v>
      </c>
      <c r="H428">
        <v>2</v>
      </c>
      <c r="I428" t="s">
        <v>64</v>
      </c>
      <c r="J428">
        <v>1</v>
      </c>
      <c r="K428" t="s">
        <v>55</v>
      </c>
      <c r="L428">
        <v>4779</v>
      </c>
      <c r="M428">
        <v>7</v>
      </c>
      <c r="N428" t="s">
        <v>41</v>
      </c>
      <c r="O428">
        <v>14</v>
      </c>
      <c r="P428">
        <v>3</v>
      </c>
      <c r="Q428">
        <v>2</v>
      </c>
      <c r="R428">
        <v>8</v>
      </c>
      <c r="S428">
        <v>3</v>
      </c>
      <c r="T428">
        <v>3</v>
      </c>
      <c r="U428">
        <v>0</v>
      </c>
      <c r="V428">
        <v>2</v>
      </c>
      <c r="W428" t="s">
        <v>65</v>
      </c>
      <c r="X428" s="1" t="d">
        <v>2018-01-16</v>
      </c>
      <c r="Z428" t="s">
        <v>39</v>
      </c>
      <c r="AA428" t="s">
        <v>40</v>
      </c>
      <c r="AB428">
        <v>4</v>
      </c>
      <c r="AC428">
        <v>2</v>
      </c>
      <c r="AD428" t="s">
        <v>41</v>
      </c>
      <c r="AE428" t="s">
        <v>47</v>
      </c>
      <c r="AF428" t="s">
        <v>48</v>
      </c>
      <c r="AG428">
        <f>IF(HR_Data[[#This Row],[Attrition]]="Yes",1,0)</f>
        <v>0</v>
      </c>
      <c r="AH428" t="str">
        <f>IF(HR_Data[Date_of_termination]="","Active","Left")</f>
        <v>Active</v>
      </c>
      <c r="AI428" t="str">
        <f>IF(HR_Data[YearsAtCompany]&lt;=2,"Fresher", IF(HR_Data[YearsAtCompany]&lt;=5,"Junior", IF(HR_Data[YearsAtCompany]&lt;=10, "Mid","Senior")))</f>
        <v>Junior</v>
      </c>
      <c r="AJ428" s="2" t="str">
        <f>IF(HR_Data[MonthlyIncome]&lt;=300,"Low", IF(HR_Data[MonthlyIncome]&lt;=7000,"Medium", "High"))</f>
        <v>Medium</v>
      </c>
      <c r="AK428" s="2" t="str">
        <f>VLOOKUP(HR_Data[JobRole], JobRole_Map[], 2, FALSE)</f>
        <v>Sales</v>
      </c>
    </row>
    <row r="429" spans="1:37" x14ac:dyDescent="0.25">
      <c r="A429" s="2">
        <v>31</v>
      </c>
      <c r="B429" t="s">
        <v>41</v>
      </c>
      <c r="C429" t="s">
        <v>33</v>
      </c>
      <c r="D429" t="s">
        <v>34</v>
      </c>
      <c r="E429">
        <v>8</v>
      </c>
      <c r="F429" t="s">
        <v>58</v>
      </c>
      <c r="G429">
        <v>3</v>
      </c>
      <c r="H429">
        <v>4</v>
      </c>
      <c r="I429" t="s">
        <v>49</v>
      </c>
      <c r="J429">
        <v>2</v>
      </c>
      <c r="K429" t="s">
        <v>37</v>
      </c>
      <c r="L429">
        <v>16422</v>
      </c>
      <c r="M429">
        <v>3</v>
      </c>
      <c r="N429" t="s">
        <v>41</v>
      </c>
      <c r="O429">
        <v>11</v>
      </c>
      <c r="P429">
        <v>3</v>
      </c>
      <c r="Q429">
        <v>0</v>
      </c>
      <c r="R429">
        <v>9</v>
      </c>
      <c r="S429">
        <v>3</v>
      </c>
      <c r="T429">
        <v>3</v>
      </c>
      <c r="U429">
        <v>1</v>
      </c>
      <c r="V429">
        <v>0</v>
      </c>
      <c r="W429" t="s">
        <v>65</v>
      </c>
      <c r="X429" s="1" t="d">
        <v>2018-05-18</v>
      </c>
      <c r="Z429" t="s">
        <v>45</v>
      </c>
      <c r="AA429" t="s">
        <v>40</v>
      </c>
      <c r="AB429">
        <v>5</v>
      </c>
      <c r="AC429">
        <v>3</v>
      </c>
      <c r="AD429" t="s">
        <v>32</v>
      </c>
      <c r="AE429" t="s">
        <v>47</v>
      </c>
      <c r="AF429" t="s">
        <v>48</v>
      </c>
      <c r="AG429">
        <f>IF(HR_Data[[#This Row],[Attrition]]="Yes",1,0)</f>
        <v>0</v>
      </c>
      <c r="AH429" t="str">
        <f>IF(HR_Data[Date_of_termination]="","Active","Left")</f>
        <v>Active</v>
      </c>
      <c r="AI429" t="str">
        <f>IF(HR_Data[YearsAtCompany]&lt;=2,"Fresher", IF(HR_Data[YearsAtCompany]&lt;=5,"Junior", IF(HR_Data[YearsAtCompany]&lt;=10, "Mid","Senior")))</f>
        <v>Junior</v>
      </c>
      <c r="AJ429" s="2" t="str">
        <f>IF(HR_Data[MonthlyIncome]&lt;=300,"Low", IF(HR_Data[MonthlyIncome]&lt;=7000,"Medium", "High"))</f>
        <v>High</v>
      </c>
      <c r="AK429" s="2" t="str">
        <f>VLOOKUP(HR_Data[JobRole], JobRole_Map[], 2, FALSE)</f>
        <v>Management</v>
      </c>
    </row>
    <row r="430" spans="1:37" x14ac:dyDescent="0.25">
      <c r="A430" s="2">
        <v>36</v>
      </c>
      <c r="B430" t="s">
        <v>41</v>
      </c>
      <c r="C430" t="s">
        <v>33</v>
      </c>
      <c r="D430" t="s">
        <v>53</v>
      </c>
      <c r="E430">
        <v>16</v>
      </c>
      <c r="F430" t="s">
        <v>58</v>
      </c>
      <c r="G430">
        <v>2</v>
      </c>
      <c r="H430">
        <v>2</v>
      </c>
      <c r="I430" t="s">
        <v>64</v>
      </c>
      <c r="J430">
        <v>1</v>
      </c>
      <c r="K430" t="s">
        <v>50</v>
      </c>
      <c r="L430">
        <v>5647</v>
      </c>
      <c r="M430">
        <v>4</v>
      </c>
      <c r="N430" t="s">
        <v>41</v>
      </c>
      <c r="O430">
        <v>13</v>
      </c>
      <c r="P430">
        <v>3</v>
      </c>
      <c r="Q430">
        <v>2</v>
      </c>
      <c r="R430">
        <v>11</v>
      </c>
      <c r="S430">
        <v>3</v>
      </c>
      <c r="T430">
        <v>3</v>
      </c>
      <c r="U430">
        <v>0</v>
      </c>
      <c r="V430">
        <v>2</v>
      </c>
      <c r="W430" t="s">
        <v>56</v>
      </c>
      <c r="X430" s="1" t="d">
        <v>2018-03-20</v>
      </c>
      <c r="Z430" t="s">
        <v>45</v>
      </c>
      <c r="AA430" t="s">
        <v>46</v>
      </c>
      <c r="AB430">
        <v>2</v>
      </c>
      <c r="AC430">
        <v>2</v>
      </c>
      <c r="AD430" t="s">
        <v>32</v>
      </c>
      <c r="AE430" t="s">
        <v>47</v>
      </c>
      <c r="AF430" t="s">
        <v>57</v>
      </c>
      <c r="AG430">
        <f>IF(HR_Data[[#This Row],[Attrition]]="Yes",1,0)</f>
        <v>0</v>
      </c>
      <c r="AH430" t="str">
        <f>IF(HR_Data[Date_of_termination]="","Active","Left")</f>
        <v>Active</v>
      </c>
      <c r="AI430" t="str">
        <f>IF(HR_Data[YearsAtCompany]&lt;=2,"Fresher", IF(HR_Data[YearsAtCompany]&lt;=5,"Junior", IF(HR_Data[YearsAtCompany]&lt;=10, "Mid","Senior")))</f>
        <v>Junior</v>
      </c>
      <c r="AJ430" s="2" t="str">
        <f>IF(HR_Data[MonthlyIncome]&lt;=300,"Low", IF(HR_Data[MonthlyIncome]&lt;=7000,"Medium", "High"))</f>
        <v>Medium</v>
      </c>
      <c r="AK430" s="2" t="str">
        <f>VLOOKUP(HR_Data[JobRole], JobRole_Map[], 2, FALSE)</f>
        <v>Sales</v>
      </c>
    </row>
    <row r="431" spans="1:37" x14ac:dyDescent="0.25">
      <c r="A431" s="2">
        <v>25</v>
      </c>
      <c r="B431" t="s">
        <v>32</v>
      </c>
      <c r="C431" t="s">
        <v>33</v>
      </c>
      <c r="D431" t="s">
        <v>53</v>
      </c>
      <c r="E431">
        <v>9</v>
      </c>
      <c r="F431" t="s">
        <v>35</v>
      </c>
      <c r="G431">
        <v>2</v>
      </c>
      <c r="H431">
        <v>1</v>
      </c>
      <c r="I431" t="s">
        <v>54</v>
      </c>
      <c r="J431">
        <v>1</v>
      </c>
      <c r="K431" t="s">
        <v>50</v>
      </c>
      <c r="L431">
        <v>4400</v>
      </c>
      <c r="M431">
        <v>3</v>
      </c>
      <c r="N431" t="s">
        <v>41</v>
      </c>
      <c r="O431">
        <v>12</v>
      </c>
      <c r="P431">
        <v>3</v>
      </c>
      <c r="Q431">
        <v>0</v>
      </c>
      <c r="R431">
        <v>6</v>
      </c>
      <c r="S431">
        <v>2</v>
      </c>
      <c r="T431">
        <v>3</v>
      </c>
      <c r="U431">
        <v>2</v>
      </c>
      <c r="V431">
        <v>2</v>
      </c>
      <c r="W431" t="s">
        <v>65</v>
      </c>
      <c r="X431" s="1" t="d">
        <v>2018-06-07</v>
      </c>
      <c r="Z431" t="s">
        <v>59</v>
      </c>
      <c r="AA431" t="s">
        <v>46</v>
      </c>
      <c r="AB431">
        <v>0</v>
      </c>
      <c r="AC431">
        <v>2</v>
      </c>
      <c r="AD431" t="s">
        <v>32</v>
      </c>
      <c r="AE431" t="s">
        <v>60</v>
      </c>
      <c r="AF431" t="s">
        <v>48</v>
      </c>
      <c r="AG431">
        <f>IF(HR_Data[[#This Row],[Attrition]]="Yes",1,0)</f>
        <v>1</v>
      </c>
      <c r="AH431" t="str">
        <f>IF(HR_Data[Date_of_termination]="","Active","Left")</f>
        <v>Active</v>
      </c>
      <c r="AI431" t="str">
        <f>IF(HR_Data[YearsAtCompany]&lt;=2,"Fresher", IF(HR_Data[YearsAtCompany]&lt;=5,"Junior", IF(HR_Data[YearsAtCompany]&lt;=10, "Mid","Senior")))</f>
        <v>Junior</v>
      </c>
      <c r="AJ431" s="2" t="str">
        <f>IF(HR_Data[MonthlyIncome]&lt;=300,"Low", IF(HR_Data[MonthlyIncome]&lt;=7000,"Medium", "High"))</f>
        <v>Medium</v>
      </c>
      <c r="AK431" s="2" t="str">
        <f>VLOOKUP(HR_Data[JobRole], JobRole_Map[], 2, FALSE)</f>
        <v>Sales</v>
      </c>
    </row>
    <row r="432" spans="1:37" x14ac:dyDescent="0.25">
      <c r="A432" s="2">
        <v>56</v>
      </c>
      <c r="B432" t="s">
        <v>41</v>
      </c>
      <c r="C432" t="s">
        <v>33</v>
      </c>
      <c r="D432" t="s">
        <v>34</v>
      </c>
      <c r="E432">
        <v>1</v>
      </c>
      <c r="F432" t="s">
        <v>58</v>
      </c>
      <c r="G432">
        <v>3</v>
      </c>
      <c r="H432">
        <v>1</v>
      </c>
      <c r="I432" t="s">
        <v>44</v>
      </c>
      <c r="J432">
        <v>1</v>
      </c>
      <c r="K432" t="s">
        <v>50</v>
      </c>
      <c r="L432">
        <v>2066</v>
      </c>
      <c r="M432">
        <v>2</v>
      </c>
      <c r="N432" t="s">
        <v>41</v>
      </c>
      <c r="O432">
        <v>22</v>
      </c>
      <c r="P432">
        <v>4</v>
      </c>
      <c r="Q432">
        <v>1</v>
      </c>
      <c r="R432">
        <v>5</v>
      </c>
      <c r="S432">
        <v>3</v>
      </c>
      <c r="T432">
        <v>3</v>
      </c>
      <c r="U432">
        <v>1</v>
      </c>
      <c r="V432">
        <v>0</v>
      </c>
      <c r="W432" t="s">
        <v>51</v>
      </c>
      <c r="X432" s="1" t="d">
        <v>2018-02-22</v>
      </c>
      <c r="Z432" t="s">
        <v>63</v>
      </c>
      <c r="AA432" t="s">
        <v>46</v>
      </c>
      <c r="AB432">
        <v>2</v>
      </c>
      <c r="AC432">
        <v>3</v>
      </c>
      <c r="AD432" t="s">
        <v>41</v>
      </c>
      <c r="AE432" t="s">
        <v>62</v>
      </c>
      <c r="AF432" t="s">
        <v>48</v>
      </c>
      <c r="AG432">
        <f>IF(HR_Data[[#This Row],[Attrition]]="Yes",1,0)</f>
        <v>0</v>
      </c>
      <c r="AH432" t="str">
        <f>IF(HR_Data[Date_of_termination]="","Active","Left")</f>
        <v>Active</v>
      </c>
      <c r="AI432" t="str">
        <f>IF(HR_Data[YearsAtCompany]&lt;=2,"Fresher", IF(HR_Data[YearsAtCompany]&lt;=5,"Junior", IF(HR_Data[YearsAtCompany]&lt;=10, "Mid","Senior")))</f>
        <v>Junior</v>
      </c>
      <c r="AJ432" s="2" t="str">
        <f>IF(HR_Data[MonthlyIncome]&lt;=300,"Low", IF(HR_Data[MonthlyIncome]&lt;=7000,"Medium", "High"))</f>
        <v>Medium</v>
      </c>
      <c r="AK432" s="2" t="str">
        <f>VLOOKUP(HR_Data[JobRole], JobRole_Map[], 2, FALSE)</f>
        <v>Technical</v>
      </c>
    </row>
    <row r="433" spans="1:37" x14ac:dyDescent="0.25">
      <c r="A433" s="2">
        <v>31</v>
      </c>
      <c r="B433" t="s">
        <v>41</v>
      </c>
      <c r="C433" t="s">
        <v>33</v>
      </c>
      <c r="D433" t="s">
        <v>70</v>
      </c>
      <c r="E433">
        <v>8</v>
      </c>
      <c r="F433" t="s">
        <v>58</v>
      </c>
      <c r="G433">
        <v>4</v>
      </c>
      <c r="H433">
        <v>1</v>
      </c>
      <c r="I433" t="s">
        <v>70</v>
      </c>
      <c r="J433">
        <v>2</v>
      </c>
      <c r="K433" t="s">
        <v>37</v>
      </c>
      <c r="L433">
        <v>2109</v>
      </c>
      <c r="M433">
        <v>9</v>
      </c>
      <c r="N433" t="s">
        <v>41</v>
      </c>
      <c r="O433">
        <v>18</v>
      </c>
      <c r="P433">
        <v>3</v>
      </c>
      <c r="Q433">
        <v>0</v>
      </c>
      <c r="R433">
        <v>8</v>
      </c>
      <c r="S433">
        <v>3</v>
      </c>
      <c r="T433">
        <v>3</v>
      </c>
      <c r="U433">
        <v>0</v>
      </c>
      <c r="V433">
        <v>2</v>
      </c>
      <c r="W433" t="s">
        <v>38</v>
      </c>
      <c r="X433" s="1" t="d">
        <v>2018-06-12</v>
      </c>
      <c r="Z433" t="s">
        <v>45</v>
      </c>
      <c r="AA433" t="s">
        <v>46</v>
      </c>
      <c r="AB433">
        <v>5</v>
      </c>
      <c r="AC433">
        <v>3</v>
      </c>
      <c r="AD433" t="s">
        <v>32</v>
      </c>
      <c r="AE433" t="s">
        <v>60</v>
      </c>
      <c r="AF433" t="s">
        <v>48</v>
      </c>
      <c r="AG433">
        <f>IF(HR_Data[[#This Row],[Attrition]]="Yes",1,0)</f>
        <v>0</v>
      </c>
      <c r="AH433" t="str">
        <f>IF(HR_Data[Date_of_termination]="","Active","Left")</f>
        <v>Active</v>
      </c>
      <c r="AI433" t="str">
        <f>IF(HR_Data[YearsAtCompany]&lt;=2,"Fresher", IF(HR_Data[YearsAtCompany]&lt;=5,"Junior", IF(HR_Data[YearsAtCompany]&lt;=10, "Mid","Senior")))</f>
        <v>Junior</v>
      </c>
      <c r="AJ433" s="2" t="str">
        <f>IF(HR_Data[MonthlyIncome]&lt;=300,"Low", IF(HR_Data[MonthlyIncome]&lt;=7000,"Medium", "High"))</f>
        <v>Medium</v>
      </c>
      <c r="AK433" s="2" t="str">
        <f>VLOOKUP(HR_Data[JobRole], JobRole_Map[], 2, FALSE)</f>
        <v>HR</v>
      </c>
    </row>
    <row r="434" spans="1:37" x14ac:dyDescent="0.25">
      <c r="A434" s="2">
        <v>45</v>
      </c>
      <c r="B434" t="s">
        <v>41</v>
      </c>
      <c r="C434" t="s">
        <v>33</v>
      </c>
      <c r="D434" t="s">
        <v>34</v>
      </c>
      <c r="E434">
        <v>29</v>
      </c>
      <c r="F434" t="s">
        <v>35</v>
      </c>
      <c r="G434">
        <v>3</v>
      </c>
      <c r="H434">
        <v>3</v>
      </c>
      <c r="I434" t="s">
        <v>67</v>
      </c>
      <c r="J434">
        <v>4</v>
      </c>
      <c r="K434" t="s">
        <v>50</v>
      </c>
      <c r="L434">
        <v>9380</v>
      </c>
      <c r="M434">
        <v>4</v>
      </c>
      <c r="N434" t="s">
        <v>32</v>
      </c>
      <c r="O434">
        <v>18</v>
      </c>
      <c r="P434">
        <v>3</v>
      </c>
      <c r="Q434">
        <v>2</v>
      </c>
      <c r="R434">
        <v>10</v>
      </c>
      <c r="S434">
        <v>4</v>
      </c>
      <c r="T434">
        <v>3</v>
      </c>
      <c r="U434">
        <v>1</v>
      </c>
      <c r="V434">
        <v>2</v>
      </c>
      <c r="W434" t="s">
        <v>65</v>
      </c>
      <c r="X434" s="1" t="d">
        <v>2018-03-29</v>
      </c>
      <c r="Z434" t="s">
        <v>63</v>
      </c>
      <c r="AA434" t="s">
        <v>46</v>
      </c>
      <c r="AB434">
        <v>5</v>
      </c>
      <c r="AC434">
        <v>1</v>
      </c>
      <c r="AD434" t="s">
        <v>41</v>
      </c>
      <c r="AE434" t="s">
        <v>42</v>
      </c>
      <c r="AF434" t="s">
        <v>57</v>
      </c>
      <c r="AG434">
        <f>IF(HR_Data[[#This Row],[Attrition]]="Yes",1,0)</f>
        <v>0</v>
      </c>
      <c r="AH434" t="str">
        <f>IF(HR_Data[Date_of_termination]="","Active","Left")</f>
        <v>Active</v>
      </c>
      <c r="AI434" t="str">
        <f>IF(HR_Data[YearsAtCompany]&lt;=2,"Fresher", IF(HR_Data[YearsAtCompany]&lt;=5,"Junior", IF(HR_Data[YearsAtCompany]&lt;=10, "Mid","Senior")))</f>
        <v>Junior</v>
      </c>
      <c r="AJ434" s="2" t="str">
        <f>IF(HR_Data[MonthlyIncome]&lt;=300,"Low", IF(HR_Data[MonthlyIncome]&lt;=7000,"Medium", "High"))</f>
        <v>High</v>
      </c>
      <c r="AK434" s="2" t="str">
        <f>VLOOKUP(HR_Data[JobRole], JobRole_Map[], 2, FALSE)</f>
        <v>Operations</v>
      </c>
    </row>
    <row r="435" spans="1:37" x14ac:dyDescent="0.25">
      <c r="A435" s="2">
        <v>49</v>
      </c>
      <c r="B435" t="s">
        <v>41</v>
      </c>
      <c r="C435" t="s">
        <v>33</v>
      </c>
      <c r="D435" t="s">
        <v>34</v>
      </c>
      <c r="E435">
        <v>5</v>
      </c>
      <c r="F435" t="s">
        <v>35</v>
      </c>
      <c r="G435">
        <v>3</v>
      </c>
      <c r="H435">
        <v>2</v>
      </c>
      <c r="I435" t="s">
        <v>69</v>
      </c>
      <c r="J435">
        <v>3</v>
      </c>
      <c r="K435" t="s">
        <v>50</v>
      </c>
      <c r="L435">
        <v>6651</v>
      </c>
      <c r="M435">
        <v>2</v>
      </c>
      <c r="N435" t="s">
        <v>41</v>
      </c>
      <c r="O435">
        <v>14</v>
      </c>
      <c r="P435">
        <v>3</v>
      </c>
      <c r="Q435">
        <v>1</v>
      </c>
      <c r="R435">
        <v>20</v>
      </c>
      <c r="S435">
        <v>0</v>
      </c>
      <c r="T435">
        <v>3</v>
      </c>
      <c r="U435">
        <v>1</v>
      </c>
      <c r="V435">
        <v>2</v>
      </c>
      <c r="W435" t="s">
        <v>65</v>
      </c>
      <c r="X435" s="1" t="d">
        <v>2018-02-23</v>
      </c>
      <c r="Z435" t="s">
        <v>39</v>
      </c>
      <c r="AA435" t="s">
        <v>46</v>
      </c>
      <c r="AB435">
        <v>4</v>
      </c>
      <c r="AC435">
        <v>0</v>
      </c>
      <c r="AD435" t="s">
        <v>32</v>
      </c>
      <c r="AE435" t="s">
        <v>42</v>
      </c>
      <c r="AF435" t="s">
        <v>57</v>
      </c>
      <c r="AG435">
        <f>IF(HR_Data[[#This Row],[Attrition]]="Yes",1,0)</f>
        <v>0</v>
      </c>
      <c r="AH435" t="str">
        <f>IF(HR_Data[Date_of_termination]="","Active","Left")</f>
        <v>Active</v>
      </c>
      <c r="AI435" t="str">
        <f>IF(HR_Data[YearsAtCompany]&lt;=2,"Fresher", IF(HR_Data[YearsAtCompany]&lt;=5,"Junior", IF(HR_Data[YearsAtCompany]&lt;=10, "Mid","Senior")))</f>
        <v>Junior</v>
      </c>
      <c r="AJ435" s="2" t="str">
        <f>IF(HR_Data[MonthlyIncome]&lt;=300,"Low", IF(HR_Data[MonthlyIncome]&lt;=7000,"Medium", "High"))</f>
        <v>Medium</v>
      </c>
      <c r="AK435" s="2" t="str">
        <f>VLOOKUP(HR_Data[JobRole], JobRole_Map[], 2, FALSE)</f>
        <v>Operations</v>
      </c>
    </row>
    <row r="436" spans="1:37" x14ac:dyDescent="0.25">
      <c r="A436" s="2">
        <v>40</v>
      </c>
      <c r="B436" t="s">
        <v>41</v>
      </c>
      <c r="C436" t="s">
        <v>33</v>
      </c>
      <c r="D436" t="s">
        <v>34</v>
      </c>
      <c r="E436">
        <v>2</v>
      </c>
      <c r="F436" t="s">
        <v>35</v>
      </c>
      <c r="G436">
        <v>3</v>
      </c>
      <c r="H436">
        <v>1</v>
      </c>
      <c r="I436" t="s">
        <v>44</v>
      </c>
      <c r="J436">
        <v>3</v>
      </c>
      <c r="K436" t="s">
        <v>55</v>
      </c>
      <c r="L436">
        <v>2345</v>
      </c>
      <c r="M436">
        <v>2</v>
      </c>
      <c r="N436" t="s">
        <v>41</v>
      </c>
      <c r="O436">
        <v>14</v>
      </c>
      <c r="P436">
        <v>3</v>
      </c>
      <c r="Q436">
        <v>1</v>
      </c>
      <c r="R436">
        <v>8</v>
      </c>
      <c r="S436">
        <v>3</v>
      </c>
      <c r="T436">
        <v>3</v>
      </c>
      <c r="U436">
        <v>1</v>
      </c>
      <c r="V436">
        <v>2</v>
      </c>
      <c r="W436" t="s">
        <v>56</v>
      </c>
      <c r="X436" s="1" t="d">
        <v>2018-04-07</v>
      </c>
      <c r="Z436" t="s">
        <v>63</v>
      </c>
      <c r="AA436" t="s">
        <v>46</v>
      </c>
      <c r="AB436">
        <v>4</v>
      </c>
      <c r="AC436">
        <v>1</v>
      </c>
      <c r="AD436" t="s">
        <v>41</v>
      </c>
      <c r="AE436" t="s">
        <v>47</v>
      </c>
      <c r="AF436" t="s">
        <v>57</v>
      </c>
      <c r="AG436">
        <f>IF(HR_Data[[#This Row],[Attrition]]="Yes",1,0)</f>
        <v>0</v>
      </c>
      <c r="AH436" t="str">
        <f>IF(HR_Data[Date_of_termination]="","Active","Left")</f>
        <v>Active</v>
      </c>
      <c r="AI436" t="str">
        <f>IF(HR_Data[YearsAtCompany]&lt;=2,"Fresher", IF(HR_Data[YearsAtCompany]&lt;=5,"Junior", IF(HR_Data[YearsAtCompany]&lt;=10, "Mid","Senior")))</f>
        <v>Junior</v>
      </c>
      <c r="AJ436" s="2" t="str">
        <f>IF(HR_Data[MonthlyIncome]&lt;=300,"Low", IF(HR_Data[MonthlyIncome]&lt;=7000,"Medium", "High"))</f>
        <v>Medium</v>
      </c>
      <c r="AK436" s="2" t="str">
        <f>VLOOKUP(HR_Data[JobRole], JobRole_Map[], 2, FALSE)</f>
        <v>Technical</v>
      </c>
    </row>
    <row r="437" spans="1:37" x14ac:dyDescent="0.25">
      <c r="A437" s="2">
        <v>28</v>
      </c>
      <c r="B437" t="s">
        <v>32</v>
      </c>
      <c r="C437" t="s">
        <v>61</v>
      </c>
      <c r="D437" t="s">
        <v>53</v>
      </c>
      <c r="E437">
        <v>1</v>
      </c>
      <c r="F437" t="s">
        <v>35</v>
      </c>
      <c r="G437">
        <v>3</v>
      </c>
      <c r="H437">
        <v>1</v>
      </c>
      <c r="I437" t="s">
        <v>54</v>
      </c>
      <c r="J437">
        <v>3</v>
      </c>
      <c r="K437" t="s">
        <v>50</v>
      </c>
      <c r="L437">
        <v>2909</v>
      </c>
      <c r="M437">
        <v>3</v>
      </c>
      <c r="N437" t="s">
        <v>41</v>
      </c>
      <c r="O437">
        <v>15</v>
      </c>
      <c r="P437">
        <v>3</v>
      </c>
      <c r="Q437">
        <v>1</v>
      </c>
      <c r="R437">
        <v>5</v>
      </c>
      <c r="S437">
        <v>3</v>
      </c>
      <c r="T437">
        <v>3</v>
      </c>
      <c r="U437">
        <v>1</v>
      </c>
      <c r="V437">
        <v>2</v>
      </c>
      <c r="W437" t="s">
        <v>56</v>
      </c>
      <c r="X437" s="1" t="d">
        <v>2018-03-04</v>
      </c>
      <c r="Z437" t="s">
        <v>59</v>
      </c>
      <c r="AA437" t="s">
        <v>40</v>
      </c>
      <c r="AB437">
        <v>1</v>
      </c>
      <c r="AC437">
        <v>0</v>
      </c>
      <c r="AD437" t="s">
        <v>41</v>
      </c>
      <c r="AE437" t="s">
        <v>47</v>
      </c>
      <c r="AF437" t="s">
        <v>48</v>
      </c>
      <c r="AG437">
        <f>IF(HR_Data[[#This Row],[Attrition]]="Yes",1,0)</f>
        <v>1</v>
      </c>
      <c r="AH437" t="str">
        <f>IF(HR_Data[Date_of_termination]="","Active","Left")</f>
        <v>Active</v>
      </c>
      <c r="AI437" t="str">
        <f>IF(HR_Data[YearsAtCompany]&lt;=2,"Fresher", IF(HR_Data[YearsAtCompany]&lt;=5,"Junior", IF(HR_Data[YearsAtCompany]&lt;=10, "Mid","Senior")))</f>
        <v>Junior</v>
      </c>
      <c r="AJ437" s="2" t="str">
        <f>IF(HR_Data[MonthlyIncome]&lt;=300,"Low", IF(HR_Data[MonthlyIncome]&lt;=7000,"Medium", "High"))</f>
        <v>Medium</v>
      </c>
      <c r="AK437" s="2" t="str">
        <f>VLOOKUP(HR_Data[JobRole], JobRole_Map[], 2, FALSE)</f>
        <v>Sales</v>
      </c>
    </row>
    <row r="438" spans="1:37" x14ac:dyDescent="0.25">
      <c r="A438" s="2">
        <v>55</v>
      </c>
      <c r="B438" t="s">
        <v>41</v>
      </c>
      <c r="C438" t="s">
        <v>33</v>
      </c>
      <c r="D438" t="s">
        <v>34</v>
      </c>
      <c r="E438">
        <v>4</v>
      </c>
      <c r="F438" t="s">
        <v>35</v>
      </c>
      <c r="G438">
        <v>3</v>
      </c>
      <c r="H438">
        <v>2</v>
      </c>
      <c r="I438" t="s">
        <v>69</v>
      </c>
      <c r="J438">
        <v>3</v>
      </c>
      <c r="K438" t="s">
        <v>50</v>
      </c>
      <c r="L438">
        <v>4035</v>
      </c>
      <c r="M438">
        <v>0</v>
      </c>
      <c r="N438" t="s">
        <v>32</v>
      </c>
      <c r="O438">
        <v>16</v>
      </c>
      <c r="P438">
        <v>3</v>
      </c>
      <c r="Q438">
        <v>0</v>
      </c>
      <c r="R438">
        <v>4</v>
      </c>
      <c r="S438">
        <v>2</v>
      </c>
      <c r="T438">
        <v>3</v>
      </c>
      <c r="U438">
        <v>1</v>
      </c>
      <c r="V438">
        <v>2</v>
      </c>
      <c r="W438" t="s">
        <v>65</v>
      </c>
      <c r="X438" s="1" t="d">
        <v>2018-02-03</v>
      </c>
      <c r="Z438" t="s">
        <v>63</v>
      </c>
      <c r="AA438" t="s">
        <v>46</v>
      </c>
      <c r="AB438">
        <v>0</v>
      </c>
      <c r="AC438">
        <v>2</v>
      </c>
      <c r="AD438" t="s">
        <v>41</v>
      </c>
      <c r="AE438" t="s">
        <v>62</v>
      </c>
      <c r="AF438" t="s">
        <v>43</v>
      </c>
      <c r="AG438">
        <f>IF(HR_Data[[#This Row],[Attrition]]="Yes",1,0)</f>
        <v>0</v>
      </c>
      <c r="AH438" t="str">
        <f>IF(HR_Data[Date_of_termination]="","Active","Left")</f>
        <v>Active</v>
      </c>
      <c r="AI438" t="str">
        <f>IF(HR_Data[YearsAtCompany]&lt;=2,"Fresher", IF(HR_Data[YearsAtCompany]&lt;=5,"Junior", IF(HR_Data[YearsAtCompany]&lt;=10, "Mid","Senior")))</f>
        <v>Junior</v>
      </c>
      <c r="AJ438" s="2" t="str">
        <f>IF(HR_Data[MonthlyIncome]&lt;=300,"Low", IF(HR_Data[MonthlyIncome]&lt;=7000,"Medium", "High"))</f>
        <v>Medium</v>
      </c>
      <c r="AK438" s="2" t="str">
        <f>VLOOKUP(HR_Data[JobRole], JobRole_Map[], 2, FALSE)</f>
        <v>Operations</v>
      </c>
    </row>
    <row r="439" spans="1:37" x14ac:dyDescent="0.25">
      <c r="A439" s="2">
        <v>49</v>
      </c>
      <c r="B439" t="s">
        <v>41</v>
      </c>
      <c r="C439" t="s">
        <v>33</v>
      </c>
      <c r="D439" t="s">
        <v>34</v>
      </c>
      <c r="E439">
        <v>3</v>
      </c>
      <c r="F439" t="s">
        <v>58</v>
      </c>
      <c r="G439">
        <v>2</v>
      </c>
      <c r="H439">
        <v>2</v>
      </c>
      <c r="I439" t="s">
        <v>36</v>
      </c>
      <c r="J439">
        <v>1</v>
      </c>
      <c r="K439" t="s">
        <v>50</v>
      </c>
      <c r="L439">
        <v>4789</v>
      </c>
      <c r="M439">
        <v>4</v>
      </c>
      <c r="N439" t="s">
        <v>41</v>
      </c>
      <c r="O439">
        <v>25</v>
      </c>
      <c r="P439">
        <v>4</v>
      </c>
      <c r="Q439">
        <v>1</v>
      </c>
      <c r="R439">
        <v>10</v>
      </c>
      <c r="S439">
        <v>3</v>
      </c>
      <c r="T439">
        <v>3</v>
      </c>
      <c r="U439">
        <v>1</v>
      </c>
      <c r="V439">
        <v>2</v>
      </c>
      <c r="W439" t="s">
        <v>65</v>
      </c>
      <c r="X439" s="1" t="d">
        <v>2018-03-14</v>
      </c>
      <c r="Z439" t="s">
        <v>59</v>
      </c>
      <c r="AA439" t="s">
        <v>40</v>
      </c>
      <c r="AB439">
        <v>3</v>
      </c>
      <c r="AC439">
        <v>2</v>
      </c>
      <c r="AD439" t="s">
        <v>32</v>
      </c>
      <c r="AE439" t="s">
        <v>47</v>
      </c>
      <c r="AF439" t="s">
        <v>48</v>
      </c>
      <c r="AG439">
        <f>IF(HR_Data[[#This Row],[Attrition]]="Yes",1,0)</f>
        <v>0</v>
      </c>
      <c r="AH439" t="str">
        <f>IF(HR_Data[Date_of_termination]="","Active","Left")</f>
        <v>Active</v>
      </c>
      <c r="AI439" t="str">
        <f>IF(HR_Data[YearsAtCompany]&lt;=2,"Fresher", IF(HR_Data[YearsAtCompany]&lt;=5,"Junior", IF(HR_Data[YearsAtCompany]&lt;=10, "Mid","Senior")))</f>
        <v>Junior</v>
      </c>
      <c r="AJ439" s="2" t="str">
        <f>IF(HR_Data[MonthlyIncome]&lt;=300,"Low", IF(HR_Data[MonthlyIncome]&lt;=7000,"Medium", "High"))</f>
        <v>Medium</v>
      </c>
      <c r="AK439" s="2" t="str">
        <f>VLOOKUP(HR_Data[JobRole], JobRole_Map[], 2, FALSE)</f>
        <v>Technical</v>
      </c>
    </row>
    <row r="440" spans="1:37" x14ac:dyDescent="0.25">
      <c r="A440" s="2">
        <v>29</v>
      </c>
      <c r="B440" t="s">
        <v>41</v>
      </c>
      <c r="C440" t="s">
        <v>61</v>
      </c>
      <c r="D440" t="s">
        <v>34</v>
      </c>
      <c r="E440">
        <v>2</v>
      </c>
      <c r="F440" t="s">
        <v>58</v>
      </c>
      <c r="G440">
        <v>3</v>
      </c>
      <c r="H440">
        <v>1</v>
      </c>
      <c r="I440" t="s">
        <v>36</v>
      </c>
      <c r="J440">
        <v>2</v>
      </c>
      <c r="K440" t="s">
        <v>50</v>
      </c>
      <c r="L440">
        <v>3180</v>
      </c>
      <c r="M440">
        <v>0</v>
      </c>
      <c r="N440" t="s">
        <v>41</v>
      </c>
      <c r="O440">
        <v>13</v>
      </c>
      <c r="P440">
        <v>3</v>
      </c>
      <c r="Q440">
        <v>3</v>
      </c>
      <c r="R440">
        <v>4</v>
      </c>
      <c r="S440">
        <v>3</v>
      </c>
      <c r="T440">
        <v>3</v>
      </c>
      <c r="U440">
        <v>0</v>
      </c>
      <c r="V440">
        <v>2</v>
      </c>
      <c r="W440" t="s">
        <v>65</v>
      </c>
      <c r="X440" s="1" t="d">
        <v>2018-04-27</v>
      </c>
      <c r="Z440" t="s">
        <v>39</v>
      </c>
      <c r="AA440" t="s">
        <v>40</v>
      </c>
      <c r="AB440">
        <v>2</v>
      </c>
      <c r="AC440">
        <v>2</v>
      </c>
      <c r="AD440" t="s">
        <v>41</v>
      </c>
      <c r="AE440" t="s">
        <v>47</v>
      </c>
      <c r="AF440" t="s">
        <v>43</v>
      </c>
      <c r="AG440">
        <f>IF(HR_Data[[#This Row],[Attrition]]="Yes",1,0)</f>
        <v>0</v>
      </c>
      <c r="AH440" t="str">
        <f>IF(HR_Data[Date_of_termination]="","Active","Left")</f>
        <v>Active</v>
      </c>
      <c r="AI440" t="str">
        <f>IF(HR_Data[YearsAtCompany]&lt;=2,"Fresher", IF(HR_Data[YearsAtCompany]&lt;=5,"Junior", IF(HR_Data[YearsAtCompany]&lt;=10, "Mid","Senior")))</f>
        <v>Junior</v>
      </c>
      <c r="AJ440" s="2" t="str">
        <f>IF(HR_Data[MonthlyIncome]&lt;=300,"Low", IF(HR_Data[MonthlyIncome]&lt;=7000,"Medium", "High"))</f>
        <v>Medium</v>
      </c>
      <c r="AK440" s="2" t="str">
        <f>VLOOKUP(HR_Data[JobRole], JobRole_Map[], 2, FALSE)</f>
        <v>Technical</v>
      </c>
    </row>
    <row r="441" spans="1:37" x14ac:dyDescent="0.25">
      <c r="A441" s="2">
        <v>36</v>
      </c>
      <c r="B441" t="s">
        <v>41</v>
      </c>
      <c r="C441" t="s">
        <v>33</v>
      </c>
      <c r="D441" t="s">
        <v>53</v>
      </c>
      <c r="E441">
        <v>2</v>
      </c>
      <c r="F441" t="s">
        <v>35</v>
      </c>
      <c r="G441">
        <v>3</v>
      </c>
      <c r="H441">
        <v>1</v>
      </c>
      <c r="I441" t="s">
        <v>54</v>
      </c>
      <c r="J441">
        <v>4</v>
      </c>
      <c r="K441" t="s">
        <v>37</v>
      </c>
      <c r="L441">
        <v>2644</v>
      </c>
      <c r="M441">
        <v>3</v>
      </c>
      <c r="N441" t="s">
        <v>32</v>
      </c>
      <c r="O441">
        <v>21</v>
      </c>
      <c r="P441">
        <v>4</v>
      </c>
      <c r="Q441">
        <v>0</v>
      </c>
      <c r="R441">
        <v>7</v>
      </c>
      <c r="S441">
        <v>3</v>
      </c>
      <c r="T441">
        <v>3</v>
      </c>
      <c r="U441">
        <v>1</v>
      </c>
      <c r="V441">
        <v>2</v>
      </c>
      <c r="W441" t="s">
        <v>65</v>
      </c>
      <c r="X441" s="1" t="d">
        <v>2018-02-27</v>
      </c>
      <c r="Z441" t="s">
        <v>59</v>
      </c>
      <c r="AA441" t="s">
        <v>40</v>
      </c>
      <c r="AB441">
        <v>5</v>
      </c>
      <c r="AC441">
        <v>0</v>
      </c>
      <c r="AD441" t="s">
        <v>32</v>
      </c>
      <c r="AE441" t="s">
        <v>62</v>
      </c>
      <c r="AF441" t="s">
        <v>57</v>
      </c>
      <c r="AG441">
        <f>IF(HR_Data[[#This Row],[Attrition]]="Yes",1,0)</f>
        <v>0</v>
      </c>
      <c r="AH441" t="str">
        <f>IF(HR_Data[Date_of_termination]="","Active","Left")</f>
        <v>Active</v>
      </c>
      <c r="AI441" t="str">
        <f>IF(HR_Data[YearsAtCompany]&lt;=2,"Fresher", IF(HR_Data[YearsAtCompany]&lt;=5,"Junior", IF(HR_Data[YearsAtCompany]&lt;=10, "Mid","Senior")))</f>
        <v>Junior</v>
      </c>
      <c r="AJ441" s="2" t="str">
        <f>IF(HR_Data[MonthlyIncome]&lt;=300,"Low", IF(HR_Data[MonthlyIncome]&lt;=7000,"Medium", "High"))</f>
        <v>Medium</v>
      </c>
      <c r="AK441" s="2" t="str">
        <f>VLOOKUP(HR_Data[JobRole], JobRole_Map[], 2, FALSE)</f>
        <v>Sales</v>
      </c>
    </row>
    <row r="442" spans="1:37" x14ac:dyDescent="0.25">
      <c r="A442" s="2">
        <v>35</v>
      </c>
      <c r="B442" t="s">
        <v>41</v>
      </c>
      <c r="C442" t="s">
        <v>33</v>
      </c>
      <c r="D442" t="s">
        <v>34</v>
      </c>
      <c r="E442">
        <v>1</v>
      </c>
      <c r="F442" t="s">
        <v>35</v>
      </c>
      <c r="G442">
        <v>2</v>
      </c>
      <c r="H442">
        <v>1</v>
      </c>
      <c r="I442" t="s">
        <v>36</v>
      </c>
      <c r="J442">
        <v>1</v>
      </c>
      <c r="K442" t="s">
        <v>37</v>
      </c>
      <c r="L442">
        <v>2450</v>
      </c>
      <c r="M442">
        <v>1</v>
      </c>
      <c r="N442" t="s">
        <v>41</v>
      </c>
      <c r="O442">
        <v>19</v>
      </c>
      <c r="P442">
        <v>3</v>
      </c>
      <c r="Q442">
        <v>0</v>
      </c>
      <c r="R442">
        <v>3</v>
      </c>
      <c r="S442">
        <v>3</v>
      </c>
      <c r="T442">
        <v>3</v>
      </c>
      <c r="U442">
        <v>1</v>
      </c>
      <c r="V442">
        <v>2</v>
      </c>
      <c r="W442" t="s">
        <v>38</v>
      </c>
      <c r="X442" s="1" t="d">
        <v>2018-06-01</v>
      </c>
      <c r="Z442" t="s">
        <v>59</v>
      </c>
      <c r="AA442" t="s">
        <v>46</v>
      </c>
      <c r="AB442">
        <v>3</v>
      </c>
      <c r="AC442">
        <v>3</v>
      </c>
      <c r="AD442" t="s">
        <v>32</v>
      </c>
      <c r="AE442" t="s">
        <v>47</v>
      </c>
      <c r="AF442" t="s">
        <v>48</v>
      </c>
      <c r="AG442">
        <f>IF(HR_Data[[#This Row],[Attrition]]="Yes",1,0)</f>
        <v>0</v>
      </c>
      <c r="AH442" t="str">
        <f>IF(HR_Data[Date_of_termination]="","Active","Left")</f>
        <v>Active</v>
      </c>
      <c r="AI442" t="str">
        <f>IF(HR_Data[YearsAtCompany]&lt;=2,"Fresher", IF(HR_Data[YearsAtCompany]&lt;=5,"Junior", IF(HR_Data[YearsAtCompany]&lt;=10, "Mid","Senior")))</f>
        <v>Junior</v>
      </c>
      <c r="AJ442" s="2" t="str">
        <f>IF(HR_Data[MonthlyIncome]&lt;=300,"Low", IF(HR_Data[MonthlyIncome]&lt;=7000,"Medium", "High"))</f>
        <v>Medium</v>
      </c>
      <c r="AK442" s="2" t="str">
        <f>VLOOKUP(HR_Data[JobRole], JobRole_Map[], 2, FALSE)</f>
        <v>Technical</v>
      </c>
    </row>
    <row r="443" spans="1:37" x14ac:dyDescent="0.25">
      <c r="A443" s="2">
        <v>38</v>
      </c>
      <c r="B443" t="s">
        <v>41</v>
      </c>
      <c r="C443" t="s">
        <v>33</v>
      </c>
      <c r="D443" t="s">
        <v>53</v>
      </c>
      <c r="E443">
        <v>16</v>
      </c>
      <c r="F443" t="s">
        <v>58</v>
      </c>
      <c r="G443">
        <v>3</v>
      </c>
      <c r="H443">
        <v>2</v>
      </c>
      <c r="I443" t="s">
        <v>64</v>
      </c>
      <c r="J443">
        <v>2</v>
      </c>
      <c r="K443" t="s">
        <v>37</v>
      </c>
      <c r="L443">
        <v>4198</v>
      </c>
      <c r="M443">
        <v>2</v>
      </c>
      <c r="N443" t="s">
        <v>41</v>
      </c>
      <c r="O443">
        <v>12</v>
      </c>
      <c r="P443">
        <v>3</v>
      </c>
      <c r="Q443">
        <v>0</v>
      </c>
      <c r="R443">
        <v>8</v>
      </c>
      <c r="S443">
        <v>5</v>
      </c>
      <c r="T443">
        <v>3</v>
      </c>
      <c r="U443">
        <v>1</v>
      </c>
      <c r="V443">
        <v>2</v>
      </c>
      <c r="W443" t="s">
        <v>65</v>
      </c>
      <c r="X443" s="1" t="d">
        <v>2018-04-11</v>
      </c>
      <c r="Z443" t="s">
        <v>45</v>
      </c>
      <c r="AA443" t="s">
        <v>46</v>
      </c>
      <c r="AB443">
        <v>5</v>
      </c>
      <c r="AC443">
        <v>1</v>
      </c>
      <c r="AD443" t="s">
        <v>41</v>
      </c>
      <c r="AE443" t="s">
        <v>42</v>
      </c>
      <c r="AF443" t="s">
        <v>57</v>
      </c>
      <c r="AG443">
        <f>IF(HR_Data[[#This Row],[Attrition]]="Yes",1,0)</f>
        <v>0</v>
      </c>
      <c r="AH443" t="str">
        <f>IF(HR_Data[Date_of_termination]="","Active","Left")</f>
        <v>Active</v>
      </c>
      <c r="AI443" t="str">
        <f>IF(HR_Data[YearsAtCompany]&lt;=2,"Fresher", IF(HR_Data[YearsAtCompany]&lt;=5,"Junior", IF(HR_Data[YearsAtCompany]&lt;=10, "Mid","Senior")))</f>
        <v>Junior</v>
      </c>
      <c r="AJ443" s="2" t="str">
        <f>IF(HR_Data[MonthlyIncome]&lt;=300,"Low", IF(HR_Data[MonthlyIncome]&lt;=7000,"Medium", "High"))</f>
        <v>Medium</v>
      </c>
      <c r="AK443" s="2" t="str">
        <f>VLOOKUP(HR_Data[JobRole], JobRole_Map[], 2, FALSE)</f>
        <v>Sales</v>
      </c>
    </row>
    <row r="444" spans="1:37" x14ac:dyDescent="0.25">
      <c r="A444" s="2">
        <v>36</v>
      </c>
      <c r="B444" t="s">
        <v>41</v>
      </c>
      <c r="C444" t="s">
        <v>61</v>
      </c>
      <c r="D444" t="s">
        <v>34</v>
      </c>
      <c r="E444">
        <v>6</v>
      </c>
      <c r="F444" t="s">
        <v>35</v>
      </c>
      <c r="G444">
        <v>4</v>
      </c>
      <c r="H444">
        <v>2</v>
      </c>
      <c r="I444" t="s">
        <v>36</v>
      </c>
      <c r="J444">
        <v>1</v>
      </c>
      <c r="K444" t="s">
        <v>50</v>
      </c>
      <c r="L444">
        <v>5562</v>
      </c>
      <c r="M444">
        <v>3</v>
      </c>
      <c r="N444" t="s">
        <v>32</v>
      </c>
      <c r="O444">
        <v>13</v>
      </c>
      <c r="P444">
        <v>3</v>
      </c>
      <c r="Q444">
        <v>1</v>
      </c>
      <c r="R444">
        <v>9</v>
      </c>
      <c r="S444">
        <v>3</v>
      </c>
      <c r="T444">
        <v>3</v>
      </c>
      <c r="U444">
        <v>0</v>
      </c>
      <c r="V444">
        <v>2</v>
      </c>
      <c r="W444" t="s">
        <v>38</v>
      </c>
      <c r="X444" s="1" t="d">
        <v>2018-02-05</v>
      </c>
      <c r="Z444" t="s">
        <v>59</v>
      </c>
      <c r="AA444" t="s">
        <v>46</v>
      </c>
      <c r="AB444">
        <v>0</v>
      </c>
      <c r="AC444">
        <v>3</v>
      </c>
      <c r="AD444" t="s">
        <v>32</v>
      </c>
      <c r="AE444" t="s">
        <v>42</v>
      </c>
      <c r="AF444" t="s">
        <v>48</v>
      </c>
      <c r="AG444">
        <f>IF(HR_Data[[#This Row],[Attrition]]="Yes",1,0)</f>
        <v>0</v>
      </c>
      <c r="AH444" t="str">
        <f>IF(HR_Data[Date_of_termination]="","Active","Left")</f>
        <v>Active</v>
      </c>
      <c r="AI444" t="str">
        <f>IF(HR_Data[YearsAtCompany]&lt;=2,"Fresher", IF(HR_Data[YearsAtCompany]&lt;=5,"Junior", IF(HR_Data[YearsAtCompany]&lt;=10, "Mid","Senior")))</f>
        <v>Junior</v>
      </c>
      <c r="AJ444" s="2" t="str">
        <f>IF(HR_Data[MonthlyIncome]&lt;=300,"Low", IF(HR_Data[MonthlyIncome]&lt;=7000,"Medium", "High"))</f>
        <v>Medium</v>
      </c>
      <c r="AK444" s="2" t="str">
        <f>VLOOKUP(HR_Data[JobRole], JobRole_Map[], 2, FALSE)</f>
        <v>Technical</v>
      </c>
    </row>
    <row r="445" spans="1:37" x14ac:dyDescent="0.25">
      <c r="A445" s="2">
        <v>32</v>
      </c>
      <c r="B445" t="s">
        <v>41</v>
      </c>
      <c r="C445" t="s">
        <v>33</v>
      </c>
      <c r="D445" t="s">
        <v>34</v>
      </c>
      <c r="E445">
        <v>5</v>
      </c>
      <c r="F445" t="s">
        <v>58</v>
      </c>
      <c r="G445">
        <v>4</v>
      </c>
      <c r="H445">
        <v>1</v>
      </c>
      <c r="I445" t="s">
        <v>44</v>
      </c>
      <c r="J445">
        <v>4</v>
      </c>
      <c r="K445" t="s">
        <v>50</v>
      </c>
      <c r="L445">
        <v>3312</v>
      </c>
      <c r="M445">
        <v>3</v>
      </c>
      <c r="N445" t="s">
        <v>41</v>
      </c>
      <c r="O445">
        <v>17</v>
      </c>
      <c r="P445">
        <v>3</v>
      </c>
      <c r="Q445">
        <v>2</v>
      </c>
      <c r="R445">
        <v>6</v>
      </c>
      <c r="S445">
        <v>3</v>
      </c>
      <c r="T445">
        <v>3</v>
      </c>
      <c r="U445">
        <v>0</v>
      </c>
      <c r="V445">
        <v>2</v>
      </c>
      <c r="W445" t="s">
        <v>38</v>
      </c>
      <c r="X445" s="1" t="d">
        <v>2018-01-01</v>
      </c>
      <c r="Z445" t="s">
        <v>45</v>
      </c>
      <c r="AA445" t="s">
        <v>40</v>
      </c>
      <c r="AB445">
        <v>1</v>
      </c>
      <c r="AC445">
        <v>3</v>
      </c>
      <c r="AD445" t="s">
        <v>32</v>
      </c>
      <c r="AE445" t="s">
        <v>47</v>
      </c>
      <c r="AF445" t="s">
        <v>48</v>
      </c>
      <c r="AG445">
        <f>IF(HR_Data[[#This Row],[Attrition]]="Yes",1,0)</f>
        <v>0</v>
      </c>
      <c r="AH445" t="str">
        <f>IF(HR_Data[Date_of_termination]="","Active","Left")</f>
        <v>Active</v>
      </c>
      <c r="AI445" t="str">
        <f>IF(HR_Data[YearsAtCompany]&lt;=2,"Fresher", IF(HR_Data[YearsAtCompany]&lt;=5,"Junior", IF(HR_Data[YearsAtCompany]&lt;=10, "Mid","Senior")))</f>
        <v>Junior</v>
      </c>
      <c r="AJ445" s="2" t="str">
        <f>IF(HR_Data[MonthlyIncome]&lt;=300,"Low", IF(HR_Data[MonthlyIncome]&lt;=7000,"Medium", "High"))</f>
        <v>Medium</v>
      </c>
      <c r="AK445" s="2" t="str">
        <f>VLOOKUP(HR_Data[JobRole], JobRole_Map[], 2, FALSE)</f>
        <v>Technical</v>
      </c>
    </row>
    <row r="446" spans="1:37" x14ac:dyDescent="0.25">
      <c r="A446" s="2">
        <v>36</v>
      </c>
      <c r="B446" t="s">
        <v>41</v>
      </c>
      <c r="C446" t="s">
        <v>33</v>
      </c>
      <c r="D446" t="s">
        <v>34</v>
      </c>
      <c r="E446">
        <v>12</v>
      </c>
      <c r="F446" t="s">
        <v>58</v>
      </c>
      <c r="G446">
        <v>3</v>
      </c>
      <c r="H446">
        <v>2</v>
      </c>
      <c r="I446" t="s">
        <v>67</v>
      </c>
      <c r="J446">
        <v>3</v>
      </c>
      <c r="K446" t="s">
        <v>50</v>
      </c>
      <c r="L446">
        <v>4663</v>
      </c>
      <c r="M446">
        <v>9</v>
      </c>
      <c r="N446" t="s">
        <v>32</v>
      </c>
      <c r="O446">
        <v>12</v>
      </c>
      <c r="P446">
        <v>3</v>
      </c>
      <c r="Q446">
        <v>2</v>
      </c>
      <c r="R446">
        <v>7</v>
      </c>
      <c r="S446">
        <v>2</v>
      </c>
      <c r="T446">
        <v>3</v>
      </c>
      <c r="U446">
        <v>1</v>
      </c>
      <c r="V446">
        <v>1</v>
      </c>
      <c r="W446" t="s">
        <v>51</v>
      </c>
      <c r="X446" s="1" t="d">
        <v>2018-01-16</v>
      </c>
      <c r="Z446" t="s">
        <v>45</v>
      </c>
      <c r="AA446" t="s">
        <v>46</v>
      </c>
      <c r="AB446">
        <v>3</v>
      </c>
      <c r="AC446">
        <v>1</v>
      </c>
      <c r="AD446" t="s">
        <v>32</v>
      </c>
      <c r="AE446" t="s">
        <v>62</v>
      </c>
      <c r="AF446" t="s">
        <v>48</v>
      </c>
      <c r="AG446">
        <f>IF(HR_Data[[#This Row],[Attrition]]="Yes",1,0)</f>
        <v>0</v>
      </c>
      <c r="AH446" t="str">
        <f>IF(HR_Data[Date_of_termination]="","Active","Left")</f>
        <v>Active</v>
      </c>
      <c r="AI446" t="str">
        <f>IF(HR_Data[YearsAtCompany]&lt;=2,"Fresher", IF(HR_Data[YearsAtCompany]&lt;=5,"Junior", IF(HR_Data[YearsAtCompany]&lt;=10, "Mid","Senior")))</f>
        <v>Junior</v>
      </c>
      <c r="AJ446" s="2" t="str">
        <f>IF(HR_Data[MonthlyIncome]&lt;=300,"Low", IF(HR_Data[MonthlyIncome]&lt;=7000,"Medium", "High"))</f>
        <v>Medium</v>
      </c>
      <c r="AK446" s="2" t="str">
        <f>VLOOKUP(HR_Data[JobRole], JobRole_Map[], 2, FALSE)</f>
        <v>Operations</v>
      </c>
    </row>
    <row r="447" spans="1:37" x14ac:dyDescent="0.25">
      <c r="A447" s="2">
        <v>27</v>
      </c>
      <c r="B447" t="s">
        <v>41</v>
      </c>
      <c r="C447" t="s">
        <v>33</v>
      </c>
      <c r="D447" t="s">
        <v>34</v>
      </c>
      <c r="E447">
        <v>8</v>
      </c>
      <c r="F447" t="s">
        <v>58</v>
      </c>
      <c r="G447">
        <v>4</v>
      </c>
      <c r="H447">
        <v>1</v>
      </c>
      <c r="I447" t="s">
        <v>44</v>
      </c>
      <c r="J447">
        <v>3</v>
      </c>
      <c r="K447" t="s">
        <v>50</v>
      </c>
      <c r="L447">
        <v>3517</v>
      </c>
      <c r="M447">
        <v>7</v>
      </c>
      <c r="N447" t="s">
        <v>41</v>
      </c>
      <c r="O447">
        <v>17</v>
      </c>
      <c r="P447">
        <v>3</v>
      </c>
      <c r="Q447">
        <v>0</v>
      </c>
      <c r="R447">
        <v>5</v>
      </c>
      <c r="S447">
        <v>0</v>
      </c>
      <c r="T447">
        <v>3</v>
      </c>
      <c r="U447">
        <v>0</v>
      </c>
      <c r="V447">
        <v>2</v>
      </c>
      <c r="W447" t="s">
        <v>56</v>
      </c>
      <c r="X447" s="1" t="d">
        <v>2018-03-05</v>
      </c>
      <c r="Z447" t="s">
        <v>63</v>
      </c>
      <c r="AA447" t="s">
        <v>46</v>
      </c>
      <c r="AB447">
        <v>3</v>
      </c>
      <c r="AC447">
        <v>1</v>
      </c>
      <c r="AD447" t="s">
        <v>32</v>
      </c>
      <c r="AE447" t="s">
        <v>42</v>
      </c>
      <c r="AF447" t="s">
        <v>57</v>
      </c>
      <c r="AG447">
        <f>IF(HR_Data[[#This Row],[Attrition]]="Yes",1,0)</f>
        <v>0</v>
      </c>
      <c r="AH447" t="str">
        <f>IF(HR_Data[Date_of_termination]="","Active","Left")</f>
        <v>Active</v>
      </c>
      <c r="AI447" t="str">
        <f>IF(HR_Data[YearsAtCompany]&lt;=2,"Fresher", IF(HR_Data[YearsAtCompany]&lt;=5,"Junior", IF(HR_Data[YearsAtCompany]&lt;=10, "Mid","Senior")))</f>
        <v>Junior</v>
      </c>
      <c r="AJ447" s="2" t="str">
        <f>IF(HR_Data[MonthlyIncome]&lt;=300,"Low", IF(HR_Data[MonthlyIncome]&lt;=7000,"Medium", "High"))</f>
        <v>Medium</v>
      </c>
      <c r="AK447" s="2" t="str">
        <f>VLOOKUP(HR_Data[JobRole], JobRole_Map[], 2, FALSE)</f>
        <v>Technical</v>
      </c>
    </row>
    <row r="448" spans="1:37" x14ac:dyDescent="0.25">
      <c r="A448" s="2">
        <v>36</v>
      </c>
      <c r="B448" t="s">
        <v>41</v>
      </c>
      <c r="C448" t="s">
        <v>33</v>
      </c>
      <c r="D448" t="s">
        <v>34</v>
      </c>
      <c r="E448">
        <v>5</v>
      </c>
      <c r="F448" t="s">
        <v>58</v>
      </c>
      <c r="G448">
        <v>3</v>
      </c>
      <c r="H448">
        <v>3</v>
      </c>
      <c r="I448" t="s">
        <v>69</v>
      </c>
      <c r="J448">
        <v>1</v>
      </c>
      <c r="K448" t="s">
        <v>50</v>
      </c>
      <c r="L448">
        <v>8008</v>
      </c>
      <c r="M448">
        <v>4</v>
      </c>
      <c r="N448" t="s">
        <v>41</v>
      </c>
      <c r="O448">
        <v>12</v>
      </c>
      <c r="P448">
        <v>3</v>
      </c>
      <c r="Q448">
        <v>2</v>
      </c>
      <c r="R448">
        <v>9</v>
      </c>
      <c r="S448">
        <v>6</v>
      </c>
      <c r="T448">
        <v>3</v>
      </c>
      <c r="U448">
        <v>0</v>
      </c>
      <c r="V448">
        <v>2</v>
      </c>
      <c r="W448" t="s">
        <v>38</v>
      </c>
      <c r="X448" s="1" t="d">
        <v>2018-03-06</v>
      </c>
      <c r="Z448" t="s">
        <v>59</v>
      </c>
      <c r="AA448" t="s">
        <v>40</v>
      </c>
      <c r="AB448">
        <v>2</v>
      </c>
      <c r="AC448">
        <v>3</v>
      </c>
      <c r="AD448" t="s">
        <v>32</v>
      </c>
      <c r="AE448" t="s">
        <v>62</v>
      </c>
      <c r="AF448" t="s">
        <v>43</v>
      </c>
      <c r="AG448">
        <f>IF(HR_Data[[#This Row],[Attrition]]="Yes",1,0)</f>
        <v>0</v>
      </c>
      <c r="AH448" t="str">
        <f>IF(HR_Data[Date_of_termination]="","Active","Left")</f>
        <v>Active</v>
      </c>
      <c r="AI448" t="str">
        <f>IF(HR_Data[YearsAtCompany]&lt;=2,"Fresher", IF(HR_Data[YearsAtCompany]&lt;=5,"Junior", IF(HR_Data[YearsAtCompany]&lt;=10, "Mid","Senior")))</f>
        <v>Junior</v>
      </c>
      <c r="AJ448" s="2" t="str">
        <f>IF(HR_Data[MonthlyIncome]&lt;=300,"Low", IF(HR_Data[MonthlyIncome]&lt;=7000,"Medium", "High"))</f>
        <v>High</v>
      </c>
      <c r="AK448" s="2" t="str">
        <f>VLOOKUP(HR_Data[JobRole], JobRole_Map[], 2, FALSE)</f>
        <v>Operations</v>
      </c>
    </row>
    <row r="449" spans="1:37" x14ac:dyDescent="0.25">
      <c r="A449" s="2">
        <v>36</v>
      </c>
      <c r="B449" t="s">
        <v>41</v>
      </c>
      <c r="C449" t="s">
        <v>68</v>
      </c>
      <c r="D449" t="s">
        <v>34</v>
      </c>
      <c r="E449">
        <v>1</v>
      </c>
      <c r="F449" t="s">
        <v>58</v>
      </c>
      <c r="G449">
        <v>2</v>
      </c>
      <c r="H449">
        <v>2</v>
      </c>
      <c r="I449" t="s">
        <v>67</v>
      </c>
      <c r="J449">
        <v>3</v>
      </c>
      <c r="K449" t="s">
        <v>50</v>
      </c>
      <c r="L449">
        <v>4374</v>
      </c>
      <c r="M449">
        <v>0</v>
      </c>
      <c r="N449" t="s">
        <v>41</v>
      </c>
      <c r="O449">
        <v>15</v>
      </c>
      <c r="P449">
        <v>3</v>
      </c>
      <c r="Q449">
        <v>0</v>
      </c>
      <c r="R449">
        <v>4</v>
      </c>
      <c r="S449">
        <v>6</v>
      </c>
      <c r="T449">
        <v>3</v>
      </c>
      <c r="U449">
        <v>1</v>
      </c>
      <c r="V449">
        <v>2</v>
      </c>
      <c r="W449" t="s">
        <v>65</v>
      </c>
      <c r="X449" s="1" t="d">
        <v>2018-03-17</v>
      </c>
      <c r="Z449" t="s">
        <v>52</v>
      </c>
      <c r="AA449" t="s">
        <v>46</v>
      </c>
      <c r="AB449">
        <v>0</v>
      </c>
      <c r="AC449">
        <v>0</v>
      </c>
      <c r="AD449" t="s">
        <v>41</v>
      </c>
      <c r="AE449" t="s">
        <v>62</v>
      </c>
      <c r="AF449" t="s">
        <v>48</v>
      </c>
      <c r="AG449">
        <f>IF(HR_Data[[#This Row],[Attrition]]="Yes",1,0)</f>
        <v>0</v>
      </c>
      <c r="AH449" t="str">
        <f>IF(HR_Data[Date_of_termination]="","Active","Left")</f>
        <v>Active</v>
      </c>
      <c r="AI449" t="str">
        <f>IF(HR_Data[YearsAtCompany]&lt;=2,"Fresher", IF(HR_Data[YearsAtCompany]&lt;=5,"Junior", IF(HR_Data[YearsAtCompany]&lt;=10, "Mid","Senior")))</f>
        <v>Junior</v>
      </c>
      <c r="AJ449" s="2" t="str">
        <f>IF(HR_Data[MonthlyIncome]&lt;=300,"Low", IF(HR_Data[MonthlyIncome]&lt;=7000,"Medium", "High"))</f>
        <v>Medium</v>
      </c>
      <c r="AK449" s="2" t="str">
        <f>VLOOKUP(HR_Data[JobRole], JobRole_Map[], 2, FALSE)</f>
        <v>Operations</v>
      </c>
    </row>
    <row r="450" spans="1:37" x14ac:dyDescent="0.25">
      <c r="A450" s="2">
        <v>47</v>
      </c>
      <c r="B450" t="s">
        <v>41</v>
      </c>
      <c r="C450" t="s">
        <v>33</v>
      </c>
      <c r="D450" t="s">
        <v>53</v>
      </c>
      <c r="E450">
        <v>2</v>
      </c>
      <c r="F450" t="s">
        <v>58</v>
      </c>
      <c r="G450">
        <v>4</v>
      </c>
      <c r="H450">
        <v>4</v>
      </c>
      <c r="I450" t="s">
        <v>66</v>
      </c>
      <c r="J450">
        <v>2</v>
      </c>
      <c r="K450" t="s">
        <v>55</v>
      </c>
      <c r="L450">
        <v>15972</v>
      </c>
      <c r="M450">
        <v>6</v>
      </c>
      <c r="N450" t="s">
        <v>41</v>
      </c>
      <c r="O450">
        <v>14</v>
      </c>
      <c r="P450">
        <v>3</v>
      </c>
      <c r="Q450">
        <v>3</v>
      </c>
      <c r="R450">
        <v>29</v>
      </c>
      <c r="S450">
        <v>2</v>
      </c>
      <c r="T450">
        <v>3</v>
      </c>
      <c r="U450">
        <v>1</v>
      </c>
      <c r="V450">
        <v>2</v>
      </c>
      <c r="W450" t="s">
        <v>38</v>
      </c>
      <c r="X450" s="1" t="d">
        <v>2018-03-14</v>
      </c>
      <c r="Z450" t="s">
        <v>39</v>
      </c>
      <c r="AA450" t="s">
        <v>46</v>
      </c>
      <c r="AB450">
        <v>3</v>
      </c>
      <c r="AC450">
        <v>1</v>
      </c>
      <c r="AD450" t="s">
        <v>32</v>
      </c>
      <c r="AE450" t="s">
        <v>62</v>
      </c>
      <c r="AF450" t="s">
        <v>57</v>
      </c>
      <c r="AG450">
        <f>IF(HR_Data[[#This Row],[Attrition]]="Yes",1,0)</f>
        <v>0</v>
      </c>
      <c r="AH450" t="str">
        <f>IF(HR_Data[Date_of_termination]="","Active","Left")</f>
        <v>Active</v>
      </c>
      <c r="AI450" t="str">
        <f>IF(HR_Data[YearsAtCompany]&lt;=2,"Fresher", IF(HR_Data[YearsAtCompany]&lt;=5,"Junior", IF(HR_Data[YearsAtCompany]&lt;=10, "Mid","Senior")))</f>
        <v>Junior</v>
      </c>
      <c r="AJ450" s="2" t="str">
        <f>IF(HR_Data[MonthlyIncome]&lt;=300,"Low", IF(HR_Data[MonthlyIncome]&lt;=7000,"Medium", "High"))</f>
        <v>High</v>
      </c>
      <c r="AK450" s="2" t="str">
        <f>VLOOKUP(HR_Data[JobRole], JobRole_Map[], 2, FALSE)</f>
        <v>Management</v>
      </c>
    </row>
    <row r="451" spans="1:37" x14ac:dyDescent="0.25">
      <c r="A451" s="2">
        <v>36</v>
      </c>
      <c r="B451" t="s">
        <v>41</v>
      </c>
      <c r="C451" t="s">
        <v>33</v>
      </c>
      <c r="D451" t="s">
        <v>34</v>
      </c>
      <c r="E451">
        <v>26</v>
      </c>
      <c r="F451" t="s">
        <v>35</v>
      </c>
      <c r="G451">
        <v>3</v>
      </c>
      <c r="H451">
        <v>2</v>
      </c>
      <c r="I451" t="s">
        <v>69</v>
      </c>
      <c r="J451">
        <v>3</v>
      </c>
      <c r="K451" t="s">
        <v>50</v>
      </c>
      <c r="L451">
        <v>5347</v>
      </c>
      <c r="M451">
        <v>6</v>
      </c>
      <c r="N451" t="s">
        <v>41</v>
      </c>
      <c r="O451">
        <v>14</v>
      </c>
      <c r="P451">
        <v>3</v>
      </c>
      <c r="Q451">
        <v>2</v>
      </c>
      <c r="R451">
        <v>10</v>
      </c>
      <c r="S451">
        <v>2</v>
      </c>
      <c r="T451">
        <v>3</v>
      </c>
      <c r="U451">
        <v>0</v>
      </c>
      <c r="V451">
        <v>2</v>
      </c>
      <c r="W451" t="s">
        <v>65</v>
      </c>
      <c r="X451" s="1" t="d">
        <v>2018-06-19</v>
      </c>
      <c r="Z451" t="s">
        <v>59</v>
      </c>
      <c r="AA451" t="s">
        <v>46</v>
      </c>
      <c r="AB451">
        <v>0</v>
      </c>
      <c r="AC451">
        <v>0</v>
      </c>
      <c r="AD451" t="s">
        <v>32</v>
      </c>
      <c r="AE451" t="s">
        <v>42</v>
      </c>
      <c r="AF451" t="s">
        <v>43</v>
      </c>
      <c r="AG451">
        <f>IF(HR_Data[[#This Row],[Attrition]]="Yes",1,0)</f>
        <v>0</v>
      </c>
      <c r="AH451" t="str">
        <f>IF(HR_Data[Date_of_termination]="","Active","Left")</f>
        <v>Active</v>
      </c>
      <c r="AI451" t="str">
        <f>IF(HR_Data[YearsAtCompany]&lt;=2,"Fresher", IF(HR_Data[YearsAtCompany]&lt;=5,"Junior", IF(HR_Data[YearsAtCompany]&lt;=10, "Mid","Senior")))</f>
        <v>Junior</v>
      </c>
      <c r="AJ451" s="2" t="str">
        <f>IF(HR_Data[MonthlyIncome]&lt;=300,"Low", IF(HR_Data[MonthlyIncome]&lt;=7000,"Medium", "High"))</f>
        <v>Medium</v>
      </c>
      <c r="AK451" s="2" t="str">
        <f>VLOOKUP(HR_Data[JobRole], JobRole_Map[], 2, FALSE)</f>
        <v>Operations</v>
      </c>
    </row>
    <row r="452" spans="1:37" x14ac:dyDescent="0.25">
      <c r="A452" s="2">
        <v>23</v>
      </c>
      <c r="B452" t="s">
        <v>32</v>
      </c>
      <c r="C452" t="s">
        <v>33</v>
      </c>
      <c r="D452" t="s">
        <v>53</v>
      </c>
      <c r="E452">
        <v>7</v>
      </c>
      <c r="F452" t="s">
        <v>35</v>
      </c>
      <c r="G452">
        <v>3</v>
      </c>
      <c r="H452">
        <v>1</v>
      </c>
      <c r="I452" t="s">
        <v>54</v>
      </c>
      <c r="J452">
        <v>4</v>
      </c>
      <c r="K452" t="s">
        <v>55</v>
      </c>
      <c r="L452">
        <v>2275</v>
      </c>
      <c r="M452">
        <v>1</v>
      </c>
      <c r="N452" t="s">
        <v>32</v>
      </c>
      <c r="O452">
        <v>21</v>
      </c>
      <c r="P452">
        <v>4</v>
      </c>
      <c r="Q452">
        <v>1</v>
      </c>
      <c r="R452">
        <v>3</v>
      </c>
      <c r="S452">
        <v>2</v>
      </c>
      <c r="T452">
        <v>3</v>
      </c>
      <c r="U452">
        <v>0</v>
      </c>
      <c r="V452">
        <v>2</v>
      </c>
      <c r="W452" t="s">
        <v>38</v>
      </c>
      <c r="X452" s="1" t="d">
        <v>2018-04-10</v>
      </c>
      <c r="Z452" t="s">
        <v>59</v>
      </c>
      <c r="AA452" t="s">
        <v>46</v>
      </c>
      <c r="AB452">
        <v>5</v>
      </c>
      <c r="AC452">
        <v>3</v>
      </c>
      <c r="AD452" t="s">
        <v>41</v>
      </c>
      <c r="AE452" t="s">
        <v>60</v>
      </c>
      <c r="AF452" t="s">
        <v>57</v>
      </c>
      <c r="AG452">
        <f>IF(HR_Data[[#This Row],[Attrition]]="Yes",1,0)</f>
        <v>1</v>
      </c>
      <c r="AH452" t="str">
        <f>IF(HR_Data[Date_of_termination]="","Active","Left")</f>
        <v>Active</v>
      </c>
      <c r="AI452" t="str">
        <f>IF(HR_Data[YearsAtCompany]&lt;=2,"Fresher", IF(HR_Data[YearsAtCompany]&lt;=5,"Junior", IF(HR_Data[YearsAtCompany]&lt;=10, "Mid","Senior")))</f>
        <v>Junior</v>
      </c>
      <c r="AJ452" s="2" t="str">
        <f>IF(HR_Data[MonthlyIncome]&lt;=300,"Low", IF(HR_Data[MonthlyIncome]&lt;=7000,"Medium", "High"))</f>
        <v>Medium</v>
      </c>
      <c r="AK452" s="2" t="str">
        <f>VLOOKUP(HR_Data[JobRole], JobRole_Map[], 2, FALSE)</f>
        <v>Sales</v>
      </c>
    </row>
    <row r="453" spans="1:37" x14ac:dyDescent="0.25">
      <c r="A453" s="2">
        <v>26</v>
      </c>
      <c r="B453" t="s">
        <v>41</v>
      </c>
      <c r="C453" t="s">
        <v>33</v>
      </c>
      <c r="D453" t="s">
        <v>34</v>
      </c>
      <c r="E453">
        <v>17</v>
      </c>
      <c r="F453" t="s">
        <v>35</v>
      </c>
      <c r="G453">
        <v>1</v>
      </c>
      <c r="H453">
        <v>1</v>
      </c>
      <c r="I453" t="s">
        <v>36</v>
      </c>
      <c r="J453">
        <v>3</v>
      </c>
      <c r="K453" t="s">
        <v>50</v>
      </c>
      <c r="L453">
        <v>2305</v>
      </c>
      <c r="M453">
        <v>1</v>
      </c>
      <c r="N453" t="s">
        <v>41</v>
      </c>
      <c r="O453">
        <v>15</v>
      </c>
      <c r="P453">
        <v>3</v>
      </c>
      <c r="Q453">
        <v>3</v>
      </c>
      <c r="R453">
        <v>3</v>
      </c>
      <c r="S453">
        <v>3</v>
      </c>
      <c r="T453">
        <v>3</v>
      </c>
      <c r="U453">
        <v>0</v>
      </c>
      <c r="V453">
        <v>2</v>
      </c>
      <c r="W453" t="s">
        <v>51</v>
      </c>
      <c r="X453" s="1" t="d">
        <v>2018-05-21</v>
      </c>
      <c r="Z453" t="s">
        <v>63</v>
      </c>
      <c r="AA453" t="s">
        <v>46</v>
      </c>
      <c r="AB453">
        <v>1</v>
      </c>
      <c r="AC453">
        <v>2</v>
      </c>
      <c r="AD453" t="s">
        <v>41</v>
      </c>
      <c r="AE453" t="s">
        <v>42</v>
      </c>
      <c r="AF453" t="s">
        <v>43</v>
      </c>
      <c r="AG453">
        <f>IF(HR_Data[[#This Row],[Attrition]]="Yes",1,0)</f>
        <v>0</v>
      </c>
      <c r="AH453" t="str">
        <f>IF(HR_Data[Date_of_termination]="","Active","Left")</f>
        <v>Active</v>
      </c>
      <c r="AI453" t="str">
        <f>IF(HR_Data[YearsAtCompany]&lt;=2,"Fresher", IF(HR_Data[YearsAtCompany]&lt;=5,"Junior", IF(HR_Data[YearsAtCompany]&lt;=10, "Mid","Senior")))</f>
        <v>Junior</v>
      </c>
      <c r="AJ453" s="2" t="str">
        <f>IF(HR_Data[MonthlyIncome]&lt;=300,"Low", IF(HR_Data[MonthlyIncome]&lt;=7000,"Medium", "High"))</f>
        <v>Medium</v>
      </c>
      <c r="AK453" s="2" t="str">
        <f>VLOOKUP(HR_Data[JobRole], JobRole_Map[], 2, FALSE)</f>
        <v>Technical</v>
      </c>
    </row>
    <row r="454" spans="1:37" x14ac:dyDescent="0.25">
      <c r="A454" s="2">
        <v>41</v>
      </c>
      <c r="B454" t="s">
        <v>41</v>
      </c>
      <c r="C454" t="s">
        <v>68</v>
      </c>
      <c r="D454" t="s">
        <v>70</v>
      </c>
      <c r="E454">
        <v>4</v>
      </c>
      <c r="F454" t="s">
        <v>35</v>
      </c>
      <c r="G454">
        <v>1</v>
      </c>
      <c r="H454">
        <v>2</v>
      </c>
      <c r="I454" t="s">
        <v>70</v>
      </c>
      <c r="J454">
        <v>2</v>
      </c>
      <c r="K454" t="s">
        <v>50</v>
      </c>
      <c r="L454">
        <v>6430</v>
      </c>
      <c r="M454">
        <v>6</v>
      </c>
      <c r="N454" t="s">
        <v>41</v>
      </c>
      <c r="O454">
        <v>19</v>
      </c>
      <c r="P454">
        <v>3</v>
      </c>
      <c r="Q454">
        <v>1</v>
      </c>
      <c r="R454">
        <v>10</v>
      </c>
      <c r="S454">
        <v>4</v>
      </c>
      <c r="T454">
        <v>3</v>
      </c>
      <c r="U454">
        <v>1</v>
      </c>
      <c r="V454">
        <v>2</v>
      </c>
      <c r="W454" t="s">
        <v>65</v>
      </c>
      <c r="X454" s="1" t="d">
        <v>2018-06-17</v>
      </c>
      <c r="Z454" t="s">
        <v>59</v>
      </c>
      <c r="AA454" t="s">
        <v>46</v>
      </c>
      <c r="AB454">
        <v>1</v>
      </c>
      <c r="AC454">
        <v>1</v>
      </c>
      <c r="AD454" t="s">
        <v>32</v>
      </c>
      <c r="AE454" t="s">
        <v>62</v>
      </c>
      <c r="AF454" t="s">
        <v>48</v>
      </c>
      <c r="AG454">
        <f>IF(HR_Data[[#This Row],[Attrition]]="Yes",1,0)</f>
        <v>0</v>
      </c>
      <c r="AH454" t="str">
        <f>IF(HR_Data[Date_of_termination]="","Active","Left")</f>
        <v>Active</v>
      </c>
      <c r="AI454" t="str">
        <f>IF(HR_Data[YearsAtCompany]&lt;=2,"Fresher", IF(HR_Data[YearsAtCompany]&lt;=5,"Junior", IF(HR_Data[YearsAtCompany]&lt;=10, "Mid","Senior")))</f>
        <v>Junior</v>
      </c>
      <c r="AJ454" s="2" t="str">
        <f>IF(HR_Data[MonthlyIncome]&lt;=300,"Low", IF(HR_Data[MonthlyIncome]&lt;=7000,"Medium", "High"))</f>
        <v>Medium</v>
      </c>
      <c r="AK454" s="2" t="str">
        <f>VLOOKUP(HR_Data[JobRole], JobRole_Map[], 2, FALSE)</f>
        <v>HR</v>
      </c>
    </row>
    <row r="455" spans="1:37" x14ac:dyDescent="0.25">
      <c r="A455" s="2">
        <v>23</v>
      </c>
      <c r="B455" t="s">
        <v>41</v>
      </c>
      <c r="C455" t="s">
        <v>33</v>
      </c>
      <c r="D455" t="s">
        <v>34</v>
      </c>
      <c r="E455">
        <v>4</v>
      </c>
      <c r="F455" t="s">
        <v>58</v>
      </c>
      <c r="G455">
        <v>3</v>
      </c>
      <c r="H455">
        <v>1</v>
      </c>
      <c r="I455" t="s">
        <v>36</v>
      </c>
      <c r="J455">
        <v>2</v>
      </c>
      <c r="K455" t="s">
        <v>37</v>
      </c>
      <c r="L455">
        <v>3295</v>
      </c>
      <c r="M455">
        <v>1</v>
      </c>
      <c r="N455" t="s">
        <v>41</v>
      </c>
      <c r="O455">
        <v>13</v>
      </c>
      <c r="P455">
        <v>3</v>
      </c>
      <c r="Q455">
        <v>0</v>
      </c>
      <c r="R455">
        <v>3</v>
      </c>
      <c r="S455">
        <v>3</v>
      </c>
      <c r="T455">
        <v>3</v>
      </c>
      <c r="U455">
        <v>1</v>
      </c>
      <c r="V455">
        <v>2</v>
      </c>
      <c r="W455" t="s">
        <v>56</v>
      </c>
      <c r="X455" s="1" t="d">
        <v>2018-03-24</v>
      </c>
      <c r="Z455" t="s">
        <v>59</v>
      </c>
      <c r="AA455" t="s">
        <v>46</v>
      </c>
      <c r="AB455">
        <v>1</v>
      </c>
      <c r="AC455">
        <v>2</v>
      </c>
      <c r="AD455" t="s">
        <v>41</v>
      </c>
      <c r="AE455" t="s">
        <v>42</v>
      </c>
      <c r="AF455" t="s">
        <v>48</v>
      </c>
      <c r="AG455">
        <f>IF(HR_Data[[#This Row],[Attrition]]="Yes",1,0)</f>
        <v>0</v>
      </c>
      <c r="AH455" t="str">
        <f>IF(HR_Data[Date_of_termination]="","Active","Left")</f>
        <v>Active</v>
      </c>
      <c r="AI455" t="str">
        <f>IF(HR_Data[YearsAtCompany]&lt;=2,"Fresher", IF(HR_Data[YearsAtCompany]&lt;=5,"Junior", IF(HR_Data[YearsAtCompany]&lt;=10, "Mid","Senior")))</f>
        <v>Junior</v>
      </c>
      <c r="AJ455" s="2" t="str">
        <f>IF(HR_Data[MonthlyIncome]&lt;=300,"Low", IF(HR_Data[MonthlyIncome]&lt;=7000,"Medium", "High"))</f>
        <v>Medium</v>
      </c>
      <c r="AK455" s="2" t="str">
        <f>VLOOKUP(HR_Data[JobRole], JobRole_Map[], 2, FALSE)</f>
        <v>Technical</v>
      </c>
    </row>
    <row r="456" spans="1:37" x14ac:dyDescent="0.25">
      <c r="A456" s="2">
        <v>29</v>
      </c>
      <c r="B456" t="s">
        <v>41</v>
      </c>
      <c r="C456" t="s">
        <v>61</v>
      </c>
      <c r="D456" t="s">
        <v>34</v>
      </c>
      <c r="E456">
        <v>1</v>
      </c>
      <c r="F456" t="s">
        <v>35</v>
      </c>
      <c r="G456">
        <v>4</v>
      </c>
      <c r="H456">
        <v>2</v>
      </c>
      <c r="I456" t="s">
        <v>69</v>
      </c>
      <c r="J456">
        <v>3</v>
      </c>
      <c r="K456" t="s">
        <v>37</v>
      </c>
      <c r="L456">
        <v>6294</v>
      </c>
      <c r="M456">
        <v>8</v>
      </c>
      <c r="N456" t="s">
        <v>32</v>
      </c>
      <c r="O456">
        <v>12</v>
      </c>
      <c r="P456">
        <v>3</v>
      </c>
      <c r="Q456">
        <v>0</v>
      </c>
      <c r="R456">
        <v>10</v>
      </c>
      <c r="S456">
        <v>5</v>
      </c>
      <c r="T456">
        <v>3</v>
      </c>
      <c r="U456">
        <v>0</v>
      </c>
      <c r="V456">
        <v>2</v>
      </c>
      <c r="W456" t="s">
        <v>56</v>
      </c>
      <c r="X456" s="1" t="d">
        <v>2018-04-21</v>
      </c>
      <c r="Z456" t="s">
        <v>39</v>
      </c>
      <c r="AA456" t="s">
        <v>40</v>
      </c>
      <c r="AB456">
        <v>4</v>
      </c>
      <c r="AC456">
        <v>2</v>
      </c>
      <c r="AD456" t="s">
        <v>41</v>
      </c>
      <c r="AE456" t="s">
        <v>47</v>
      </c>
      <c r="AF456" t="s">
        <v>43</v>
      </c>
      <c r="AG456">
        <f>IF(HR_Data[[#This Row],[Attrition]]="Yes",1,0)</f>
        <v>0</v>
      </c>
      <c r="AH456" t="str">
        <f>IF(HR_Data[Date_of_termination]="","Active","Left")</f>
        <v>Active</v>
      </c>
      <c r="AI456" t="str">
        <f>IF(HR_Data[YearsAtCompany]&lt;=2,"Fresher", IF(HR_Data[YearsAtCompany]&lt;=5,"Junior", IF(HR_Data[YearsAtCompany]&lt;=10, "Mid","Senior")))</f>
        <v>Junior</v>
      </c>
      <c r="AJ456" s="2" t="str">
        <f>IF(HR_Data[MonthlyIncome]&lt;=300,"Low", IF(HR_Data[MonthlyIncome]&lt;=7000,"Medium", "High"))</f>
        <v>Medium</v>
      </c>
      <c r="AK456" s="2" t="str">
        <f>VLOOKUP(HR_Data[JobRole], JobRole_Map[], 2, FALSE)</f>
        <v>Operations</v>
      </c>
    </row>
    <row r="457" spans="1:37" x14ac:dyDescent="0.25">
      <c r="A457" s="2">
        <v>53</v>
      </c>
      <c r="B457" t="s">
        <v>41</v>
      </c>
      <c r="C457" t="s">
        <v>68</v>
      </c>
      <c r="D457" t="s">
        <v>34</v>
      </c>
      <c r="E457">
        <v>1</v>
      </c>
      <c r="F457" t="s">
        <v>58</v>
      </c>
      <c r="G457">
        <v>2</v>
      </c>
      <c r="H457">
        <v>4</v>
      </c>
      <c r="I457" t="s">
        <v>67</v>
      </c>
      <c r="J457">
        <v>3</v>
      </c>
      <c r="K457" t="s">
        <v>50</v>
      </c>
      <c r="L457">
        <v>12965</v>
      </c>
      <c r="M457">
        <v>4</v>
      </c>
      <c r="N457" t="s">
        <v>32</v>
      </c>
      <c r="O457">
        <v>20</v>
      </c>
      <c r="P457">
        <v>4</v>
      </c>
      <c r="Q457">
        <v>3</v>
      </c>
      <c r="R457">
        <v>27</v>
      </c>
      <c r="S457">
        <v>2</v>
      </c>
      <c r="T457">
        <v>3</v>
      </c>
      <c r="U457">
        <v>0</v>
      </c>
      <c r="V457">
        <v>2</v>
      </c>
      <c r="W457" t="s">
        <v>51</v>
      </c>
      <c r="X457" s="1" t="d">
        <v>2018-02-22</v>
      </c>
      <c r="Z457" t="s">
        <v>59</v>
      </c>
      <c r="AA457" t="s">
        <v>40</v>
      </c>
      <c r="AB457">
        <v>5</v>
      </c>
      <c r="AC457">
        <v>1</v>
      </c>
      <c r="AD457" t="s">
        <v>41</v>
      </c>
      <c r="AE457" t="s">
        <v>60</v>
      </c>
      <c r="AF457" t="s">
        <v>43</v>
      </c>
      <c r="AG457">
        <f>IF(HR_Data[[#This Row],[Attrition]]="Yes",1,0)</f>
        <v>0</v>
      </c>
      <c r="AH457" t="str">
        <f>IF(HR_Data[Date_of_termination]="","Active","Left")</f>
        <v>Active</v>
      </c>
      <c r="AI457" t="str">
        <f>IF(HR_Data[YearsAtCompany]&lt;=2,"Fresher", IF(HR_Data[YearsAtCompany]&lt;=5,"Junior", IF(HR_Data[YearsAtCompany]&lt;=10, "Mid","Senior")))</f>
        <v>Junior</v>
      </c>
      <c r="AJ457" s="2" t="str">
        <f>IF(HR_Data[MonthlyIncome]&lt;=300,"Low", IF(HR_Data[MonthlyIncome]&lt;=7000,"Medium", "High"))</f>
        <v>High</v>
      </c>
      <c r="AK457" s="2" t="str">
        <f>VLOOKUP(HR_Data[JobRole], JobRole_Map[], 2, FALSE)</f>
        <v>Operations</v>
      </c>
    </row>
    <row r="458" spans="1:37" x14ac:dyDescent="0.25">
      <c r="A458" s="2">
        <v>43</v>
      </c>
      <c r="B458" t="s">
        <v>41</v>
      </c>
      <c r="C458" t="s">
        <v>68</v>
      </c>
      <c r="D458" t="s">
        <v>34</v>
      </c>
      <c r="E458">
        <v>9</v>
      </c>
      <c r="F458" t="s">
        <v>35</v>
      </c>
      <c r="G458">
        <v>3</v>
      </c>
      <c r="H458">
        <v>1</v>
      </c>
      <c r="I458" t="s">
        <v>44</v>
      </c>
      <c r="J458">
        <v>3</v>
      </c>
      <c r="K458" t="s">
        <v>37</v>
      </c>
      <c r="L458">
        <v>2438</v>
      </c>
      <c r="M458">
        <v>4</v>
      </c>
      <c r="N458" t="s">
        <v>41</v>
      </c>
      <c r="O458">
        <v>13</v>
      </c>
      <c r="P458">
        <v>3</v>
      </c>
      <c r="Q458">
        <v>0</v>
      </c>
      <c r="R458">
        <v>7</v>
      </c>
      <c r="S458">
        <v>2</v>
      </c>
      <c r="T458">
        <v>3</v>
      </c>
      <c r="U458">
        <v>1</v>
      </c>
      <c r="V458">
        <v>2</v>
      </c>
      <c r="W458" t="s">
        <v>56</v>
      </c>
      <c r="X458" s="1" t="d">
        <v>2018-04-05</v>
      </c>
      <c r="Z458" t="s">
        <v>45</v>
      </c>
      <c r="AA458" t="s">
        <v>40</v>
      </c>
      <c r="AB458">
        <v>5</v>
      </c>
      <c r="AC458">
        <v>2</v>
      </c>
      <c r="AD458" t="s">
        <v>32</v>
      </c>
      <c r="AE458" t="s">
        <v>47</v>
      </c>
      <c r="AF458" t="s">
        <v>48</v>
      </c>
      <c r="AG458">
        <f>IF(HR_Data[[#This Row],[Attrition]]="Yes",1,0)</f>
        <v>0</v>
      </c>
      <c r="AH458" t="str">
        <f>IF(HR_Data[Date_of_termination]="","Active","Left")</f>
        <v>Active</v>
      </c>
      <c r="AI458" t="str">
        <f>IF(HR_Data[YearsAtCompany]&lt;=2,"Fresher", IF(HR_Data[YearsAtCompany]&lt;=5,"Junior", IF(HR_Data[YearsAtCompany]&lt;=10, "Mid","Senior")))</f>
        <v>Junior</v>
      </c>
      <c r="AJ458" s="2" t="str">
        <f>IF(HR_Data[MonthlyIncome]&lt;=300,"Low", IF(HR_Data[MonthlyIncome]&lt;=7000,"Medium", "High"))</f>
        <v>Medium</v>
      </c>
      <c r="AK458" s="2" t="str">
        <f>VLOOKUP(HR_Data[JobRole], JobRole_Map[], 2, FALSE)</f>
        <v>Technical</v>
      </c>
    </row>
    <row r="459" spans="1:37" x14ac:dyDescent="0.25">
      <c r="A459" s="2">
        <v>41</v>
      </c>
      <c r="B459" t="s">
        <v>41</v>
      </c>
      <c r="C459" t="s">
        <v>33</v>
      </c>
      <c r="D459" t="s">
        <v>34</v>
      </c>
      <c r="E459">
        <v>5</v>
      </c>
      <c r="F459" t="s">
        <v>35</v>
      </c>
      <c r="G459">
        <v>4</v>
      </c>
      <c r="H459">
        <v>2</v>
      </c>
      <c r="I459" t="s">
        <v>69</v>
      </c>
      <c r="J459">
        <v>2</v>
      </c>
      <c r="K459" t="s">
        <v>37</v>
      </c>
      <c r="L459">
        <v>6870</v>
      </c>
      <c r="M459">
        <v>3</v>
      </c>
      <c r="N459" t="s">
        <v>41</v>
      </c>
      <c r="O459">
        <v>12</v>
      </c>
      <c r="P459">
        <v>3</v>
      </c>
      <c r="Q459">
        <v>0</v>
      </c>
      <c r="R459">
        <v>11</v>
      </c>
      <c r="S459">
        <v>3</v>
      </c>
      <c r="T459">
        <v>3</v>
      </c>
      <c r="U459">
        <v>1</v>
      </c>
      <c r="V459">
        <v>2</v>
      </c>
      <c r="W459" t="s">
        <v>56</v>
      </c>
      <c r="X459" s="1" t="d">
        <v>2018-05-02</v>
      </c>
      <c r="Z459" t="s">
        <v>52</v>
      </c>
      <c r="AA459" t="s">
        <v>46</v>
      </c>
      <c r="AB459">
        <v>3</v>
      </c>
      <c r="AC459">
        <v>2</v>
      </c>
      <c r="AD459" t="s">
        <v>32</v>
      </c>
      <c r="AE459" t="s">
        <v>42</v>
      </c>
      <c r="AF459" t="s">
        <v>48</v>
      </c>
      <c r="AG459">
        <f>IF(HR_Data[[#This Row],[Attrition]]="Yes",1,0)</f>
        <v>0</v>
      </c>
      <c r="AH459" t="str">
        <f>IF(HR_Data[Date_of_termination]="","Active","Left")</f>
        <v>Active</v>
      </c>
      <c r="AI459" t="str">
        <f>IF(HR_Data[YearsAtCompany]&lt;=2,"Fresher", IF(HR_Data[YearsAtCompany]&lt;=5,"Junior", IF(HR_Data[YearsAtCompany]&lt;=10, "Mid","Senior")))</f>
        <v>Junior</v>
      </c>
      <c r="AJ459" s="2" t="str">
        <f>IF(HR_Data[MonthlyIncome]&lt;=300,"Low", IF(HR_Data[MonthlyIncome]&lt;=7000,"Medium", "High"))</f>
        <v>Medium</v>
      </c>
      <c r="AK459" s="2" t="str">
        <f>VLOOKUP(HR_Data[JobRole], JobRole_Map[], 2, FALSE)</f>
        <v>Operations</v>
      </c>
    </row>
    <row r="460" spans="1:37" x14ac:dyDescent="0.25">
      <c r="A460" s="2">
        <v>31</v>
      </c>
      <c r="B460" t="s">
        <v>41</v>
      </c>
      <c r="C460" t="s">
        <v>61</v>
      </c>
      <c r="D460" t="s">
        <v>53</v>
      </c>
      <c r="E460">
        <v>7</v>
      </c>
      <c r="F460" t="s">
        <v>58</v>
      </c>
      <c r="G460">
        <v>3</v>
      </c>
      <c r="H460">
        <v>3</v>
      </c>
      <c r="I460" t="s">
        <v>64</v>
      </c>
      <c r="J460">
        <v>1</v>
      </c>
      <c r="K460" t="s">
        <v>50</v>
      </c>
      <c r="L460">
        <v>9637</v>
      </c>
      <c r="M460">
        <v>2</v>
      </c>
      <c r="N460" t="s">
        <v>41</v>
      </c>
      <c r="O460">
        <v>14</v>
      </c>
      <c r="P460">
        <v>3</v>
      </c>
      <c r="Q460">
        <v>2</v>
      </c>
      <c r="R460">
        <v>9</v>
      </c>
      <c r="S460">
        <v>3</v>
      </c>
      <c r="T460">
        <v>3</v>
      </c>
      <c r="U460">
        <v>2</v>
      </c>
      <c r="V460">
        <v>2</v>
      </c>
      <c r="W460" t="s">
        <v>51</v>
      </c>
      <c r="X460" s="1" t="d">
        <v>2018-05-26</v>
      </c>
      <c r="Z460" t="s">
        <v>52</v>
      </c>
      <c r="AA460" t="s">
        <v>40</v>
      </c>
      <c r="AB460">
        <v>1</v>
      </c>
      <c r="AC460">
        <v>2</v>
      </c>
      <c r="AD460" t="s">
        <v>32</v>
      </c>
      <c r="AE460" t="s">
        <v>60</v>
      </c>
      <c r="AF460" t="s">
        <v>57</v>
      </c>
      <c r="AG460">
        <f>IF(HR_Data[[#This Row],[Attrition]]="Yes",1,0)</f>
        <v>0</v>
      </c>
      <c r="AH460" t="str">
        <f>IF(HR_Data[Date_of_termination]="","Active","Left")</f>
        <v>Active</v>
      </c>
      <c r="AI460" t="str">
        <f>IF(HR_Data[YearsAtCompany]&lt;=2,"Fresher", IF(HR_Data[YearsAtCompany]&lt;=5,"Junior", IF(HR_Data[YearsAtCompany]&lt;=10, "Mid","Senior")))</f>
        <v>Junior</v>
      </c>
      <c r="AJ460" s="2" t="str">
        <f>IF(HR_Data[MonthlyIncome]&lt;=300,"Low", IF(HR_Data[MonthlyIncome]&lt;=7000,"Medium", "High"))</f>
        <v>High</v>
      </c>
      <c r="AK460" s="2" t="str">
        <f>VLOOKUP(HR_Data[JobRole], JobRole_Map[], 2, FALSE)</f>
        <v>Sales</v>
      </c>
    </row>
    <row r="461" spans="1:37" x14ac:dyDescent="0.25">
      <c r="A461" s="2">
        <v>28</v>
      </c>
      <c r="B461" t="s">
        <v>41</v>
      </c>
      <c r="C461" t="s">
        <v>33</v>
      </c>
      <c r="D461" t="s">
        <v>34</v>
      </c>
      <c r="E461">
        <v>1</v>
      </c>
      <c r="F461" t="s">
        <v>58</v>
      </c>
      <c r="G461">
        <v>3</v>
      </c>
      <c r="H461">
        <v>1</v>
      </c>
      <c r="I461" t="s">
        <v>44</v>
      </c>
      <c r="J461">
        <v>1</v>
      </c>
      <c r="K461" t="s">
        <v>50</v>
      </c>
      <c r="L461">
        <v>3591</v>
      </c>
      <c r="M461">
        <v>1</v>
      </c>
      <c r="N461" t="s">
        <v>41</v>
      </c>
      <c r="O461">
        <v>25</v>
      </c>
      <c r="P461">
        <v>4</v>
      </c>
      <c r="Q461">
        <v>1</v>
      </c>
      <c r="R461">
        <v>3</v>
      </c>
      <c r="S461">
        <v>3</v>
      </c>
      <c r="T461">
        <v>3</v>
      </c>
      <c r="U461">
        <v>1</v>
      </c>
      <c r="V461">
        <v>2</v>
      </c>
      <c r="W461" t="s">
        <v>38</v>
      </c>
      <c r="X461" s="1" t="d">
        <v>2018-01-28</v>
      </c>
      <c r="Z461" t="s">
        <v>39</v>
      </c>
      <c r="AA461" t="s">
        <v>40</v>
      </c>
      <c r="AB461">
        <v>2</v>
      </c>
      <c r="AC461">
        <v>2</v>
      </c>
      <c r="AD461" t="s">
        <v>32</v>
      </c>
      <c r="AE461" t="s">
        <v>42</v>
      </c>
      <c r="AF461" t="s">
        <v>48</v>
      </c>
      <c r="AG461">
        <f>IF(HR_Data[[#This Row],[Attrition]]="Yes",1,0)</f>
        <v>0</v>
      </c>
      <c r="AH461" t="str">
        <f>IF(HR_Data[Date_of_termination]="","Active","Left")</f>
        <v>Active</v>
      </c>
      <c r="AI461" t="str">
        <f>IF(HR_Data[YearsAtCompany]&lt;=2,"Fresher", IF(HR_Data[YearsAtCompany]&lt;=5,"Junior", IF(HR_Data[YearsAtCompany]&lt;=10, "Mid","Senior")))</f>
        <v>Junior</v>
      </c>
      <c r="AJ461" s="2" t="str">
        <f>IF(HR_Data[MonthlyIncome]&lt;=300,"Low", IF(HR_Data[MonthlyIncome]&lt;=7000,"Medium", "High"))</f>
        <v>Medium</v>
      </c>
      <c r="AK461" s="2" t="str">
        <f>VLOOKUP(HR_Data[JobRole], JobRole_Map[], 2, FALSE)</f>
        <v>Technical</v>
      </c>
    </row>
    <row r="462" spans="1:37" x14ac:dyDescent="0.25">
      <c r="A462" s="2">
        <v>28</v>
      </c>
      <c r="B462" t="s">
        <v>41</v>
      </c>
      <c r="C462" t="s">
        <v>68</v>
      </c>
      <c r="D462" t="s">
        <v>70</v>
      </c>
      <c r="E462">
        <v>1</v>
      </c>
      <c r="F462" t="s">
        <v>35</v>
      </c>
      <c r="G462">
        <v>3</v>
      </c>
      <c r="H462">
        <v>1</v>
      </c>
      <c r="I462" t="s">
        <v>70</v>
      </c>
      <c r="J462">
        <v>4</v>
      </c>
      <c r="K462" t="s">
        <v>55</v>
      </c>
      <c r="L462">
        <v>2706</v>
      </c>
      <c r="M462">
        <v>1</v>
      </c>
      <c r="N462" t="s">
        <v>41</v>
      </c>
      <c r="O462">
        <v>15</v>
      </c>
      <c r="P462">
        <v>3</v>
      </c>
      <c r="Q462">
        <v>1</v>
      </c>
      <c r="R462">
        <v>3</v>
      </c>
      <c r="S462">
        <v>2</v>
      </c>
      <c r="T462">
        <v>3</v>
      </c>
      <c r="U462">
        <v>2</v>
      </c>
      <c r="V462">
        <v>2</v>
      </c>
      <c r="W462" t="s">
        <v>51</v>
      </c>
      <c r="X462" s="1" t="d">
        <v>2018-02-07</v>
      </c>
      <c r="Z462" t="s">
        <v>45</v>
      </c>
      <c r="AA462" t="s">
        <v>40</v>
      </c>
      <c r="AB462">
        <v>2</v>
      </c>
      <c r="AC462">
        <v>0</v>
      </c>
      <c r="AD462" t="s">
        <v>32</v>
      </c>
      <c r="AE462" t="s">
        <v>47</v>
      </c>
      <c r="AF462" t="s">
        <v>48</v>
      </c>
      <c r="AG462">
        <f>IF(HR_Data[[#This Row],[Attrition]]="Yes",1,0)</f>
        <v>0</v>
      </c>
      <c r="AH462" t="str">
        <f>IF(HR_Data[Date_of_termination]="","Active","Left")</f>
        <v>Active</v>
      </c>
      <c r="AI462" t="str">
        <f>IF(HR_Data[YearsAtCompany]&lt;=2,"Fresher", IF(HR_Data[YearsAtCompany]&lt;=5,"Junior", IF(HR_Data[YearsAtCompany]&lt;=10, "Mid","Senior")))</f>
        <v>Junior</v>
      </c>
      <c r="AJ462" s="2" t="str">
        <f>IF(HR_Data[MonthlyIncome]&lt;=300,"Low", IF(HR_Data[MonthlyIncome]&lt;=7000,"Medium", "High"))</f>
        <v>Medium</v>
      </c>
      <c r="AK462" s="2" t="str">
        <f>VLOOKUP(HR_Data[JobRole], JobRole_Map[], 2, FALSE)</f>
        <v>HR</v>
      </c>
    </row>
    <row r="463" spans="1:37" x14ac:dyDescent="0.25">
      <c r="A463" s="2">
        <v>29</v>
      </c>
      <c r="B463" t="s">
        <v>41</v>
      </c>
      <c r="C463" t="s">
        <v>33</v>
      </c>
      <c r="D463" t="s">
        <v>34</v>
      </c>
      <c r="E463">
        <v>7</v>
      </c>
      <c r="F463" t="s">
        <v>35</v>
      </c>
      <c r="G463">
        <v>3</v>
      </c>
      <c r="H463">
        <v>1</v>
      </c>
      <c r="I463" t="s">
        <v>36</v>
      </c>
      <c r="J463">
        <v>1</v>
      </c>
      <c r="K463" t="s">
        <v>37</v>
      </c>
      <c r="L463">
        <v>2062</v>
      </c>
      <c r="M463">
        <v>3</v>
      </c>
      <c r="N463" t="s">
        <v>41</v>
      </c>
      <c r="O463">
        <v>14</v>
      </c>
      <c r="P463">
        <v>3</v>
      </c>
      <c r="Q463">
        <v>0</v>
      </c>
      <c r="R463">
        <v>11</v>
      </c>
      <c r="S463">
        <v>2</v>
      </c>
      <c r="T463">
        <v>3</v>
      </c>
      <c r="U463">
        <v>1</v>
      </c>
      <c r="V463">
        <v>2</v>
      </c>
      <c r="W463" t="s">
        <v>56</v>
      </c>
      <c r="X463" s="1" t="d">
        <v>2018-03-16</v>
      </c>
      <c r="Z463" t="s">
        <v>45</v>
      </c>
      <c r="AA463" t="s">
        <v>46</v>
      </c>
      <c r="AB463">
        <v>5</v>
      </c>
      <c r="AC463">
        <v>0</v>
      </c>
      <c r="AD463" t="s">
        <v>32</v>
      </c>
      <c r="AE463" t="s">
        <v>42</v>
      </c>
      <c r="AF463" t="s">
        <v>57</v>
      </c>
      <c r="AG463">
        <f>IF(HR_Data[[#This Row],[Attrition]]="Yes",1,0)</f>
        <v>0</v>
      </c>
      <c r="AH463" t="str">
        <f>IF(HR_Data[Date_of_termination]="","Active","Left")</f>
        <v>Active</v>
      </c>
      <c r="AI463" t="str">
        <f>IF(HR_Data[YearsAtCompany]&lt;=2,"Fresher", IF(HR_Data[YearsAtCompany]&lt;=5,"Junior", IF(HR_Data[YearsAtCompany]&lt;=10, "Mid","Senior")))</f>
        <v>Junior</v>
      </c>
      <c r="AJ463" s="2" t="str">
        <f>IF(HR_Data[MonthlyIncome]&lt;=300,"Low", IF(HR_Data[MonthlyIncome]&lt;=7000,"Medium", "High"))</f>
        <v>Medium</v>
      </c>
      <c r="AK463" s="2" t="str">
        <f>VLOOKUP(HR_Data[JobRole], JobRole_Map[], 2, FALSE)</f>
        <v>Technical</v>
      </c>
    </row>
    <row r="464" spans="1:37" x14ac:dyDescent="0.25">
      <c r="A464" s="2">
        <v>35</v>
      </c>
      <c r="B464" t="s">
        <v>41</v>
      </c>
      <c r="C464" t="s">
        <v>33</v>
      </c>
      <c r="D464" t="s">
        <v>34</v>
      </c>
      <c r="E464">
        <v>16</v>
      </c>
      <c r="F464" t="s">
        <v>58</v>
      </c>
      <c r="G464">
        <v>2</v>
      </c>
      <c r="H464">
        <v>2</v>
      </c>
      <c r="I464" t="s">
        <v>67</v>
      </c>
      <c r="J464">
        <v>2</v>
      </c>
      <c r="K464" t="s">
        <v>50</v>
      </c>
      <c r="L464">
        <v>4788</v>
      </c>
      <c r="M464">
        <v>0</v>
      </c>
      <c r="N464" t="s">
        <v>32</v>
      </c>
      <c r="O464">
        <v>11</v>
      </c>
      <c r="P464">
        <v>3</v>
      </c>
      <c r="Q464">
        <v>0</v>
      </c>
      <c r="R464">
        <v>4</v>
      </c>
      <c r="S464">
        <v>2</v>
      </c>
      <c r="T464">
        <v>3</v>
      </c>
      <c r="U464">
        <v>0</v>
      </c>
      <c r="V464">
        <v>2</v>
      </c>
      <c r="W464" t="s">
        <v>38</v>
      </c>
      <c r="X464" s="1" t="d">
        <v>2018-05-06</v>
      </c>
      <c r="Z464" t="s">
        <v>52</v>
      </c>
      <c r="AA464" t="s">
        <v>40</v>
      </c>
      <c r="AB464">
        <v>0</v>
      </c>
      <c r="AC464">
        <v>1</v>
      </c>
      <c r="AD464" t="s">
        <v>32</v>
      </c>
      <c r="AE464" t="s">
        <v>60</v>
      </c>
      <c r="AF464" t="s">
        <v>43</v>
      </c>
      <c r="AG464">
        <f>IF(HR_Data[[#This Row],[Attrition]]="Yes",1,0)</f>
        <v>0</v>
      </c>
      <c r="AH464" t="str">
        <f>IF(HR_Data[Date_of_termination]="","Active","Left")</f>
        <v>Active</v>
      </c>
      <c r="AI464" t="str">
        <f>IF(HR_Data[YearsAtCompany]&lt;=2,"Fresher", IF(HR_Data[YearsAtCompany]&lt;=5,"Junior", IF(HR_Data[YearsAtCompany]&lt;=10, "Mid","Senior")))</f>
        <v>Junior</v>
      </c>
      <c r="AJ464" s="2" t="str">
        <f>IF(HR_Data[MonthlyIncome]&lt;=300,"Low", IF(HR_Data[MonthlyIncome]&lt;=7000,"Medium", "High"))</f>
        <v>Medium</v>
      </c>
      <c r="AK464" s="2" t="str">
        <f>VLOOKUP(HR_Data[JobRole], JobRole_Map[], 2, FALSE)</f>
        <v>Operations</v>
      </c>
    </row>
    <row r="465" spans="1:37" x14ac:dyDescent="0.25">
      <c r="A465" s="2">
        <v>39</v>
      </c>
      <c r="B465" t="s">
        <v>41</v>
      </c>
      <c r="C465" t="s">
        <v>68</v>
      </c>
      <c r="D465" t="s">
        <v>53</v>
      </c>
      <c r="E465">
        <v>21</v>
      </c>
      <c r="F465" t="s">
        <v>58</v>
      </c>
      <c r="G465">
        <v>1</v>
      </c>
      <c r="H465">
        <v>2</v>
      </c>
      <c r="I465" t="s">
        <v>64</v>
      </c>
      <c r="J465">
        <v>3</v>
      </c>
      <c r="K465" t="s">
        <v>50</v>
      </c>
      <c r="L465">
        <v>5736</v>
      </c>
      <c r="M465">
        <v>6</v>
      </c>
      <c r="N465" t="s">
        <v>41</v>
      </c>
      <c r="O465">
        <v>19</v>
      </c>
      <c r="P465">
        <v>3</v>
      </c>
      <c r="Q465">
        <v>1</v>
      </c>
      <c r="R465">
        <v>10</v>
      </c>
      <c r="S465">
        <v>1</v>
      </c>
      <c r="T465">
        <v>3</v>
      </c>
      <c r="U465">
        <v>1</v>
      </c>
      <c r="V465">
        <v>2</v>
      </c>
      <c r="W465" t="s">
        <v>56</v>
      </c>
      <c r="X465" s="1" t="d">
        <v>2018-06-08</v>
      </c>
      <c r="Z465" t="s">
        <v>63</v>
      </c>
      <c r="AA465" t="s">
        <v>40</v>
      </c>
      <c r="AB465">
        <v>5</v>
      </c>
      <c r="AC465">
        <v>0</v>
      </c>
      <c r="AD465" t="s">
        <v>41</v>
      </c>
      <c r="AE465" t="s">
        <v>62</v>
      </c>
      <c r="AF465" t="s">
        <v>43</v>
      </c>
      <c r="AG465">
        <f>IF(HR_Data[[#This Row],[Attrition]]="Yes",1,0)</f>
        <v>0</v>
      </c>
      <c r="AH465" t="str">
        <f>IF(HR_Data[Date_of_termination]="","Active","Left")</f>
        <v>Active</v>
      </c>
      <c r="AI465" t="str">
        <f>IF(HR_Data[YearsAtCompany]&lt;=2,"Fresher", IF(HR_Data[YearsAtCompany]&lt;=5,"Junior", IF(HR_Data[YearsAtCompany]&lt;=10, "Mid","Senior")))</f>
        <v>Junior</v>
      </c>
      <c r="AJ465" s="2" t="str">
        <f>IF(HR_Data[MonthlyIncome]&lt;=300,"Low", IF(HR_Data[MonthlyIncome]&lt;=7000,"Medium", "High"))</f>
        <v>Medium</v>
      </c>
      <c r="AK465" s="2" t="str">
        <f>VLOOKUP(HR_Data[JobRole], JobRole_Map[], 2, FALSE)</f>
        <v>Sales</v>
      </c>
    </row>
    <row r="466" spans="1:37" x14ac:dyDescent="0.25">
      <c r="A466" s="2">
        <v>22</v>
      </c>
      <c r="B466" t="s">
        <v>41</v>
      </c>
      <c r="C466" t="s">
        <v>33</v>
      </c>
      <c r="D466" t="s">
        <v>34</v>
      </c>
      <c r="E466">
        <v>1</v>
      </c>
      <c r="F466" t="s">
        <v>35</v>
      </c>
      <c r="G466">
        <v>3</v>
      </c>
      <c r="H466">
        <v>1</v>
      </c>
      <c r="I466" t="s">
        <v>44</v>
      </c>
      <c r="J466">
        <v>3</v>
      </c>
      <c r="K466" t="s">
        <v>37</v>
      </c>
      <c r="L466">
        <v>3375</v>
      </c>
      <c r="M466">
        <v>0</v>
      </c>
      <c r="N466" t="s">
        <v>41</v>
      </c>
      <c r="O466">
        <v>12</v>
      </c>
      <c r="P466">
        <v>3</v>
      </c>
      <c r="Q466">
        <v>0</v>
      </c>
      <c r="R466">
        <v>4</v>
      </c>
      <c r="S466">
        <v>2</v>
      </c>
      <c r="T466">
        <v>3</v>
      </c>
      <c r="U466">
        <v>1</v>
      </c>
      <c r="V466">
        <v>2</v>
      </c>
      <c r="W466" t="s">
        <v>65</v>
      </c>
      <c r="X466" s="1" t="d">
        <v>2018-01-01</v>
      </c>
      <c r="Z466" t="s">
        <v>39</v>
      </c>
      <c r="AA466" t="s">
        <v>46</v>
      </c>
      <c r="AB466">
        <v>0</v>
      </c>
      <c r="AC466">
        <v>1</v>
      </c>
      <c r="AD466" t="s">
        <v>41</v>
      </c>
      <c r="AE466" t="s">
        <v>47</v>
      </c>
      <c r="AF466" t="s">
        <v>43</v>
      </c>
      <c r="AG466">
        <f>IF(HR_Data[[#This Row],[Attrition]]="Yes",1,0)</f>
        <v>0</v>
      </c>
      <c r="AH466" t="str">
        <f>IF(HR_Data[Date_of_termination]="","Active","Left")</f>
        <v>Active</v>
      </c>
      <c r="AI466" t="str">
        <f>IF(HR_Data[YearsAtCompany]&lt;=2,"Fresher", IF(HR_Data[YearsAtCompany]&lt;=5,"Junior", IF(HR_Data[YearsAtCompany]&lt;=10, "Mid","Senior")))</f>
        <v>Junior</v>
      </c>
      <c r="AJ466" s="2" t="str">
        <f>IF(HR_Data[MonthlyIncome]&lt;=300,"Low", IF(HR_Data[MonthlyIncome]&lt;=7000,"Medium", "High"))</f>
        <v>Medium</v>
      </c>
      <c r="AK466" s="2" t="str">
        <f>VLOOKUP(HR_Data[JobRole], JobRole_Map[], 2, FALSE)</f>
        <v>Technical</v>
      </c>
    </row>
    <row r="467" spans="1:37" x14ac:dyDescent="0.25">
      <c r="A467" s="2">
        <v>50</v>
      </c>
      <c r="B467" t="s">
        <v>32</v>
      </c>
      <c r="C467" t="s">
        <v>33</v>
      </c>
      <c r="D467" t="s">
        <v>53</v>
      </c>
      <c r="E467">
        <v>28</v>
      </c>
      <c r="F467" t="s">
        <v>35</v>
      </c>
      <c r="G467">
        <v>2</v>
      </c>
      <c r="H467">
        <v>3</v>
      </c>
      <c r="I467" t="s">
        <v>64</v>
      </c>
      <c r="J467">
        <v>1</v>
      </c>
      <c r="K467" t="s">
        <v>55</v>
      </c>
      <c r="L467">
        <v>10854</v>
      </c>
      <c r="M467">
        <v>4</v>
      </c>
      <c r="N467" t="s">
        <v>32</v>
      </c>
      <c r="O467">
        <v>13</v>
      </c>
      <c r="P467">
        <v>3</v>
      </c>
      <c r="Q467">
        <v>1</v>
      </c>
      <c r="R467">
        <v>20</v>
      </c>
      <c r="S467">
        <v>3</v>
      </c>
      <c r="T467">
        <v>3</v>
      </c>
      <c r="U467">
        <v>2</v>
      </c>
      <c r="V467">
        <v>0</v>
      </c>
      <c r="W467" t="s">
        <v>38</v>
      </c>
      <c r="X467" s="1" t="d">
        <v>2018-04-11</v>
      </c>
      <c r="Z467" t="s">
        <v>59</v>
      </c>
      <c r="AA467" t="s">
        <v>40</v>
      </c>
      <c r="AB467">
        <v>3</v>
      </c>
      <c r="AC467">
        <v>2</v>
      </c>
      <c r="AD467" t="s">
        <v>32</v>
      </c>
      <c r="AE467" t="s">
        <v>42</v>
      </c>
      <c r="AF467" t="s">
        <v>43</v>
      </c>
      <c r="AG467">
        <f>IF(HR_Data[[#This Row],[Attrition]]="Yes",1,0)</f>
        <v>1</v>
      </c>
      <c r="AH467" t="str">
        <f>IF(HR_Data[Date_of_termination]="","Active","Left")</f>
        <v>Active</v>
      </c>
      <c r="AI467" t="str">
        <f>IF(HR_Data[YearsAtCompany]&lt;=2,"Fresher", IF(HR_Data[YearsAtCompany]&lt;=5,"Junior", IF(HR_Data[YearsAtCompany]&lt;=10, "Mid","Senior")))</f>
        <v>Junior</v>
      </c>
      <c r="AJ467" s="2" t="str">
        <f>IF(HR_Data[MonthlyIncome]&lt;=300,"Low", IF(HR_Data[MonthlyIncome]&lt;=7000,"Medium", "High"))</f>
        <v>High</v>
      </c>
      <c r="AK467" s="2" t="str">
        <f>VLOOKUP(HR_Data[JobRole], JobRole_Map[], 2, FALSE)</f>
        <v>Sales</v>
      </c>
    </row>
    <row r="468" spans="1:37" x14ac:dyDescent="0.25">
      <c r="A468" s="2">
        <v>28</v>
      </c>
      <c r="B468" t="s">
        <v>32</v>
      </c>
      <c r="C468" t="s">
        <v>33</v>
      </c>
      <c r="D468" t="s">
        <v>34</v>
      </c>
      <c r="E468">
        <v>24</v>
      </c>
      <c r="F468" t="s">
        <v>35</v>
      </c>
      <c r="G468">
        <v>2</v>
      </c>
      <c r="H468">
        <v>1</v>
      </c>
      <c r="I468" t="s">
        <v>36</v>
      </c>
      <c r="J468">
        <v>3</v>
      </c>
      <c r="K468" t="s">
        <v>37</v>
      </c>
      <c r="L468">
        <v>2028</v>
      </c>
      <c r="M468">
        <v>5</v>
      </c>
      <c r="N468" t="s">
        <v>32</v>
      </c>
      <c r="O468">
        <v>14</v>
      </c>
      <c r="P468">
        <v>3</v>
      </c>
      <c r="Q468">
        <v>0</v>
      </c>
      <c r="R468">
        <v>6</v>
      </c>
      <c r="S468">
        <v>4</v>
      </c>
      <c r="T468">
        <v>4</v>
      </c>
      <c r="U468">
        <v>0</v>
      </c>
      <c r="V468">
        <v>3</v>
      </c>
      <c r="W468" t="s">
        <v>38</v>
      </c>
      <c r="X468" s="1" t="d">
        <v>2017-05-15</v>
      </c>
      <c r="Z468" t="s">
        <v>52</v>
      </c>
      <c r="AA468" t="s">
        <v>46</v>
      </c>
      <c r="AB468">
        <v>2</v>
      </c>
      <c r="AC468">
        <v>0</v>
      </c>
      <c r="AD468" t="s">
        <v>41</v>
      </c>
      <c r="AE468" t="s">
        <v>60</v>
      </c>
      <c r="AF468" t="s">
        <v>57</v>
      </c>
      <c r="AG468">
        <f>IF(HR_Data[[#This Row],[Attrition]]="Yes",1,0)</f>
        <v>1</v>
      </c>
      <c r="AH468" t="str">
        <f>IF(HR_Data[Date_of_termination]="","Active","Left")</f>
        <v>Active</v>
      </c>
      <c r="AI468" t="str">
        <f>IF(HR_Data[YearsAtCompany]&lt;=2,"Fresher", IF(HR_Data[YearsAtCompany]&lt;=5,"Junior", IF(HR_Data[YearsAtCompany]&lt;=10, "Mid","Senior")))</f>
        <v>Junior</v>
      </c>
      <c r="AJ468" s="2" t="str">
        <f>IF(HR_Data[MonthlyIncome]&lt;=300,"Low", IF(HR_Data[MonthlyIncome]&lt;=7000,"Medium", "High"))</f>
        <v>Medium</v>
      </c>
      <c r="AK468" s="2" t="str">
        <f>VLOOKUP(HR_Data[JobRole], JobRole_Map[], 2, FALSE)</f>
        <v>Technical</v>
      </c>
    </row>
    <row r="469" spans="1:37" x14ac:dyDescent="0.25">
      <c r="A469" s="2">
        <v>24</v>
      </c>
      <c r="B469" t="s">
        <v>41</v>
      </c>
      <c r="C469" t="s">
        <v>68</v>
      </c>
      <c r="D469" t="s">
        <v>34</v>
      </c>
      <c r="E469">
        <v>11</v>
      </c>
      <c r="F469" t="s">
        <v>58</v>
      </c>
      <c r="G469">
        <v>4</v>
      </c>
      <c r="H469">
        <v>2</v>
      </c>
      <c r="I469" t="s">
        <v>67</v>
      </c>
      <c r="J469">
        <v>3</v>
      </c>
      <c r="K469" t="s">
        <v>55</v>
      </c>
      <c r="L469">
        <v>4011</v>
      </c>
      <c r="M469">
        <v>0</v>
      </c>
      <c r="N469" t="s">
        <v>41</v>
      </c>
      <c r="O469">
        <v>18</v>
      </c>
      <c r="P469">
        <v>3</v>
      </c>
      <c r="Q469">
        <v>1</v>
      </c>
      <c r="R469">
        <v>5</v>
      </c>
      <c r="S469">
        <v>5</v>
      </c>
      <c r="T469">
        <v>4</v>
      </c>
      <c r="U469">
        <v>1</v>
      </c>
      <c r="V469">
        <v>3</v>
      </c>
      <c r="W469" t="s">
        <v>38</v>
      </c>
      <c r="X469" s="1" t="d">
        <v>2017-04-05</v>
      </c>
      <c r="Z469" t="s">
        <v>45</v>
      </c>
      <c r="AA469" t="s">
        <v>46</v>
      </c>
      <c r="AB469">
        <v>3</v>
      </c>
      <c r="AC469">
        <v>1</v>
      </c>
      <c r="AD469" t="s">
        <v>32</v>
      </c>
      <c r="AE469" t="s">
        <v>62</v>
      </c>
      <c r="AF469" t="s">
        <v>57</v>
      </c>
      <c r="AG469">
        <f>IF(HR_Data[[#This Row],[Attrition]]="Yes",1,0)</f>
        <v>0</v>
      </c>
      <c r="AH469" t="str">
        <f>IF(HR_Data[Date_of_termination]="","Active","Left")</f>
        <v>Active</v>
      </c>
      <c r="AI469" t="str">
        <f>IF(HR_Data[YearsAtCompany]&lt;=2,"Fresher", IF(HR_Data[YearsAtCompany]&lt;=5,"Junior", IF(HR_Data[YearsAtCompany]&lt;=10, "Mid","Senior")))</f>
        <v>Junior</v>
      </c>
      <c r="AJ469" s="2" t="str">
        <f>IF(HR_Data[MonthlyIncome]&lt;=300,"Low", IF(HR_Data[MonthlyIncome]&lt;=7000,"Medium", "High"))</f>
        <v>Medium</v>
      </c>
      <c r="AK469" s="2" t="str">
        <f>VLOOKUP(HR_Data[JobRole], JobRole_Map[], 2, FALSE)</f>
        <v>Operations</v>
      </c>
    </row>
    <row r="470" spans="1:37" x14ac:dyDescent="0.25">
      <c r="A470" s="2">
        <v>34</v>
      </c>
      <c r="B470" t="s">
        <v>32</v>
      </c>
      <c r="C470" t="s">
        <v>33</v>
      </c>
      <c r="D470" t="s">
        <v>34</v>
      </c>
      <c r="E470">
        <v>6</v>
      </c>
      <c r="F470" t="s">
        <v>35</v>
      </c>
      <c r="G470">
        <v>3</v>
      </c>
      <c r="H470">
        <v>1</v>
      </c>
      <c r="I470" t="s">
        <v>44</v>
      </c>
      <c r="J470">
        <v>1</v>
      </c>
      <c r="K470" t="s">
        <v>37</v>
      </c>
      <c r="L470">
        <v>2960</v>
      </c>
      <c r="M470">
        <v>2</v>
      </c>
      <c r="N470" t="s">
        <v>41</v>
      </c>
      <c r="O470">
        <v>11</v>
      </c>
      <c r="P470">
        <v>3</v>
      </c>
      <c r="Q470">
        <v>0</v>
      </c>
      <c r="R470">
        <v>8</v>
      </c>
      <c r="S470">
        <v>2</v>
      </c>
      <c r="T470">
        <v>4</v>
      </c>
      <c r="U470">
        <v>1</v>
      </c>
      <c r="V470">
        <v>3</v>
      </c>
      <c r="W470" t="s">
        <v>51</v>
      </c>
      <c r="X470" s="1" t="d">
        <v>2017-04-05</v>
      </c>
      <c r="Z470" t="s">
        <v>52</v>
      </c>
      <c r="AA470" t="s">
        <v>46</v>
      </c>
      <c r="AB470">
        <v>1</v>
      </c>
      <c r="AC470">
        <v>1</v>
      </c>
      <c r="AD470" t="s">
        <v>32</v>
      </c>
      <c r="AE470" t="s">
        <v>47</v>
      </c>
      <c r="AF470" t="s">
        <v>57</v>
      </c>
      <c r="AG470">
        <f>IF(HR_Data[[#This Row],[Attrition]]="Yes",1,0)</f>
        <v>1</v>
      </c>
      <c r="AH470" t="str">
        <f>IF(HR_Data[Date_of_termination]="","Active","Left")</f>
        <v>Active</v>
      </c>
      <c r="AI470" t="str">
        <f>IF(HR_Data[YearsAtCompany]&lt;=2,"Fresher", IF(HR_Data[YearsAtCompany]&lt;=5,"Junior", IF(HR_Data[YearsAtCompany]&lt;=10, "Mid","Senior")))</f>
        <v>Junior</v>
      </c>
      <c r="AJ470" s="2" t="str">
        <f>IF(HR_Data[MonthlyIncome]&lt;=300,"Low", IF(HR_Data[MonthlyIncome]&lt;=7000,"Medium", "High"))</f>
        <v>Medium</v>
      </c>
      <c r="AK470" s="2" t="str">
        <f>VLOOKUP(HR_Data[JobRole], JobRole_Map[], 2, FALSE)</f>
        <v>Technical</v>
      </c>
    </row>
    <row r="471" spans="1:37" x14ac:dyDescent="0.25">
      <c r="A471" s="2">
        <v>44</v>
      </c>
      <c r="B471" t="s">
        <v>41</v>
      </c>
      <c r="C471" t="s">
        <v>33</v>
      </c>
      <c r="D471" t="s">
        <v>34</v>
      </c>
      <c r="E471">
        <v>10</v>
      </c>
      <c r="F471" t="s">
        <v>35</v>
      </c>
      <c r="G471">
        <v>3</v>
      </c>
      <c r="H471">
        <v>2</v>
      </c>
      <c r="I471" t="s">
        <v>69</v>
      </c>
      <c r="J471">
        <v>4</v>
      </c>
      <c r="K471" t="s">
        <v>50</v>
      </c>
      <c r="L471">
        <v>6465</v>
      </c>
      <c r="M471">
        <v>2</v>
      </c>
      <c r="N471" t="s">
        <v>32</v>
      </c>
      <c r="O471">
        <v>13</v>
      </c>
      <c r="P471">
        <v>3</v>
      </c>
      <c r="Q471">
        <v>0</v>
      </c>
      <c r="R471">
        <v>9</v>
      </c>
      <c r="S471">
        <v>5</v>
      </c>
      <c r="T471">
        <v>4</v>
      </c>
      <c r="U471">
        <v>1</v>
      </c>
      <c r="V471">
        <v>3</v>
      </c>
      <c r="W471" t="s">
        <v>65</v>
      </c>
      <c r="X471" s="1" t="d">
        <v>2017-01-29</v>
      </c>
      <c r="Z471" t="s">
        <v>45</v>
      </c>
      <c r="AA471" t="s">
        <v>40</v>
      </c>
      <c r="AB471">
        <v>5</v>
      </c>
      <c r="AC471">
        <v>3</v>
      </c>
      <c r="AD471" t="s">
        <v>32</v>
      </c>
      <c r="AE471" t="s">
        <v>42</v>
      </c>
      <c r="AF471" t="s">
        <v>48</v>
      </c>
      <c r="AG471">
        <f>IF(HR_Data[[#This Row],[Attrition]]="Yes",1,0)</f>
        <v>0</v>
      </c>
      <c r="AH471" t="str">
        <f>IF(HR_Data[Date_of_termination]="","Active","Left")</f>
        <v>Active</v>
      </c>
      <c r="AI471" t="str">
        <f>IF(HR_Data[YearsAtCompany]&lt;=2,"Fresher", IF(HR_Data[YearsAtCompany]&lt;=5,"Junior", IF(HR_Data[YearsAtCompany]&lt;=10, "Mid","Senior")))</f>
        <v>Junior</v>
      </c>
      <c r="AJ471" s="2" t="str">
        <f>IF(HR_Data[MonthlyIncome]&lt;=300,"Low", IF(HR_Data[MonthlyIncome]&lt;=7000,"Medium", "High"))</f>
        <v>Medium</v>
      </c>
      <c r="AK471" s="2" t="str">
        <f>VLOOKUP(HR_Data[JobRole], JobRole_Map[], 2, FALSE)</f>
        <v>Operations</v>
      </c>
    </row>
    <row r="472" spans="1:37" x14ac:dyDescent="0.25">
      <c r="A472" s="2">
        <v>44</v>
      </c>
      <c r="B472" t="s">
        <v>41</v>
      </c>
      <c r="C472" t="s">
        <v>33</v>
      </c>
      <c r="D472" t="s">
        <v>53</v>
      </c>
      <c r="E472">
        <v>1</v>
      </c>
      <c r="F472" t="s">
        <v>58</v>
      </c>
      <c r="G472">
        <v>3</v>
      </c>
      <c r="H472">
        <v>2</v>
      </c>
      <c r="I472" t="s">
        <v>64</v>
      </c>
      <c r="J472">
        <v>1</v>
      </c>
      <c r="K472" t="s">
        <v>55</v>
      </c>
      <c r="L472">
        <v>5454</v>
      </c>
      <c r="M472">
        <v>5</v>
      </c>
      <c r="N472" t="s">
        <v>32</v>
      </c>
      <c r="O472">
        <v>21</v>
      </c>
      <c r="P472">
        <v>4</v>
      </c>
      <c r="Q472">
        <v>1</v>
      </c>
      <c r="R472">
        <v>9</v>
      </c>
      <c r="S472">
        <v>2</v>
      </c>
      <c r="T472">
        <v>4</v>
      </c>
      <c r="U472">
        <v>1</v>
      </c>
      <c r="V472">
        <v>3</v>
      </c>
      <c r="W472" t="s">
        <v>65</v>
      </c>
      <c r="X472" s="1" t="d">
        <v>2017-06-27</v>
      </c>
      <c r="Z472" t="s">
        <v>39</v>
      </c>
      <c r="AA472" t="s">
        <v>40</v>
      </c>
      <c r="AB472">
        <v>5</v>
      </c>
      <c r="AC472">
        <v>3</v>
      </c>
      <c r="AD472" t="s">
        <v>32</v>
      </c>
      <c r="AE472" t="s">
        <v>62</v>
      </c>
      <c r="AF472" t="s">
        <v>57</v>
      </c>
      <c r="AG472">
        <f>IF(HR_Data[[#This Row],[Attrition]]="Yes",1,0)</f>
        <v>0</v>
      </c>
      <c r="AH472" t="str">
        <f>IF(HR_Data[Date_of_termination]="","Active","Left")</f>
        <v>Active</v>
      </c>
      <c r="AI472" t="str">
        <f>IF(HR_Data[YearsAtCompany]&lt;=2,"Fresher", IF(HR_Data[YearsAtCompany]&lt;=5,"Junior", IF(HR_Data[YearsAtCompany]&lt;=10, "Mid","Senior")))</f>
        <v>Junior</v>
      </c>
      <c r="AJ472" s="2" t="str">
        <f>IF(HR_Data[MonthlyIncome]&lt;=300,"Low", IF(HR_Data[MonthlyIncome]&lt;=7000,"Medium", "High"))</f>
        <v>Medium</v>
      </c>
      <c r="AK472" s="2" t="str">
        <f>VLOOKUP(HR_Data[JobRole], JobRole_Map[], 2, FALSE)</f>
        <v>Sales</v>
      </c>
    </row>
    <row r="473" spans="1:37" x14ac:dyDescent="0.25">
      <c r="A473" s="2">
        <v>35</v>
      </c>
      <c r="B473" t="s">
        <v>41</v>
      </c>
      <c r="C473" t="s">
        <v>68</v>
      </c>
      <c r="D473" t="s">
        <v>34</v>
      </c>
      <c r="E473">
        <v>11</v>
      </c>
      <c r="F473" t="s">
        <v>35</v>
      </c>
      <c r="G473">
        <v>2</v>
      </c>
      <c r="H473">
        <v>3</v>
      </c>
      <c r="I473" t="s">
        <v>69</v>
      </c>
      <c r="J473">
        <v>1</v>
      </c>
      <c r="K473" t="s">
        <v>50</v>
      </c>
      <c r="L473">
        <v>9884</v>
      </c>
      <c r="M473">
        <v>2</v>
      </c>
      <c r="N473" t="s">
        <v>32</v>
      </c>
      <c r="O473">
        <v>13</v>
      </c>
      <c r="P473">
        <v>3</v>
      </c>
      <c r="Q473">
        <v>1</v>
      </c>
      <c r="R473">
        <v>10</v>
      </c>
      <c r="S473">
        <v>3</v>
      </c>
      <c r="T473">
        <v>4</v>
      </c>
      <c r="U473">
        <v>2</v>
      </c>
      <c r="V473">
        <v>3</v>
      </c>
      <c r="W473" t="s">
        <v>51</v>
      </c>
      <c r="X473" s="1" t="d">
        <v>2017-05-22</v>
      </c>
      <c r="Z473" t="s">
        <v>39</v>
      </c>
      <c r="AA473" t="s">
        <v>40</v>
      </c>
      <c r="AB473">
        <v>1</v>
      </c>
      <c r="AC473">
        <v>1</v>
      </c>
      <c r="AD473" t="s">
        <v>32</v>
      </c>
      <c r="AE473" t="s">
        <v>47</v>
      </c>
      <c r="AF473" t="s">
        <v>48</v>
      </c>
      <c r="AG473">
        <f>IF(HR_Data[[#This Row],[Attrition]]="Yes",1,0)</f>
        <v>0</v>
      </c>
      <c r="AH473" t="str">
        <f>IF(HR_Data[Date_of_termination]="","Active","Left")</f>
        <v>Active</v>
      </c>
      <c r="AI473" t="str">
        <f>IF(HR_Data[YearsAtCompany]&lt;=2,"Fresher", IF(HR_Data[YearsAtCompany]&lt;=5,"Junior", IF(HR_Data[YearsAtCompany]&lt;=10, "Mid","Senior")))</f>
        <v>Junior</v>
      </c>
      <c r="AJ473" s="2" t="str">
        <f>IF(HR_Data[MonthlyIncome]&lt;=300,"Low", IF(HR_Data[MonthlyIncome]&lt;=7000,"Medium", "High"))</f>
        <v>High</v>
      </c>
      <c r="AK473" s="2" t="str">
        <f>VLOOKUP(HR_Data[JobRole], JobRole_Map[], 2, FALSE)</f>
        <v>Operations</v>
      </c>
    </row>
    <row r="474" spans="1:37" x14ac:dyDescent="0.25">
      <c r="A474" s="2">
        <v>59</v>
      </c>
      <c r="B474" t="s">
        <v>41</v>
      </c>
      <c r="C474" t="s">
        <v>61</v>
      </c>
      <c r="D474" t="s">
        <v>53</v>
      </c>
      <c r="E474">
        <v>1</v>
      </c>
      <c r="F474" t="s">
        <v>58</v>
      </c>
      <c r="G474">
        <v>2</v>
      </c>
      <c r="H474">
        <v>2</v>
      </c>
      <c r="I474" t="s">
        <v>64</v>
      </c>
      <c r="J474">
        <v>3</v>
      </c>
      <c r="K474" t="s">
        <v>37</v>
      </c>
      <c r="L474">
        <v>5473</v>
      </c>
      <c r="M474">
        <v>7</v>
      </c>
      <c r="N474" t="s">
        <v>41</v>
      </c>
      <c r="O474">
        <v>11</v>
      </c>
      <c r="P474">
        <v>3</v>
      </c>
      <c r="Q474">
        <v>0</v>
      </c>
      <c r="R474">
        <v>20</v>
      </c>
      <c r="S474">
        <v>2</v>
      </c>
      <c r="T474">
        <v>4</v>
      </c>
      <c r="U474">
        <v>1</v>
      </c>
      <c r="V474">
        <v>3</v>
      </c>
      <c r="W474" t="s">
        <v>51</v>
      </c>
      <c r="X474" s="1" t="d">
        <v>2017-03-07</v>
      </c>
      <c r="Z474" t="s">
        <v>59</v>
      </c>
      <c r="AA474" t="s">
        <v>46</v>
      </c>
      <c r="AB474">
        <v>1</v>
      </c>
      <c r="AC474">
        <v>0</v>
      </c>
      <c r="AD474" t="s">
        <v>32</v>
      </c>
      <c r="AE474" t="s">
        <v>62</v>
      </c>
      <c r="AF474" t="s">
        <v>48</v>
      </c>
      <c r="AG474">
        <f>IF(HR_Data[[#This Row],[Attrition]]="Yes",1,0)</f>
        <v>0</v>
      </c>
      <c r="AH474" t="str">
        <f>IF(HR_Data[Date_of_termination]="","Active","Left")</f>
        <v>Active</v>
      </c>
      <c r="AI474" t="str">
        <f>IF(HR_Data[YearsAtCompany]&lt;=2,"Fresher", IF(HR_Data[YearsAtCompany]&lt;=5,"Junior", IF(HR_Data[YearsAtCompany]&lt;=10, "Mid","Senior")))</f>
        <v>Junior</v>
      </c>
      <c r="AJ474" s="2" t="str">
        <f>IF(HR_Data[MonthlyIncome]&lt;=300,"Low", IF(HR_Data[MonthlyIncome]&lt;=7000,"Medium", "High"))</f>
        <v>Medium</v>
      </c>
      <c r="AK474" s="2" t="str">
        <f>VLOOKUP(HR_Data[JobRole], JobRole_Map[], 2, FALSE)</f>
        <v>Sales</v>
      </c>
    </row>
    <row r="475" spans="1:37" x14ac:dyDescent="0.25">
      <c r="A475" s="2">
        <v>46</v>
      </c>
      <c r="B475" t="s">
        <v>41</v>
      </c>
      <c r="C475" t="s">
        <v>33</v>
      </c>
      <c r="D475" t="s">
        <v>70</v>
      </c>
      <c r="E475">
        <v>5</v>
      </c>
      <c r="F475" t="s">
        <v>35</v>
      </c>
      <c r="G475">
        <v>3</v>
      </c>
      <c r="H475">
        <v>2</v>
      </c>
      <c r="I475" t="s">
        <v>70</v>
      </c>
      <c r="J475">
        <v>2</v>
      </c>
      <c r="K475" t="s">
        <v>55</v>
      </c>
      <c r="L475">
        <v>5021</v>
      </c>
      <c r="M475">
        <v>8</v>
      </c>
      <c r="N475" t="s">
        <v>32</v>
      </c>
      <c r="O475">
        <v>22</v>
      </c>
      <c r="P475">
        <v>4</v>
      </c>
      <c r="Q475">
        <v>1</v>
      </c>
      <c r="R475">
        <v>16</v>
      </c>
      <c r="S475">
        <v>2</v>
      </c>
      <c r="T475">
        <v>4</v>
      </c>
      <c r="U475">
        <v>0</v>
      </c>
      <c r="V475">
        <v>2</v>
      </c>
      <c r="W475" t="s">
        <v>38</v>
      </c>
      <c r="X475" s="1" t="d">
        <v>2017-02-27</v>
      </c>
      <c r="Z475" t="s">
        <v>45</v>
      </c>
      <c r="AA475" t="s">
        <v>46</v>
      </c>
      <c r="AB475">
        <v>2</v>
      </c>
      <c r="AC475">
        <v>3</v>
      </c>
      <c r="AD475" t="s">
        <v>41</v>
      </c>
      <c r="AE475" t="s">
        <v>62</v>
      </c>
      <c r="AF475" t="s">
        <v>57</v>
      </c>
      <c r="AG475">
        <f>IF(HR_Data[[#This Row],[Attrition]]="Yes",1,0)</f>
        <v>0</v>
      </c>
      <c r="AH475" t="str">
        <f>IF(HR_Data[Date_of_termination]="","Active","Left")</f>
        <v>Active</v>
      </c>
      <c r="AI475" t="str">
        <f>IF(HR_Data[YearsAtCompany]&lt;=2,"Fresher", IF(HR_Data[YearsAtCompany]&lt;=5,"Junior", IF(HR_Data[YearsAtCompany]&lt;=10, "Mid","Senior")))</f>
        <v>Junior</v>
      </c>
      <c r="AJ475" s="2" t="str">
        <f>IF(HR_Data[MonthlyIncome]&lt;=300,"Low", IF(HR_Data[MonthlyIncome]&lt;=7000,"Medium", "High"))</f>
        <v>Medium</v>
      </c>
      <c r="AK475" s="2" t="str">
        <f>VLOOKUP(HR_Data[JobRole], JobRole_Map[], 2, FALSE)</f>
        <v>HR</v>
      </c>
    </row>
    <row r="476" spans="1:37" x14ac:dyDescent="0.25">
      <c r="A476" s="2">
        <v>51</v>
      </c>
      <c r="B476" t="s">
        <v>41</v>
      </c>
      <c r="C476" t="s">
        <v>33</v>
      </c>
      <c r="D476" t="s">
        <v>34</v>
      </c>
      <c r="E476">
        <v>9</v>
      </c>
      <c r="F476" t="s">
        <v>35</v>
      </c>
      <c r="G476">
        <v>3</v>
      </c>
      <c r="H476">
        <v>1</v>
      </c>
      <c r="I476" t="s">
        <v>36</v>
      </c>
      <c r="J476">
        <v>4</v>
      </c>
      <c r="K476" t="s">
        <v>50</v>
      </c>
      <c r="L476">
        <v>2075</v>
      </c>
      <c r="M476">
        <v>3</v>
      </c>
      <c r="N476" t="s">
        <v>41</v>
      </c>
      <c r="O476">
        <v>23</v>
      </c>
      <c r="P476">
        <v>4</v>
      </c>
      <c r="Q476">
        <v>2</v>
      </c>
      <c r="R476">
        <v>10</v>
      </c>
      <c r="S476">
        <v>4</v>
      </c>
      <c r="T476">
        <v>4</v>
      </c>
      <c r="U476">
        <v>0</v>
      </c>
      <c r="V476">
        <v>3</v>
      </c>
      <c r="W476" t="s">
        <v>51</v>
      </c>
      <c r="X476" s="1" t="d">
        <v>2017-02-11</v>
      </c>
      <c r="Z476" t="s">
        <v>63</v>
      </c>
      <c r="AA476" t="s">
        <v>40</v>
      </c>
      <c r="AB476">
        <v>4</v>
      </c>
      <c r="AC476">
        <v>0</v>
      </c>
      <c r="AD476" t="s">
        <v>32</v>
      </c>
      <c r="AE476" t="s">
        <v>60</v>
      </c>
      <c r="AF476" t="s">
        <v>43</v>
      </c>
      <c r="AG476">
        <f>IF(HR_Data[[#This Row],[Attrition]]="Yes",1,0)</f>
        <v>0</v>
      </c>
      <c r="AH476" t="str">
        <f>IF(HR_Data[Date_of_termination]="","Active","Left")</f>
        <v>Active</v>
      </c>
      <c r="AI476" t="str">
        <f>IF(HR_Data[YearsAtCompany]&lt;=2,"Fresher", IF(HR_Data[YearsAtCompany]&lt;=5,"Junior", IF(HR_Data[YearsAtCompany]&lt;=10, "Mid","Senior")))</f>
        <v>Junior</v>
      </c>
      <c r="AJ476" s="2" t="str">
        <f>IF(HR_Data[MonthlyIncome]&lt;=300,"Low", IF(HR_Data[MonthlyIncome]&lt;=7000,"Medium", "High"))</f>
        <v>Medium</v>
      </c>
      <c r="AK476" s="2" t="str">
        <f>VLOOKUP(HR_Data[JobRole], JobRole_Map[], 2, FALSE)</f>
        <v>Technical</v>
      </c>
    </row>
    <row r="477" spans="1:37" x14ac:dyDescent="0.25">
      <c r="A477" s="2">
        <v>54</v>
      </c>
      <c r="B477" t="s">
        <v>41</v>
      </c>
      <c r="C477" t="s">
        <v>33</v>
      </c>
      <c r="D477" t="s">
        <v>34</v>
      </c>
      <c r="E477">
        <v>2</v>
      </c>
      <c r="F477" t="s">
        <v>58</v>
      </c>
      <c r="G477">
        <v>3</v>
      </c>
      <c r="H477">
        <v>3</v>
      </c>
      <c r="I477" t="s">
        <v>49</v>
      </c>
      <c r="J477">
        <v>3</v>
      </c>
      <c r="K477" t="s">
        <v>50</v>
      </c>
      <c r="L477">
        <v>13549</v>
      </c>
      <c r="M477">
        <v>9</v>
      </c>
      <c r="N477" t="s">
        <v>41</v>
      </c>
      <c r="O477">
        <v>12</v>
      </c>
      <c r="P477">
        <v>3</v>
      </c>
      <c r="Q477">
        <v>1</v>
      </c>
      <c r="R477">
        <v>16</v>
      </c>
      <c r="S477">
        <v>5</v>
      </c>
      <c r="T477">
        <v>4</v>
      </c>
      <c r="U477">
        <v>0</v>
      </c>
      <c r="V477">
        <v>3</v>
      </c>
      <c r="W477" t="s">
        <v>38</v>
      </c>
      <c r="X477" s="1" t="d">
        <v>2017-02-16</v>
      </c>
      <c r="Z477" t="s">
        <v>45</v>
      </c>
      <c r="AA477" t="s">
        <v>46</v>
      </c>
      <c r="AB477">
        <v>4</v>
      </c>
      <c r="AC477">
        <v>0</v>
      </c>
      <c r="AD477" t="s">
        <v>41</v>
      </c>
      <c r="AE477" t="s">
        <v>42</v>
      </c>
      <c r="AF477" t="s">
        <v>57</v>
      </c>
      <c r="AG477">
        <f>IF(HR_Data[[#This Row],[Attrition]]="Yes",1,0)</f>
        <v>0</v>
      </c>
      <c r="AH477" t="str">
        <f>IF(HR_Data[Date_of_termination]="","Active","Left")</f>
        <v>Active</v>
      </c>
      <c r="AI477" t="str">
        <f>IF(HR_Data[YearsAtCompany]&lt;=2,"Fresher", IF(HR_Data[YearsAtCompany]&lt;=5,"Junior", IF(HR_Data[YearsAtCompany]&lt;=10, "Mid","Senior")))</f>
        <v>Junior</v>
      </c>
      <c r="AJ477" s="2" t="str">
        <f>IF(HR_Data[MonthlyIncome]&lt;=300,"Low", IF(HR_Data[MonthlyIncome]&lt;=7000,"Medium", "High"))</f>
        <v>High</v>
      </c>
      <c r="AK477" s="2" t="str">
        <f>VLOOKUP(HR_Data[JobRole], JobRole_Map[], 2, FALSE)</f>
        <v>Management</v>
      </c>
    </row>
    <row r="478" spans="1:37" x14ac:dyDescent="0.25">
      <c r="A478" s="2">
        <v>51</v>
      </c>
      <c r="B478" t="s">
        <v>32</v>
      </c>
      <c r="C478" t="s">
        <v>61</v>
      </c>
      <c r="D478" t="s">
        <v>34</v>
      </c>
      <c r="E478">
        <v>8</v>
      </c>
      <c r="F478" t="s">
        <v>35</v>
      </c>
      <c r="G478">
        <v>1</v>
      </c>
      <c r="H478">
        <v>3</v>
      </c>
      <c r="I478" t="s">
        <v>67</v>
      </c>
      <c r="J478">
        <v>4</v>
      </c>
      <c r="K478" t="s">
        <v>37</v>
      </c>
      <c r="L478">
        <v>10650</v>
      </c>
      <c r="M478">
        <v>2</v>
      </c>
      <c r="N478" t="s">
        <v>41</v>
      </c>
      <c r="O478">
        <v>15</v>
      </c>
      <c r="P478">
        <v>3</v>
      </c>
      <c r="Q478">
        <v>0</v>
      </c>
      <c r="R478">
        <v>18</v>
      </c>
      <c r="S478">
        <v>2</v>
      </c>
      <c r="T478">
        <v>4</v>
      </c>
      <c r="U478">
        <v>0</v>
      </c>
      <c r="V478">
        <v>3</v>
      </c>
      <c r="W478" t="s">
        <v>38</v>
      </c>
      <c r="X478" s="1" t="d">
        <v>2017-04-23</v>
      </c>
      <c r="Z478" t="s">
        <v>39</v>
      </c>
      <c r="AA478" t="s">
        <v>46</v>
      </c>
      <c r="AB478">
        <v>1</v>
      </c>
      <c r="AC478">
        <v>2</v>
      </c>
      <c r="AD478" t="s">
        <v>32</v>
      </c>
      <c r="AE478" t="s">
        <v>42</v>
      </c>
      <c r="AF478" t="s">
        <v>43</v>
      </c>
      <c r="AG478">
        <f>IF(HR_Data[[#This Row],[Attrition]]="Yes",1,0)</f>
        <v>1</v>
      </c>
      <c r="AH478" t="str">
        <f>IF(HR_Data[Date_of_termination]="","Active","Left")</f>
        <v>Active</v>
      </c>
      <c r="AI478" t="str">
        <f>IF(HR_Data[YearsAtCompany]&lt;=2,"Fresher", IF(HR_Data[YearsAtCompany]&lt;=5,"Junior", IF(HR_Data[YearsAtCompany]&lt;=10, "Mid","Senior")))</f>
        <v>Junior</v>
      </c>
      <c r="AJ478" s="2" t="str">
        <f>IF(HR_Data[MonthlyIncome]&lt;=300,"Low", IF(HR_Data[MonthlyIncome]&lt;=7000,"Medium", "High"))</f>
        <v>High</v>
      </c>
      <c r="AK478" s="2" t="str">
        <f>VLOOKUP(HR_Data[JobRole], JobRole_Map[], 2, FALSE)</f>
        <v>Operations</v>
      </c>
    </row>
    <row r="479" spans="1:37" x14ac:dyDescent="0.25">
      <c r="A479" s="2">
        <v>34</v>
      </c>
      <c r="B479" t="s">
        <v>41</v>
      </c>
      <c r="C479" t="s">
        <v>61</v>
      </c>
      <c r="D479" t="s">
        <v>53</v>
      </c>
      <c r="E479">
        <v>2</v>
      </c>
      <c r="F479" t="s">
        <v>58</v>
      </c>
      <c r="G479">
        <v>3</v>
      </c>
      <c r="H479">
        <v>1</v>
      </c>
      <c r="I479" t="s">
        <v>54</v>
      </c>
      <c r="J479">
        <v>3</v>
      </c>
      <c r="K479" t="s">
        <v>50</v>
      </c>
      <c r="L479">
        <v>2231</v>
      </c>
      <c r="M479">
        <v>6</v>
      </c>
      <c r="N479" t="s">
        <v>41</v>
      </c>
      <c r="O479">
        <v>18</v>
      </c>
      <c r="P479">
        <v>3</v>
      </c>
      <c r="Q479">
        <v>1</v>
      </c>
      <c r="R479">
        <v>6</v>
      </c>
      <c r="S479">
        <v>3</v>
      </c>
      <c r="T479">
        <v>4</v>
      </c>
      <c r="U479">
        <v>1</v>
      </c>
      <c r="V479">
        <v>2</v>
      </c>
      <c r="W479" t="s">
        <v>56</v>
      </c>
      <c r="X479" s="1" t="d">
        <v>2017-05-21</v>
      </c>
      <c r="Z479" t="s">
        <v>39</v>
      </c>
      <c r="AA479" t="s">
        <v>40</v>
      </c>
      <c r="AB479">
        <v>3</v>
      </c>
      <c r="AC479">
        <v>0</v>
      </c>
      <c r="AD479" t="s">
        <v>41</v>
      </c>
      <c r="AE479" t="s">
        <v>62</v>
      </c>
      <c r="AF479" t="s">
        <v>57</v>
      </c>
      <c r="AG479">
        <f>IF(HR_Data[[#This Row],[Attrition]]="Yes",1,0)</f>
        <v>0</v>
      </c>
      <c r="AH479" t="str">
        <f>IF(HR_Data[Date_of_termination]="","Active","Left")</f>
        <v>Active</v>
      </c>
      <c r="AI479" t="str">
        <f>IF(HR_Data[YearsAtCompany]&lt;=2,"Fresher", IF(HR_Data[YearsAtCompany]&lt;=5,"Junior", IF(HR_Data[YearsAtCompany]&lt;=10, "Mid","Senior")))</f>
        <v>Junior</v>
      </c>
      <c r="AJ479" s="2" t="str">
        <f>IF(HR_Data[MonthlyIncome]&lt;=300,"Low", IF(HR_Data[MonthlyIncome]&lt;=7000,"Medium", "High"))</f>
        <v>Medium</v>
      </c>
      <c r="AK479" s="2" t="str">
        <f>VLOOKUP(HR_Data[JobRole], JobRole_Map[], 2, FALSE)</f>
        <v>Sales</v>
      </c>
    </row>
    <row r="480" spans="1:37" x14ac:dyDescent="0.25">
      <c r="A480" s="2">
        <v>31</v>
      </c>
      <c r="B480" t="s">
        <v>41</v>
      </c>
      <c r="C480" t="s">
        <v>33</v>
      </c>
      <c r="D480" t="s">
        <v>34</v>
      </c>
      <c r="E480">
        <v>12</v>
      </c>
      <c r="F480" t="s">
        <v>58</v>
      </c>
      <c r="G480">
        <v>3</v>
      </c>
      <c r="H480">
        <v>1</v>
      </c>
      <c r="I480" t="s">
        <v>44</v>
      </c>
      <c r="J480">
        <v>4</v>
      </c>
      <c r="K480" t="s">
        <v>50</v>
      </c>
      <c r="L480">
        <v>3929</v>
      </c>
      <c r="M480">
        <v>8</v>
      </c>
      <c r="N480" t="s">
        <v>32</v>
      </c>
      <c r="O480">
        <v>23</v>
      </c>
      <c r="P480">
        <v>4</v>
      </c>
      <c r="Q480">
        <v>1</v>
      </c>
      <c r="R480">
        <v>7</v>
      </c>
      <c r="S480">
        <v>0</v>
      </c>
      <c r="T480">
        <v>4</v>
      </c>
      <c r="U480">
        <v>0</v>
      </c>
      <c r="V480">
        <v>2</v>
      </c>
      <c r="W480" t="s">
        <v>51</v>
      </c>
      <c r="X480" s="1" t="d">
        <v>2017-02-12</v>
      </c>
      <c r="Z480" t="s">
        <v>45</v>
      </c>
      <c r="AA480" t="s">
        <v>40</v>
      </c>
      <c r="AB480">
        <v>0</v>
      </c>
      <c r="AC480">
        <v>3</v>
      </c>
      <c r="AD480" t="s">
        <v>32</v>
      </c>
      <c r="AE480" t="s">
        <v>47</v>
      </c>
      <c r="AF480" t="s">
        <v>57</v>
      </c>
      <c r="AG480">
        <f>IF(HR_Data[[#This Row],[Attrition]]="Yes",1,0)</f>
        <v>0</v>
      </c>
      <c r="AH480" t="str">
        <f>IF(HR_Data[Date_of_termination]="","Active","Left")</f>
        <v>Active</v>
      </c>
      <c r="AI480" t="str">
        <f>IF(HR_Data[YearsAtCompany]&lt;=2,"Fresher", IF(HR_Data[YearsAtCompany]&lt;=5,"Junior", IF(HR_Data[YearsAtCompany]&lt;=10, "Mid","Senior")))</f>
        <v>Junior</v>
      </c>
      <c r="AJ480" s="2" t="str">
        <f>IF(HR_Data[MonthlyIncome]&lt;=300,"Low", IF(HR_Data[MonthlyIncome]&lt;=7000,"Medium", "High"))</f>
        <v>Medium</v>
      </c>
      <c r="AK480" s="2" t="str">
        <f>VLOOKUP(HR_Data[JobRole], JobRole_Map[], 2, FALSE)</f>
        <v>Technical</v>
      </c>
    </row>
    <row r="481" spans="1:37" x14ac:dyDescent="0.25">
      <c r="A481" s="2">
        <v>41</v>
      </c>
      <c r="B481" t="s">
        <v>32</v>
      </c>
      <c r="C481" t="s">
        <v>33</v>
      </c>
      <c r="D481" t="s">
        <v>53</v>
      </c>
      <c r="E481">
        <v>20</v>
      </c>
      <c r="F481" t="s">
        <v>58</v>
      </c>
      <c r="G481">
        <v>3</v>
      </c>
      <c r="H481">
        <v>1</v>
      </c>
      <c r="I481" t="s">
        <v>54</v>
      </c>
      <c r="J481">
        <v>2</v>
      </c>
      <c r="K481" t="s">
        <v>37</v>
      </c>
      <c r="L481">
        <v>3140</v>
      </c>
      <c r="M481">
        <v>1</v>
      </c>
      <c r="N481" t="s">
        <v>32</v>
      </c>
      <c r="O481">
        <v>22</v>
      </c>
      <c r="P481">
        <v>4</v>
      </c>
      <c r="Q481">
        <v>0</v>
      </c>
      <c r="R481">
        <v>4</v>
      </c>
      <c r="S481">
        <v>5</v>
      </c>
      <c r="T481">
        <v>4</v>
      </c>
      <c r="U481">
        <v>0</v>
      </c>
      <c r="V481">
        <v>2</v>
      </c>
      <c r="W481" t="s">
        <v>51</v>
      </c>
      <c r="X481" s="1" t="d">
        <v>2017-04-03</v>
      </c>
      <c r="Z481" t="s">
        <v>59</v>
      </c>
      <c r="AA481" t="s">
        <v>46</v>
      </c>
      <c r="AB481">
        <v>3</v>
      </c>
      <c r="AC481">
        <v>0</v>
      </c>
      <c r="AD481" t="s">
        <v>32</v>
      </c>
      <c r="AE481" t="s">
        <v>47</v>
      </c>
      <c r="AF481" t="s">
        <v>57</v>
      </c>
      <c r="AG481">
        <f>IF(HR_Data[[#This Row],[Attrition]]="Yes",1,0)</f>
        <v>1</v>
      </c>
      <c r="AH481" t="str">
        <f>IF(HR_Data[Date_of_termination]="","Active","Left")</f>
        <v>Active</v>
      </c>
      <c r="AI481" t="str">
        <f>IF(HR_Data[YearsAtCompany]&lt;=2,"Fresher", IF(HR_Data[YearsAtCompany]&lt;=5,"Junior", IF(HR_Data[YearsAtCompany]&lt;=10, "Mid","Senior")))</f>
        <v>Junior</v>
      </c>
      <c r="AJ481" s="2" t="str">
        <f>IF(HR_Data[MonthlyIncome]&lt;=300,"Low", IF(HR_Data[MonthlyIncome]&lt;=7000,"Medium", "High"))</f>
        <v>Medium</v>
      </c>
      <c r="AK481" s="2" t="str">
        <f>VLOOKUP(HR_Data[JobRole], JobRole_Map[], 2, FALSE)</f>
        <v>Sales</v>
      </c>
    </row>
    <row r="482" spans="1:37" x14ac:dyDescent="0.25">
      <c r="A482" s="2">
        <v>53</v>
      </c>
      <c r="B482" t="s">
        <v>41</v>
      </c>
      <c r="C482" t="s">
        <v>33</v>
      </c>
      <c r="D482" t="s">
        <v>34</v>
      </c>
      <c r="E482">
        <v>13</v>
      </c>
      <c r="F482" t="s">
        <v>58</v>
      </c>
      <c r="G482">
        <v>4</v>
      </c>
      <c r="H482">
        <v>2</v>
      </c>
      <c r="I482" t="s">
        <v>67</v>
      </c>
      <c r="J482">
        <v>1</v>
      </c>
      <c r="K482" t="s">
        <v>55</v>
      </c>
      <c r="L482">
        <v>4450</v>
      </c>
      <c r="M482">
        <v>1</v>
      </c>
      <c r="N482" t="s">
        <v>41</v>
      </c>
      <c r="O482">
        <v>11</v>
      </c>
      <c r="P482">
        <v>3</v>
      </c>
      <c r="Q482">
        <v>2</v>
      </c>
      <c r="R482">
        <v>5</v>
      </c>
      <c r="S482">
        <v>3</v>
      </c>
      <c r="T482">
        <v>4</v>
      </c>
      <c r="U482">
        <v>1</v>
      </c>
      <c r="V482">
        <v>3</v>
      </c>
      <c r="W482" t="s">
        <v>65</v>
      </c>
      <c r="X482" s="1" t="d">
        <v>2017-02-22</v>
      </c>
      <c r="Z482" t="s">
        <v>52</v>
      </c>
      <c r="AA482" t="s">
        <v>40</v>
      </c>
      <c r="AB482">
        <v>1</v>
      </c>
      <c r="AC482">
        <v>2</v>
      </c>
      <c r="AD482" t="s">
        <v>41</v>
      </c>
      <c r="AE482" t="s">
        <v>62</v>
      </c>
      <c r="AF482" t="s">
        <v>43</v>
      </c>
      <c r="AG482">
        <f>IF(HR_Data[[#This Row],[Attrition]]="Yes",1,0)</f>
        <v>0</v>
      </c>
      <c r="AH482" t="str">
        <f>IF(HR_Data[Date_of_termination]="","Active","Left")</f>
        <v>Active</v>
      </c>
      <c r="AI482" t="str">
        <f>IF(HR_Data[YearsAtCompany]&lt;=2,"Fresher", IF(HR_Data[YearsAtCompany]&lt;=5,"Junior", IF(HR_Data[YearsAtCompany]&lt;=10, "Mid","Senior")))</f>
        <v>Junior</v>
      </c>
      <c r="AJ482" s="2" t="str">
        <f>IF(HR_Data[MonthlyIncome]&lt;=300,"Low", IF(HR_Data[MonthlyIncome]&lt;=7000,"Medium", "High"))</f>
        <v>Medium</v>
      </c>
      <c r="AK482" s="2" t="str">
        <f>VLOOKUP(HR_Data[JobRole], JobRole_Map[], 2, FALSE)</f>
        <v>Operations</v>
      </c>
    </row>
    <row r="483" spans="1:37" x14ac:dyDescent="0.25">
      <c r="A483" s="2">
        <v>22</v>
      </c>
      <c r="B483" t="s">
        <v>41</v>
      </c>
      <c r="C483" t="s">
        <v>33</v>
      </c>
      <c r="D483" t="s">
        <v>34</v>
      </c>
      <c r="E483">
        <v>5</v>
      </c>
      <c r="F483" t="s">
        <v>35</v>
      </c>
      <c r="G483">
        <v>4</v>
      </c>
      <c r="H483">
        <v>1</v>
      </c>
      <c r="I483" t="s">
        <v>44</v>
      </c>
      <c r="J483">
        <v>2</v>
      </c>
      <c r="K483" t="s">
        <v>55</v>
      </c>
      <c r="L483">
        <v>2328</v>
      </c>
      <c r="M483">
        <v>1</v>
      </c>
      <c r="N483" t="s">
        <v>32</v>
      </c>
      <c r="O483">
        <v>16</v>
      </c>
      <c r="P483">
        <v>3</v>
      </c>
      <c r="Q483">
        <v>1</v>
      </c>
      <c r="R483">
        <v>4</v>
      </c>
      <c r="S483">
        <v>2</v>
      </c>
      <c r="T483">
        <v>4</v>
      </c>
      <c r="U483">
        <v>2</v>
      </c>
      <c r="V483">
        <v>2</v>
      </c>
      <c r="W483" t="s">
        <v>38</v>
      </c>
      <c r="X483" s="1" t="d">
        <v>2017-02-17</v>
      </c>
      <c r="Z483" t="s">
        <v>63</v>
      </c>
      <c r="AA483" t="s">
        <v>46</v>
      </c>
      <c r="AB483">
        <v>4</v>
      </c>
      <c r="AC483">
        <v>2</v>
      </c>
      <c r="AD483" t="s">
        <v>41</v>
      </c>
      <c r="AE483" t="s">
        <v>60</v>
      </c>
      <c r="AF483" t="s">
        <v>57</v>
      </c>
      <c r="AG483">
        <f>IF(HR_Data[[#This Row],[Attrition]]="Yes",1,0)</f>
        <v>0</v>
      </c>
      <c r="AH483" t="str">
        <f>IF(HR_Data[Date_of_termination]="","Active","Left")</f>
        <v>Active</v>
      </c>
      <c r="AI483" t="str">
        <f>IF(HR_Data[YearsAtCompany]&lt;=2,"Fresher", IF(HR_Data[YearsAtCompany]&lt;=5,"Junior", IF(HR_Data[YearsAtCompany]&lt;=10, "Mid","Senior")))</f>
        <v>Junior</v>
      </c>
      <c r="AJ483" s="2" t="str">
        <f>IF(HR_Data[MonthlyIncome]&lt;=300,"Low", IF(HR_Data[MonthlyIncome]&lt;=7000,"Medium", "High"))</f>
        <v>Medium</v>
      </c>
      <c r="AK483" s="2" t="str">
        <f>VLOOKUP(HR_Data[JobRole], JobRole_Map[], 2, FALSE)</f>
        <v>Technical</v>
      </c>
    </row>
    <row r="484" spans="1:37" x14ac:dyDescent="0.25">
      <c r="A484" s="2">
        <v>46</v>
      </c>
      <c r="B484" t="s">
        <v>41</v>
      </c>
      <c r="C484" t="s">
        <v>33</v>
      </c>
      <c r="D484" t="s">
        <v>34</v>
      </c>
      <c r="E484">
        <v>1</v>
      </c>
      <c r="F484" t="s">
        <v>35</v>
      </c>
      <c r="G484">
        <v>3</v>
      </c>
      <c r="H484">
        <v>3</v>
      </c>
      <c r="I484" t="s">
        <v>69</v>
      </c>
      <c r="J484">
        <v>1</v>
      </c>
      <c r="K484" t="s">
        <v>55</v>
      </c>
      <c r="L484">
        <v>9396</v>
      </c>
      <c r="M484">
        <v>7</v>
      </c>
      <c r="N484" t="s">
        <v>41</v>
      </c>
      <c r="O484">
        <v>16</v>
      </c>
      <c r="P484">
        <v>3</v>
      </c>
      <c r="Q484">
        <v>1</v>
      </c>
      <c r="R484">
        <v>17</v>
      </c>
      <c r="S484">
        <v>3</v>
      </c>
      <c r="T484">
        <v>4</v>
      </c>
      <c r="U484">
        <v>0</v>
      </c>
      <c r="V484">
        <v>3</v>
      </c>
      <c r="W484" t="s">
        <v>65</v>
      </c>
      <c r="X484" s="1" t="d">
        <v>2017-02-28</v>
      </c>
      <c r="Z484" t="s">
        <v>39</v>
      </c>
      <c r="AA484" t="s">
        <v>40</v>
      </c>
      <c r="AB484">
        <v>4</v>
      </c>
      <c r="AC484">
        <v>3</v>
      </c>
      <c r="AD484" t="s">
        <v>41</v>
      </c>
      <c r="AE484" t="s">
        <v>42</v>
      </c>
      <c r="AF484" t="s">
        <v>43</v>
      </c>
      <c r="AG484">
        <f>IF(HR_Data[[#This Row],[Attrition]]="Yes",1,0)</f>
        <v>0</v>
      </c>
      <c r="AH484" t="str">
        <f>IF(HR_Data[Date_of_termination]="","Active","Left")</f>
        <v>Active</v>
      </c>
      <c r="AI484" t="str">
        <f>IF(HR_Data[YearsAtCompany]&lt;=2,"Fresher", IF(HR_Data[YearsAtCompany]&lt;=5,"Junior", IF(HR_Data[YearsAtCompany]&lt;=10, "Mid","Senior")))</f>
        <v>Junior</v>
      </c>
      <c r="AJ484" s="2" t="str">
        <f>IF(HR_Data[MonthlyIncome]&lt;=300,"Low", IF(HR_Data[MonthlyIncome]&lt;=7000,"Medium", "High"))</f>
        <v>High</v>
      </c>
      <c r="AK484" s="2" t="str">
        <f>VLOOKUP(HR_Data[JobRole], JobRole_Map[], 2, FALSE)</f>
        <v>Operations</v>
      </c>
    </row>
    <row r="485" spans="1:37" x14ac:dyDescent="0.25">
      <c r="A485" s="2">
        <v>29</v>
      </c>
      <c r="B485" t="s">
        <v>32</v>
      </c>
      <c r="C485" t="s">
        <v>33</v>
      </c>
      <c r="D485" t="s">
        <v>34</v>
      </c>
      <c r="E485">
        <v>18</v>
      </c>
      <c r="F485" t="s">
        <v>35</v>
      </c>
      <c r="G485">
        <v>2</v>
      </c>
      <c r="H485">
        <v>1</v>
      </c>
      <c r="I485" t="s">
        <v>44</v>
      </c>
      <c r="J485">
        <v>4</v>
      </c>
      <c r="K485" t="s">
        <v>37</v>
      </c>
      <c r="L485">
        <v>2389</v>
      </c>
      <c r="M485">
        <v>1</v>
      </c>
      <c r="N485" t="s">
        <v>32</v>
      </c>
      <c r="O485">
        <v>13</v>
      </c>
      <c r="P485">
        <v>3</v>
      </c>
      <c r="Q485">
        <v>0</v>
      </c>
      <c r="R485">
        <v>4</v>
      </c>
      <c r="S485">
        <v>3</v>
      </c>
      <c r="T485">
        <v>4</v>
      </c>
      <c r="U485">
        <v>0</v>
      </c>
      <c r="V485">
        <v>1</v>
      </c>
      <c r="W485" t="s">
        <v>56</v>
      </c>
      <c r="X485" s="1" t="d">
        <v>2017-01-05</v>
      </c>
      <c r="Z485" t="s">
        <v>39</v>
      </c>
      <c r="AA485" t="s">
        <v>40</v>
      </c>
      <c r="AB485">
        <v>4</v>
      </c>
      <c r="AC485">
        <v>2</v>
      </c>
      <c r="AD485" t="s">
        <v>32</v>
      </c>
      <c r="AE485" t="s">
        <v>42</v>
      </c>
      <c r="AF485" t="s">
        <v>43</v>
      </c>
      <c r="AG485">
        <f>IF(HR_Data[[#This Row],[Attrition]]="Yes",1,0)</f>
        <v>1</v>
      </c>
      <c r="AH485" t="str">
        <f>IF(HR_Data[Date_of_termination]="","Active","Left")</f>
        <v>Active</v>
      </c>
      <c r="AI485" t="str">
        <f>IF(HR_Data[YearsAtCompany]&lt;=2,"Fresher", IF(HR_Data[YearsAtCompany]&lt;=5,"Junior", IF(HR_Data[YearsAtCompany]&lt;=10, "Mid","Senior")))</f>
        <v>Junior</v>
      </c>
      <c r="AJ485" s="2" t="str">
        <f>IF(HR_Data[MonthlyIncome]&lt;=300,"Low", IF(HR_Data[MonthlyIncome]&lt;=7000,"Medium", "High"))</f>
        <v>Medium</v>
      </c>
      <c r="AK485" s="2" t="str">
        <f>VLOOKUP(HR_Data[JobRole], JobRole_Map[], 2, FALSE)</f>
        <v>Technical</v>
      </c>
    </row>
    <row r="486" spans="1:37" x14ac:dyDescent="0.25">
      <c r="A486" s="2">
        <v>32</v>
      </c>
      <c r="B486" t="s">
        <v>41</v>
      </c>
      <c r="C486" t="s">
        <v>33</v>
      </c>
      <c r="D486" t="s">
        <v>53</v>
      </c>
      <c r="E486">
        <v>4</v>
      </c>
      <c r="F486" t="s">
        <v>58</v>
      </c>
      <c r="G486">
        <v>3</v>
      </c>
      <c r="H486">
        <v>1</v>
      </c>
      <c r="I486" t="s">
        <v>54</v>
      </c>
      <c r="J486">
        <v>2</v>
      </c>
      <c r="K486" t="s">
        <v>50</v>
      </c>
      <c r="L486">
        <v>3931</v>
      </c>
      <c r="M486">
        <v>2</v>
      </c>
      <c r="N486" t="s">
        <v>41</v>
      </c>
      <c r="O486">
        <v>11</v>
      </c>
      <c r="P486">
        <v>3</v>
      </c>
      <c r="Q486">
        <v>1</v>
      </c>
      <c r="R486">
        <v>6</v>
      </c>
      <c r="S486">
        <v>5</v>
      </c>
      <c r="T486">
        <v>4</v>
      </c>
      <c r="U486">
        <v>1</v>
      </c>
      <c r="V486">
        <v>2</v>
      </c>
      <c r="W486" t="s">
        <v>51</v>
      </c>
      <c r="X486" s="1" t="d">
        <v>2017-05-11</v>
      </c>
      <c r="Z486" t="s">
        <v>63</v>
      </c>
      <c r="AA486" t="s">
        <v>46</v>
      </c>
      <c r="AB486">
        <v>2</v>
      </c>
      <c r="AC486">
        <v>1</v>
      </c>
      <c r="AD486" t="s">
        <v>41</v>
      </c>
      <c r="AE486" t="s">
        <v>47</v>
      </c>
      <c r="AF486" t="s">
        <v>57</v>
      </c>
      <c r="AG486">
        <f>IF(HR_Data[[#This Row],[Attrition]]="Yes",1,0)</f>
        <v>0</v>
      </c>
      <c r="AH486" t="str">
        <f>IF(HR_Data[Date_of_termination]="","Active","Left")</f>
        <v>Active</v>
      </c>
      <c r="AI486" t="str">
        <f>IF(HR_Data[YearsAtCompany]&lt;=2,"Fresher", IF(HR_Data[YearsAtCompany]&lt;=5,"Junior", IF(HR_Data[YearsAtCompany]&lt;=10, "Mid","Senior")))</f>
        <v>Junior</v>
      </c>
      <c r="AJ486" s="2" t="str">
        <f>IF(HR_Data[MonthlyIncome]&lt;=300,"Low", IF(HR_Data[MonthlyIncome]&lt;=7000,"Medium", "High"))</f>
        <v>Medium</v>
      </c>
      <c r="AK486" s="2" t="str">
        <f>VLOOKUP(HR_Data[JobRole], JobRole_Map[], 2, FALSE)</f>
        <v>Sales</v>
      </c>
    </row>
    <row r="487" spans="1:37" x14ac:dyDescent="0.25">
      <c r="A487" s="2">
        <v>25</v>
      </c>
      <c r="B487" t="s">
        <v>41</v>
      </c>
      <c r="C487" t="s">
        <v>33</v>
      </c>
      <c r="D487" t="s">
        <v>34</v>
      </c>
      <c r="E487">
        <v>1</v>
      </c>
      <c r="F487" t="s">
        <v>58</v>
      </c>
      <c r="G487">
        <v>3</v>
      </c>
      <c r="H487">
        <v>2</v>
      </c>
      <c r="I487" t="s">
        <v>67</v>
      </c>
      <c r="J487">
        <v>3</v>
      </c>
      <c r="K487" t="s">
        <v>50</v>
      </c>
      <c r="L487">
        <v>4898</v>
      </c>
      <c r="M487">
        <v>0</v>
      </c>
      <c r="N487" t="s">
        <v>41</v>
      </c>
      <c r="O487">
        <v>12</v>
      </c>
      <c r="P487">
        <v>3</v>
      </c>
      <c r="Q487">
        <v>2</v>
      </c>
      <c r="R487">
        <v>5</v>
      </c>
      <c r="S487">
        <v>3</v>
      </c>
      <c r="T487">
        <v>4</v>
      </c>
      <c r="U487">
        <v>1</v>
      </c>
      <c r="V487">
        <v>2</v>
      </c>
      <c r="W487" t="s">
        <v>38</v>
      </c>
      <c r="X487" s="1" t="d">
        <v>2017-03-04</v>
      </c>
      <c r="Z487" t="s">
        <v>45</v>
      </c>
      <c r="AA487" t="s">
        <v>40</v>
      </c>
      <c r="AB487">
        <v>4</v>
      </c>
      <c r="AC487">
        <v>2</v>
      </c>
      <c r="AD487" t="s">
        <v>32</v>
      </c>
      <c r="AE487" t="s">
        <v>60</v>
      </c>
      <c r="AF487" t="s">
        <v>48</v>
      </c>
      <c r="AG487">
        <f>IF(HR_Data[[#This Row],[Attrition]]="Yes",1,0)</f>
        <v>0</v>
      </c>
      <c r="AH487" t="str">
        <f>IF(HR_Data[Date_of_termination]="","Active","Left")</f>
        <v>Active</v>
      </c>
      <c r="AI487" t="str">
        <f>IF(HR_Data[YearsAtCompany]&lt;=2,"Fresher", IF(HR_Data[YearsAtCompany]&lt;=5,"Junior", IF(HR_Data[YearsAtCompany]&lt;=10, "Mid","Senior")))</f>
        <v>Junior</v>
      </c>
      <c r="AJ487" s="2" t="str">
        <f>IF(HR_Data[MonthlyIncome]&lt;=300,"Low", IF(HR_Data[MonthlyIncome]&lt;=7000,"Medium", "High"))</f>
        <v>Medium</v>
      </c>
      <c r="AK487" s="2" t="str">
        <f>VLOOKUP(HR_Data[JobRole], JobRole_Map[], 2, FALSE)</f>
        <v>Operations</v>
      </c>
    </row>
    <row r="488" spans="1:37" x14ac:dyDescent="0.25">
      <c r="A488" s="2">
        <v>37</v>
      </c>
      <c r="B488" t="s">
        <v>41</v>
      </c>
      <c r="C488" t="s">
        <v>61</v>
      </c>
      <c r="D488" t="s">
        <v>34</v>
      </c>
      <c r="E488">
        <v>9</v>
      </c>
      <c r="F488" t="s">
        <v>35</v>
      </c>
      <c r="G488">
        <v>3</v>
      </c>
      <c r="H488">
        <v>1</v>
      </c>
      <c r="I488" t="s">
        <v>44</v>
      </c>
      <c r="J488">
        <v>4</v>
      </c>
      <c r="K488" t="s">
        <v>50</v>
      </c>
      <c r="L488">
        <v>2326</v>
      </c>
      <c r="M488">
        <v>1</v>
      </c>
      <c r="N488" t="s">
        <v>32</v>
      </c>
      <c r="O488">
        <v>12</v>
      </c>
      <c r="P488">
        <v>3</v>
      </c>
      <c r="Q488">
        <v>3</v>
      </c>
      <c r="R488">
        <v>4</v>
      </c>
      <c r="S488">
        <v>3</v>
      </c>
      <c r="T488">
        <v>4</v>
      </c>
      <c r="U488">
        <v>1</v>
      </c>
      <c r="V488">
        <v>2</v>
      </c>
      <c r="W488" t="s">
        <v>65</v>
      </c>
      <c r="X488" s="1" t="d">
        <v>2017-05-07</v>
      </c>
      <c r="Z488" t="s">
        <v>45</v>
      </c>
      <c r="AA488" t="s">
        <v>46</v>
      </c>
      <c r="AB488">
        <v>0</v>
      </c>
      <c r="AC488">
        <v>1</v>
      </c>
      <c r="AD488" t="s">
        <v>32</v>
      </c>
      <c r="AE488" t="s">
        <v>47</v>
      </c>
      <c r="AF488" t="s">
        <v>57</v>
      </c>
      <c r="AG488">
        <f>IF(HR_Data[[#This Row],[Attrition]]="Yes",1,0)</f>
        <v>0</v>
      </c>
      <c r="AH488" t="str">
        <f>IF(HR_Data[Date_of_termination]="","Active","Left")</f>
        <v>Active</v>
      </c>
      <c r="AI488" t="str">
        <f>IF(HR_Data[YearsAtCompany]&lt;=2,"Fresher", IF(HR_Data[YearsAtCompany]&lt;=5,"Junior", IF(HR_Data[YearsAtCompany]&lt;=10, "Mid","Senior")))</f>
        <v>Junior</v>
      </c>
      <c r="AJ488" s="2" t="str">
        <f>IF(HR_Data[MonthlyIncome]&lt;=300,"Low", IF(HR_Data[MonthlyIncome]&lt;=7000,"Medium", "High"))</f>
        <v>Medium</v>
      </c>
      <c r="AK488" s="2" t="str">
        <f>VLOOKUP(HR_Data[JobRole], JobRole_Map[], 2, FALSE)</f>
        <v>Technical</v>
      </c>
    </row>
    <row r="489" spans="1:37" x14ac:dyDescent="0.25">
      <c r="A489" s="2">
        <v>51</v>
      </c>
      <c r="B489" t="s">
        <v>41</v>
      </c>
      <c r="C489" t="s">
        <v>33</v>
      </c>
      <c r="D489" t="s">
        <v>34</v>
      </c>
      <c r="E489">
        <v>2</v>
      </c>
      <c r="F489" t="s">
        <v>35</v>
      </c>
      <c r="G489">
        <v>1</v>
      </c>
      <c r="H489">
        <v>2</v>
      </c>
      <c r="I489" t="s">
        <v>67</v>
      </c>
      <c r="J489">
        <v>2</v>
      </c>
      <c r="K489" t="s">
        <v>55</v>
      </c>
      <c r="L489">
        <v>5482</v>
      </c>
      <c r="M489">
        <v>5</v>
      </c>
      <c r="N489" t="s">
        <v>41</v>
      </c>
      <c r="O489">
        <v>18</v>
      </c>
      <c r="P489">
        <v>3</v>
      </c>
      <c r="Q489">
        <v>1</v>
      </c>
      <c r="R489">
        <v>13</v>
      </c>
      <c r="S489">
        <v>3</v>
      </c>
      <c r="T489">
        <v>4</v>
      </c>
      <c r="U489">
        <v>1</v>
      </c>
      <c r="V489">
        <v>2</v>
      </c>
      <c r="W489" t="s">
        <v>65</v>
      </c>
      <c r="X489" s="1" t="d">
        <v>2017-03-21</v>
      </c>
      <c r="Z489" t="s">
        <v>52</v>
      </c>
      <c r="AA489" t="s">
        <v>40</v>
      </c>
      <c r="AB489">
        <v>2</v>
      </c>
      <c r="AC489">
        <v>3</v>
      </c>
      <c r="AD489" t="s">
        <v>41</v>
      </c>
      <c r="AE489" t="s">
        <v>47</v>
      </c>
      <c r="AF489" t="s">
        <v>43</v>
      </c>
      <c r="AG489">
        <f>IF(HR_Data[[#This Row],[Attrition]]="Yes",1,0)</f>
        <v>0</v>
      </c>
      <c r="AH489" t="str">
        <f>IF(HR_Data[Date_of_termination]="","Active","Left")</f>
        <v>Active</v>
      </c>
      <c r="AI489" t="str">
        <f>IF(HR_Data[YearsAtCompany]&lt;=2,"Fresher", IF(HR_Data[YearsAtCompany]&lt;=5,"Junior", IF(HR_Data[YearsAtCompany]&lt;=10, "Mid","Senior")))</f>
        <v>Junior</v>
      </c>
      <c r="AJ489" s="2" t="str">
        <f>IF(HR_Data[MonthlyIncome]&lt;=300,"Low", IF(HR_Data[MonthlyIncome]&lt;=7000,"Medium", "High"))</f>
        <v>Medium</v>
      </c>
      <c r="AK489" s="2" t="str">
        <f>VLOOKUP(HR_Data[JobRole], JobRole_Map[], 2, FALSE)</f>
        <v>Operations</v>
      </c>
    </row>
    <row r="490" spans="1:37" x14ac:dyDescent="0.25">
      <c r="A490" s="2">
        <v>27</v>
      </c>
      <c r="B490" t="s">
        <v>41</v>
      </c>
      <c r="C490" t="s">
        <v>33</v>
      </c>
      <c r="D490" t="s">
        <v>34</v>
      </c>
      <c r="E490">
        <v>5</v>
      </c>
      <c r="F490" t="s">
        <v>58</v>
      </c>
      <c r="G490">
        <v>3</v>
      </c>
      <c r="H490">
        <v>1</v>
      </c>
      <c r="I490" t="s">
        <v>44</v>
      </c>
      <c r="J490">
        <v>2</v>
      </c>
      <c r="K490" t="s">
        <v>37</v>
      </c>
      <c r="L490">
        <v>2478</v>
      </c>
      <c r="M490">
        <v>1</v>
      </c>
      <c r="N490" t="s">
        <v>32</v>
      </c>
      <c r="O490">
        <v>12</v>
      </c>
      <c r="P490">
        <v>3</v>
      </c>
      <c r="Q490">
        <v>0</v>
      </c>
      <c r="R490">
        <v>4</v>
      </c>
      <c r="S490">
        <v>2</v>
      </c>
      <c r="T490">
        <v>4</v>
      </c>
      <c r="U490">
        <v>1</v>
      </c>
      <c r="V490">
        <v>2</v>
      </c>
      <c r="W490" t="s">
        <v>51</v>
      </c>
      <c r="X490" s="1" t="d">
        <v>2017-06-12</v>
      </c>
      <c r="Z490" t="s">
        <v>59</v>
      </c>
      <c r="AA490" t="s">
        <v>46</v>
      </c>
      <c r="AB490">
        <v>0</v>
      </c>
      <c r="AC490">
        <v>1</v>
      </c>
      <c r="AD490" t="s">
        <v>41</v>
      </c>
      <c r="AE490" t="s">
        <v>42</v>
      </c>
      <c r="AF490" t="s">
        <v>43</v>
      </c>
      <c r="AG490">
        <f>IF(HR_Data[[#This Row],[Attrition]]="Yes",1,0)</f>
        <v>0</v>
      </c>
      <c r="AH490" t="str">
        <f>IF(HR_Data[Date_of_termination]="","Active","Left")</f>
        <v>Active</v>
      </c>
      <c r="AI490" t="str">
        <f>IF(HR_Data[YearsAtCompany]&lt;=2,"Fresher", IF(HR_Data[YearsAtCompany]&lt;=5,"Junior", IF(HR_Data[YearsAtCompany]&lt;=10, "Mid","Senior")))</f>
        <v>Junior</v>
      </c>
      <c r="AJ490" s="2" t="str">
        <f>IF(HR_Data[MonthlyIncome]&lt;=300,"Low", IF(HR_Data[MonthlyIncome]&lt;=7000,"Medium", "High"))</f>
        <v>Medium</v>
      </c>
      <c r="AK490" s="2" t="str">
        <f>VLOOKUP(HR_Data[JobRole], JobRole_Map[], 2, FALSE)</f>
        <v>Technical</v>
      </c>
    </row>
    <row r="491" spans="1:37" x14ac:dyDescent="0.25">
      <c r="A491" s="2">
        <v>54</v>
      </c>
      <c r="B491" t="s">
        <v>41</v>
      </c>
      <c r="C491" t="s">
        <v>61</v>
      </c>
      <c r="D491" t="s">
        <v>34</v>
      </c>
      <c r="E491">
        <v>20</v>
      </c>
      <c r="F491" t="s">
        <v>58</v>
      </c>
      <c r="G491">
        <v>3</v>
      </c>
      <c r="H491">
        <v>2</v>
      </c>
      <c r="I491" t="s">
        <v>44</v>
      </c>
      <c r="J491">
        <v>3</v>
      </c>
      <c r="K491" t="s">
        <v>37</v>
      </c>
      <c r="L491">
        <v>4869</v>
      </c>
      <c r="M491">
        <v>3</v>
      </c>
      <c r="N491" t="s">
        <v>41</v>
      </c>
      <c r="O491">
        <v>12</v>
      </c>
      <c r="P491">
        <v>3</v>
      </c>
      <c r="Q491">
        <v>0</v>
      </c>
      <c r="R491">
        <v>20</v>
      </c>
      <c r="S491">
        <v>4</v>
      </c>
      <c r="T491">
        <v>4</v>
      </c>
      <c r="U491">
        <v>0</v>
      </c>
      <c r="V491">
        <v>3</v>
      </c>
      <c r="W491" t="s">
        <v>56</v>
      </c>
      <c r="X491" s="1" t="d">
        <v>2017-04-03</v>
      </c>
      <c r="Z491" t="s">
        <v>59</v>
      </c>
      <c r="AA491" t="s">
        <v>46</v>
      </c>
      <c r="AB491">
        <v>2</v>
      </c>
      <c r="AC491">
        <v>1</v>
      </c>
      <c r="AD491" t="s">
        <v>41</v>
      </c>
      <c r="AE491" t="s">
        <v>42</v>
      </c>
      <c r="AF491" t="s">
        <v>43</v>
      </c>
      <c r="AG491">
        <f>IF(HR_Data[[#This Row],[Attrition]]="Yes",1,0)</f>
        <v>0</v>
      </c>
      <c r="AH491" t="str">
        <f>IF(HR_Data[Date_of_termination]="","Active","Left")</f>
        <v>Active</v>
      </c>
      <c r="AI491" t="str">
        <f>IF(HR_Data[YearsAtCompany]&lt;=2,"Fresher", IF(HR_Data[YearsAtCompany]&lt;=5,"Junior", IF(HR_Data[YearsAtCompany]&lt;=10, "Mid","Senior")))</f>
        <v>Junior</v>
      </c>
      <c r="AJ491" s="2" t="str">
        <f>IF(HR_Data[MonthlyIncome]&lt;=300,"Low", IF(HR_Data[MonthlyIncome]&lt;=7000,"Medium", "High"))</f>
        <v>Medium</v>
      </c>
      <c r="AK491" s="2" t="str">
        <f>VLOOKUP(HR_Data[JobRole], JobRole_Map[], 2, FALSE)</f>
        <v>Technical</v>
      </c>
    </row>
    <row r="492" spans="1:37" x14ac:dyDescent="0.25">
      <c r="A492" s="2">
        <v>40</v>
      </c>
      <c r="B492" t="s">
        <v>41</v>
      </c>
      <c r="C492" t="s">
        <v>33</v>
      </c>
      <c r="D492" t="s">
        <v>53</v>
      </c>
      <c r="E492">
        <v>1</v>
      </c>
      <c r="F492" t="s">
        <v>35</v>
      </c>
      <c r="G492">
        <v>1</v>
      </c>
      <c r="H492">
        <v>2</v>
      </c>
      <c r="I492" t="s">
        <v>64</v>
      </c>
      <c r="J492">
        <v>4</v>
      </c>
      <c r="K492" t="s">
        <v>50</v>
      </c>
      <c r="L492">
        <v>7457</v>
      </c>
      <c r="M492">
        <v>2</v>
      </c>
      <c r="N492" t="s">
        <v>32</v>
      </c>
      <c r="O492">
        <v>22</v>
      </c>
      <c r="P492">
        <v>4</v>
      </c>
      <c r="Q492">
        <v>3</v>
      </c>
      <c r="R492">
        <v>6</v>
      </c>
      <c r="S492">
        <v>2</v>
      </c>
      <c r="T492">
        <v>4</v>
      </c>
      <c r="U492">
        <v>0</v>
      </c>
      <c r="V492">
        <v>2</v>
      </c>
      <c r="W492" t="s">
        <v>51</v>
      </c>
      <c r="X492" s="1" t="d">
        <v>2017-04-24</v>
      </c>
      <c r="Z492" t="s">
        <v>63</v>
      </c>
      <c r="AA492" t="s">
        <v>46</v>
      </c>
      <c r="AB492">
        <v>0</v>
      </c>
      <c r="AC492">
        <v>3</v>
      </c>
      <c r="AD492" t="s">
        <v>32</v>
      </c>
      <c r="AE492" t="s">
        <v>42</v>
      </c>
      <c r="AF492" t="s">
        <v>43</v>
      </c>
      <c r="AG492">
        <f>IF(HR_Data[[#This Row],[Attrition]]="Yes",1,0)</f>
        <v>0</v>
      </c>
      <c r="AH492" t="str">
        <f>IF(HR_Data[Date_of_termination]="","Active","Left")</f>
        <v>Active</v>
      </c>
      <c r="AI492" t="str">
        <f>IF(HR_Data[YearsAtCompany]&lt;=2,"Fresher", IF(HR_Data[YearsAtCompany]&lt;=5,"Junior", IF(HR_Data[YearsAtCompany]&lt;=10, "Mid","Senior")))</f>
        <v>Junior</v>
      </c>
      <c r="AJ492" s="2" t="str">
        <f>IF(HR_Data[MonthlyIncome]&lt;=300,"Low", IF(HR_Data[MonthlyIncome]&lt;=7000,"Medium", "High"))</f>
        <v>High</v>
      </c>
      <c r="AK492" s="2" t="str">
        <f>VLOOKUP(HR_Data[JobRole], JobRole_Map[], 2, FALSE)</f>
        <v>Sales</v>
      </c>
    </row>
    <row r="493" spans="1:37" x14ac:dyDescent="0.25">
      <c r="A493" s="2">
        <v>23</v>
      </c>
      <c r="B493" t="s">
        <v>41</v>
      </c>
      <c r="C493" t="s">
        <v>33</v>
      </c>
      <c r="D493" t="s">
        <v>34</v>
      </c>
      <c r="E493">
        <v>26</v>
      </c>
      <c r="F493" t="s">
        <v>35</v>
      </c>
      <c r="G493">
        <v>3</v>
      </c>
      <c r="H493">
        <v>1</v>
      </c>
      <c r="I493" t="s">
        <v>44</v>
      </c>
      <c r="J493">
        <v>4</v>
      </c>
      <c r="K493" t="s">
        <v>55</v>
      </c>
      <c r="L493">
        <v>2904</v>
      </c>
      <c r="M493">
        <v>1</v>
      </c>
      <c r="N493" t="s">
        <v>41</v>
      </c>
      <c r="O493">
        <v>12</v>
      </c>
      <c r="P493">
        <v>3</v>
      </c>
      <c r="Q493">
        <v>2</v>
      </c>
      <c r="R493">
        <v>4</v>
      </c>
      <c r="S493">
        <v>2</v>
      </c>
      <c r="T493">
        <v>4</v>
      </c>
      <c r="U493">
        <v>0</v>
      </c>
      <c r="V493">
        <v>2</v>
      </c>
      <c r="W493" t="s">
        <v>38</v>
      </c>
      <c r="X493" s="1" t="d">
        <v>2017-04-29</v>
      </c>
      <c r="Z493" t="s">
        <v>52</v>
      </c>
      <c r="AA493" t="s">
        <v>40</v>
      </c>
      <c r="AB493">
        <v>0</v>
      </c>
      <c r="AC493">
        <v>2</v>
      </c>
      <c r="AD493" t="s">
        <v>32</v>
      </c>
      <c r="AE493" t="s">
        <v>42</v>
      </c>
      <c r="AF493" t="s">
        <v>57</v>
      </c>
      <c r="AG493">
        <f>IF(HR_Data[[#This Row],[Attrition]]="Yes",1,0)</f>
        <v>0</v>
      </c>
      <c r="AH493" t="str">
        <f>IF(HR_Data[Date_of_termination]="","Active","Left")</f>
        <v>Active</v>
      </c>
      <c r="AI493" t="str">
        <f>IF(HR_Data[YearsAtCompany]&lt;=2,"Fresher", IF(HR_Data[YearsAtCompany]&lt;=5,"Junior", IF(HR_Data[YearsAtCompany]&lt;=10, "Mid","Senior")))</f>
        <v>Junior</v>
      </c>
      <c r="AJ493" s="2" t="str">
        <f>IF(HR_Data[MonthlyIncome]&lt;=300,"Low", IF(HR_Data[MonthlyIncome]&lt;=7000,"Medium", "High"))</f>
        <v>Medium</v>
      </c>
      <c r="AK493" s="2" t="str">
        <f>VLOOKUP(HR_Data[JobRole], JobRole_Map[], 2, FALSE)</f>
        <v>Technical</v>
      </c>
    </row>
    <row r="494" spans="1:37" x14ac:dyDescent="0.25">
      <c r="A494" s="2">
        <v>29</v>
      </c>
      <c r="B494" t="s">
        <v>41</v>
      </c>
      <c r="C494" t="s">
        <v>68</v>
      </c>
      <c r="D494" t="s">
        <v>53</v>
      </c>
      <c r="E494">
        <v>2</v>
      </c>
      <c r="F494" t="s">
        <v>35</v>
      </c>
      <c r="G494">
        <v>3</v>
      </c>
      <c r="H494">
        <v>2</v>
      </c>
      <c r="I494" t="s">
        <v>64</v>
      </c>
      <c r="J494">
        <v>3</v>
      </c>
      <c r="K494" t="s">
        <v>50</v>
      </c>
      <c r="L494">
        <v>4649</v>
      </c>
      <c r="M494">
        <v>1</v>
      </c>
      <c r="N494" t="s">
        <v>41</v>
      </c>
      <c r="O494">
        <v>14</v>
      </c>
      <c r="P494">
        <v>3</v>
      </c>
      <c r="Q494">
        <v>1</v>
      </c>
      <c r="R494">
        <v>4</v>
      </c>
      <c r="S494">
        <v>3</v>
      </c>
      <c r="T494">
        <v>4</v>
      </c>
      <c r="U494">
        <v>0</v>
      </c>
      <c r="V494">
        <v>2</v>
      </c>
      <c r="W494" t="s">
        <v>51</v>
      </c>
      <c r="X494" s="1" t="d">
        <v>2017-04-22</v>
      </c>
      <c r="Z494" t="s">
        <v>52</v>
      </c>
      <c r="AA494" t="s">
        <v>46</v>
      </c>
      <c r="AB494">
        <v>2</v>
      </c>
      <c r="AC494">
        <v>3</v>
      </c>
      <c r="AD494" t="s">
        <v>41</v>
      </c>
      <c r="AE494" t="s">
        <v>60</v>
      </c>
      <c r="AF494" t="s">
        <v>57</v>
      </c>
      <c r="AG494">
        <f>IF(HR_Data[[#This Row],[Attrition]]="Yes",1,0)</f>
        <v>0</v>
      </c>
      <c r="AH494" t="str">
        <f>IF(HR_Data[Date_of_termination]="","Active","Left")</f>
        <v>Active</v>
      </c>
      <c r="AI494" t="str">
        <f>IF(HR_Data[YearsAtCompany]&lt;=2,"Fresher", IF(HR_Data[YearsAtCompany]&lt;=5,"Junior", IF(HR_Data[YearsAtCompany]&lt;=10, "Mid","Senior")))</f>
        <v>Junior</v>
      </c>
      <c r="AJ494" s="2" t="str">
        <f>IF(HR_Data[MonthlyIncome]&lt;=300,"Low", IF(HR_Data[MonthlyIncome]&lt;=7000,"Medium", "High"))</f>
        <v>Medium</v>
      </c>
      <c r="AK494" s="2" t="str">
        <f>VLOOKUP(HR_Data[JobRole], JobRole_Map[], 2, FALSE)</f>
        <v>Sales</v>
      </c>
    </row>
    <row r="495" spans="1:37" x14ac:dyDescent="0.25">
      <c r="A495" s="2">
        <v>50</v>
      </c>
      <c r="B495" t="s">
        <v>41</v>
      </c>
      <c r="C495" t="s">
        <v>33</v>
      </c>
      <c r="D495" t="s">
        <v>34</v>
      </c>
      <c r="E495">
        <v>10</v>
      </c>
      <c r="F495" t="s">
        <v>35</v>
      </c>
      <c r="G495">
        <v>2</v>
      </c>
      <c r="H495">
        <v>3</v>
      </c>
      <c r="I495" t="s">
        <v>69</v>
      </c>
      <c r="J495">
        <v>4</v>
      </c>
      <c r="K495" t="s">
        <v>37</v>
      </c>
      <c r="L495">
        <v>10496</v>
      </c>
      <c r="M495">
        <v>6</v>
      </c>
      <c r="N495" t="s">
        <v>41</v>
      </c>
      <c r="O495">
        <v>15</v>
      </c>
      <c r="P495">
        <v>3</v>
      </c>
      <c r="Q495">
        <v>0</v>
      </c>
      <c r="R495">
        <v>20</v>
      </c>
      <c r="S495">
        <v>2</v>
      </c>
      <c r="T495">
        <v>4</v>
      </c>
      <c r="U495">
        <v>1</v>
      </c>
      <c r="V495">
        <v>3</v>
      </c>
      <c r="W495" t="s">
        <v>38</v>
      </c>
      <c r="X495" s="1" t="d">
        <v>2017-06-14</v>
      </c>
      <c r="Z495" t="s">
        <v>52</v>
      </c>
      <c r="AA495" t="s">
        <v>46</v>
      </c>
      <c r="AB495">
        <v>2</v>
      </c>
      <c r="AC495">
        <v>1</v>
      </c>
      <c r="AD495" t="s">
        <v>32</v>
      </c>
      <c r="AE495" t="s">
        <v>62</v>
      </c>
      <c r="AF495" t="s">
        <v>43</v>
      </c>
      <c r="AG495">
        <f>IF(HR_Data[[#This Row],[Attrition]]="Yes",1,0)</f>
        <v>0</v>
      </c>
      <c r="AH495" t="str">
        <f>IF(HR_Data[Date_of_termination]="","Active","Left")</f>
        <v>Active</v>
      </c>
      <c r="AI495" t="str">
        <f>IF(HR_Data[YearsAtCompany]&lt;=2,"Fresher", IF(HR_Data[YearsAtCompany]&lt;=5,"Junior", IF(HR_Data[YearsAtCompany]&lt;=10, "Mid","Senior")))</f>
        <v>Junior</v>
      </c>
      <c r="AJ495" s="2" t="str">
        <f>IF(HR_Data[MonthlyIncome]&lt;=300,"Low", IF(HR_Data[MonthlyIncome]&lt;=7000,"Medium", "High"))</f>
        <v>High</v>
      </c>
      <c r="AK495" s="2" t="str">
        <f>VLOOKUP(HR_Data[JobRole], JobRole_Map[], 2, FALSE)</f>
        <v>Operations</v>
      </c>
    </row>
    <row r="496" spans="1:37" x14ac:dyDescent="0.25">
      <c r="A496" s="2">
        <v>54</v>
      </c>
      <c r="B496" t="s">
        <v>41</v>
      </c>
      <c r="C496" t="s">
        <v>33</v>
      </c>
      <c r="D496" t="s">
        <v>34</v>
      </c>
      <c r="E496">
        <v>5</v>
      </c>
      <c r="F496" t="s">
        <v>35</v>
      </c>
      <c r="G496">
        <v>3</v>
      </c>
      <c r="H496">
        <v>5</v>
      </c>
      <c r="I496" t="s">
        <v>49</v>
      </c>
      <c r="J496">
        <v>1</v>
      </c>
      <c r="K496" t="s">
        <v>50</v>
      </c>
      <c r="L496">
        <v>19406</v>
      </c>
      <c r="M496">
        <v>4</v>
      </c>
      <c r="N496" t="s">
        <v>41</v>
      </c>
      <c r="O496">
        <v>11</v>
      </c>
      <c r="P496">
        <v>3</v>
      </c>
      <c r="Q496">
        <v>1</v>
      </c>
      <c r="R496">
        <v>24</v>
      </c>
      <c r="S496">
        <v>4</v>
      </c>
      <c r="T496">
        <v>4</v>
      </c>
      <c r="U496">
        <v>1</v>
      </c>
      <c r="V496">
        <v>2</v>
      </c>
      <c r="W496" t="s">
        <v>51</v>
      </c>
      <c r="X496" s="1" t="d">
        <v>2017-05-25</v>
      </c>
      <c r="Z496" t="s">
        <v>52</v>
      </c>
      <c r="AA496" t="s">
        <v>46</v>
      </c>
      <c r="AB496">
        <v>0</v>
      </c>
      <c r="AC496">
        <v>3</v>
      </c>
      <c r="AD496" t="s">
        <v>32</v>
      </c>
      <c r="AE496" t="s">
        <v>47</v>
      </c>
      <c r="AF496" t="s">
        <v>48</v>
      </c>
      <c r="AG496">
        <f>IF(HR_Data[[#This Row],[Attrition]]="Yes",1,0)</f>
        <v>0</v>
      </c>
      <c r="AH496" t="str">
        <f>IF(HR_Data[Date_of_termination]="","Active","Left")</f>
        <v>Active</v>
      </c>
      <c r="AI496" t="str">
        <f>IF(HR_Data[YearsAtCompany]&lt;=2,"Fresher", IF(HR_Data[YearsAtCompany]&lt;=5,"Junior", IF(HR_Data[YearsAtCompany]&lt;=10, "Mid","Senior")))</f>
        <v>Junior</v>
      </c>
      <c r="AJ496" s="2" t="str">
        <f>IF(HR_Data[MonthlyIncome]&lt;=300,"Low", IF(HR_Data[MonthlyIncome]&lt;=7000,"Medium", "High"))</f>
        <v>High</v>
      </c>
      <c r="AK496" s="2" t="str">
        <f>VLOOKUP(HR_Data[JobRole], JobRole_Map[], 2, FALSE)</f>
        <v>Management</v>
      </c>
    </row>
    <row r="497" spans="1:37" x14ac:dyDescent="0.25">
      <c r="A497" s="2">
        <v>31</v>
      </c>
      <c r="B497" t="s">
        <v>41</v>
      </c>
      <c r="C497" t="s">
        <v>33</v>
      </c>
      <c r="D497" t="s">
        <v>34</v>
      </c>
      <c r="E497">
        <v>1</v>
      </c>
      <c r="F497" t="s">
        <v>35</v>
      </c>
      <c r="G497">
        <v>2</v>
      </c>
      <c r="H497">
        <v>1</v>
      </c>
      <c r="I497" t="s">
        <v>36</v>
      </c>
      <c r="J497">
        <v>1</v>
      </c>
      <c r="K497" t="s">
        <v>50</v>
      </c>
      <c r="L497">
        <v>2218</v>
      </c>
      <c r="M497">
        <v>1</v>
      </c>
      <c r="N497" t="s">
        <v>41</v>
      </c>
      <c r="O497">
        <v>12</v>
      </c>
      <c r="P497">
        <v>3</v>
      </c>
      <c r="Q497">
        <v>1</v>
      </c>
      <c r="R497">
        <v>4</v>
      </c>
      <c r="S497">
        <v>3</v>
      </c>
      <c r="T497">
        <v>4</v>
      </c>
      <c r="U497">
        <v>3</v>
      </c>
      <c r="V497">
        <v>2</v>
      </c>
      <c r="W497" t="s">
        <v>38</v>
      </c>
      <c r="X497" s="1" t="d">
        <v>2017-06-12</v>
      </c>
      <c r="Z497" t="s">
        <v>63</v>
      </c>
      <c r="AA497" t="s">
        <v>40</v>
      </c>
      <c r="AB497">
        <v>0</v>
      </c>
      <c r="AC497">
        <v>1</v>
      </c>
      <c r="AD497" t="s">
        <v>41</v>
      </c>
      <c r="AE497" t="s">
        <v>60</v>
      </c>
      <c r="AF497" t="s">
        <v>57</v>
      </c>
      <c r="AG497">
        <f>IF(HR_Data[[#This Row],[Attrition]]="Yes",1,0)</f>
        <v>0</v>
      </c>
      <c r="AH497" t="str">
        <f>IF(HR_Data[Date_of_termination]="","Active","Left")</f>
        <v>Active</v>
      </c>
      <c r="AI497" t="str">
        <f>IF(HR_Data[YearsAtCompany]&lt;=2,"Fresher", IF(HR_Data[YearsAtCompany]&lt;=5,"Junior", IF(HR_Data[YearsAtCompany]&lt;=10, "Mid","Senior")))</f>
        <v>Junior</v>
      </c>
      <c r="AJ497" s="2" t="str">
        <f>IF(HR_Data[MonthlyIncome]&lt;=300,"Low", IF(HR_Data[MonthlyIncome]&lt;=7000,"Medium", "High"))</f>
        <v>Medium</v>
      </c>
      <c r="AK497" s="2" t="str">
        <f>VLOOKUP(HR_Data[JobRole], JobRole_Map[], 2, FALSE)</f>
        <v>Technical</v>
      </c>
    </row>
    <row r="498" spans="1:37" x14ac:dyDescent="0.25">
      <c r="A498" s="2">
        <v>33</v>
      </c>
      <c r="B498" t="s">
        <v>32</v>
      </c>
      <c r="C498" t="s">
        <v>33</v>
      </c>
      <c r="D498" t="s">
        <v>34</v>
      </c>
      <c r="E498">
        <v>10</v>
      </c>
      <c r="F498" t="s">
        <v>35</v>
      </c>
      <c r="G498">
        <v>1</v>
      </c>
      <c r="H498">
        <v>1</v>
      </c>
      <c r="I498" t="s">
        <v>36</v>
      </c>
      <c r="J498">
        <v>4</v>
      </c>
      <c r="K498" t="s">
        <v>55</v>
      </c>
      <c r="L498">
        <v>3408</v>
      </c>
      <c r="M498">
        <v>7</v>
      </c>
      <c r="N498" t="s">
        <v>41</v>
      </c>
      <c r="O498">
        <v>13</v>
      </c>
      <c r="P498">
        <v>3</v>
      </c>
      <c r="Q498">
        <v>3</v>
      </c>
      <c r="R498">
        <v>8</v>
      </c>
      <c r="S498">
        <v>2</v>
      </c>
      <c r="T498">
        <v>4</v>
      </c>
      <c r="U498">
        <v>1</v>
      </c>
      <c r="V498">
        <v>3</v>
      </c>
      <c r="W498" t="s">
        <v>65</v>
      </c>
      <c r="X498" s="1" t="d">
        <v>2017-02-24</v>
      </c>
      <c r="Z498" t="s">
        <v>59</v>
      </c>
      <c r="AA498" t="s">
        <v>46</v>
      </c>
      <c r="AB498">
        <v>2</v>
      </c>
      <c r="AC498">
        <v>2</v>
      </c>
      <c r="AD498" t="s">
        <v>41</v>
      </c>
      <c r="AE498" t="s">
        <v>62</v>
      </c>
      <c r="AF498" t="s">
        <v>48</v>
      </c>
      <c r="AG498">
        <f>IF(HR_Data[[#This Row],[Attrition]]="Yes",1,0)</f>
        <v>1</v>
      </c>
      <c r="AH498" t="str">
        <f>IF(HR_Data[Date_of_termination]="","Active","Left")</f>
        <v>Active</v>
      </c>
      <c r="AI498" t="str">
        <f>IF(HR_Data[YearsAtCompany]&lt;=2,"Fresher", IF(HR_Data[YearsAtCompany]&lt;=5,"Junior", IF(HR_Data[YearsAtCompany]&lt;=10, "Mid","Senior")))</f>
        <v>Junior</v>
      </c>
      <c r="AJ498" s="2" t="str">
        <f>IF(HR_Data[MonthlyIncome]&lt;=300,"Low", IF(HR_Data[MonthlyIncome]&lt;=7000,"Medium", "High"))</f>
        <v>Medium</v>
      </c>
      <c r="AK498" s="2" t="str">
        <f>VLOOKUP(HR_Data[JobRole], JobRole_Map[], 2, FALSE)</f>
        <v>Technical</v>
      </c>
    </row>
    <row r="499" spans="1:37" x14ac:dyDescent="0.25">
      <c r="A499" s="2">
        <v>32</v>
      </c>
      <c r="B499" t="s">
        <v>32</v>
      </c>
      <c r="C499" t="s">
        <v>68</v>
      </c>
      <c r="D499" t="s">
        <v>53</v>
      </c>
      <c r="E499">
        <v>11</v>
      </c>
      <c r="F499" t="s">
        <v>35</v>
      </c>
      <c r="G499">
        <v>4</v>
      </c>
      <c r="H499">
        <v>2</v>
      </c>
      <c r="I499" t="s">
        <v>64</v>
      </c>
      <c r="J499">
        <v>3</v>
      </c>
      <c r="K499" t="s">
        <v>50</v>
      </c>
      <c r="L499">
        <v>4707</v>
      </c>
      <c r="M499">
        <v>8</v>
      </c>
      <c r="N499" t="s">
        <v>41</v>
      </c>
      <c r="O499">
        <v>12</v>
      </c>
      <c r="P499">
        <v>3</v>
      </c>
      <c r="Q499">
        <v>0</v>
      </c>
      <c r="R499">
        <v>6</v>
      </c>
      <c r="S499">
        <v>2</v>
      </c>
      <c r="T499">
        <v>4</v>
      </c>
      <c r="U499">
        <v>1</v>
      </c>
      <c r="V499">
        <v>2</v>
      </c>
      <c r="W499" t="s">
        <v>51</v>
      </c>
      <c r="X499" s="1" t="d">
        <v>2017-05-15</v>
      </c>
      <c r="Z499" t="s">
        <v>59</v>
      </c>
      <c r="AA499" t="s">
        <v>46</v>
      </c>
      <c r="AB499">
        <v>0</v>
      </c>
      <c r="AC499">
        <v>1</v>
      </c>
      <c r="AD499" t="s">
        <v>41</v>
      </c>
      <c r="AE499" t="s">
        <v>62</v>
      </c>
      <c r="AF499" t="s">
        <v>57</v>
      </c>
      <c r="AG499">
        <f>IF(HR_Data[[#This Row],[Attrition]]="Yes",1,0)</f>
        <v>1</v>
      </c>
      <c r="AH499" t="str">
        <f>IF(HR_Data[Date_of_termination]="","Active","Left")</f>
        <v>Active</v>
      </c>
      <c r="AI499" t="str">
        <f>IF(HR_Data[YearsAtCompany]&lt;=2,"Fresher", IF(HR_Data[YearsAtCompany]&lt;=5,"Junior", IF(HR_Data[YearsAtCompany]&lt;=10, "Mid","Senior")))</f>
        <v>Junior</v>
      </c>
      <c r="AJ499" s="2" t="str">
        <f>IF(HR_Data[MonthlyIncome]&lt;=300,"Low", IF(HR_Data[MonthlyIncome]&lt;=7000,"Medium", "High"))</f>
        <v>Medium</v>
      </c>
      <c r="AK499" s="2" t="str">
        <f>VLOOKUP(HR_Data[JobRole], JobRole_Map[], 2, FALSE)</f>
        <v>Sales</v>
      </c>
    </row>
    <row r="500" spans="1:37" x14ac:dyDescent="0.25">
      <c r="A500" s="2">
        <v>27</v>
      </c>
      <c r="B500" t="s">
        <v>32</v>
      </c>
      <c r="C500" t="s">
        <v>33</v>
      </c>
      <c r="D500" t="s">
        <v>53</v>
      </c>
      <c r="E500">
        <v>2</v>
      </c>
      <c r="F500" t="s">
        <v>35</v>
      </c>
      <c r="G500">
        <v>3</v>
      </c>
      <c r="H500">
        <v>1</v>
      </c>
      <c r="I500" t="s">
        <v>54</v>
      </c>
      <c r="J500">
        <v>1</v>
      </c>
      <c r="K500" t="s">
        <v>55</v>
      </c>
      <c r="L500">
        <v>3041</v>
      </c>
      <c r="M500">
        <v>0</v>
      </c>
      <c r="N500" t="s">
        <v>41</v>
      </c>
      <c r="O500">
        <v>11</v>
      </c>
      <c r="P500">
        <v>3</v>
      </c>
      <c r="Q500">
        <v>1</v>
      </c>
      <c r="R500">
        <v>5</v>
      </c>
      <c r="S500">
        <v>3</v>
      </c>
      <c r="T500">
        <v>4</v>
      </c>
      <c r="U500">
        <v>0</v>
      </c>
      <c r="V500">
        <v>2</v>
      </c>
      <c r="W500" t="s">
        <v>65</v>
      </c>
      <c r="X500" s="1" t="d">
        <v>2017-04-09</v>
      </c>
      <c r="Z500" t="s">
        <v>52</v>
      </c>
      <c r="AA500" t="s">
        <v>40</v>
      </c>
      <c r="AB500">
        <v>0</v>
      </c>
      <c r="AC500">
        <v>2</v>
      </c>
      <c r="AD500" t="s">
        <v>41</v>
      </c>
      <c r="AE500" t="s">
        <v>60</v>
      </c>
      <c r="AF500" t="s">
        <v>48</v>
      </c>
      <c r="AG500">
        <f>IF(HR_Data[[#This Row],[Attrition]]="Yes",1,0)</f>
        <v>1</v>
      </c>
      <c r="AH500" t="str">
        <f>IF(HR_Data[Date_of_termination]="","Active","Left")</f>
        <v>Active</v>
      </c>
      <c r="AI500" t="str">
        <f>IF(HR_Data[YearsAtCompany]&lt;=2,"Fresher", IF(HR_Data[YearsAtCompany]&lt;=5,"Junior", IF(HR_Data[YearsAtCompany]&lt;=10, "Mid","Senior")))</f>
        <v>Junior</v>
      </c>
      <c r="AJ500" s="2" t="str">
        <f>IF(HR_Data[MonthlyIncome]&lt;=300,"Low", IF(HR_Data[MonthlyIncome]&lt;=7000,"Medium", "High"))</f>
        <v>Medium</v>
      </c>
      <c r="AK500" s="2" t="str">
        <f>VLOOKUP(HR_Data[JobRole], JobRole_Map[], 2, FALSE)</f>
        <v>Sales</v>
      </c>
    </row>
    <row r="501" spans="1:37" x14ac:dyDescent="0.25">
      <c r="A501" s="2">
        <v>27</v>
      </c>
      <c r="B501" t="s">
        <v>41</v>
      </c>
      <c r="C501" t="s">
        <v>33</v>
      </c>
      <c r="D501" t="s">
        <v>34</v>
      </c>
      <c r="E501">
        <v>3</v>
      </c>
      <c r="F501" t="s">
        <v>35</v>
      </c>
      <c r="G501">
        <v>2</v>
      </c>
      <c r="H501">
        <v>1</v>
      </c>
      <c r="I501" t="s">
        <v>44</v>
      </c>
      <c r="J501">
        <v>4</v>
      </c>
      <c r="K501" t="s">
        <v>37</v>
      </c>
      <c r="L501">
        <v>2045</v>
      </c>
      <c r="M501">
        <v>0</v>
      </c>
      <c r="N501" t="s">
        <v>41</v>
      </c>
      <c r="O501">
        <v>13</v>
      </c>
      <c r="P501">
        <v>3</v>
      </c>
      <c r="Q501">
        <v>0</v>
      </c>
      <c r="R501">
        <v>5</v>
      </c>
      <c r="S501">
        <v>0</v>
      </c>
      <c r="T501">
        <v>4</v>
      </c>
      <c r="U501">
        <v>1</v>
      </c>
      <c r="V501">
        <v>1</v>
      </c>
      <c r="W501" t="s">
        <v>65</v>
      </c>
      <c r="X501" s="1" t="d">
        <v>2017-04-11</v>
      </c>
      <c r="Z501" t="s">
        <v>63</v>
      </c>
      <c r="AA501" t="s">
        <v>46</v>
      </c>
      <c r="AB501">
        <v>0</v>
      </c>
      <c r="AC501">
        <v>2</v>
      </c>
      <c r="AD501" t="s">
        <v>41</v>
      </c>
      <c r="AE501" t="s">
        <v>47</v>
      </c>
      <c r="AF501" t="s">
        <v>57</v>
      </c>
      <c r="AG501">
        <f>IF(HR_Data[[#This Row],[Attrition]]="Yes",1,0)</f>
        <v>0</v>
      </c>
      <c r="AH501" t="str">
        <f>IF(HR_Data[Date_of_termination]="","Active","Left")</f>
        <v>Active</v>
      </c>
      <c r="AI501" t="str">
        <f>IF(HR_Data[YearsAtCompany]&lt;=2,"Fresher", IF(HR_Data[YearsAtCompany]&lt;=5,"Junior", IF(HR_Data[YearsAtCompany]&lt;=10, "Mid","Senior")))</f>
        <v>Junior</v>
      </c>
      <c r="AJ501" s="2" t="str">
        <f>IF(HR_Data[MonthlyIncome]&lt;=300,"Low", IF(HR_Data[MonthlyIncome]&lt;=7000,"Medium", "High"))</f>
        <v>Medium</v>
      </c>
      <c r="AK501" s="2" t="str">
        <f>VLOOKUP(HR_Data[JobRole], JobRole_Map[], 2, FALSE)</f>
        <v>Technical</v>
      </c>
    </row>
    <row r="502" spans="1:37" x14ac:dyDescent="0.25">
      <c r="A502" s="2">
        <v>50</v>
      </c>
      <c r="B502" t="s">
        <v>32</v>
      </c>
      <c r="C502" t="s">
        <v>61</v>
      </c>
      <c r="D502" t="s">
        <v>53</v>
      </c>
      <c r="E502">
        <v>8</v>
      </c>
      <c r="F502" t="s">
        <v>35</v>
      </c>
      <c r="G502">
        <v>3</v>
      </c>
      <c r="H502">
        <v>2</v>
      </c>
      <c r="I502" t="s">
        <v>64</v>
      </c>
      <c r="J502">
        <v>3</v>
      </c>
      <c r="K502" t="s">
        <v>50</v>
      </c>
      <c r="L502">
        <v>6796</v>
      </c>
      <c r="M502">
        <v>3</v>
      </c>
      <c r="N502" t="s">
        <v>32</v>
      </c>
      <c r="O502">
        <v>14</v>
      </c>
      <c r="P502">
        <v>3</v>
      </c>
      <c r="Q502">
        <v>1</v>
      </c>
      <c r="R502">
        <v>18</v>
      </c>
      <c r="S502">
        <v>4</v>
      </c>
      <c r="T502">
        <v>4</v>
      </c>
      <c r="U502">
        <v>1</v>
      </c>
      <c r="V502">
        <v>3</v>
      </c>
      <c r="W502" t="s">
        <v>65</v>
      </c>
      <c r="X502" s="1" t="d">
        <v>2017-06-15</v>
      </c>
      <c r="Z502" t="s">
        <v>59</v>
      </c>
      <c r="AA502" t="s">
        <v>40</v>
      </c>
      <c r="AB502">
        <v>3</v>
      </c>
      <c r="AC502">
        <v>1</v>
      </c>
      <c r="AD502" t="s">
        <v>41</v>
      </c>
      <c r="AE502" t="s">
        <v>47</v>
      </c>
      <c r="AF502" t="s">
        <v>57</v>
      </c>
      <c r="AG502">
        <f>IF(HR_Data[[#This Row],[Attrition]]="Yes",1,0)</f>
        <v>1</v>
      </c>
      <c r="AH502" t="str">
        <f>IF(HR_Data[Date_of_termination]="","Active","Left")</f>
        <v>Active</v>
      </c>
      <c r="AI502" t="str">
        <f>IF(HR_Data[YearsAtCompany]&lt;=2,"Fresher", IF(HR_Data[YearsAtCompany]&lt;=5,"Junior", IF(HR_Data[YearsAtCompany]&lt;=10, "Mid","Senior")))</f>
        <v>Junior</v>
      </c>
      <c r="AJ502" s="2" t="str">
        <f>IF(HR_Data[MonthlyIncome]&lt;=300,"Low", IF(HR_Data[MonthlyIncome]&lt;=7000,"Medium", "High"))</f>
        <v>Medium</v>
      </c>
      <c r="AK502" s="2" t="str">
        <f>VLOOKUP(HR_Data[JobRole], JobRole_Map[], 2, FALSE)</f>
        <v>Sales</v>
      </c>
    </row>
    <row r="503" spans="1:37" x14ac:dyDescent="0.25">
      <c r="A503" s="2">
        <v>23</v>
      </c>
      <c r="B503" t="s">
        <v>41</v>
      </c>
      <c r="C503" t="s">
        <v>33</v>
      </c>
      <c r="D503" t="s">
        <v>34</v>
      </c>
      <c r="E503">
        <v>9</v>
      </c>
      <c r="F503" t="s">
        <v>35</v>
      </c>
      <c r="G503">
        <v>3</v>
      </c>
      <c r="H503">
        <v>1</v>
      </c>
      <c r="I503" t="s">
        <v>36</v>
      </c>
      <c r="J503">
        <v>1</v>
      </c>
      <c r="K503" t="s">
        <v>50</v>
      </c>
      <c r="L503">
        <v>2500</v>
      </c>
      <c r="M503">
        <v>1</v>
      </c>
      <c r="N503" t="s">
        <v>41</v>
      </c>
      <c r="O503">
        <v>14</v>
      </c>
      <c r="P503">
        <v>3</v>
      </c>
      <c r="Q503">
        <v>1</v>
      </c>
      <c r="R503">
        <v>5</v>
      </c>
      <c r="S503">
        <v>2</v>
      </c>
      <c r="T503">
        <v>4</v>
      </c>
      <c r="U503">
        <v>0</v>
      </c>
      <c r="V503">
        <v>2</v>
      </c>
      <c r="W503" t="s">
        <v>65</v>
      </c>
      <c r="X503" s="1" t="d">
        <v>2017-04-03</v>
      </c>
      <c r="Z503" t="s">
        <v>45</v>
      </c>
      <c r="AA503" t="s">
        <v>40</v>
      </c>
      <c r="AB503">
        <v>3</v>
      </c>
      <c r="AC503">
        <v>0</v>
      </c>
      <c r="AD503" t="s">
        <v>32</v>
      </c>
      <c r="AE503" t="s">
        <v>60</v>
      </c>
      <c r="AF503" t="s">
        <v>48</v>
      </c>
      <c r="AG503">
        <f>IF(HR_Data[[#This Row],[Attrition]]="Yes",1,0)</f>
        <v>0</v>
      </c>
      <c r="AH503" t="str">
        <f>IF(HR_Data[Date_of_termination]="","Active","Left")</f>
        <v>Active</v>
      </c>
      <c r="AI503" t="str">
        <f>IF(HR_Data[YearsAtCompany]&lt;=2,"Fresher", IF(HR_Data[YearsAtCompany]&lt;=5,"Junior", IF(HR_Data[YearsAtCompany]&lt;=10, "Mid","Senior")))</f>
        <v>Junior</v>
      </c>
      <c r="AJ503" s="2" t="str">
        <f>IF(HR_Data[MonthlyIncome]&lt;=300,"Low", IF(HR_Data[MonthlyIncome]&lt;=7000,"Medium", "High"))</f>
        <v>Medium</v>
      </c>
      <c r="AK503" s="2" t="str">
        <f>VLOOKUP(HR_Data[JobRole], JobRole_Map[], 2, FALSE)</f>
        <v>Technical</v>
      </c>
    </row>
    <row r="504" spans="1:37" x14ac:dyDescent="0.25">
      <c r="A504" s="2">
        <v>40</v>
      </c>
      <c r="B504" t="s">
        <v>41</v>
      </c>
      <c r="C504" t="s">
        <v>33</v>
      </c>
      <c r="D504" t="s">
        <v>34</v>
      </c>
      <c r="E504">
        <v>2</v>
      </c>
      <c r="F504" t="s">
        <v>58</v>
      </c>
      <c r="G504">
        <v>2</v>
      </c>
      <c r="H504">
        <v>1</v>
      </c>
      <c r="I504" t="s">
        <v>44</v>
      </c>
      <c r="J504">
        <v>4</v>
      </c>
      <c r="K504" t="s">
        <v>37</v>
      </c>
      <c r="L504">
        <v>2342</v>
      </c>
      <c r="M504">
        <v>0</v>
      </c>
      <c r="N504" t="s">
        <v>32</v>
      </c>
      <c r="O504">
        <v>20</v>
      </c>
      <c r="P504">
        <v>4</v>
      </c>
      <c r="Q504">
        <v>0</v>
      </c>
      <c r="R504">
        <v>5</v>
      </c>
      <c r="S504">
        <v>2</v>
      </c>
      <c r="T504">
        <v>4</v>
      </c>
      <c r="U504">
        <v>2</v>
      </c>
      <c r="V504">
        <v>3</v>
      </c>
      <c r="W504" t="s">
        <v>51</v>
      </c>
      <c r="X504" s="1" t="d">
        <v>2017-06-07</v>
      </c>
      <c r="Z504" t="s">
        <v>52</v>
      </c>
      <c r="AA504" t="s">
        <v>46</v>
      </c>
      <c r="AB504">
        <v>3</v>
      </c>
      <c r="AC504">
        <v>3</v>
      </c>
      <c r="AD504" t="s">
        <v>41</v>
      </c>
      <c r="AE504" t="s">
        <v>42</v>
      </c>
      <c r="AF504" t="s">
        <v>48</v>
      </c>
      <c r="AG504">
        <f>IF(HR_Data[[#This Row],[Attrition]]="Yes",1,0)</f>
        <v>0</v>
      </c>
      <c r="AH504" t="str">
        <f>IF(HR_Data[Date_of_termination]="","Active","Left")</f>
        <v>Active</v>
      </c>
      <c r="AI504" t="str">
        <f>IF(HR_Data[YearsAtCompany]&lt;=2,"Fresher", IF(HR_Data[YearsAtCompany]&lt;=5,"Junior", IF(HR_Data[YearsAtCompany]&lt;=10, "Mid","Senior")))</f>
        <v>Junior</v>
      </c>
      <c r="AJ504" s="2" t="str">
        <f>IF(HR_Data[MonthlyIncome]&lt;=300,"Low", IF(HR_Data[MonthlyIncome]&lt;=7000,"Medium", "High"))</f>
        <v>Medium</v>
      </c>
      <c r="AK504" s="2" t="str">
        <f>VLOOKUP(HR_Data[JobRole], JobRole_Map[], 2, FALSE)</f>
        <v>Technical</v>
      </c>
    </row>
    <row r="505" spans="1:37" x14ac:dyDescent="0.25">
      <c r="A505" s="2">
        <v>52</v>
      </c>
      <c r="B505" t="s">
        <v>41</v>
      </c>
      <c r="C505" t="s">
        <v>68</v>
      </c>
      <c r="D505" t="s">
        <v>34</v>
      </c>
      <c r="E505">
        <v>19</v>
      </c>
      <c r="F505" t="s">
        <v>35</v>
      </c>
      <c r="G505">
        <v>3</v>
      </c>
      <c r="H505">
        <v>1</v>
      </c>
      <c r="I505" t="s">
        <v>44</v>
      </c>
      <c r="J505">
        <v>4</v>
      </c>
      <c r="K505" t="s">
        <v>50</v>
      </c>
      <c r="L505">
        <v>4258</v>
      </c>
      <c r="M505">
        <v>0</v>
      </c>
      <c r="N505" t="s">
        <v>41</v>
      </c>
      <c r="O505">
        <v>18</v>
      </c>
      <c r="P505">
        <v>3</v>
      </c>
      <c r="Q505">
        <v>1</v>
      </c>
      <c r="R505">
        <v>5</v>
      </c>
      <c r="S505">
        <v>3</v>
      </c>
      <c r="T505">
        <v>4</v>
      </c>
      <c r="U505">
        <v>1</v>
      </c>
      <c r="V505">
        <v>2</v>
      </c>
      <c r="W505" t="s">
        <v>38</v>
      </c>
      <c r="X505" s="1" t="d">
        <v>2017-05-05</v>
      </c>
      <c r="Z505" t="s">
        <v>45</v>
      </c>
      <c r="AA505" t="s">
        <v>46</v>
      </c>
      <c r="AB505">
        <v>0</v>
      </c>
      <c r="AC505">
        <v>1</v>
      </c>
      <c r="AD505" t="s">
        <v>41</v>
      </c>
      <c r="AE505" t="s">
        <v>47</v>
      </c>
      <c r="AF505" t="s">
        <v>57</v>
      </c>
      <c r="AG505">
        <f>IF(HR_Data[[#This Row],[Attrition]]="Yes",1,0)</f>
        <v>0</v>
      </c>
      <c r="AH505" t="str">
        <f>IF(HR_Data[Date_of_termination]="","Active","Left")</f>
        <v>Active</v>
      </c>
      <c r="AI505" t="str">
        <f>IF(HR_Data[YearsAtCompany]&lt;=2,"Fresher", IF(HR_Data[YearsAtCompany]&lt;=5,"Junior", IF(HR_Data[YearsAtCompany]&lt;=10, "Mid","Senior")))</f>
        <v>Junior</v>
      </c>
      <c r="AJ505" s="2" t="str">
        <f>IF(HR_Data[MonthlyIncome]&lt;=300,"Low", IF(HR_Data[MonthlyIncome]&lt;=7000,"Medium", "High"))</f>
        <v>Medium</v>
      </c>
      <c r="AK505" s="2" t="str">
        <f>VLOOKUP(HR_Data[JobRole], JobRole_Map[], 2, FALSE)</f>
        <v>Technical</v>
      </c>
    </row>
    <row r="506" spans="1:37" x14ac:dyDescent="0.25">
      <c r="A506" s="2">
        <v>26</v>
      </c>
      <c r="B506" t="s">
        <v>32</v>
      </c>
      <c r="C506" t="s">
        <v>33</v>
      </c>
      <c r="D506" t="s">
        <v>53</v>
      </c>
      <c r="E506">
        <v>8</v>
      </c>
      <c r="F506" t="s">
        <v>35</v>
      </c>
      <c r="G506">
        <v>2</v>
      </c>
      <c r="H506">
        <v>2</v>
      </c>
      <c r="I506" t="s">
        <v>64</v>
      </c>
      <c r="J506">
        <v>1</v>
      </c>
      <c r="K506" t="s">
        <v>37</v>
      </c>
      <c r="L506">
        <v>5326</v>
      </c>
      <c r="M506">
        <v>6</v>
      </c>
      <c r="N506" t="s">
        <v>41</v>
      </c>
      <c r="O506">
        <v>17</v>
      </c>
      <c r="P506">
        <v>3</v>
      </c>
      <c r="Q506">
        <v>0</v>
      </c>
      <c r="R506">
        <v>6</v>
      </c>
      <c r="S506">
        <v>2</v>
      </c>
      <c r="T506">
        <v>4</v>
      </c>
      <c r="U506">
        <v>1</v>
      </c>
      <c r="V506">
        <v>2</v>
      </c>
      <c r="W506" t="s">
        <v>65</v>
      </c>
      <c r="X506" s="1" t="d">
        <v>2017-04-04</v>
      </c>
      <c r="Z506" t="s">
        <v>52</v>
      </c>
      <c r="AA506" t="s">
        <v>46</v>
      </c>
      <c r="AB506">
        <v>0</v>
      </c>
      <c r="AC506">
        <v>1</v>
      </c>
      <c r="AD506" t="s">
        <v>32</v>
      </c>
      <c r="AE506" t="s">
        <v>47</v>
      </c>
      <c r="AF506" t="s">
        <v>48</v>
      </c>
      <c r="AG506">
        <f>IF(HR_Data[[#This Row],[Attrition]]="Yes",1,0)</f>
        <v>1</v>
      </c>
      <c r="AH506" t="str">
        <f>IF(HR_Data[Date_of_termination]="","Active","Left")</f>
        <v>Active</v>
      </c>
      <c r="AI506" t="str">
        <f>IF(HR_Data[YearsAtCompany]&lt;=2,"Fresher", IF(HR_Data[YearsAtCompany]&lt;=5,"Junior", IF(HR_Data[YearsAtCompany]&lt;=10, "Mid","Senior")))</f>
        <v>Junior</v>
      </c>
      <c r="AJ506" s="2" t="str">
        <f>IF(HR_Data[MonthlyIncome]&lt;=300,"Low", IF(HR_Data[MonthlyIncome]&lt;=7000,"Medium", "High"))</f>
        <v>Medium</v>
      </c>
      <c r="AK506" s="2" t="str">
        <f>VLOOKUP(HR_Data[JobRole], JobRole_Map[], 2, FALSE)</f>
        <v>Sales</v>
      </c>
    </row>
    <row r="507" spans="1:37" x14ac:dyDescent="0.25">
      <c r="A507" s="2">
        <v>34</v>
      </c>
      <c r="B507" t="s">
        <v>41</v>
      </c>
      <c r="C507" t="s">
        <v>33</v>
      </c>
      <c r="D507" t="s">
        <v>34</v>
      </c>
      <c r="E507">
        <v>1</v>
      </c>
      <c r="F507" t="s">
        <v>58</v>
      </c>
      <c r="G507">
        <v>4</v>
      </c>
      <c r="H507">
        <v>1</v>
      </c>
      <c r="I507" t="s">
        <v>44</v>
      </c>
      <c r="J507">
        <v>4</v>
      </c>
      <c r="K507" t="s">
        <v>37</v>
      </c>
      <c r="L507">
        <v>3280</v>
      </c>
      <c r="M507">
        <v>2</v>
      </c>
      <c r="N507" t="s">
        <v>41</v>
      </c>
      <c r="O507">
        <v>16</v>
      </c>
      <c r="P507">
        <v>3</v>
      </c>
      <c r="Q507">
        <v>0</v>
      </c>
      <c r="R507">
        <v>10</v>
      </c>
      <c r="S507">
        <v>2</v>
      </c>
      <c r="T507">
        <v>4</v>
      </c>
      <c r="U507">
        <v>1</v>
      </c>
      <c r="V507">
        <v>3</v>
      </c>
      <c r="W507" t="s">
        <v>51</v>
      </c>
      <c r="X507" s="1" t="d">
        <v>2017-02-07</v>
      </c>
      <c r="Z507" t="s">
        <v>52</v>
      </c>
      <c r="AA507" t="s">
        <v>46</v>
      </c>
      <c r="AB507">
        <v>1</v>
      </c>
      <c r="AC507">
        <v>2</v>
      </c>
      <c r="AD507" t="s">
        <v>32</v>
      </c>
      <c r="AE507" t="s">
        <v>62</v>
      </c>
      <c r="AF507" t="s">
        <v>43</v>
      </c>
      <c r="AG507">
        <f>IF(HR_Data[[#This Row],[Attrition]]="Yes",1,0)</f>
        <v>0</v>
      </c>
      <c r="AH507" t="str">
        <f>IF(HR_Data[Date_of_termination]="","Active","Left")</f>
        <v>Active</v>
      </c>
      <c r="AI507" t="str">
        <f>IF(HR_Data[YearsAtCompany]&lt;=2,"Fresher", IF(HR_Data[YearsAtCompany]&lt;=5,"Junior", IF(HR_Data[YearsAtCompany]&lt;=10, "Mid","Senior")))</f>
        <v>Junior</v>
      </c>
      <c r="AJ507" s="2" t="str">
        <f>IF(HR_Data[MonthlyIncome]&lt;=300,"Low", IF(HR_Data[MonthlyIncome]&lt;=7000,"Medium", "High"))</f>
        <v>Medium</v>
      </c>
      <c r="AK507" s="2" t="str">
        <f>VLOOKUP(HR_Data[JobRole], JobRole_Map[], 2, FALSE)</f>
        <v>Technical</v>
      </c>
    </row>
    <row r="508" spans="1:37" x14ac:dyDescent="0.25">
      <c r="A508" s="2">
        <v>27</v>
      </c>
      <c r="B508" t="s">
        <v>41</v>
      </c>
      <c r="C508" t="s">
        <v>61</v>
      </c>
      <c r="D508" t="s">
        <v>53</v>
      </c>
      <c r="E508">
        <v>8</v>
      </c>
      <c r="F508" t="s">
        <v>35</v>
      </c>
      <c r="G508">
        <v>3</v>
      </c>
      <c r="H508">
        <v>2</v>
      </c>
      <c r="I508" t="s">
        <v>64</v>
      </c>
      <c r="J508">
        <v>4</v>
      </c>
      <c r="K508" t="s">
        <v>50</v>
      </c>
      <c r="L508">
        <v>4342</v>
      </c>
      <c r="M508">
        <v>0</v>
      </c>
      <c r="N508" t="s">
        <v>41</v>
      </c>
      <c r="O508">
        <v>19</v>
      </c>
      <c r="P508">
        <v>3</v>
      </c>
      <c r="Q508">
        <v>1</v>
      </c>
      <c r="R508">
        <v>5</v>
      </c>
      <c r="S508">
        <v>3</v>
      </c>
      <c r="T508">
        <v>4</v>
      </c>
      <c r="U508">
        <v>1</v>
      </c>
      <c r="V508">
        <v>1</v>
      </c>
      <c r="W508" t="s">
        <v>65</v>
      </c>
      <c r="X508" s="1" t="d">
        <v>2017-04-24</v>
      </c>
      <c r="Z508" t="s">
        <v>45</v>
      </c>
      <c r="AA508" t="s">
        <v>40</v>
      </c>
      <c r="AB508">
        <v>4</v>
      </c>
      <c r="AC508">
        <v>2</v>
      </c>
      <c r="AD508" t="s">
        <v>32</v>
      </c>
      <c r="AE508" t="s">
        <v>47</v>
      </c>
      <c r="AF508" t="s">
        <v>48</v>
      </c>
      <c r="AG508">
        <f>IF(HR_Data[[#This Row],[Attrition]]="Yes",1,0)</f>
        <v>0</v>
      </c>
      <c r="AH508" t="str">
        <f>IF(HR_Data[Date_of_termination]="","Active","Left")</f>
        <v>Active</v>
      </c>
      <c r="AI508" t="str">
        <f>IF(HR_Data[YearsAtCompany]&lt;=2,"Fresher", IF(HR_Data[YearsAtCompany]&lt;=5,"Junior", IF(HR_Data[YearsAtCompany]&lt;=10, "Mid","Senior")))</f>
        <v>Junior</v>
      </c>
      <c r="AJ508" s="2" t="str">
        <f>IF(HR_Data[MonthlyIncome]&lt;=300,"Low", IF(HR_Data[MonthlyIncome]&lt;=7000,"Medium", "High"))</f>
        <v>Medium</v>
      </c>
      <c r="AK508" s="2" t="str">
        <f>VLOOKUP(HR_Data[JobRole], JobRole_Map[], 2, FALSE)</f>
        <v>Sales</v>
      </c>
    </row>
    <row r="509" spans="1:37" x14ac:dyDescent="0.25">
      <c r="A509" s="2">
        <v>50</v>
      </c>
      <c r="B509" t="s">
        <v>41</v>
      </c>
      <c r="C509" t="s">
        <v>33</v>
      </c>
      <c r="D509" t="s">
        <v>34</v>
      </c>
      <c r="E509">
        <v>2</v>
      </c>
      <c r="F509" t="s">
        <v>35</v>
      </c>
      <c r="G509">
        <v>3</v>
      </c>
      <c r="H509">
        <v>4</v>
      </c>
      <c r="I509" t="s">
        <v>49</v>
      </c>
      <c r="J509">
        <v>3</v>
      </c>
      <c r="K509" t="s">
        <v>50</v>
      </c>
      <c r="L509">
        <v>17639</v>
      </c>
      <c r="M509">
        <v>5</v>
      </c>
      <c r="N509" t="s">
        <v>41</v>
      </c>
      <c r="O509">
        <v>16</v>
      </c>
      <c r="P509">
        <v>3</v>
      </c>
      <c r="Q509">
        <v>0</v>
      </c>
      <c r="R509">
        <v>30</v>
      </c>
      <c r="S509">
        <v>3</v>
      </c>
      <c r="T509">
        <v>4</v>
      </c>
      <c r="U509">
        <v>0</v>
      </c>
      <c r="V509">
        <v>3</v>
      </c>
      <c r="W509" t="s">
        <v>51</v>
      </c>
      <c r="X509" s="1" t="d">
        <v>2017-03-16</v>
      </c>
      <c r="Z509" t="s">
        <v>39</v>
      </c>
      <c r="AA509" t="s">
        <v>40</v>
      </c>
      <c r="AB509">
        <v>1</v>
      </c>
      <c r="AC509">
        <v>3</v>
      </c>
      <c r="AD509" t="s">
        <v>32</v>
      </c>
      <c r="AE509" t="s">
        <v>60</v>
      </c>
      <c r="AF509" t="s">
        <v>48</v>
      </c>
      <c r="AG509">
        <f>IF(HR_Data[[#This Row],[Attrition]]="Yes",1,0)</f>
        <v>0</v>
      </c>
      <c r="AH509" t="str">
        <f>IF(HR_Data[Date_of_termination]="","Active","Left")</f>
        <v>Active</v>
      </c>
      <c r="AI509" t="str">
        <f>IF(HR_Data[YearsAtCompany]&lt;=2,"Fresher", IF(HR_Data[YearsAtCompany]&lt;=5,"Junior", IF(HR_Data[YearsAtCompany]&lt;=10, "Mid","Senior")))</f>
        <v>Junior</v>
      </c>
      <c r="AJ509" s="2" t="str">
        <f>IF(HR_Data[MonthlyIncome]&lt;=300,"Low", IF(HR_Data[MonthlyIncome]&lt;=7000,"Medium", "High"))</f>
        <v>High</v>
      </c>
      <c r="AK509" s="2" t="str">
        <f>VLOOKUP(HR_Data[JobRole], JobRole_Map[], 2, FALSE)</f>
        <v>Management</v>
      </c>
    </row>
    <row r="510" spans="1:37" x14ac:dyDescent="0.25">
      <c r="A510" s="2">
        <v>42</v>
      </c>
      <c r="B510" t="s">
        <v>41</v>
      </c>
      <c r="C510" t="s">
        <v>33</v>
      </c>
      <c r="D510" t="s">
        <v>34</v>
      </c>
      <c r="E510">
        <v>1</v>
      </c>
      <c r="F510" t="s">
        <v>58</v>
      </c>
      <c r="G510">
        <v>2</v>
      </c>
      <c r="H510">
        <v>2</v>
      </c>
      <c r="I510" t="s">
        <v>67</v>
      </c>
      <c r="J510">
        <v>4</v>
      </c>
      <c r="K510" t="s">
        <v>50</v>
      </c>
      <c r="L510">
        <v>6062</v>
      </c>
      <c r="M510">
        <v>9</v>
      </c>
      <c r="N510" t="s">
        <v>32</v>
      </c>
      <c r="O510">
        <v>13</v>
      </c>
      <c r="P510">
        <v>3</v>
      </c>
      <c r="Q510">
        <v>1</v>
      </c>
      <c r="R510">
        <v>8</v>
      </c>
      <c r="S510">
        <v>4</v>
      </c>
      <c r="T510">
        <v>4</v>
      </c>
      <c r="U510">
        <v>0</v>
      </c>
      <c r="V510">
        <v>2</v>
      </c>
      <c r="W510" t="s">
        <v>38</v>
      </c>
      <c r="X510" s="1" t="d">
        <v>2017-01-07</v>
      </c>
      <c r="Z510" t="s">
        <v>45</v>
      </c>
      <c r="AA510" t="s">
        <v>46</v>
      </c>
      <c r="AB510">
        <v>0</v>
      </c>
      <c r="AC510">
        <v>0</v>
      </c>
      <c r="AD510" t="s">
        <v>41</v>
      </c>
      <c r="AE510" t="s">
        <v>42</v>
      </c>
      <c r="AF510" t="s">
        <v>57</v>
      </c>
      <c r="AG510">
        <f>IF(HR_Data[[#This Row],[Attrition]]="Yes",1,0)</f>
        <v>0</v>
      </c>
      <c r="AH510" t="str">
        <f>IF(HR_Data[Date_of_termination]="","Active","Left")</f>
        <v>Active</v>
      </c>
      <c r="AI510" t="str">
        <f>IF(HR_Data[YearsAtCompany]&lt;=2,"Fresher", IF(HR_Data[YearsAtCompany]&lt;=5,"Junior", IF(HR_Data[YearsAtCompany]&lt;=10, "Mid","Senior")))</f>
        <v>Junior</v>
      </c>
      <c r="AJ510" s="2" t="str">
        <f>IF(HR_Data[MonthlyIncome]&lt;=300,"Low", IF(HR_Data[MonthlyIncome]&lt;=7000,"Medium", "High"))</f>
        <v>Medium</v>
      </c>
      <c r="AK510" s="2" t="str">
        <f>VLOOKUP(HR_Data[JobRole], JobRole_Map[], 2, FALSE)</f>
        <v>Operations</v>
      </c>
    </row>
    <row r="511" spans="1:37" x14ac:dyDescent="0.25">
      <c r="A511" s="2">
        <v>38</v>
      </c>
      <c r="B511" t="s">
        <v>41</v>
      </c>
      <c r="C511" t="s">
        <v>61</v>
      </c>
      <c r="D511" t="s">
        <v>34</v>
      </c>
      <c r="E511">
        <v>12</v>
      </c>
      <c r="F511" t="s">
        <v>35</v>
      </c>
      <c r="G511">
        <v>2</v>
      </c>
      <c r="H511">
        <v>2</v>
      </c>
      <c r="I511" t="s">
        <v>69</v>
      </c>
      <c r="J511">
        <v>1</v>
      </c>
      <c r="K511" t="s">
        <v>55</v>
      </c>
      <c r="L511">
        <v>6288</v>
      </c>
      <c r="M511">
        <v>2</v>
      </c>
      <c r="N511" t="s">
        <v>41</v>
      </c>
      <c r="O511">
        <v>15</v>
      </c>
      <c r="P511">
        <v>3</v>
      </c>
      <c r="Q511">
        <v>1</v>
      </c>
      <c r="R511">
        <v>13</v>
      </c>
      <c r="S511">
        <v>3</v>
      </c>
      <c r="T511">
        <v>4</v>
      </c>
      <c r="U511">
        <v>1</v>
      </c>
      <c r="V511">
        <v>2</v>
      </c>
      <c r="W511" t="s">
        <v>51</v>
      </c>
      <c r="X511" s="1" t="d">
        <v>2017-02-07</v>
      </c>
      <c r="Z511" t="s">
        <v>52</v>
      </c>
      <c r="AA511" t="s">
        <v>40</v>
      </c>
      <c r="AB511">
        <v>1</v>
      </c>
      <c r="AC511">
        <v>3</v>
      </c>
      <c r="AD511" t="s">
        <v>32</v>
      </c>
      <c r="AE511" t="s">
        <v>47</v>
      </c>
      <c r="AF511" t="s">
        <v>43</v>
      </c>
      <c r="AG511">
        <f>IF(HR_Data[[#This Row],[Attrition]]="Yes",1,0)</f>
        <v>0</v>
      </c>
      <c r="AH511" t="str">
        <f>IF(HR_Data[Date_of_termination]="","Active","Left")</f>
        <v>Active</v>
      </c>
      <c r="AI511" t="str">
        <f>IF(HR_Data[YearsAtCompany]&lt;=2,"Fresher", IF(HR_Data[YearsAtCompany]&lt;=5,"Junior", IF(HR_Data[YearsAtCompany]&lt;=10, "Mid","Senior")))</f>
        <v>Junior</v>
      </c>
      <c r="AJ511" s="2" t="str">
        <f>IF(HR_Data[MonthlyIncome]&lt;=300,"Low", IF(HR_Data[MonthlyIncome]&lt;=7000,"Medium", "High"))</f>
        <v>Medium</v>
      </c>
      <c r="AK511" s="2" t="str">
        <f>VLOOKUP(HR_Data[JobRole], JobRole_Map[], 2, FALSE)</f>
        <v>Operations</v>
      </c>
    </row>
    <row r="512" spans="1:37" x14ac:dyDescent="0.25">
      <c r="A512" s="2">
        <v>43</v>
      </c>
      <c r="B512" t="s">
        <v>41</v>
      </c>
      <c r="C512" t="s">
        <v>33</v>
      </c>
      <c r="D512" t="s">
        <v>34</v>
      </c>
      <c r="E512">
        <v>14</v>
      </c>
      <c r="F512" t="s">
        <v>35</v>
      </c>
      <c r="G512">
        <v>3</v>
      </c>
      <c r="H512">
        <v>4</v>
      </c>
      <c r="I512" t="s">
        <v>49</v>
      </c>
      <c r="J512">
        <v>1</v>
      </c>
      <c r="K512" t="s">
        <v>50</v>
      </c>
      <c r="L512">
        <v>17159</v>
      </c>
      <c r="M512">
        <v>6</v>
      </c>
      <c r="N512" t="s">
        <v>41</v>
      </c>
      <c r="O512">
        <v>24</v>
      </c>
      <c r="P512">
        <v>4</v>
      </c>
      <c r="Q512">
        <v>1</v>
      </c>
      <c r="R512">
        <v>22</v>
      </c>
      <c r="S512">
        <v>3</v>
      </c>
      <c r="T512">
        <v>4</v>
      </c>
      <c r="U512">
        <v>1</v>
      </c>
      <c r="V512">
        <v>0</v>
      </c>
      <c r="W512" t="s">
        <v>51</v>
      </c>
      <c r="X512" s="1" t="d">
        <v>2017-05-13</v>
      </c>
      <c r="Z512" t="s">
        <v>52</v>
      </c>
      <c r="AA512" t="s">
        <v>46</v>
      </c>
      <c r="AB512">
        <v>5</v>
      </c>
      <c r="AC512">
        <v>2</v>
      </c>
      <c r="AD512" t="s">
        <v>41</v>
      </c>
      <c r="AE512" t="s">
        <v>47</v>
      </c>
      <c r="AF512" t="s">
        <v>43</v>
      </c>
      <c r="AG512">
        <f>IF(HR_Data[[#This Row],[Attrition]]="Yes",1,0)</f>
        <v>0</v>
      </c>
      <c r="AH512" t="str">
        <f>IF(HR_Data[Date_of_termination]="","Active","Left")</f>
        <v>Active</v>
      </c>
      <c r="AI512" t="str">
        <f>IF(HR_Data[YearsAtCompany]&lt;=2,"Fresher", IF(HR_Data[YearsAtCompany]&lt;=5,"Junior", IF(HR_Data[YearsAtCompany]&lt;=10, "Mid","Senior")))</f>
        <v>Junior</v>
      </c>
      <c r="AJ512" s="2" t="str">
        <f>IF(HR_Data[MonthlyIncome]&lt;=300,"Low", IF(HR_Data[MonthlyIncome]&lt;=7000,"Medium", "High"))</f>
        <v>High</v>
      </c>
      <c r="AK512" s="2" t="str">
        <f>VLOOKUP(HR_Data[JobRole], JobRole_Map[], 2, FALSE)</f>
        <v>Management</v>
      </c>
    </row>
    <row r="513" spans="1:37" x14ac:dyDescent="0.25">
      <c r="A513" s="2">
        <v>25</v>
      </c>
      <c r="B513" t="s">
        <v>41</v>
      </c>
      <c r="C513" t="s">
        <v>33</v>
      </c>
      <c r="D513" t="s">
        <v>34</v>
      </c>
      <c r="E513">
        <v>2</v>
      </c>
      <c r="F513" t="s">
        <v>35</v>
      </c>
      <c r="G513">
        <v>4</v>
      </c>
      <c r="H513">
        <v>1</v>
      </c>
      <c r="I513" t="s">
        <v>44</v>
      </c>
      <c r="J513">
        <v>1</v>
      </c>
      <c r="K513" t="s">
        <v>37</v>
      </c>
      <c r="L513">
        <v>3424</v>
      </c>
      <c r="M513">
        <v>7</v>
      </c>
      <c r="N513" t="s">
        <v>41</v>
      </c>
      <c r="O513">
        <v>13</v>
      </c>
      <c r="P513">
        <v>3</v>
      </c>
      <c r="Q513">
        <v>0</v>
      </c>
      <c r="R513">
        <v>6</v>
      </c>
      <c r="S513">
        <v>3</v>
      </c>
      <c r="T513">
        <v>4</v>
      </c>
      <c r="U513">
        <v>0</v>
      </c>
      <c r="V513">
        <v>1</v>
      </c>
      <c r="W513" t="s">
        <v>38</v>
      </c>
      <c r="X513" s="1" t="d">
        <v>2017-05-02</v>
      </c>
      <c r="Z513" t="s">
        <v>52</v>
      </c>
      <c r="AA513" t="s">
        <v>46</v>
      </c>
      <c r="AB513">
        <v>5</v>
      </c>
      <c r="AC513">
        <v>1</v>
      </c>
      <c r="AD513" t="s">
        <v>32</v>
      </c>
      <c r="AE513" t="s">
        <v>42</v>
      </c>
      <c r="AF513" t="s">
        <v>57</v>
      </c>
      <c r="AG513">
        <f>IF(HR_Data[[#This Row],[Attrition]]="Yes",1,0)</f>
        <v>0</v>
      </c>
      <c r="AH513" t="str">
        <f>IF(HR_Data[Date_of_termination]="","Active","Left")</f>
        <v>Active</v>
      </c>
      <c r="AI513" t="str">
        <f>IF(HR_Data[YearsAtCompany]&lt;=2,"Fresher", IF(HR_Data[YearsAtCompany]&lt;=5,"Junior", IF(HR_Data[YearsAtCompany]&lt;=10, "Mid","Senior")))</f>
        <v>Junior</v>
      </c>
      <c r="AJ513" s="2" t="str">
        <f>IF(HR_Data[MonthlyIncome]&lt;=300,"Low", IF(HR_Data[MonthlyIncome]&lt;=7000,"Medium", "High"))</f>
        <v>Medium</v>
      </c>
      <c r="AK513" s="2" t="str">
        <f>VLOOKUP(HR_Data[JobRole], JobRole_Map[], 2, FALSE)</f>
        <v>Technical</v>
      </c>
    </row>
    <row r="514" spans="1:37" x14ac:dyDescent="0.25">
      <c r="A514" s="2">
        <v>49</v>
      </c>
      <c r="B514" t="s">
        <v>41</v>
      </c>
      <c r="C514" t="s">
        <v>33</v>
      </c>
      <c r="D514" t="s">
        <v>34</v>
      </c>
      <c r="E514">
        <v>1</v>
      </c>
      <c r="F514" t="s">
        <v>58</v>
      </c>
      <c r="G514">
        <v>3</v>
      </c>
      <c r="H514">
        <v>1</v>
      </c>
      <c r="I514" t="s">
        <v>44</v>
      </c>
      <c r="J514">
        <v>1</v>
      </c>
      <c r="K514" t="s">
        <v>50</v>
      </c>
      <c r="L514">
        <v>3580</v>
      </c>
      <c r="M514">
        <v>2</v>
      </c>
      <c r="N514" t="s">
        <v>41</v>
      </c>
      <c r="O514">
        <v>16</v>
      </c>
      <c r="P514">
        <v>3</v>
      </c>
      <c r="Q514">
        <v>1</v>
      </c>
      <c r="R514">
        <v>7</v>
      </c>
      <c r="S514">
        <v>2</v>
      </c>
      <c r="T514">
        <v>4</v>
      </c>
      <c r="U514">
        <v>0</v>
      </c>
      <c r="V514">
        <v>2</v>
      </c>
      <c r="W514" t="s">
        <v>38</v>
      </c>
      <c r="X514" s="1" t="d">
        <v>2017-01-24</v>
      </c>
      <c r="Z514" t="s">
        <v>63</v>
      </c>
      <c r="AA514" t="s">
        <v>40</v>
      </c>
      <c r="AB514">
        <v>3</v>
      </c>
      <c r="AC514">
        <v>1</v>
      </c>
      <c r="AD514" t="s">
        <v>32</v>
      </c>
      <c r="AE514" t="s">
        <v>47</v>
      </c>
      <c r="AF514" t="s">
        <v>43</v>
      </c>
      <c r="AG514">
        <f>IF(HR_Data[[#This Row],[Attrition]]="Yes",1,0)</f>
        <v>0</v>
      </c>
      <c r="AH514" t="str">
        <f>IF(HR_Data[Date_of_termination]="","Active","Left")</f>
        <v>Active</v>
      </c>
      <c r="AI514" t="str">
        <f>IF(HR_Data[YearsAtCompany]&lt;=2,"Fresher", IF(HR_Data[YearsAtCompany]&lt;=5,"Junior", IF(HR_Data[YearsAtCompany]&lt;=10, "Mid","Senior")))</f>
        <v>Junior</v>
      </c>
      <c r="AJ514" s="2" t="str">
        <f>IF(HR_Data[MonthlyIncome]&lt;=300,"Low", IF(HR_Data[MonthlyIncome]&lt;=7000,"Medium", "High"))</f>
        <v>Medium</v>
      </c>
      <c r="AK514" s="2" t="str">
        <f>VLOOKUP(HR_Data[JobRole], JobRole_Map[], 2, FALSE)</f>
        <v>Technical</v>
      </c>
    </row>
    <row r="515" spans="1:37" x14ac:dyDescent="0.25">
      <c r="A515" s="2">
        <v>33</v>
      </c>
      <c r="B515" t="s">
        <v>41</v>
      </c>
      <c r="C515" t="s">
        <v>33</v>
      </c>
      <c r="D515" t="s">
        <v>70</v>
      </c>
      <c r="E515">
        <v>3</v>
      </c>
      <c r="F515" t="s">
        <v>35</v>
      </c>
      <c r="G515">
        <v>3</v>
      </c>
      <c r="H515">
        <v>1</v>
      </c>
      <c r="I515" t="s">
        <v>70</v>
      </c>
      <c r="J515">
        <v>2</v>
      </c>
      <c r="K515" t="s">
        <v>55</v>
      </c>
      <c r="L515">
        <v>2277</v>
      </c>
      <c r="M515">
        <v>3</v>
      </c>
      <c r="N515" t="s">
        <v>32</v>
      </c>
      <c r="O515">
        <v>11</v>
      </c>
      <c r="P515">
        <v>3</v>
      </c>
      <c r="Q515">
        <v>1</v>
      </c>
      <c r="R515">
        <v>7</v>
      </c>
      <c r="S515">
        <v>4</v>
      </c>
      <c r="T515">
        <v>4</v>
      </c>
      <c r="U515">
        <v>0</v>
      </c>
      <c r="V515">
        <v>3</v>
      </c>
      <c r="W515" t="s">
        <v>38</v>
      </c>
      <c r="X515" s="1" t="d">
        <v>2017-04-29</v>
      </c>
      <c r="Z515" t="s">
        <v>52</v>
      </c>
      <c r="AA515" t="s">
        <v>46</v>
      </c>
      <c r="AB515">
        <v>4</v>
      </c>
      <c r="AC515">
        <v>0</v>
      </c>
      <c r="AD515" t="s">
        <v>32</v>
      </c>
      <c r="AE515" t="s">
        <v>47</v>
      </c>
      <c r="AF515" t="s">
        <v>48</v>
      </c>
      <c r="AG515">
        <f>IF(HR_Data[[#This Row],[Attrition]]="Yes",1,0)</f>
        <v>0</v>
      </c>
      <c r="AH515" t="str">
        <f>IF(HR_Data[Date_of_termination]="","Active","Left")</f>
        <v>Active</v>
      </c>
      <c r="AI515" t="str">
        <f>IF(HR_Data[YearsAtCompany]&lt;=2,"Fresher", IF(HR_Data[YearsAtCompany]&lt;=5,"Junior", IF(HR_Data[YearsAtCompany]&lt;=10, "Mid","Senior")))</f>
        <v>Junior</v>
      </c>
      <c r="AJ515" s="2" t="str">
        <f>IF(HR_Data[MonthlyIncome]&lt;=300,"Low", IF(HR_Data[MonthlyIncome]&lt;=7000,"Medium", "High"))</f>
        <v>Medium</v>
      </c>
      <c r="AK515" s="2" t="str">
        <f>VLOOKUP(HR_Data[JobRole], JobRole_Map[], 2, FALSE)</f>
        <v>HR</v>
      </c>
    </row>
    <row r="516" spans="1:37" x14ac:dyDescent="0.25">
      <c r="A516" s="2">
        <v>29</v>
      </c>
      <c r="B516" t="s">
        <v>41</v>
      </c>
      <c r="C516" t="s">
        <v>33</v>
      </c>
      <c r="D516" t="s">
        <v>34</v>
      </c>
      <c r="E516">
        <v>7</v>
      </c>
      <c r="F516" t="s">
        <v>58</v>
      </c>
      <c r="G516">
        <v>2</v>
      </c>
      <c r="H516">
        <v>1</v>
      </c>
      <c r="I516" t="s">
        <v>36</v>
      </c>
      <c r="J516">
        <v>4</v>
      </c>
      <c r="K516" t="s">
        <v>55</v>
      </c>
      <c r="L516">
        <v>2532</v>
      </c>
      <c r="M516">
        <v>6</v>
      </c>
      <c r="N516" t="s">
        <v>41</v>
      </c>
      <c r="O516">
        <v>14</v>
      </c>
      <c r="P516">
        <v>3</v>
      </c>
      <c r="Q516">
        <v>3</v>
      </c>
      <c r="R516">
        <v>8</v>
      </c>
      <c r="S516">
        <v>5</v>
      </c>
      <c r="T516">
        <v>4</v>
      </c>
      <c r="U516">
        <v>0</v>
      </c>
      <c r="V516">
        <v>3</v>
      </c>
      <c r="W516" t="s">
        <v>56</v>
      </c>
      <c r="X516" s="1" t="d">
        <v>2017-02-12</v>
      </c>
      <c r="Z516" t="s">
        <v>59</v>
      </c>
      <c r="AA516" t="s">
        <v>40</v>
      </c>
      <c r="AB516">
        <v>5</v>
      </c>
      <c r="AC516">
        <v>3</v>
      </c>
      <c r="AD516" t="s">
        <v>32</v>
      </c>
      <c r="AE516" t="s">
        <v>62</v>
      </c>
      <c r="AF516" t="s">
        <v>43</v>
      </c>
      <c r="AG516">
        <f>IF(HR_Data[[#This Row],[Attrition]]="Yes",1,0)</f>
        <v>0</v>
      </c>
      <c r="AH516" t="str">
        <f>IF(HR_Data[Date_of_termination]="","Active","Left")</f>
        <v>Active</v>
      </c>
      <c r="AI516" t="str">
        <f>IF(HR_Data[YearsAtCompany]&lt;=2,"Fresher", IF(HR_Data[YearsAtCompany]&lt;=5,"Junior", IF(HR_Data[YearsAtCompany]&lt;=10, "Mid","Senior")))</f>
        <v>Junior</v>
      </c>
      <c r="AJ516" s="2" t="str">
        <f>IF(HR_Data[MonthlyIncome]&lt;=300,"Low", IF(HR_Data[MonthlyIncome]&lt;=7000,"Medium", "High"))</f>
        <v>Medium</v>
      </c>
      <c r="AK516" s="2" t="str">
        <f>VLOOKUP(HR_Data[JobRole], JobRole_Map[], 2, FALSE)</f>
        <v>Technical</v>
      </c>
    </row>
    <row r="517" spans="1:37" x14ac:dyDescent="0.25">
      <c r="A517" s="2">
        <v>28</v>
      </c>
      <c r="B517" t="s">
        <v>41</v>
      </c>
      <c r="C517" t="s">
        <v>33</v>
      </c>
      <c r="D517" t="s">
        <v>53</v>
      </c>
      <c r="E517">
        <v>5</v>
      </c>
      <c r="F517" t="s">
        <v>35</v>
      </c>
      <c r="G517">
        <v>3</v>
      </c>
      <c r="H517">
        <v>2</v>
      </c>
      <c r="I517" t="s">
        <v>64</v>
      </c>
      <c r="J517">
        <v>4</v>
      </c>
      <c r="K517" t="s">
        <v>37</v>
      </c>
      <c r="L517">
        <v>4908</v>
      </c>
      <c r="M517">
        <v>1</v>
      </c>
      <c r="N517" t="s">
        <v>41</v>
      </c>
      <c r="O517">
        <v>14</v>
      </c>
      <c r="P517">
        <v>3</v>
      </c>
      <c r="Q517">
        <v>0</v>
      </c>
      <c r="R517">
        <v>4</v>
      </c>
      <c r="S517">
        <v>3</v>
      </c>
      <c r="T517">
        <v>4</v>
      </c>
      <c r="U517">
        <v>0</v>
      </c>
      <c r="V517">
        <v>2</v>
      </c>
      <c r="W517" t="s">
        <v>51</v>
      </c>
      <c r="X517" s="1" t="d">
        <v>2017-03-02</v>
      </c>
      <c r="Z517" t="s">
        <v>39</v>
      </c>
      <c r="AA517" t="s">
        <v>40</v>
      </c>
      <c r="AB517">
        <v>5</v>
      </c>
      <c r="AC517">
        <v>2</v>
      </c>
      <c r="AD517" t="s">
        <v>41</v>
      </c>
      <c r="AE517" t="s">
        <v>60</v>
      </c>
      <c r="AF517" t="s">
        <v>48</v>
      </c>
      <c r="AG517">
        <f>IF(HR_Data[[#This Row],[Attrition]]="Yes",1,0)</f>
        <v>0</v>
      </c>
      <c r="AH517" t="str">
        <f>IF(HR_Data[Date_of_termination]="","Active","Left")</f>
        <v>Active</v>
      </c>
      <c r="AI517" t="str">
        <f>IF(HR_Data[YearsAtCompany]&lt;=2,"Fresher", IF(HR_Data[YearsAtCompany]&lt;=5,"Junior", IF(HR_Data[YearsAtCompany]&lt;=10, "Mid","Senior")))</f>
        <v>Junior</v>
      </c>
      <c r="AJ517" s="2" t="str">
        <f>IF(HR_Data[MonthlyIncome]&lt;=300,"Low", IF(HR_Data[MonthlyIncome]&lt;=7000,"Medium", "High"))</f>
        <v>Medium</v>
      </c>
      <c r="AK517" s="2" t="str">
        <f>VLOOKUP(HR_Data[JobRole], JobRole_Map[], 2, FALSE)</f>
        <v>Sales</v>
      </c>
    </row>
    <row r="518" spans="1:37" x14ac:dyDescent="0.25">
      <c r="A518" s="2">
        <v>24</v>
      </c>
      <c r="B518" t="s">
        <v>41</v>
      </c>
      <c r="C518" t="s">
        <v>33</v>
      </c>
      <c r="D518" t="s">
        <v>34</v>
      </c>
      <c r="E518">
        <v>17</v>
      </c>
      <c r="F518" t="s">
        <v>58</v>
      </c>
      <c r="G518">
        <v>2</v>
      </c>
      <c r="H518">
        <v>2</v>
      </c>
      <c r="I518" t="s">
        <v>67</v>
      </c>
      <c r="J518">
        <v>3</v>
      </c>
      <c r="K518" t="s">
        <v>55</v>
      </c>
      <c r="L518">
        <v>4377</v>
      </c>
      <c r="M518">
        <v>1</v>
      </c>
      <c r="N518" t="s">
        <v>41</v>
      </c>
      <c r="O518">
        <v>15</v>
      </c>
      <c r="P518">
        <v>3</v>
      </c>
      <c r="Q518">
        <v>2</v>
      </c>
      <c r="R518">
        <v>5</v>
      </c>
      <c r="S518">
        <v>6</v>
      </c>
      <c r="T518">
        <v>4</v>
      </c>
      <c r="U518">
        <v>3</v>
      </c>
      <c r="V518">
        <v>2</v>
      </c>
      <c r="W518" t="s">
        <v>38</v>
      </c>
      <c r="X518" s="1" t="d">
        <v>2017-04-02</v>
      </c>
      <c r="Z518" t="s">
        <v>52</v>
      </c>
      <c r="AA518" t="s">
        <v>40</v>
      </c>
      <c r="AB518">
        <v>5</v>
      </c>
      <c r="AC518">
        <v>1</v>
      </c>
      <c r="AD518" t="s">
        <v>32</v>
      </c>
      <c r="AE518" t="s">
        <v>62</v>
      </c>
      <c r="AF518" t="s">
        <v>48</v>
      </c>
      <c r="AG518">
        <f>IF(HR_Data[[#This Row],[Attrition]]="Yes",1,0)</f>
        <v>0</v>
      </c>
      <c r="AH518" t="str">
        <f>IF(HR_Data[Date_of_termination]="","Active","Left")</f>
        <v>Active</v>
      </c>
      <c r="AI518" t="str">
        <f>IF(HR_Data[YearsAtCompany]&lt;=2,"Fresher", IF(HR_Data[YearsAtCompany]&lt;=5,"Junior", IF(HR_Data[YearsAtCompany]&lt;=10, "Mid","Senior")))</f>
        <v>Junior</v>
      </c>
      <c r="AJ518" s="2" t="str">
        <f>IF(HR_Data[MonthlyIncome]&lt;=300,"Low", IF(HR_Data[MonthlyIncome]&lt;=7000,"Medium", "High"))</f>
        <v>Medium</v>
      </c>
      <c r="AK518" s="2" t="str">
        <f>VLOOKUP(HR_Data[JobRole], JobRole_Map[], 2, FALSE)</f>
        <v>Operations</v>
      </c>
    </row>
    <row r="519" spans="1:37" x14ac:dyDescent="0.25">
      <c r="A519" s="2">
        <v>35</v>
      </c>
      <c r="B519" t="s">
        <v>32</v>
      </c>
      <c r="C519" t="s">
        <v>33</v>
      </c>
      <c r="D519" t="s">
        <v>34</v>
      </c>
      <c r="E519">
        <v>14</v>
      </c>
      <c r="F519" t="s">
        <v>35</v>
      </c>
      <c r="G519">
        <v>2</v>
      </c>
      <c r="H519">
        <v>1</v>
      </c>
      <c r="I519" t="s">
        <v>36</v>
      </c>
      <c r="J519">
        <v>2</v>
      </c>
      <c r="K519" t="s">
        <v>55</v>
      </c>
      <c r="L519">
        <v>3743</v>
      </c>
      <c r="M519">
        <v>1</v>
      </c>
      <c r="N519" t="s">
        <v>32</v>
      </c>
      <c r="O519">
        <v>24</v>
      </c>
      <c r="P519">
        <v>4</v>
      </c>
      <c r="Q519">
        <v>1</v>
      </c>
      <c r="R519">
        <v>5</v>
      </c>
      <c r="S519">
        <v>2</v>
      </c>
      <c r="T519">
        <v>4</v>
      </c>
      <c r="U519">
        <v>0</v>
      </c>
      <c r="V519">
        <v>2</v>
      </c>
      <c r="W519" t="s">
        <v>51</v>
      </c>
      <c r="X519" s="1" t="d">
        <v>2017-05-14</v>
      </c>
      <c r="Z519" t="s">
        <v>63</v>
      </c>
      <c r="AA519" t="s">
        <v>40</v>
      </c>
      <c r="AB519">
        <v>5</v>
      </c>
      <c r="AC519">
        <v>1</v>
      </c>
      <c r="AD519" t="s">
        <v>32</v>
      </c>
      <c r="AE519" t="s">
        <v>62</v>
      </c>
      <c r="AF519" t="s">
        <v>43</v>
      </c>
      <c r="AG519">
        <f>IF(HR_Data[[#This Row],[Attrition]]="Yes",1,0)</f>
        <v>1</v>
      </c>
      <c r="AH519" t="str">
        <f>IF(HR_Data[Date_of_termination]="","Active","Left")</f>
        <v>Active</v>
      </c>
      <c r="AI519" t="str">
        <f>IF(HR_Data[YearsAtCompany]&lt;=2,"Fresher", IF(HR_Data[YearsAtCompany]&lt;=5,"Junior", IF(HR_Data[YearsAtCompany]&lt;=10, "Mid","Senior")))</f>
        <v>Junior</v>
      </c>
      <c r="AJ519" s="2" t="str">
        <f>IF(HR_Data[MonthlyIncome]&lt;=300,"Low", IF(HR_Data[MonthlyIncome]&lt;=7000,"Medium", "High"))</f>
        <v>Medium</v>
      </c>
      <c r="AK519" s="2" t="str">
        <f>VLOOKUP(HR_Data[JobRole], JobRole_Map[], 2, FALSE)</f>
        <v>Technical</v>
      </c>
    </row>
    <row r="520" spans="1:37" x14ac:dyDescent="0.25">
      <c r="A520" s="2">
        <v>31</v>
      </c>
      <c r="B520" t="s">
        <v>41</v>
      </c>
      <c r="C520" t="s">
        <v>61</v>
      </c>
      <c r="D520" t="s">
        <v>34</v>
      </c>
      <c r="E520">
        <v>1</v>
      </c>
      <c r="F520" t="s">
        <v>58</v>
      </c>
      <c r="G520">
        <v>3</v>
      </c>
      <c r="H520">
        <v>2</v>
      </c>
      <c r="I520" t="s">
        <v>67</v>
      </c>
      <c r="J520">
        <v>1</v>
      </c>
      <c r="K520" t="s">
        <v>50</v>
      </c>
      <c r="L520">
        <v>4148</v>
      </c>
      <c r="M520">
        <v>1</v>
      </c>
      <c r="N520" t="s">
        <v>41</v>
      </c>
      <c r="O520">
        <v>12</v>
      </c>
      <c r="P520">
        <v>3</v>
      </c>
      <c r="Q520">
        <v>1</v>
      </c>
      <c r="R520">
        <v>4</v>
      </c>
      <c r="S520">
        <v>1</v>
      </c>
      <c r="T520">
        <v>4</v>
      </c>
      <c r="U520">
        <v>0</v>
      </c>
      <c r="V520">
        <v>3</v>
      </c>
      <c r="W520" t="s">
        <v>51</v>
      </c>
      <c r="X520" s="1" t="d">
        <v>2017-03-18</v>
      </c>
      <c r="Z520" t="s">
        <v>59</v>
      </c>
      <c r="AA520" t="s">
        <v>40</v>
      </c>
      <c r="AB520">
        <v>4</v>
      </c>
      <c r="AC520">
        <v>2</v>
      </c>
      <c r="AD520" t="s">
        <v>41</v>
      </c>
      <c r="AE520" t="s">
        <v>60</v>
      </c>
      <c r="AF520" t="s">
        <v>57</v>
      </c>
      <c r="AG520">
        <f>IF(HR_Data[[#This Row],[Attrition]]="Yes",1,0)</f>
        <v>0</v>
      </c>
      <c r="AH520" t="str">
        <f>IF(HR_Data[Date_of_termination]="","Active","Left")</f>
        <v>Active</v>
      </c>
      <c r="AI520" t="str">
        <f>IF(HR_Data[YearsAtCompany]&lt;=2,"Fresher", IF(HR_Data[YearsAtCompany]&lt;=5,"Junior", IF(HR_Data[YearsAtCompany]&lt;=10, "Mid","Senior")))</f>
        <v>Junior</v>
      </c>
      <c r="AJ520" s="2" t="str">
        <f>IF(HR_Data[MonthlyIncome]&lt;=300,"Low", IF(HR_Data[MonthlyIncome]&lt;=7000,"Medium", "High"))</f>
        <v>Medium</v>
      </c>
      <c r="AK520" s="2" t="str">
        <f>VLOOKUP(HR_Data[JobRole], JobRole_Map[], 2, FALSE)</f>
        <v>Operations</v>
      </c>
    </row>
    <row r="521" spans="1:37" x14ac:dyDescent="0.25">
      <c r="A521" s="2">
        <v>22</v>
      </c>
      <c r="B521" t="s">
        <v>41</v>
      </c>
      <c r="C521" t="s">
        <v>33</v>
      </c>
      <c r="D521" t="s">
        <v>34</v>
      </c>
      <c r="E521">
        <v>8</v>
      </c>
      <c r="F521" t="s">
        <v>35</v>
      </c>
      <c r="G521">
        <v>1</v>
      </c>
      <c r="H521">
        <v>1</v>
      </c>
      <c r="I521" t="s">
        <v>36</v>
      </c>
      <c r="J521">
        <v>1</v>
      </c>
      <c r="K521" t="s">
        <v>50</v>
      </c>
      <c r="L521">
        <v>2451</v>
      </c>
      <c r="M521">
        <v>1</v>
      </c>
      <c r="N521" t="s">
        <v>41</v>
      </c>
      <c r="O521">
        <v>15</v>
      </c>
      <c r="P521">
        <v>3</v>
      </c>
      <c r="Q521">
        <v>1</v>
      </c>
      <c r="R521">
        <v>4</v>
      </c>
      <c r="S521">
        <v>3</v>
      </c>
      <c r="T521">
        <v>4</v>
      </c>
      <c r="U521">
        <v>1</v>
      </c>
      <c r="V521">
        <v>1</v>
      </c>
      <c r="W521" t="s">
        <v>51</v>
      </c>
      <c r="X521" s="1" t="d">
        <v>2017-04-12</v>
      </c>
      <c r="Z521" t="s">
        <v>59</v>
      </c>
      <c r="AA521" t="s">
        <v>46</v>
      </c>
      <c r="AB521">
        <v>3</v>
      </c>
      <c r="AC521">
        <v>3</v>
      </c>
      <c r="AD521" t="s">
        <v>41</v>
      </c>
      <c r="AE521" t="s">
        <v>60</v>
      </c>
      <c r="AF521" t="s">
        <v>48</v>
      </c>
      <c r="AG521">
        <f>IF(HR_Data[[#This Row],[Attrition]]="Yes",1,0)</f>
        <v>0</v>
      </c>
      <c r="AH521" t="str">
        <f>IF(HR_Data[Date_of_termination]="","Active","Left")</f>
        <v>Active</v>
      </c>
      <c r="AI521" t="str">
        <f>IF(HR_Data[YearsAtCompany]&lt;=2,"Fresher", IF(HR_Data[YearsAtCompany]&lt;=5,"Junior", IF(HR_Data[YearsAtCompany]&lt;=10, "Mid","Senior")))</f>
        <v>Junior</v>
      </c>
      <c r="AJ521" s="2" t="str">
        <f>IF(HR_Data[MonthlyIncome]&lt;=300,"Low", IF(HR_Data[MonthlyIncome]&lt;=7000,"Medium", "High"))</f>
        <v>Medium</v>
      </c>
      <c r="AK521" s="2" t="str">
        <f>VLOOKUP(HR_Data[JobRole], JobRole_Map[], 2, FALSE)</f>
        <v>Technical</v>
      </c>
    </row>
    <row r="522" spans="1:37" x14ac:dyDescent="0.25">
      <c r="A522" s="2">
        <v>37</v>
      </c>
      <c r="B522" t="s">
        <v>41</v>
      </c>
      <c r="C522" t="s">
        <v>33</v>
      </c>
      <c r="D522" t="s">
        <v>34</v>
      </c>
      <c r="E522">
        <v>3</v>
      </c>
      <c r="F522" t="s">
        <v>58</v>
      </c>
      <c r="G522">
        <v>3</v>
      </c>
      <c r="H522">
        <v>2</v>
      </c>
      <c r="I522" t="s">
        <v>69</v>
      </c>
      <c r="J522">
        <v>2</v>
      </c>
      <c r="K522" t="s">
        <v>37</v>
      </c>
      <c r="L522">
        <v>4107</v>
      </c>
      <c r="M522">
        <v>3</v>
      </c>
      <c r="N522" t="s">
        <v>41</v>
      </c>
      <c r="O522">
        <v>15</v>
      </c>
      <c r="P522">
        <v>3</v>
      </c>
      <c r="Q522">
        <v>0</v>
      </c>
      <c r="R522">
        <v>8</v>
      </c>
      <c r="S522">
        <v>3</v>
      </c>
      <c r="T522">
        <v>4</v>
      </c>
      <c r="U522">
        <v>0</v>
      </c>
      <c r="V522">
        <v>1</v>
      </c>
      <c r="W522" t="s">
        <v>65</v>
      </c>
      <c r="X522" s="1" t="d">
        <v>2017-05-10</v>
      </c>
      <c r="Z522" t="s">
        <v>39</v>
      </c>
      <c r="AA522" t="s">
        <v>46</v>
      </c>
      <c r="AB522">
        <v>1</v>
      </c>
      <c r="AC522">
        <v>3</v>
      </c>
      <c r="AD522" t="s">
        <v>41</v>
      </c>
      <c r="AE522" t="s">
        <v>47</v>
      </c>
      <c r="AF522" t="s">
        <v>57</v>
      </c>
      <c r="AG522">
        <f>IF(HR_Data[[#This Row],[Attrition]]="Yes",1,0)</f>
        <v>0</v>
      </c>
      <c r="AH522" t="str">
        <f>IF(HR_Data[Date_of_termination]="","Active","Left")</f>
        <v>Active</v>
      </c>
      <c r="AI522" t="str">
        <f>IF(HR_Data[YearsAtCompany]&lt;=2,"Fresher", IF(HR_Data[YearsAtCompany]&lt;=5,"Junior", IF(HR_Data[YearsAtCompany]&lt;=10, "Mid","Senior")))</f>
        <v>Junior</v>
      </c>
      <c r="AJ522" s="2" t="str">
        <f>IF(HR_Data[MonthlyIncome]&lt;=300,"Low", IF(HR_Data[MonthlyIncome]&lt;=7000,"Medium", "High"))</f>
        <v>Medium</v>
      </c>
      <c r="AK522" s="2" t="str">
        <f>VLOOKUP(HR_Data[JobRole], JobRole_Map[], 2, FALSE)</f>
        <v>Operations</v>
      </c>
    </row>
    <row r="523" spans="1:37" x14ac:dyDescent="0.25">
      <c r="A523" s="2">
        <v>28</v>
      </c>
      <c r="B523" t="s">
        <v>41</v>
      </c>
      <c r="C523" t="s">
        <v>33</v>
      </c>
      <c r="D523" t="s">
        <v>34</v>
      </c>
      <c r="E523">
        <v>15</v>
      </c>
      <c r="F523" t="s">
        <v>35</v>
      </c>
      <c r="G523">
        <v>3</v>
      </c>
      <c r="H523">
        <v>1</v>
      </c>
      <c r="I523" t="s">
        <v>36</v>
      </c>
      <c r="J523">
        <v>3</v>
      </c>
      <c r="K523" t="s">
        <v>55</v>
      </c>
      <c r="L523">
        <v>2207</v>
      </c>
      <c r="M523">
        <v>1</v>
      </c>
      <c r="N523" t="s">
        <v>41</v>
      </c>
      <c r="O523">
        <v>16</v>
      </c>
      <c r="P523">
        <v>3</v>
      </c>
      <c r="Q523">
        <v>1</v>
      </c>
      <c r="R523">
        <v>4</v>
      </c>
      <c r="S523">
        <v>5</v>
      </c>
      <c r="T523">
        <v>4</v>
      </c>
      <c r="U523">
        <v>2</v>
      </c>
      <c r="V523">
        <v>2</v>
      </c>
      <c r="W523" t="s">
        <v>56</v>
      </c>
      <c r="X523" s="1" t="d">
        <v>2017-03-02</v>
      </c>
      <c r="Z523" t="s">
        <v>39</v>
      </c>
      <c r="AA523" t="s">
        <v>40</v>
      </c>
      <c r="AB523">
        <v>0</v>
      </c>
      <c r="AC523">
        <v>2</v>
      </c>
      <c r="AD523" t="s">
        <v>32</v>
      </c>
      <c r="AE523" t="s">
        <v>42</v>
      </c>
      <c r="AF523" t="s">
        <v>48</v>
      </c>
      <c r="AG523">
        <f>IF(HR_Data[[#This Row],[Attrition]]="Yes",1,0)</f>
        <v>0</v>
      </c>
      <c r="AH523" t="str">
        <f>IF(HR_Data[Date_of_termination]="","Active","Left")</f>
        <v>Active</v>
      </c>
      <c r="AI523" t="str">
        <f>IF(HR_Data[YearsAtCompany]&lt;=2,"Fresher", IF(HR_Data[YearsAtCompany]&lt;=5,"Junior", IF(HR_Data[YearsAtCompany]&lt;=10, "Mid","Senior")))</f>
        <v>Junior</v>
      </c>
      <c r="AJ523" s="2" t="str">
        <f>IF(HR_Data[MonthlyIncome]&lt;=300,"Low", IF(HR_Data[MonthlyIncome]&lt;=7000,"Medium", "High"))</f>
        <v>Medium</v>
      </c>
      <c r="AK523" s="2" t="str">
        <f>VLOOKUP(HR_Data[JobRole], JobRole_Map[], 2, FALSE)</f>
        <v>Technical</v>
      </c>
    </row>
    <row r="524" spans="1:37" x14ac:dyDescent="0.25">
      <c r="A524" s="2">
        <v>27</v>
      </c>
      <c r="B524" t="s">
        <v>41</v>
      </c>
      <c r="C524" t="s">
        <v>33</v>
      </c>
      <c r="D524" t="s">
        <v>34</v>
      </c>
      <c r="E524">
        <v>6</v>
      </c>
      <c r="F524" t="s">
        <v>35</v>
      </c>
      <c r="G524">
        <v>2</v>
      </c>
      <c r="H524">
        <v>1</v>
      </c>
      <c r="I524" t="s">
        <v>44</v>
      </c>
      <c r="J524">
        <v>3</v>
      </c>
      <c r="K524" t="s">
        <v>50</v>
      </c>
      <c r="L524">
        <v>2539</v>
      </c>
      <c r="M524">
        <v>1</v>
      </c>
      <c r="N524" t="s">
        <v>41</v>
      </c>
      <c r="O524">
        <v>13</v>
      </c>
      <c r="P524">
        <v>3</v>
      </c>
      <c r="Q524">
        <v>1</v>
      </c>
      <c r="R524">
        <v>4</v>
      </c>
      <c r="S524">
        <v>0</v>
      </c>
      <c r="T524">
        <v>4</v>
      </c>
      <c r="U524">
        <v>2</v>
      </c>
      <c r="V524">
        <v>2</v>
      </c>
      <c r="W524" t="s">
        <v>51</v>
      </c>
      <c r="X524" s="1" t="d">
        <v>2017-01-03</v>
      </c>
      <c r="Z524" t="s">
        <v>59</v>
      </c>
      <c r="AA524" t="s">
        <v>40</v>
      </c>
      <c r="AB524">
        <v>1</v>
      </c>
      <c r="AC524">
        <v>3</v>
      </c>
      <c r="AD524" t="s">
        <v>41</v>
      </c>
      <c r="AE524" t="s">
        <v>42</v>
      </c>
      <c r="AF524" t="s">
        <v>57</v>
      </c>
      <c r="AG524">
        <f>IF(HR_Data[[#This Row],[Attrition]]="Yes",1,0)</f>
        <v>0</v>
      </c>
      <c r="AH524" t="str">
        <f>IF(HR_Data[Date_of_termination]="","Active","Left")</f>
        <v>Active</v>
      </c>
      <c r="AI524" t="str">
        <f>IF(HR_Data[YearsAtCompany]&lt;=2,"Fresher", IF(HR_Data[YearsAtCompany]&lt;=5,"Junior", IF(HR_Data[YearsAtCompany]&lt;=10, "Mid","Senior")))</f>
        <v>Junior</v>
      </c>
      <c r="AJ524" s="2" t="str">
        <f>IF(HR_Data[MonthlyIncome]&lt;=300,"Low", IF(HR_Data[MonthlyIncome]&lt;=7000,"Medium", "High"))</f>
        <v>Medium</v>
      </c>
      <c r="AK524" s="2" t="str">
        <f>VLOOKUP(HR_Data[JobRole], JobRole_Map[], 2, FALSE)</f>
        <v>Technical</v>
      </c>
    </row>
    <row r="525" spans="1:37" x14ac:dyDescent="0.25">
      <c r="A525" s="2">
        <v>24</v>
      </c>
      <c r="B525" t="s">
        <v>41</v>
      </c>
      <c r="C525" t="s">
        <v>33</v>
      </c>
      <c r="D525" t="s">
        <v>34</v>
      </c>
      <c r="E525">
        <v>24</v>
      </c>
      <c r="F525" t="s">
        <v>35</v>
      </c>
      <c r="G525">
        <v>3</v>
      </c>
      <c r="H525">
        <v>1</v>
      </c>
      <c r="I525" t="s">
        <v>36</v>
      </c>
      <c r="J525">
        <v>2</v>
      </c>
      <c r="K525" t="s">
        <v>37</v>
      </c>
      <c r="L525">
        <v>3597</v>
      </c>
      <c r="M525">
        <v>8</v>
      </c>
      <c r="N525" t="s">
        <v>41</v>
      </c>
      <c r="O525">
        <v>22</v>
      </c>
      <c r="P525">
        <v>4</v>
      </c>
      <c r="Q525">
        <v>0</v>
      </c>
      <c r="R525">
        <v>6</v>
      </c>
      <c r="S525">
        <v>2</v>
      </c>
      <c r="T525">
        <v>4</v>
      </c>
      <c r="U525">
        <v>1</v>
      </c>
      <c r="V525">
        <v>2</v>
      </c>
      <c r="W525" t="s">
        <v>65</v>
      </c>
      <c r="X525" s="1" t="d">
        <v>2017-04-25</v>
      </c>
      <c r="Z525" t="s">
        <v>52</v>
      </c>
      <c r="AA525" t="s">
        <v>40</v>
      </c>
      <c r="AB525">
        <v>2</v>
      </c>
      <c r="AC525">
        <v>1</v>
      </c>
      <c r="AD525" t="s">
        <v>41</v>
      </c>
      <c r="AE525" t="s">
        <v>42</v>
      </c>
      <c r="AF525" t="s">
        <v>48</v>
      </c>
      <c r="AG525">
        <f>IF(HR_Data[[#This Row],[Attrition]]="Yes",1,0)</f>
        <v>0</v>
      </c>
      <c r="AH525" t="str">
        <f>IF(HR_Data[Date_of_termination]="","Active","Left")</f>
        <v>Active</v>
      </c>
      <c r="AI525" t="str">
        <f>IF(HR_Data[YearsAtCompany]&lt;=2,"Fresher", IF(HR_Data[YearsAtCompany]&lt;=5,"Junior", IF(HR_Data[YearsAtCompany]&lt;=10, "Mid","Senior")))</f>
        <v>Junior</v>
      </c>
      <c r="AJ525" s="2" t="str">
        <f>IF(HR_Data[MonthlyIncome]&lt;=300,"Low", IF(HR_Data[MonthlyIncome]&lt;=7000,"Medium", "High"))</f>
        <v>Medium</v>
      </c>
      <c r="AK525" s="2" t="str">
        <f>VLOOKUP(HR_Data[JobRole], JobRole_Map[], 2, FALSE)</f>
        <v>Technical</v>
      </c>
    </row>
    <row r="526" spans="1:37" x14ac:dyDescent="0.25">
      <c r="A526" s="2">
        <v>43</v>
      </c>
      <c r="B526" t="s">
        <v>32</v>
      </c>
      <c r="C526" t="s">
        <v>33</v>
      </c>
      <c r="D526" t="s">
        <v>53</v>
      </c>
      <c r="E526">
        <v>9</v>
      </c>
      <c r="F526" t="s">
        <v>58</v>
      </c>
      <c r="G526">
        <v>1</v>
      </c>
      <c r="H526">
        <v>2</v>
      </c>
      <c r="I526" t="s">
        <v>64</v>
      </c>
      <c r="J526">
        <v>3</v>
      </c>
      <c r="K526" t="s">
        <v>37</v>
      </c>
      <c r="L526">
        <v>5346</v>
      </c>
      <c r="M526">
        <v>8</v>
      </c>
      <c r="N526" t="s">
        <v>41</v>
      </c>
      <c r="O526">
        <v>13</v>
      </c>
      <c r="P526">
        <v>3</v>
      </c>
      <c r="Q526">
        <v>0</v>
      </c>
      <c r="R526">
        <v>7</v>
      </c>
      <c r="S526">
        <v>2</v>
      </c>
      <c r="T526">
        <v>4</v>
      </c>
      <c r="U526">
        <v>1</v>
      </c>
      <c r="V526">
        <v>3</v>
      </c>
      <c r="W526" t="s">
        <v>56</v>
      </c>
      <c r="X526" s="1" t="d">
        <v>2017-03-01</v>
      </c>
      <c r="Z526" t="s">
        <v>59</v>
      </c>
      <c r="AA526" t="s">
        <v>40</v>
      </c>
      <c r="AB526">
        <v>5</v>
      </c>
      <c r="AC526">
        <v>0</v>
      </c>
      <c r="AD526" t="s">
        <v>32</v>
      </c>
      <c r="AE526" t="s">
        <v>47</v>
      </c>
      <c r="AF526" t="s">
        <v>48</v>
      </c>
      <c r="AG526">
        <f>IF(HR_Data[[#This Row],[Attrition]]="Yes",1,0)</f>
        <v>1</v>
      </c>
      <c r="AH526" t="str">
        <f>IF(HR_Data[Date_of_termination]="","Active","Left")</f>
        <v>Active</v>
      </c>
      <c r="AI526" t="str">
        <f>IF(HR_Data[YearsAtCompany]&lt;=2,"Fresher", IF(HR_Data[YearsAtCompany]&lt;=5,"Junior", IF(HR_Data[YearsAtCompany]&lt;=10, "Mid","Senior")))</f>
        <v>Junior</v>
      </c>
      <c r="AJ526" s="2" t="str">
        <f>IF(HR_Data[MonthlyIncome]&lt;=300,"Low", IF(HR_Data[MonthlyIncome]&lt;=7000,"Medium", "High"))</f>
        <v>Medium</v>
      </c>
      <c r="AK526" s="2" t="str">
        <f>VLOOKUP(HR_Data[JobRole], JobRole_Map[], 2, FALSE)</f>
        <v>Sales</v>
      </c>
    </row>
    <row r="527" spans="1:37" x14ac:dyDescent="0.25">
      <c r="A527" s="2">
        <v>30</v>
      </c>
      <c r="B527" t="s">
        <v>41</v>
      </c>
      <c r="C527" t="s">
        <v>33</v>
      </c>
      <c r="D527" t="s">
        <v>53</v>
      </c>
      <c r="E527">
        <v>29</v>
      </c>
      <c r="F527" t="s">
        <v>35</v>
      </c>
      <c r="G527">
        <v>3</v>
      </c>
      <c r="H527">
        <v>2</v>
      </c>
      <c r="I527" t="s">
        <v>64</v>
      </c>
      <c r="J527">
        <v>1</v>
      </c>
      <c r="K527" t="s">
        <v>55</v>
      </c>
      <c r="L527">
        <v>4115</v>
      </c>
      <c r="M527">
        <v>8</v>
      </c>
      <c r="N527" t="s">
        <v>41</v>
      </c>
      <c r="O527">
        <v>19</v>
      </c>
      <c r="P527">
        <v>3</v>
      </c>
      <c r="Q527">
        <v>3</v>
      </c>
      <c r="R527">
        <v>8</v>
      </c>
      <c r="S527">
        <v>3</v>
      </c>
      <c r="T527">
        <v>4</v>
      </c>
      <c r="U527">
        <v>0</v>
      </c>
      <c r="V527">
        <v>3</v>
      </c>
      <c r="W527" t="s">
        <v>56</v>
      </c>
      <c r="X527" s="1" t="d">
        <v>2017-04-12</v>
      </c>
      <c r="Z527" t="s">
        <v>63</v>
      </c>
      <c r="AA527" t="s">
        <v>46</v>
      </c>
      <c r="AB527">
        <v>2</v>
      </c>
      <c r="AC527">
        <v>1</v>
      </c>
      <c r="AD527" t="s">
        <v>41</v>
      </c>
      <c r="AE527" t="s">
        <v>42</v>
      </c>
      <c r="AF527" t="s">
        <v>43</v>
      </c>
      <c r="AG527">
        <f>IF(HR_Data[[#This Row],[Attrition]]="Yes",1,0)</f>
        <v>0</v>
      </c>
      <c r="AH527" t="str">
        <f>IF(HR_Data[Date_of_termination]="","Active","Left")</f>
        <v>Active</v>
      </c>
      <c r="AI527" t="str">
        <f>IF(HR_Data[YearsAtCompany]&lt;=2,"Fresher", IF(HR_Data[YearsAtCompany]&lt;=5,"Junior", IF(HR_Data[YearsAtCompany]&lt;=10, "Mid","Senior")))</f>
        <v>Junior</v>
      </c>
      <c r="AJ527" s="2" t="str">
        <f>IF(HR_Data[MonthlyIncome]&lt;=300,"Low", IF(HR_Data[MonthlyIncome]&lt;=7000,"Medium", "High"))</f>
        <v>Medium</v>
      </c>
      <c r="AK527" s="2" t="str">
        <f>VLOOKUP(HR_Data[JobRole], JobRole_Map[], 2, FALSE)</f>
        <v>Sales</v>
      </c>
    </row>
    <row r="528" spans="1:37" x14ac:dyDescent="0.25">
      <c r="A528" s="2">
        <v>46</v>
      </c>
      <c r="B528" t="s">
        <v>41</v>
      </c>
      <c r="C528" t="s">
        <v>33</v>
      </c>
      <c r="D528" t="s">
        <v>34</v>
      </c>
      <c r="E528">
        <v>15</v>
      </c>
      <c r="F528" t="s">
        <v>35</v>
      </c>
      <c r="G528">
        <v>3</v>
      </c>
      <c r="H528">
        <v>5</v>
      </c>
      <c r="I528" t="s">
        <v>49</v>
      </c>
      <c r="J528">
        <v>2</v>
      </c>
      <c r="K528" t="s">
        <v>50</v>
      </c>
      <c r="L528">
        <v>19081</v>
      </c>
      <c r="M528">
        <v>5</v>
      </c>
      <c r="N528" t="s">
        <v>41</v>
      </c>
      <c r="O528">
        <v>11</v>
      </c>
      <c r="P528">
        <v>3</v>
      </c>
      <c r="Q528">
        <v>1</v>
      </c>
      <c r="R528">
        <v>25</v>
      </c>
      <c r="S528">
        <v>2</v>
      </c>
      <c r="T528">
        <v>4</v>
      </c>
      <c r="U528">
        <v>0</v>
      </c>
      <c r="V528">
        <v>3</v>
      </c>
      <c r="W528" t="s">
        <v>38</v>
      </c>
      <c r="X528" s="1" t="d">
        <v>2017-05-29</v>
      </c>
      <c r="Z528" t="s">
        <v>63</v>
      </c>
      <c r="AA528" t="s">
        <v>46</v>
      </c>
      <c r="AB528">
        <v>1</v>
      </c>
      <c r="AC528">
        <v>2</v>
      </c>
      <c r="AD528" t="s">
        <v>32</v>
      </c>
      <c r="AE528" t="s">
        <v>47</v>
      </c>
      <c r="AF528" t="s">
        <v>48</v>
      </c>
      <c r="AG528">
        <f>IF(HR_Data[[#This Row],[Attrition]]="Yes",1,0)</f>
        <v>0</v>
      </c>
      <c r="AH528" t="str">
        <f>IF(HR_Data[Date_of_termination]="","Active","Left")</f>
        <v>Active</v>
      </c>
      <c r="AI528" t="str">
        <f>IF(HR_Data[YearsAtCompany]&lt;=2,"Fresher", IF(HR_Data[YearsAtCompany]&lt;=5,"Junior", IF(HR_Data[YearsAtCompany]&lt;=10, "Mid","Senior")))</f>
        <v>Junior</v>
      </c>
      <c r="AJ528" s="2" t="str">
        <f>IF(HR_Data[MonthlyIncome]&lt;=300,"Low", IF(HR_Data[MonthlyIncome]&lt;=7000,"Medium", "High"))</f>
        <v>High</v>
      </c>
      <c r="AK528" s="2" t="str">
        <f>VLOOKUP(HR_Data[JobRole], JobRole_Map[], 2, FALSE)</f>
        <v>Management</v>
      </c>
    </row>
    <row r="529" spans="1:37" x14ac:dyDescent="0.25">
      <c r="A529" s="2">
        <v>42</v>
      </c>
      <c r="B529" t="s">
        <v>41</v>
      </c>
      <c r="C529" t="s">
        <v>68</v>
      </c>
      <c r="D529" t="s">
        <v>70</v>
      </c>
      <c r="E529">
        <v>2</v>
      </c>
      <c r="F529" t="s">
        <v>35</v>
      </c>
      <c r="G529">
        <v>4</v>
      </c>
      <c r="H529">
        <v>2</v>
      </c>
      <c r="I529" t="s">
        <v>70</v>
      </c>
      <c r="J529">
        <v>1</v>
      </c>
      <c r="K529" t="s">
        <v>50</v>
      </c>
      <c r="L529">
        <v>6272</v>
      </c>
      <c r="M529">
        <v>7</v>
      </c>
      <c r="N529" t="s">
        <v>41</v>
      </c>
      <c r="O529">
        <v>16</v>
      </c>
      <c r="P529">
        <v>3</v>
      </c>
      <c r="Q529">
        <v>1</v>
      </c>
      <c r="R529">
        <v>10</v>
      </c>
      <c r="S529">
        <v>3</v>
      </c>
      <c r="T529">
        <v>4</v>
      </c>
      <c r="U529">
        <v>0</v>
      </c>
      <c r="V529">
        <v>3</v>
      </c>
      <c r="W529" t="s">
        <v>56</v>
      </c>
      <c r="X529" s="1" t="d">
        <v>2017-01-22</v>
      </c>
      <c r="Z529" t="s">
        <v>63</v>
      </c>
      <c r="AA529" t="s">
        <v>40</v>
      </c>
      <c r="AB529">
        <v>4</v>
      </c>
      <c r="AC529">
        <v>3</v>
      </c>
      <c r="AD529" t="s">
        <v>41</v>
      </c>
      <c r="AE529" t="s">
        <v>60</v>
      </c>
      <c r="AF529" t="s">
        <v>48</v>
      </c>
      <c r="AG529">
        <f>IF(HR_Data[[#This Row],[Attrition]]="Yes",1,0)</f>
        <v>0</v>
      </c>
      <c r="AH529" t="str">
        <f>IF(HR_Data[Date_of_termination]="","Active","Left")</f>
        <v>Active</v>
      </c>
      <c r="AI529" t="str">
        <f>IF(HR_Data[YearsAtCompany]&lt;=2,"Fresher", IF(HR_Data[YearsAtCompany]&lt;=5,"Junior", IF(HR_Data[YearsAtCompany]&lt;=10, "Mid","Senior")))</f>
        <v>Junior</v>
      </c>
      <c r="AJ529" s="2" t="str">
        <f>IF(HR_Data[MonthlyIncome]&lt;=300,"Low", IF(HR_Data[MonthlyIncome]&lt;=7000,"Medium", "High"))</f>
        <v>Medium</v>
      </c>
      <c r="AK529" s="2" t="str">
        <f>VLOOKUP(HR_Data[JobRole], JobRole_Map[], 2, FALSE)</f>
        <v>HR</v>
      </c>
    </row>
    <row r="530" spans="1:37" x14ac:dyDescent="0.25">
      <c r="A530" s="2">
        <v>25</v>
      </c>
      <c r="B530" t="s">
        <v>41</v>
      </c>
      <c r="C530" t="s">
        <v>33</v>
      </c>
      <c r="D530" t="s">
        <v>53</v>
      </c>
      <c r="E530">
        <v>10</v>
      </c>
      <c r="F530" t="s">
        <v>35</v>
      </c>
      <c r="G530">
        <v>3</v>
      </c>
      <c r="H530">
        <v>2</v>
      </c>
      <c r="I530" t="s">
        <v>64</v>
      </c>
      <c r="J530">
        <v>4</v>
      </c>
      <c r="K530" t="s">
        <v>37</v>
      </c>
      <c r="L530">
        <v>4950</v>
      </c>
      <c r="M530">
        <v>0</v>
      </c>
      <c r="N530" t="s">
        <v>41</v>
      </c>
      <c r="O530">
        <v>14</v>
      </c>
      <c r="P530">
        <v>3</v>
      </c>
      <c r="Q530">
        <v>0</v>
      </c>
      <c r="R530">
        <v>5</v>
      </c>
      <c r="S530">
        <v>4</v>
      </c>
      <c r="T530">
        <v>4</v>
      </c>
      <c r="U530">
        <v>1</v>
      </c>
      <c r="V530">
        <v>1</v>
      </c>
      <c r="W530" t="s">
        <v>38</v>
      </c>
      <c r="X530" s="1" t="d">
        <v>2017-02-15</v>
      </c>
      <c r="Z530" t="s">
        <v>59</v>
      </c>
      <c r="AA530" t="s">
        <v>40</v>
      </c>
      <c r="AB530">
        <v>3</v>
      </c>
      <c r="AC530">
        <v>3</v>
      </c>
      <c r="AD530" t="s">
        <v>41</v>
      </c>
      <c r="AE530" t="s">
        <v>42</v>
      </c>
      <c r="AF530" t="s">
        <v>48</v>
      </c>
      <c r="AG530">
        <f>IF(HR_Data[[#This Row],[Attrition]]="Yes",1,0)</f>
        <v>0</v>
      </c>
      <c r="AH530" t="str">
        <f>IF(HR_Data[Date_of_termination]="","Active","Left")</f>
        <v>Active</v>
      </c>
      <c r="AI530" t="str">
        <f>IF(HR_Data[YearsAtCompany]&lt;=2,"Fresher", IF(HR_Data[YearsAtCompany]&lt;=5,"Junior", IF(HR_Data[YearsAtCompany]&lt;=10, "Mid","Senior")))</f>
        <v>Junior</v>
      </c>
      <c r="AJ530" s="2" t="str">
        <f>IF(HR_Data[MonthlyIncome]&lt;=300,"Low", IF(HR_Data[MonthlyIncome]&lt;=7000,"Medium", "High"))</f>
        <v>Medium</v>
      </c>
      <c r="AK530" s="2" t="str">
        <f>VLOOKUP(HR_Data[JobRole], JobRole_Map[], 2, FALSE)</f>
        <v>Sales</v>
      </c>
    </row>
    <row r="531" spans="1:37" x14ac:dyDescent="0.25">
      <c r="A531" s="2">
        <v>28</v>
      </c>
      <c r="B531" t="s">
        <v>41</v>
      </c>
      <c r="C531" t="s">
        <v>61</v>
      </c>
      <c r="D531" t="s">
        <v>34</v>
      </c>
      <c r="E531">
        <v>1</v>
      </c>
      <c r="F531" t="s">
        <v>35</v>
      </c>
      <c r="G531">
        <v>3</v>
      </c>
      <c r="H531">
        <v>1</v>
      </c>
      <c r="I531" t="s">
        <v>36</v>
      </c>
      <c r="J531">
        <v>3</v>
      </c>
      <c r="K531" t="s">
        <v>37</v>
      </c>
      <c r="L531">
        <v>2154</v>
      </c>
      <c r="M531">
        <v>0</v>
      </c>
      <c r="N531" t="s">
        <v>32</v>
      </c>
      <c r="O531">
        <v>11</v>
      </c>
      <c r="P531">
        <v>3</v>
      </c>
      <c r="Q531">
        <v>0</v>
      </c>
      <c r="R531">
        <v>5</v>
      </c>
      <c r="S531">
        <v>2</v>
      </c>
      <c r="T531">
        <v>4</v>
      </c>
      <c r="U531">
        <v>0</v>
      </c>
      <c r="V531">
        <v>2</v>
      </c>
      <c r="W531" t="s">
        <v>56</v>
      </c>
      <c r="X531" s="1" t="d">
        <v>2017-05-22</v>
      </c>
      <c r="Z531" t="s">
        <v>45</v>
      </c>
      <c r="AA531" t="s">
        <v>46</v>
      </c>
      <c r="AB531">
        <v>2</v>
      </c>
      <c r="AC531">
        <v>3</v>
      </c>
      <c r="AD531" t="s">
        <v>41</v>
      </c>
      <c r="AE531" t="s">
        <v>62</v>
      </c>
      <c r="AF531" t="s">
        <v>43</v>
      </c>
      <c r="AG531">
        <f>IF(HR_Data[[#This Row],[Attrition]]="Yes",1,0)</f>
        <v>0</v>
      </c>
      <c r="AH531" t="str">
        <f>IF(HR_Data[Date_of_termination]="","Active","Left")</f>
        <v>Active</v>
      </c>
      <c r="AI531" t="str">
        <f>IF(HR_Data[YearsAtCompany]&lt;=2,"Fresher", IF(HR_Data[YearsAtCompany]&lt;=5,"Junior", IF(HR_Data[YearsAtCompany]&lt;=10, "Mid","Senior")))</f>
        <v>Junior</v>
      </c>
      <c r="AJ531" s="2" t="str">
        <f>IF(HR_Data[MonthlyIncome]&lt;=300,"Low", IF(HR_Data[MonthlyIncome]&lt;=7000,"Medium", "High"))</f>
        <v>Medium</v>
      </c>
      <c r="AK531" s="2" t="str">
        <f>VLOOKUP(HR_Data[JobRole], JobRole_Map[], 2, FALSE)</f>
        <v>Technical</v>
      </c>
    </row>
    <row r="532" spans="1:37" x14ac:dyDescent="0.25">
      <c r="A532" s="2">
        <v>40</v>
      </c>
      <c r="B532" t="s">
        <v>41</v>
      </c>
      <c r="C532" t="s">
        <v>68</v>
      </c>
      <c r="D532" t="s">
        <v>34</v>
      </c>
      <c r="E532">
        <v>16</v>
      </c>
      <c r="F532" t="s">
        <v>35</v>
      </c>
      <c r="G532">
        <v>3</v>
      </c>
      <c r="H532">
        <v>1</v>
      </c>
      <c r="I532" t="s">
        <v>44</v>
      </c>
      <c r="J532">
        <v>3</v>
      </c>
      <c r="K532" t="s">
        <v>55</v>
      </c>
      <c r="L532">
        <v>3544</v>
      </c>
      <c r="M532">
        <v>9</v>
      </c>
      <c r="N532" t="s">
        <v>41</v>
      </c>
      <c r="O532">
        <v>16</v>
      </c>
      <c r="P532">
        <v>3</v>
      </c>
      <c r="Q532">
        <v>1</v>
      </c>
      <c r="R532">
        <v>6</v>
      </c>
      <c r="S532">
        <v>0</v>
      </c>
      <c r="T532">
        <v>4</v>
      </c>
      <c r="U532">
        <v>0</v>
      </c>
      <c r="V532">
        <v>0</v>
      </c>
      <c r="W532" t="s">
        <v>65</v>
      </c>
      <c r="X532" s="1" t="d">
        <v>2017-05-22</v>
      </c>
      <c r="Z532" t="s">
        <v>45</v>
      </c>
      <c r="AA532" t="s">
        <v>46</v>
      </c>
      <c r="AB532">
        <v>5</v>
      </c>
      <c r="AC532">
        <v>1</v>
      </c>
      <c r="AD532" t="s">
        <v>41</v>
      </c>
      <c r="AE532" t="s">
        <v>42</v>
      </c>
      <c r="AF532" t="s">
        <v>48</v>
      </c>
      <c r="AG532">
        <f>IF(HR_Data[[#This Row],[Attrition]]="Yes",1,0)</f>
        <v>0</v>
      </c>
      <c r="AH532" t="str">
        <f>IF(HR_Data[Date_of_termination]="","Active","Left")</f>
        <v>Active</v>
      </c>
      <c r="AI532" t="str">
        <f>IF(HR_Data[YearsAtCompany]&lt;=2,"Fresher", IF(HR_Data[YearsAtCompany]&lt;=5,"Junior", IF(HR_Data[YearsAtCompany]&lt;=10, "Mid","Senior")))</f>
        <v>Junior</v>
      </c>
      <c r="AJ532" s="2" t="str">
        <f>IF(HR_Data[MonthlyIncome]&lt;=300,"Low", IF(HR_Data[MonthlyIncome]&lt;=7000,"Medium", "High"))</f>
        <v>Medium</v>
      </c>
      <c r="AK532" s="2" t="str">
        <f>VLOOKUP(HR_Data[JobRole], JobRole_Map[], 2, FALSE)</f>
        <v>Technical</v>
      </c>
    </row>
    <row r="533" spans="1:37" x14ac:dyDescent="0.25">
      <c r="A533" s="2">
        <v>40</v>
      </c>
      <c r="B533" t="s">
        <v>41</v>
      </c>
      <c r="C533" t="s">
        <v>33</v>
      </c>
      <c r="D533" t="s">
        <v>34</v>
      </c>
      <c r="E533">
        <v>1</v>
      </c>
      <c r="F533" t="s">
        <v>35</v>
      </c>
      <c r="G533">
        <v>3</v>
      </c>
      <c r="H533">
        <v>1</v>
      </c>
      <c r="I533" t="s">
        <v>36</v>
      </c>
      <c r="J533">
        <v>2</v>
      </c>
      <c r="K533" t="s">
        <v>50</v>
      </c>
      <c r="L533">
        <v>2387</v>
      </c>
      <c r="M533">
        <v>3</v>
      </c>
      <c r="N533" t="s">
        <v>41</v>
      </c>
      <c r="O533">
        <v>22</v>
      </c>
      <c r="P533">
        <v>4</v>
      </c>
      <c r="Q533">
        <v>1</v>
      </c>
      <c r="R533">
        <v>7</v>
      </c>
      <c r="S533">
        <v>3</v>
      </c>
      <c r="T533">
        <v>4</v>
      </c>
      <c r="U533">
        <v>0</v>
      </c>
      <c r="V533">
        <v>3</v>
      </c>
      <c r="W533" t="s">
        <v>51</v>
      </c>
      <c r="X533" s="1" t="d">
        <v>2017-05-07</v>
      </c>
      <c r="Z533" t="s">
        <v>39</v>
      </c>
      <c r="AA533" t="s">
        <v>40</v>
      </c>
      <c r="AB533">
        <v>5</v>
      </c>
      <c r="AC533">
        <v>3</v>
      </c>
      <c r="AD533" t="s">
        <v>41</v>
      </c>
      <c r="AE533" t="s">
        <v>60</v>
      </c>
      <c r="AF533" t="s">
        <v>48</v>
      </c>
      <c r="AG533">
        <f>IF(HR_Data[[#This Row],[Attrition]]="Yes",1,0)</f>
        <v>0</v>
      </c>
      <c r="AH533" t="str">
        <f>IF(HR_Data[Date_of_termination]="","Active","Left")</f>
        <v>Active</v>
      </c>
      <c r="AI533" t="str">
        <f>IF(HR_Data[YearsAtCompany]&lt;=2,"Fresher", IF(HR_Data[YearsAtCompany]&lt;=5,"Junior", IF(HR_Data[YearsAtCompany]&lt;=10, "Mid","Senior")))</f>
        <v>Junior</v>
      </c>
      <c r="AJ533" s="2" t="str">
        <f>IF(HR_Data[MonthlyIncome]&lt;=300,"Low", IF(HR_Data[MonthlyIncome]&lt;=7000,"Medium", "High"))</f>
        <v>Medium</v>
      </c>
      <c r="AK533" s="2" t="str">
        <f>VLOOKUP(HR_Data[JobRole], JobRole_Map[], 2, FALSE)</f>
        <v>Technical</v>
      </c>
    </row>
    <row r="534" spans="1:37" x14ac:dyDescent="0.25">
      <c r="A534" s="2">
        <v>35</v>
      </c>
      <c r="B534" t="s">
        <v>32</v>
      </c>
      <c r="C534" t="s">
        <v>61</v>
      </c>
      <c r="D534" t="s">
        <v>53</v>
      </c>
      <c r="E534">
        <v>18</v>
      </c>
      <c r="F534" t="s">
        <v>58</v>
      </c>
      <c r="G534">
        <v>3</v>
      </c>
      <c r="H534">
        <v>2</v>
      </c>
      <c r="I534" t="s">
        <v>64</v>
      </c>
      <c r="J534">
        <v>3</v>
      </c>
      <c r="K534" t="s">
        <v>50</v>
      </c>
      <c r="L534">
        <v>4614</v>
      </c>
      <c r="M534">
        <v>0</v>
      </c>
      <c r="N534" t="s">
        <v>32</v>
      </c>
      <c r="O534">
        <v>18</v>
      </c>
      <c r="P534">
        <v>3</v>
      </c>
      <c r="Q534">
        <v>1</v>
      </c>
      <c r="R534">
        <v>5</v>
      </c>
      <c r="S534">
        <v>0</v>
      </c>
      <c r="T534">
        <v>4</v>
      </c>
      <c r="U534">
        <v>3</v>
      </c>
      <c r="V534">
        <v>2</v>
      </c>
      <c r="W534" t="s">
        <v>56</v>
      </c>
      <c r="X534" s="1" t="d">
        <v>2017-01-20</v>
      </c>
      <c r="Z534" t="s">
        <v>52</v>
      </c>
      <c r="AA534" t="s">
        <v>40</v>
      </c>
      <c r="AB534">
        <v>4</v>
      </c>
      <c r="AC534">
        <v>2</v>
      </c>
      <c r="AD534" t="s">
        <v>32</v>
      </c>
      <c r="AE534" t="s">
        <v>47</v>
      </c>
      <c r="AF534" t="s">
        <v>57</v>
      </c>
      <c r="AG534">
        <f>IF(HR_Data[[#This Row],[Attrition]]="Yes",1,0)</f>
        <v>1</v>
      </c>
      <c r="AH534" t="str">
        <f>IF(HR_Data[Date_of_termination]="","Active","Left")</f>
        <v>Active</v>
      </c>
      <c r="AI534" t="str">
        <f>IF(HR_Data[YearsAtCompany]&lt;=2,"Fresher", IF(HR_Data[YearsAtCompany]&lt;=5,"Junior", IF(HR_Data[YearsAtCompany]&lt;=10, "Mid","Senior")))</f>
        <v>Junior</v>
      </c>
      <c r="AJ534" s="2" t="str">
        <f>IF(HR_Data[MonthlyIncome]&lt;=300,"Low", IF(HR_Data[MonthlyIncome]&lt;=7000,"Medium", "High"))</f>
        <v>Medium</v>
      </c>
      <c r="AK534" s="2" t="str">
        <f>VLOOKUP(HR_Data[JobRole], JobRole_Map[], 2, FALSE)</f>
        <v>Sales</v>
      </c>
    </row>
    <row r="535" spans="1:37" x14ac:dyDescent="0.25">
      <c r="A535" s="2">
        <v>38</v>
      </c>
      <c r="B535" t="s">
        <v>41</v>
      </c>
      <c r="C535" t="s">
        <v>61</v>
      </c>
      <c r="D535" t="s">
        <v>34</v>
      </c>
      <c r="E535">
        <v>7</v>
      </c>
      <c r="F535" t="s">
        <v>35</v>
      </c>
      <c r="G535">
        <v>4</v>
      </c>
      <c r="H535">
        <v>1</v>
      </c>
      <c r="I535" t="s">
        <v>44</v>
      </c>
      <c r="J535">
        <v>3</v>
      </c>
      <c r="K535" t="s">
        <v>55</v>
      </c>
      <c r="L535">
        <v>2610</v>
      </c>
      <c r="M535">
        <v>1</v>
      </c>
      <c r="N535" t="s">
        <v>41</v>
      </c>
      <c r="O535">
        <v>11</v>
      </c>
      <c r="P535">
        <v>3</v>
      </c>
      <c r="Q535">
        <v>3</v>
      </c>
      <c r="R535">
        <v>4</v>
      </c>
      <c r="S535">
        <v>2</v>
      </c>
      <c r="T535">
        <v>4</v>
      </c>
      <c r="U535">
        <v>0</v>
      </c>
      <c r="V535">
        <v>3</v>
      </c>
      <c r="W535" t="s">
        <v>38</v>
      </c>
      <c r="X535" s="1" t="d">
        <v>2017-04-06</v>
      </c>
      <c r="Z535" t="s">
        <v>39</v>
      </c>
      <c r="AA535" t="s">
        <v>46</v>
      </c>
      <c r="AB535">
        <v>4</v>
      </c>
      <c r="AC535">
        <v>3</v>
      </c>
      <c r="AD535" t="s">
        <v>32</v>
      </c>
      <c r="AE535" t="s">
        <v>62</v>
      </c>
      <c r="AF535" t="s">
        <v>57</v>
      </c>
      <c r="AG535">
        <f>IF(HR_Data[[#This Row],[Attrition]]="Yes",1,0)</f>
        <v>0</v>
      </c>
      <c r="AH535" t="str">
        <f>IF(HR_Data[Date_of_termination]="","Active","Left")</f>
        <v>Active</v>
      </c>
      <c r="AI535" t="str">
        <f>IF(HR_Data[YearsAtCompany]&lt;=2,"Fresher", IF(HR_Data[YearsAtCompany]&lt;=5,"Junior", IF(HR_Data[YearsAtCompany]&lt;=10, "Mid","Senior")))</f>
        <v>Junior</v>
      </c>
      <c r="AJ535" s="2" t="str">
        <f>IF(HR_Data[MonthlyIncome]&lt;=300,"Low", IF(HR_Data[MonthlyIncome]&lt;=7000,"Medium", "High"))</f>
        <v>Medium</v>
      </c>
      <c r="AK535" s="2" t="str">
        <f>VLOOKUP(HR_Data[JobRole], JobRole_Map[], 2, FALSE)</f>
        <v>Technical</v>
      </c>
    </row>
    <row r="536" spans="1:37" x14ac:dyDescent="0.25">
      <c r="A536" s="2">
        <v>51</v>
      </c>
      <c r="B536" t="s">
        <v>41</v>
      </c>
      <c r="C536" t="s">
        <v>61</v>
      </c>
      <c r="D536" t="s">
        <v>53</v>
      </c>
      <c r="E536">
        <v>2</v>
      </c>
      <c r="F536" t="s">
        <v>35</v>
      </c>
      <c r="G536">
        <v>3</v>
      </c>
      <c r="H536">
        <v>3</v>
      </c>
      <c r="I536" t="s">
        <v>64</v>
      </c>
      <c r="J536">
        <v>2</v>
      </c>
      <c r="K536" t="s">
        <v>50</v>
      </c>
      <c r="L536">
        <v>10596</v>
      </c>
      <c r="M536">
        <v>2</v>
      </c>
      <c r="N536" t="s">
        <v>41</v>
      </c>
      <c r="O536">
        <v>11</v>
      </c>
      <c r="P536">
        <v>3</v>
      </c>
      <c r="Q536">
        <v>0</v>
      </c>
      <c r="R536">
        <v>14</v>
      </c>
      <c r="S536">
        <v>5</v>
      </c>
      <c r="T536">
        <v>4</v>
      </c>
      <c r="U536">
        <v>3</v>
      </c>
      <c r="V536">
        <v>2</v>
      </c>
      <c r="W536" t="s">
        <v>65</v>
      </c>
      <c r="X536" s="1" t="d">
        <v>2017-05-01</v>
      </c>
      <c r="Z536" t="s">
        <v>63</v>
      </c>
      <c r="AA536" t="s">
        <v>40</v>
      </c>
      <c r="AB536">
        <v>0</v>
      </c>
      <c r="AC536">
        <v>1</v>
      </c>
      <c r="AD536" t="s">
        <v>41</v>
      </c>
      <c r="AE536" t="s">
        <v>47</v>
      </c>
      <c r="AF536" t="s">
        <v>48</v>
      </c>
      <c r="AG536">
        <f>IF(HR_Data[[#This Row],[Attrition]]="Yes",1,0)</f>
        <v>0</v>
      </c>
      <c r="AH536" t="str">
        <f>IF(HR_Data[Date_of_termination]="","Active","Left")</f>
        <v>Active</v>
      </c>
      <c r="AI536" t="str">
        <f>IF(HR_Data[YearsAtCompany]&lt;=2,"Fresher", IF(HR_Data[YearsAtCompany]&lt;=5,"Junior", IF(HR_Data[YearsAtCompany]&lt;=10, "Mid","Senior")))</f>
        <v>Junior</v>
      </c>
      <c r="AJ536" s="2" t="str">
        <f>IF(HR_Data[MonthlyIncome]&lt;=300,"Low", IF(HR_Data[MonthlyIncome]&lt;=7000,"Medium", "High"))</f>
        <v>High</v>
      </c>
      <c r="AK536" s="2" t="str">
        <f>VLOOKUP(HR_Data[JobRole], JobRole_Map[], 2, FALSE)</f>
        <v>Sales</v>
      </c>
    </row>
    <row r="537" spans="1:37" x14ac:dyDescent="0.25">
      <c r="A537" s="2">
        <v>26</v>
      </c>
      <c r="B537" t="s">
        <v>41</v>
      </c>
      <c r="C537" t="s">
        <v>33</v>
      </c>
      <c r="D537" t="s">
        <v>34</v>
      </c>
      <c r="E537">
        <v>2</v>
      </c>
      <c r="F537" t="s">
        <v>35</v>
      </c>
      <c r="G537">
        <v>2</v>
      </c>
      <c r="H537">
        <v>1</v>
      </c>
      <c r="I537" t="s">
        <v>44</v>
      </c>
      <c r="J537">
        <v>4</v>
      </c>
      <c r="K537" t="s">
        <v>37</v>
      </c>
      <c r="L537">
        <v>3904</v>
      </c>
      <c r="M537">
        <v>0</v>
      </c>
      <c r="N537" t="s">
        <v>41</v>
      </c>
      <c r="O537">
        <v>12</v>
      </c>
      <c r="P537">
        <v>3</v>
      </c>
      <c r="Q537">
        <v>0</v>
      </c>
      <c r="R537">
        <v>5</v>
      </c>
      <c r="S537">
        <v>2</v>
      </c>
      <c r="T537">
        <v>4</v>
      </c>
      <c r="U537">
        <v>1</v>
      </c>
      <c r="V537">
        <v>1</v>
      </c>
      <c r="W537" t="s">
        <v>56</v>
      </c>
      <c r="X537" s="1" t="d">
        <v>2017-06-27</v>
      </c>
      <c r="Z537" t="s">
        <v>45</v>
      </c>
      <c r="AA537" t="s">
        <v>46</v>
      </c>
      <c r="AB537">
        <v>4</v>
      </c>
      <c r="AC537">
        <v>3</v>
      </c>
      <c r="AD537" t="s">
        <v>41</v>
      </c>
      <c r="AE537" t="s">
        <v>62</v>
      </c>
      <c r="AF537" t="s">
        <v>48</v>
      </c>
      <c r="AG537">
        <f>IF(HR_Data[[#This Row],[Attrition]]="Yes",1,0)</f>
        <v>0</v>
      </c>
      <c r="AH537" t="str">
        <f>IF(HR_Data[Date_of_termination]="","Active","Left")</f>
        <v>Active</v>
      </c>
      <c r="AI537" t="str">
        <f>IF(HR_Data[YearsAtCompany]&lt;=2,"Fresher", IF(HR_Data[YearsAtCompany]&lt;=5,"Junior", IF(HR_Data[YearsAtCompany]&lt;=10, "Mid","Senior")))</f>
        <v>Junior</v>
      </c>
      <c r="AJ537" s="2" t="str">
        <f>IF(HR_Data[MonthlyIncome]&lt;=300,"Low", IF(HR_Data[MonthlyIncome]&lt;=7000,"Medium", "High"))</f>
        <v>Medium</v>
      </c>
      <c r="AK537" s="2" t="str">
        <f>VLOOKUP(HR_Data[JobRole], JobRole_Map[], 2, FALSE)</f>
        <v>Technical</v>
      </c>
    </row>
    <row r="538" spans="1:37" x14ac:dyDescent="0.25">
      <c r="A538" s="2">
        <v>49</v>
      </c>
      <c r="B538" t="s">
        <v>32</v>
      </c>
      <c r="C538" t="s">
        <v>61</v>
      </c>
      <c r="D538" t="s">
        <v>34</v>
      </c>
      <c r="E538">
        <v>28</v>
      </c>
      <c r="F538" t="s">
        <v>35</v>
      </c>
      <c r="G538">
        <v>2</v>
      </c>
      <c r="H538">
        <v>2</v>
      </c>
      <c r="I538" t="s">
        <v>36</v>
      </c>
      <c r="J538">
        <v>1</v>
      </c>
      <c r="K538" t="s">
        <v>37</v>
      </c>
      <c r="L538">
        <v>4284</v>
      </c>
      <c r="M538">
        <v>3</v>
      </c>
      <c r="N538" t="s">
        <v>41</v>
      </c>
      <c r="O538">
        <v>20</v>
      </c>
      <c r="P538">
        <v>4</v>
      </c>
      <c r="Q538">
        <v>0</v>
      </c>
      <c r="R538">
        <v>20</v>
      </c>
      <c r="S538">
        <v>2</v>
      </c>
      <c r="T538">
        <v>4</v>
      </c>
      <c r="U538">
        <v>1</v>
      </c>
      <c r="V538">
        <v>3</v>
      </c>
      <c r="W538" t="s">
        <v>38</v>
      </c>
      <c r="X538" s="1" t="d">
        <v>2017-02-09</v>
      </c>
      <c r="Z538" t="s">
        <v>59</v>
      </c>
      <c r="AA538" t="s">
        <v>40</v>
      </c>
      <c r="AB538">
        <v>1</v>
      </c>
      <c r="AC538">
        <v>3</v>
      </c>
      <c r="AD538" t="s">
        <v>32</v>
      </c>
      <c r="AE538" t="s">
        <v>47</v>
      </c>
      <c r="AF538" t="s">
        <v>57</v>
      </c>
      <c r="AG538">
        <f>IF(HR_Data[[#This Row],[Attrition]]="Yes",1,0)</f>
        <v>1</v>
      </c>
      <c r="AH538" t="str">
        <f>IF(HR_Data[Date_of_termination]="","Active","Left")</f>
        <v>Active</v>
      </c>
      <c r="AI538" t="str">
        <f>IF(HR_Data[YearsAtCompany]&lt;=2,"Fresher", IF(HR_Data[YearsAtCompany]&lt;=5,"Junior", IF(HR_Data[YearsAtCompany]&lt;=10, "Mid","Senior")))</f>
        <v>Junior</v>
      </c>
      <c r="AJ538" s="2" t="str">
        <f>IF(HR_Data[MonthlyIncome]&lt;=300,"Low", IF(HR_Data[MonthlyIncome]&lt;=7000,"Medium", "High"))</f>
        <v>Medium</v>
      </c>
      <c r="AK538" s="2" t="str">
        <f>VLOOKUP(HR_Data[JobRole], JobRole_Map[], 2, FALSE)</f>
        <v>Technical</v>
      </c>
    </row>
    <row r="539" spans="1:37" x14ac:dyDescent="0.25">
      <c r="A539" s="2">
        <v>34</v>
      </c>
      <c r="B539" t="s">
        <v>41</v>
      </c>
      <c r="C539" t="s">
        <v>61</v>
      </c>
      <c r="D539" t="s">
        <v>34</v>
      </c>
      <c r="E539">
        <v>1</v>
      </c>
      <c r="F539" t="s">
        <v>35</v>
      </c>
      <c r="G539">
        <v>3</v>
      </c>
      <c r="H539">
        <v>1</v>
      </c>
      <c r="I539" t="s">
        <v>44</v>
      </c>
      <c r="J539">
        <v>1</v>
      </c>
      <c r="K539" t="s">
        <v>55</v>
      </c>
      <c r="L539">
        <v>2996</v>
      </c>
      <c r="M539">
        <v>5</v>
      </c>
      <c r="N539" t="s">
        <v>41</v>
      </c>
      <c r="O539">
        <v>14</v>
      </c>
      <c r="P539">
        <v>3</v>
      </c>
      <c r="Q539">
        <v>2</v>
      </c>
      <c r="R539">
        <v>10</v>
      </c>
      <c r="S539">
        <v>2</v>
      </c>
      <c r="T539">
        <v>4</v>
      </c>
      <c r="U539">
        <v>1</v>
      </c>
      <c r="V539">
        <v>3</v>
      </c>
      <c r="W539" t="s">
        <v>56</v>
      </c>
      <c r="X539" s="1" t="d">
        <v>2017-06-29</v>
      </c>
      <c r="Z539" t="s">
        <v>63</v>
      </c>
      <c r="AA539" t="s">
        <v>46</v>
      </c>
      <c r="AB539">
        <v>0</v>
      </c>
      <c r="AC539">
        <v>3</v>
      </c>
      <c r="AD539" t="s">
        <v>41</v>
      </c>
      <c r="AE539" t="s">
        <v>62</v>
      </c>
      <c r="AF539" t="s">
        <v>43</v>
      </c>
      <c r="AG539">
        <f>IF(HR_Data[[#This Row],[Attrition]]="Yes",1,0)</f>
        <v>0</v>
      </c>
      <c r="AH539" t="str">
        <f>IF(HR_Data[Date_of_termination]="","Active","Left")</f>
        <v>Active</v>
      </c>
      <c r="AI539" t="str">
        <f>IF(HR_Data[YearsAtCompany]&lt;=2,"Fresher", IF(HR_Data[YearsAtCompany]&lt;=5,"Junior", IF(HR_Data[YearsAtCompany]&lt;=10, "Mid","Senior")))</f>
        <v>Junior</v>
      </c>
      <c r="AJ539" s="2" t="str">
        <f>IF(HR_Data[MonthlyIncome]&lt;=300,"Low", IF(HR_Data[MonthlyIncome]&lt;=7000,"Medium", "High"))</f>
        <v>Medium</v>
      </c>
      <c r="AK539" s="2" t="str">
        <f>VLOOKUP(HR_Data[JobRole], JobRole_Map[], 2, FALSE)</f>
        <v>Technical</v>
      </c>
    </row>
    <row r="540" spans="1:37" x14ac:dyDescent="0.25">
      <c r="A540" s="2">
        <v>32</v>
      </c>
      <c r="B540" t="s">
        <v>41</v>
      </c>
      <c r="C540" t="s">
        <v>33</v>
      </c>
      <c r="D540" t="s">
        <v>53</v>
      </c>
      <c r="E540">
        <v>7</v>
      </c>
      <c r="F540" t="s">
        <v>35</v>
      </c>
      <c r="G540">
        <v>3</v>
      </c>
      <c r="H540">
        <v>2</v>
      </c>
      <c r="I540" t="s">
        <v>64</v>
      </c>
      <c r="J540">
        <v>4</v>
      </c>
      <c r="K540" t="s">
        <v>50</v>
      </c>
      <c r="L540">
        <v>9204</v>
      </c>
      <c r="M540">
        <v>4</v>
      </c>
      <c r="N540" t="s">
        <v>41</v>
      </c>
      <c r="O540">
        <v>12</v>
      </c>
      <c r="P540">
        <v>3</v>
      </c>
      <c r="Q540">
        <v>1</v>
      </c>
      <c r="R540">
        <v>7</v>
      </c>
      <c r="S540">
        <v>3</v>
      </c>
      <c r="T540">
        <v>4</v>
      </c>
      <c r="U540">
        <v>0</v>
      </c>
      <c r="V540">
        <v>3</v>
      </c>
      <c r="W540" t="s">
        <v>56</v>
      </c>
      <c r="X540" s="1" t="d">
        <v>2017-03-20</v>
      </c>
      <c r="Z540" t="s">
        <v>63</v>
      </c>
      <c r="AA540" t="s">
        <v>40</v>
      </c>
      <c r="AB540">
        <v>3</v>
      </c>
      <c r="AC540">
        <v>2</v>
      </c>
      <c r="AD540" t="s">
        <v>32</v>
      </c>
      <c r="AE540" t="s">
        <v>60</v>
      </c>
      <c r="AF540" t="s">
        <v>43</v>
      </c>
      <c r="AG540">
        <f>IF(HR_Data[[#This Row],[Attrition]]="Yes",1,0)</f>
        <v>0</v>
      </c>
      <c r="AH540" t="str">
        <f>IF(HR_Data[Date_of_termination]="","Active","Left")</f>
        <v>Active</v>
      </c>
      <c r="AI540" t="str">
        <f>IF(HR_Data[YearsAtCompany]&lt;=2,"Fresher", IF(HR_Data[YearsAtCompany]&lt;=5,"Junior", IF(HR_Data[YearsAtCompany]&lt;=10, "Mid","Senior")))</f>
        <v>Junior</v>
      </c>
      <c r="AJ540" s="2" t="str">
        <f>IF(HR_Data[MonthlyIncome]&lt;=300,"Low", IF(HR_Data[MonthlyIncome]&lt;=7000,"Medium", "High"))</f>
        <v>High</v>
      </c>
      <c r="AK540" s="2" t="str">
        <f>VLOOKUP(HR_Data[JobRole], JobRole_Map[], 2, FALSE)</f>
        <v>Sales</v>
      </c>
    </row>
    <row r="541" spans="1:37" x14ac:dyDescent="0.25">
      <c r="A541" s="2">
        <v>41</v>
      </c>
      <c r="B541" t="s">
        <v>41</v>
      </c>
      <c r="C541" t="s">
        <v>33</v>
      </c>
      <c r="D541" t="s">
        <v>34</v>
      </c>
      <c r="E541">
        <v>5</v>
      </c>
      <c r="F541" t="s">
        <v>35</v>
      </c>
      <c r="G541">
        <v>4</v>
      </c>
      <c r="H541">
        <v>1</v>
      </c>
      <c r="I541" t="s">
        <v>44</v>
      </c>
      <c r="J541">
        <v>3</v>
      </c>
      <c r="K541" t="s">
        <v>50</v>
      </c>
      <c r="L541">
        <v>2127</v>
      </c>
      <c r="M541">
        <v>2</v>
      </c>
      <c r="N541" t="s">
        <v>32</v>
      </c>
      <c r="O541">
        <v>12</v>
      </c>
      <c r="P541">
        <v>3</v>
      </c>
      <c r="Q541">
        <v>0</v>
      </c>
      <c r="R541">
        <v>7</v>
      </c>
      <c r="S541">
        <v>5</v>
      </c>
      <c r="T541">
        <v>4</v>
      </c>
      <c r="U541">
        <v>0</v>
      </c>
      <c r="V541">
        <v>3</v>
      </c>
      <c r="W541" t="s">
        <v>56</v>
      </c>
      <c r="X541" s="1" t="d">
        <v>2017-03-05</v>
      </c>
      <c r="Z541" t="s">
        <v>52</v>
      </c>
      <c r="AA541" t="s">
        <v>40</v>
      </c>
      <c r="AB541">
        <v>2</v>
      </c>
      <c r="AC541">
        <v>2</v>
      </c>
      <c r="AD541" t="s">
        <v>41</v>
      </c>
      <c r="AE541" t="s">
        <v>60</v>
      </c>
      <c r="AF541" t="s">
        <v>43</v>
      </c>
      <c r="AG541">
        <f>IF(HR_Data[[#This Row],[Attrition]]="Yes",1,0)</f>
        <v>0</v>
      </c>
      <c r="AH541" t="str">
        <f>IF(HR_Data[Date_of_termination]="","Active","Left")</f>
        <v>Active</v>
      </c>
      <c r="AI541" t="str">
        <f>IF(HR_Data[YearsAtCompany]&lt;=2,"Fresher", IF(HR_Data[YearsAtCompany]&lt;=5,"Junior", IF(HR_Data[YearsAtCompany]&lt;=10, "Mid","Senior")))</f>
        <v>Junior</v>
      </c>
      <c r="AJ541" s="2" t="str">
        <f>IF(HR_Data[MonthlyIncome]&lt;=300,"Low", IF(HR_Data[MonthlyIncome]&lt;=7000,"Medium", "High"))</f>
        <v>Medium</v>
      </c>
      <c r="AK541" s="2" t="str">
        <f>VLOOKUP(HR_Data[JobRole], JobRole_Map[], 2, FALSE)</f>
        <v>Technical</v>
      </c>
    </row>
    <row r="542" spans="1:37" x14ac:dyDescent="0.25">
      <c r="A542" s="2">
        <v>33</v>
      </c>
      <c r="B542" t="s">
        <v>41</v>
      </c>
      <c r="C542" t="s">
        <v>61</v>
      </c>
      <c r="D542" t="s">
        <v>53</v>
      </c>
      <c r="E542">
        <v>7</v>
      </c>
      <c r="F542" t="s">
        <v>35</v>
      </c>
      <c r="G542">
        <v>3</v>
      </c>
      <c r="H542">
        <v>2</v>
      </c>
      <c r="I542" t="s">
        <v>64</v>
      </c>
      <c r="J542">
        <v>1</v>
      </c>
      <c r="K542" t="s">
        <v>50</v>
      </c>
      <c r="L542">
        <v>4373</v>
      </c>
      <c r="M542">
        <v>0</v>
      </c>
      <c r="N542" t="s">
        <v>41</v>
      </c>
      <c r="O542">
        <v>14</v>
      </c>
      <c r="P542">
        <v>3</v>
      </c>
      <c r="Q542">
        <v>2</v>
      </c>
      <c r="R542">
        <v>5</v>
      </c>
      <c r="S542">
        <v>2</v>
      </c>
      <c r="T542">
        <v>4</v>
      </c>
      <c r="U542">
        <v>0</v>
      </c>
      <c r="V542">
        <v>3</v>
      </c>
      <c r="W542" t="s">
        <v>56</v>
      </c>
      <c r="X542" s="1" t="d">
        <v>2017-01-17</v>
      </c>
      <c r="Z542" t="s">
        <v>39</v>
      </c>
      <c r="AA542" t="s">
        <v>46</v>
      </c>
      <c r="AB542">
        <v>3</v>
      </c>
      <c r="AC542">
        <v>2</v>
      </c>
      <c r="AD542" t="s">
        <v>32</v>
      </c>
      <c r="AE542" t="s">
        <v>62</v>
      </c>
      <c r="AF542" t="s">
        <v>48</v>
      </c>
      <c r="AG542">
        <f>IF(HR_Data[[#This Row],[Attrition]]="Yes",1,0)</f>
        <v>0</v>
      </c>
      <c r="AH542" t="str">
        <f>IF(HR_Data[Date_of_termination]="","Active","Left")</f>
        <v>Active</v>
      </c>
      <c r="AI542" t="str">
        <f>IF(HR_Data[YearsAtCompany]&lt;=2,"Fresher", IF(HR_Data[YearsAtCompany]&lt;=5,"Junior", IF(HR_Data[YearsAtCompany]&lt;=10, "Mid","Senior")))</f>
        <v>Junior</v>
      </c>
      <c r="AJ542" s="2" t="str">
        <f>IF(HR_Data[MonthlyIncome]&lt;=300,"Low", IF(HR_Data[MonthlyIncome]&lt;=7000,"Medium", "High"))</f>
        <v>Medium</v>
      </c>
      <c r="AK542" s="2" t="str">
        <f>VLOOKUP(HR_Data[JobRole], JobRole_Map[], 2, FALSE)</f>
        <v>Sales</v>
      </c>
    </row>
    <row r="543" spans="1:37" x14ac:dyDescent="0.25">
      <c r="A543" s="2">
        <v>28</v>
      </c>
      <c r="B543" t="s">
        <v>41</v>
      </c>
      <c r="C543" t="s">
        <v>61</v>
      </c>
      <c r="D543" t="s">
        <v>53</v>
      </c>
      <c r="E543">
        <v>7</v>
      </c>
      <c r="F543" t="s">
        <v>35</v>
      </c>
      <c r="G543">
        <v>3</v>
      </c>
      <c r="H543">
        <v>2</v>
      </c>
      <c r="I543" t="s">
        <v>64</v>
      </c>
      <c r="J543">
        <v>1</v>
      </c>
      <c r="K543" t="s">
        <v>37</v>
      </c>
      <c r="L543">
        <v>4898</v>
      </c>
      <c r="M543">
        <v>0</v>
      </c>
      <c r="N543" t="s">
        <v>41</v>
      </c>
      <c r="O543">
        <v>14</v>
      </c>
      <c r="P543">
        <v>3</v>
      </c>
      <c r="Q543">
        <v>0</v>
      </c>
      <c r="R543">
        <v>5</v>
      </c>
      <c r="S543">
        <v>5</v>
      </c>
      <c r="T543">
        <v>4</v>
      </c>
      <c r="U543">
        <v>1</v>
      </c>
      <c r="V543">
        <v>3</v>
      </c>
      <c r="W543" t="s">
        <v>56</v>
      </c>
      <c r="X543" s="1" t="d">
        <v>2017-05-24</v>
      </c>
      <c r="Z543" t="s">
        <v>52</v>
      </c>
      <c r="AA543" t="s">
        <v>46</v>
      </c>
      <c r="AB543">
        <v>2</v>
      </c>
      <c r="AC543">
        <v>1</v>
      </c>
      <c r="AD543" t="s">
        <v>32</v>
      </c>
      <c r="AE543" t="s">
        <v>42</v>
      </c>
      <c r="AF543" t="s">
        <v>43</v>
      </c>
      <c r="AG543">
        <f>IF(HR_Data[[#This Row],[Attrition]]="Yes",1,0)</f>
        <v>0</v>
      </c>
      <c r="AH543" t="str">
        <f>IF(HR_Data[Date_of_termination]="","Active","Left")</f>
        <v>Active</v>
      </c>
      <c r="AI543" t="str">
        <f>IF(HR_Data[YearsAtCompany]&lt;=2,"Fresher", IF(HR_Data[YearsAtCompany]&lt;=5,"Junior", IF(HR_Data[YearsAtCompany]&lt;=10, "Mid","Senior")))</f>
        <v>Junior</v>
      </c>
      <c r="AJ543" s="2" t="str">
        <f>IF(HR_Data[MonthlyIncome]&lt;=300,"Low", IF(HR_Data[MonthlyIncome]&lt;=7000,"Medium", "High"))</f>
        <v>Medium</v>
      </c>
      <c r="AK543" s="2" t="str">
        <f>VLOOKUP(HR_Data[JobRole], JobRole_Map[], 2, FALSE)</f>
        <v>Sales</v>
      </c>
    </row>
    <row r="544" spans="1:37" x14ac:dyDescent="0.25">
      <c r="A544" s="2">
        <v>23</v>
      </c>
      <c r="B544" t="s">
        <v>41</v>
      </c>
      <c r="C544" t="s">
        <v>33</v>
      </c>
      <c r="D544" t="s">
        <v>34</v>
      </c>
      <c r="E544">
        <v>20</v>
      </c>
      <c r="F544" t="s">
        <v>35</v>
      </c>
      <c r="G544">
        <v>3</v>
      </c>
      <c r="H544">
        <v>2</v>
      </c>
      <c r="I544" t="s">
        <v>36</v>
      </c>
      <c r="J544">
        <v>3</v>
      </c>
      <c r="K544" t="s">
        <v>37</v>
      </c>
      <c r="L544">
        <v>2272</v>
      </c>
      <c r="M544">
        <v>0</v>
      </c>
      <c r="N544" t="s">
        <v>41</v>
      </c>
      <c r="O544">
        <v>14</v>
      </c>
      <c r="P544">
        <v>3</v>
      </c>
      <c r="Q544">
        <v>0</v>
      </c>
      <c r="R544">
        <v>5</v>
      </c>
      <c r="S544">
        <v>2</v>
      </c>
      <c r="T544">
        <v>4</v>
      </c>
      <c r="U544">
        <v>1</v>
      </c>
      <c r="V544">
        <v>2</v>
      </c>
      <c r="W544" t="s">
        <v>65</v>
      </c>
      <c r="X544" s="1" t="d">
        <v>2017-02-02</v>
      </c>
      <c r="Z544" t="s">
        <v>52</v>
      </c>
      <c r="AA544" t="s">
        <v>46</v>
      </c>
      <c r="AB544">
        <v>1</v>
      </c>
      <c r="AC544">
        <v>2</v>
      </c>
      <c r="AD544" t="s">
        <v>41</v>
      </c>
      <c r="AE544" t="s">
        <v>47</v>
      </c>
      <c r="AF544" t="s">
        <v>48</v>
      </c>
      <c r="AG544">
        <f>IF(HR_Data[[#This Row],[Attrition]]="Yes",1,0)</f>
        <v>0</v>
      </c>
      <c r="AH544" t="str">
        <f>IF(HR_Data[Date_of_termination]="","Active","Left")</f>
        <v>Active</v>
      </c>
      <c r="AI544" t="str">
        <f>IF(HR_Data[YearsAtCompany]&lt;=2,"Fresher", IF(HR_Data[YearsAtCompany]&lt;=5,"Junior", IF(HR_Data[YearsAtCompany]&lt;=10, "Mid","Senior")))</f>
        <v>Junior</v>
      </c>
      <c r="AJ544" s="2" t="str">
        <f>IF(HR_Data[MonthlyIncome]&lt;=300,"Low", IF(HR_Data[MonthlyIncome]&lt;=7000,"Medium", "High"))</f>
        <v>Medium</v>
      </c>
      <c r="AK544" s="2" t="str">
        <f>VLOOKUP(HR_Data[JobRole], JobRole_Map[], 2, FALSE)</f>
        <v>Technical</v>
      </c>
    </row>
    <row r="545" spans="1:37" x14ac:dyDescent="0.25">
      <c r="A545" s="2">
        <v>30</v>
      </c>
      <c r="B545" t="s">
        <v>41</v>
      </c>
      <c r="C545" t="s">
        <v>33</v>
      </c>
      <c r="D545" t="s">
        <v>53</v>
      </c>
      <c r="E545">
        <v>29</v>
      </c>
      <c r="F545" t="s">
        <v>35</v>
      </c>
      <c r="G545">
        <v>3</v>
      </c>
      <c r="H545">
        <v>3</v>
      </c>
      <c r="I545" t="s">
        <v>64</v>
      </c>
      <c r="J545">
        <v>2</v>
      </c>
      <c r="K545" t="s">
        <v>50</v>
      </c>
      <c r="L545">
        <v>9250</v>
      </c>
      <c r="M545">
        <v>3</v>
      </c>
      <c r="N545" t="s">
        <v>41</v>
      </c>
      <c r="O545">
        <v>12</v>
      </c>
      <c r="P545">
        <v>3</v>
      </c>
      <c r="Q545">
        <v>1</v>
      </c>
      <c r="R545">
        <v>9</v>
      </c>
      <c r="S545">
        <v>3</v>
      </c>
      <c r="T545">
        <v>4</v>
      </c>
      <c r="U545">
        <v>1</v>
      </c>
      <c r="V545">
        <v>3</v>
      </c>
      <c r="W545" t="s">
        <v>56</v>
      </c>
      <c r="X545" s="1" t="d">
        <v>2017-05-29</v>
      </c>
      <c r="Z545" t="s">
        <v>45</v>
      </c>
      <c r="AA545" t="s">
        <v>46</v>
      </c>
      <c r="AB545">
        <v>1</v>
      </c>
      <c r="AC545">
        <v>0</v>
      </c>
      <c r="AD545" t="s">
        <v>41</v>
      </c>
      <c r="AE545" t="s">
        <v>62</v>
      </c>
      <c r="AF545" t="s">
        <v>57</v>
      </c>
      <c r="AG545">
        <f>IF(HR_Data[[#This Row],[Attrition]]="Yes",1,0)</f>
        <v>0</v>
      </c>
      <c r="AH545" t="str">
        <f>IF(HR_Data[Date_of_termination]="","Active","Left")</f>
        <v>Active</v>
      </c>
      <c r="AI545" t="str">
        <f>IF(HR_Data[YearsAtCompany]&lt;=2,"Fresher", IF(HR_Data[YearsAtCompany]&lt;=5,"Junior", IF(HR_Data[YearsAtCompany]&lt;=10, "Mid","Senior")))</f>
        <v>Junior</v>
      </c>
      <c r="AJ545" s="2" t="str">
        <f>IF(HR_Data[MonthlyIncome]&lt;=300,"Low", IF(HR_Data[MonthlyIncome]&lt;=7000,"Medium", "High"))</f>
        <v>High</v>
      </c>
      <c r="AK545" s="2" t="str">
        <f>VLOOKUP(HR_Data[JobRole], JobRole_Map[], 2, FALSE)</f>
        <v>Sales</v>
      </c>
    </row>
    <row r="546" spans="1:37" x14ac:dyDescent="0.25">
      <c r="A546" s="2">
        <v>22</v>
      </c>
      <c r="B546" t="s">
        <v>41</v>
      </c>
      <c r="C546" t="s">
        <v>68</v>
      </c>
      <c r="D546" t="s">
        <v>34</v>
      </c>
      <c r="E546">
        <v>26</v>
      </c>
      <c r="F546" t="s">
        <v>58</v>
      </c>
      <c r="G546">
        <v>2</v>
      </c>
      <c r="H546">
        <v>1</v>
      </c>
      <c r="I546" t="s">
        <v>44</v>
      </c>
      <c r="J546">
        <v>3</v>
      </c>
      <c r="K546" t="s">
        <v>50</v>
      </c>
      <c r="L546">
        <v>2814</v>
      </c>
      <c r="M546">
        <v>1</v>
      </c>
      <c r="N546" t="s">
        <v>32</v>
      </c>
      <c r="O546">
        <v>14</v>
      </c>
      <c r="P546">
        <v>3</v>
      </c>
      <c r="Q546">
        <v>0</v>
      </c>
      <c r="R546">
        <v>4</v>
      </c>
      <c r="S546">
        <v>2</v>
      </c>
      <c r="T546">
        <v>4</v>
      </c>
      <c r="U546">
        <v>1</v>
      </c>
      <c r="V546">
        <v>3</v>
      </c>
      <c r="W546" t="s">
        <v>65</v>
      </c>
      <c r="X546" s="1" t="d">
        <v>2017-05-25</v>
      </c>
      <c r="Z546" t="s">
        <v>63</v>
      </c>
      <c r="AA546" t="s">
        <v>46</v>
      </c>
      <c r="AB546">
        <v>4</v>
      </c>
      <c r="AC546">
        <v>2</v>
      </c>
      <c r="AD546" t="s">
        <v>41</v>
      </c>
      <c r="AE546" t="s">
        <v>42</v>
      </c>
      <c r="AF546" t="s">
        <v>48</v>
      </c>
      <c r="AG546">
        <f>IF(HR_Data[[#This Row],[Attrition]]="Yes",1,0)</f>
        <v>0</v>
      </c>
      <c r="AH546" t="str">
        <f>IF(HR_Data[Date_of_termination]="","Active","Left")</f>
        <v>Active</v>
      </c>
      <c r="AI546" t="str">
        <f>IF(HR_Data[YearsAtCompany]&lt;=2,"Fresher", IF(HR_Data[YearsAtCompany]&lt;=5,"Junior", IF(HR_Data[YearsAtCompany]&lt;=10, "Mid","Senior")))</f>
        <v>Junior</v>
      </c>
      <c r="AJ546" s="2" t="str">
        <f>IF(HR_Data[MonthlyIncome]&lt;=300,"Low", IF(HR_Data[MonthlyIncome]&lt;=7000,"Medium", "High"))</f>
        <v>Medium</v>
      </c>
      <c r="AK546" s="2" t="str">
        <f>VLOOKUP(HR_Data[JobRole], JobRole_Map[], 2, FALSE)</f>
        <v>Technical</v>
      </c>
    </row>
    <row r="547" spans="1:37" x14ac:dyDescent="0.25">
      <c r="A547" s="2">
        <v>37</v>
      </c>
      <c r="B547" t="s">
        <v>41</v>
      </c>
      <c r="C547" t="s">
        <v>33</v>
      </c>
      <c r="D547" t="s">
        <v>34</v>
      </c>
      <c r="E547">
        <v>19</v>
      </c>
      <c r="F547" t="s">
        <v>35</v>
      </c>
      <c r="G547">
        <v>3</v>
      </c>
      <c r="H547">
        <v>2</v>
      </c>
      <c r="I547" t="s">
        <v>67</v>
      </c>
      <c r="J547">
        <v>3</v>
      </c>
      <c r="K547" t="s">
        <v>50</v>
      </c>
      <c r="L547">
        <v>5768</v>
      </c>
      <c r="M547">
        <v>3</v>
      </c>
      <c r="N547" t="s">
        <v>41</v>
      </c>
      <c r="O547">
        <v>17</v>
      </c>
      <c r="P547">
        <v>3</v>
      </c>
      <c r="Q547">
        <v>3</v>
      </c>
      <c r="R547">
        <v>9</v>
      </c>
      <c r="S547">
        <v>2</v>
      </c>
      <c r="T547">
        <v>4</v>
      </c>
      <c r="U547">
        <v>0</v>
      </c>
      <c r="V547">
        <v>2</v>
      </c>
      <c r="W547" t="s">
        <v>65</v>
      </c>
      <c r="X547" s="1" t="d">
        <v>2017-03-27</v>
      </c>
      <c r="Z547" t="s">
        <v>52</v>
      </c>
      <c r="AA547" t="s">
        <v>40</v>
      </c>
      <c r="AB547">
        <v>1</v>
      </c>
      <c r="AC547">
        <v>1</v>
      </c>
      <c r="AD547" t="s">
        <v>41</v>
      </c>
      <c r="AE547" t="s">
        <v>60</v>
      </c>
      <c r="AF547" t="s">
        <v>57</v>
      </c>
      <c r="AG547">
        <f>IF(HR_Data[[#This Row],[Attrition]]="Yes",1,0)</f>
        <v>0</v>
      </c>
      <c r="AH547" t="str">
        <f>IF(HR_Data[Date_of_termination]="","Active","Left")</f>
        <v>Active</v>
      </c>
      <c r="AI547" t="str">
        <f>IF(HR_Data[YearsAtCompany]&lt;=2,"Fresher", IF(HR_Data[YearsAtCompany]&lt;=5,"Junior", IF(HR_Data[YearsAtCompany]&lt;=10, "Mid","Senior")))</f>
        <v>Junior</v>
      </c>
      <c r="AJ547" s="2" t="str">
        <f>IF(HR_Data[MonthlyIncome]&lt;=300,"Low", IF(HR_Data[MonthlyIncome]&lt;=7000,"Medium", "High"))</f>
        <v>Medium</v>
      </c>
      <c r="AK547" s="2" t="str">
        <f>VLOOKUP(HR_Data[JobRole], JobRole_Map[], 2, FALSE)</f>
        <v>Operations</v>
      </c>
    </row>
    <row r="548" spans="1:37" x14ac:dyDescent="0.25">
      <c r="A548" s="2">
        <v>40</v>
      </c>
      <c r="B548" t="s">
        <v>41</v>
      </c>
      <c r="C548" t="s">
        <v>33</v>
      </c>
      <c r="D548" t="s">
        <v>34</v>
      </c>
      <c r="E548">
        <v>16</v>
      </c>
      <c r="F548" t="s">
        <v>58</v>
      </c>
      <c r="G548">
        <v>3</v>
      </c>
      <c r="H548">
        <v>3</v>
      </c>
      <c r="I548" t="s">
        <v>67</v>
      </c>
      <c r="J548">
        <v>4</v>
      </c>
      <c r="K548" t="s">
        <v>37</v>
      </c>
      <c r="L548">
        <v>7945</v>
      </c>
      <c r="M548">
        <v>6</v>
      </c>
      <c r="N548" t="s">
        <v>32</v>
      </c>
      <c r="O548">
        <v>15</v>
      </c>
      <c r="P548">
        <v>3</v>
      </c>
      <c r="Q548">
        <v>0</v>
      </c>
      <c r="R548">
        <v>18</v>
      </c>
      <c r="S548">
        <v>2</v>
      </c>
      <c r="T548">
        <v>4</v>
      </c>
      <c r="U548">
        <v>3</v>
      </c>
      <c r="V548">
        <v>3</v>
      </c>
      <c r="W548" t="s">
        <v>65</v>
      </c>
      <c r="X548" s="1" t="d">
        <v>2017-05-03</v>
      </c>
      <c r="Z548" t="s">
        <v>45</v>
      </c>
      <c r="AA548" t="s">
        <v>46</v>
      </c>
      <c r="AB548">
        <v>0</v>
      </c>
      <c r="AC548">
        <v>3</v>
      </c>
      <c r="AD548" t="s">
        <v>41</v>
      </c>
      <c r="AE548" t="s">
        <v>60</v>
      </c>
      <c r="AF548" t="s">
        <v>43</v>
      </c>
      <c r="AG548">
        <f>IF(HR_Data[[#This Row],[Attrition]]="Yes",1,0)</f>
        <v>0</v>
      </c>
      <c r="AH548" t="str">
        <f>IF(HR_Data[Date_of_termination]="","Active","Left")</f>
        <v>Active</v>
      </c>
      <c r="AI548" t="str">
        <f>IF(HR_Data[YearsAtCompany]&lt;=2,"Fresher", IF(HR_Data[YearsAtCompany]&lt;=5,"Junior", IF(HR_Data[YearsAtCompany]&lt;=10, "Mid","Senior")))</f>
        <v>Junior</v>
      </c>
      <c r="AJ548" s="2" t="str">
        <f>IF(HR_Data[MonthlyIncome]&lt;=300,"Low", IF(HR_Data[MonthlyIncome]&lt;=7000,"Medium", "High"))</f>
        <v>High</v>
      </c>
      <c r="AK548" s="2" t="str">
        <f>VLOOKUP(HR_Data[JobRole], JobRole_Map[], 2, FALSE)</f>
        <v>Operations</v>
      </c>
    </row>
    <row r="549" spans="1:37" x14ac:dyDescent="0.25">
      <c r="A549" s="2">
        <v>27</v>
      </c>
      <c r="B549" t="s">
        <v>41</v>
      </c>
      <c r="C549" t="s">
        <v>61</v>
      </c>
      <c r="D549" t="s">
        <v>34</v>
      </c>
      <c r="E549">
        <v>2</v>
      </c>
      <c r="F549" t="s">
        <v>35</v>
      </c>
      <c r="G549">
        <v>3</v>
      </c>
      <c r="H549">
        <v>1</v>
      </c>
      <c r="I549" t="s">
        <v>44</v>
      </c>
      <c r="J549">
        <v>4</v>
      </c>
      <c r="K549" t="s">
        <v>37</v>
      </c>
      <c r="L549">
        <v>2580</v>
      </c>
      <c r="M549">
        <v>2</v>
      </c>
      <c r="N549" t="s">
        <v>41</v>
      </c>
      <c r="O549">
        <v>13</v>
      </c>
      <c r="P549">
        <v>3</v>
      </c>
      <c r="Q549">
        <v>0</v>
      </c>
      <c r="R549">
        <v>6</v>
      </c>
      <c r="S549">
        <v>0</v>
      </c>
      <c r="T549">
        <v>4</v>
      </c>
      <c r="U549">
        <v>1</v>
      </c>
      <c r="V549">
        <v>2</v>
      </c>
      <c r="W549" t="s">
        <v>65</v>
      </c>
      <c r="X549" s="1" t="d">
        <v>2017-05-17</v>
      </c>
      <c r="Z549" t="s">
        <v>59</v>
      </c>
      <c r="AA549" t="s">
        <v>40</v>
      </c>
      <c r="AB549">
        <v>2</v>
      </c>
      <c r="AC549">
        <v>3</v>
      </c>
      <c r="AD549" t="s">
        <v>32</v>
      </c>
      <c r="AE549" t="s">
        <v>47</v>
      </c>
      <c r="AF549" t="s">
        <v>48</v>
      </c>
      <c r="AG549">
        <f>IF(HR_Data[[#This Row],[Attrition]]="Yes",1,0)</f>
        <v>0</v>
      </c>
      <c r="AH549" t="str">
        <f>IF(HR_Data[Date_of_termination]="","Active","Left")</f>
        <v>Active</v>
      </c>
      <c r="AI549" t="str">
        <f>IF(HR_Data[YearsAtCompany]&lt;=2,"Fresher", IF(HR_Data[YearsAtCompany]&lt;=5,"Junior", IF(HR_Data[YearsAtCompany]&lt;=10, "Mid","Senior")))</f>
        <v>Junior</v>
      </c>
      <c r="AJ549" s="2" t="str">
        <f>IF(HR_Data[MonthlyIncome]&lt;=300,"Low", IF(HR_Data[MonthlyIncome]&lt;=7000,"Medium", "High"))</f>
        <v>Medium</v>
      </c>
      <c r="AK549" s="2" t="str">
        <f>VLOOKUP(HR_Data[JobRole], JobRole_Map[], 2, FALSE)</f>
        <v>Technical</v>
      </c>
    </row>
    <row r="550" spans="1:37" x14ac:dyDescent="0.25">
      <c r="A550" s="2">
        <v>40</v>
      </c>
      <c r="B550" t="s">
        <v>32</v>
      </c>
      <c r="C550" t="s">
        <v>33</v>
      </c>
      <c r="D550" t="s">
        <v>34</v>
      </c>
      <c r="E550">
        <v>7</v>
      </c>
      <c r="F550" t="s">
        <v>35</v>
      </c>
      <c r="G550">
        <v>3</v>
      </c>
      <c r="H550">
        <v>1</v>
      </c>
      <c r="I550" t="s">
        <v>36</v>
      </c>
      <c r="J550">
        <v>1</v>
      </c>
      <c r="K550" t="s">
        <v>37</v>
      </c>
      <c r="L550">
        <v>2166</v>
      </c>
      <c r="M550">
        <v>3</v>
      </c>
      <c r="N550" t="s">
        <v>32</v>
      </c>
      <c r="O550">
        <v>14</v>
      </c>
      <c r="P550">
        <v>3</v>
      </c>
      <c r="Q550">
        <v>0</v>
      </c>
      <c r="R550">
        <v>10</v>
      </c>
      <c r="S550">
        <v>3</v>
      </c>
      <c r="T550">
        <v>4</v>
      </c>
      <c r="U550">
        <v>0</v>
      </c>
      <c r="V550">
        <v>3</v>
      </c>
      <c r="W550" t="s">
        <v>51</v>
      </c>
      <c r="X550" s="1" t="d">
        <v>2017-05-17</v>
      </c>
      <c r="Z550" t="s">
        <v>63</v>
      </c>
      <c r="AA550" t="s">
        <v>46</v>
      </c>
      <c r="AB550">
        <v>1</v>
      </c>
      <c r="AC550">
        <v>1</v>
      </c>
      <c r="AD550" t="s">
        <v>41</v>
      </c>
      <c r="AE550" t="s">
        <v>62</v>
      </c>
      <c r="AF550" t="s">
        <v>57</v>
      </c>
      <c r="AG550">
        <f>IF(HR_Data[[#This Row],[Attrition]]="Yes",1,0)</f>
        <v>1</v>
      </c>
      <c r="AH550" t="str">
        <f>IF(HR_Data[Date_of_termination]="","Active","Left")</f>
        <v>Active</v>
      </c>
      <c r="AI550" t="str">
        <f>IF(HR_Data[YearsAtCompany]&lt;=2,"Fresher", IF(HR_Data[YearsAtCompany]&lt;=5,"Junior", IF(HR_Data[YearsAtCompany]&lt;=10, "Mid","Senior")))</f>
        <v>Junior</v>
      </c>
      <c r="AJ550" s="2" t="str">
        <f>IF(HR_Data[MonthlyIncome]&lt;=300,"Low", IF(HR_Data[MonthlyIncome]&lt;=7000,"Medium", "High"))</f>
        <v>Medium</v>
      </c>
      <c r="AK550" s="2" t="str">
        <f>VLOOKUP(HR_Data[JobRole], JobRole_Map[], 2, FALSE)</f>
        <v>Technical</v>
      </c>
    </row>
    <row r="551" spans="1:37" x14ac:dyDescent="0.25">
      <c r="A551" s="2">
        <v>49</v>
      </c>
      <c r="B551" t="s">
        <v>41</v>
      </c>
      <c r="C551" t="s">
        <v>33</v>
      </c>
      <c r="D551" t="s">
        <v>34</v>
      </c>
      <c r="E551">
        <v>22</v>
      </c>
      <c r="F551" t="s">
        <v>58</v>
      </c>
      <c r="G551">
        <v>3</v>
      </c>
      <c r="H551">
        <v>4</v>
      </c>
      <c r="I551" t="s">
        <v>49</v>
      </c>
      <c r="J551">
        <v>2</v>
      </c>
      <c r="K551" t="s">
        <v>50</v>
      </c>
      <c r="L551">
        <v>16413</v>
      </c>
      <c r="M551">
        <v>3</v>
      </c>
      <c r="N551" t="s">
        <v>41</v>
      </c>
      <c r="O551">
        <v>16</v>
      </c>
      <c r="P551">
        <v>3</v>
      </c>
      <c r="Q551">
        <v>2</v>
      </c>
      <c r="R551">
        <v>27</v>
      </c>
      <c r="S551">
        <v>2</v>
      </c>
      <c r="T551">
        <v>4</v>
      </c>
      <c r="U551">
        <v>1</v>
      </c>
      <c r="V551">
        <v>2</v>
      </c>
      <c r="W551" t="s">
        <v>38</v>
      </c>
      <c r="X551" s="1" t="d">
        <v>2017-01-16</v>
      </c>
      <c r="Z551" t="s">
        <v>52</v>
      </c>
      <c r="AA551" t="s">
        <v>40</v>
      </c>
      <c r="AB551">
        <v>0</v>
      </c>
      <c r="AC551">
        <v>0</v>
      </c>
      <c r="AD551" t="s">
        <v>41</v>
      </c>
      <c r="AE551" t="s">
        <v>62</v>
      </c>
      <c r="AF551" t="s">
        <v>43</v>
      </c>
      <c r="AG551">
        <f>IF(HR_Data[[#This Row],[Attrition]]="Yes",1,0)</f>
        <v>0</v>
      </c>
      <c r="AH551" t="str">
        <f>IF(HR_Data[Date_of_termination]="","Active","Left")</f>
        <v>Active</v>
      </c>
      <c r="AI551" t="str">
        <f>IF(HR_Data[YearsAtCompany]&lt;=2,"Fresher", IF(HR_Data[YearsAtCompany]&lt;=5,"Junior", IF(HR_Data[YearsAtCompany]&lt;=10, "Mid","Senior")))</f>
        <v>Junior</v>
      </c>
      <c r="AJ551" s="2" t="str">
        <f>IF(HR_Data[MonthlyIncome]&lt;=300,"Low", IF(HR_Data[MonthlyIncome]&lt;=7000,"Medium", "High"))</f>
        <v>High</v>
      </c>
      <c r="AK551" s="2" t="str">
        <f>VLOOKUP(HR_Data[JobRole], JobRole_Map[], 2, FALSE)</f>
        <v>Management</v>
      </c>
    </row>
    <row r="552" spans="1:37" x14ac:dyDescent="0.25">
      <c r="A552" s="2">
        <v>36</v>
      </c>
      <c r="B552" t="s">
        <v>41</v>
      </c>
      <c r="C552" t="s">
        <v>33</v>
      </c>
      <c r="D552" t="s">
        <v>34</v>
      </c>
      <c r="E552">
        <v>7</v>
      </c>
      <c r="F552" t="s">
        <v>35</v>
      </c>
      <c r="G552">
        <v>3</v>
      </c>
      <c r="H552">
        <v>1</v>
      </c>
      <c r="I552" t="s">
        <v>36</v>
      </c>
      <c r="J552">
        <v>2</v>
      </c>
      <c r="K552" t="s">
        <v>37</v>
      </c>
      <c r="L552">
        <v>2013</v>
      </c>
      <c r="M552">
        <v>2</v>
      </c>
      <c r="N552" t="s">
        <v>41</v>
      </c>
      <c r="O552">
        <v>11</v>
      </c>
      <c r="P552">
        <v>3</v>
      </c>
      <c r="Q552">
        <v>0</v>
      </c>
      <c r="R552">
        <v>15</v>
      </c>
      <c r="S552">
        <v>4</v>
      </c>
      <c r="T552">
        <v>4</v>
      </c>
      <c r="U552">
        <v>1</v>
      </c>
      <c r="V552">
        <v>3</v>
      </c>
      <c r="W552" t="s">
        <v>56</v>
      </c>
      <c r="X552" s="1" t="d">
        <v>2017-06-23</v>
      </c>
      <c r="Z552" t="s">
        <v>45</v>
      </c>
      <c r="AA552" t="s">
        <v>46</v>
      </c>
      <c r="AB552">
        <v>4</v>
      </c>
      <c r="AC552">
        <v>0</v>
      </c>
      <c r="AD552" t="s">
        <v>32</v>
      </c>
      <c r="AE552" t="s">
        <v>47</v>
      </c>
      <c r="AF552" t="s">
        <v>43</v>
      </c>
      <c r="AG552">
        <f>IF(HR_Data[[#This Row],[Attrition]]="Yes",1,0)</f>
        <v>0</v>
      </c>
      <c r="AH552" t="str">
        <f>IF(HR_Data[Date_of_termination]="","Active","Left")</f>
        <v>Active</v>
      </c>
      <c r="AI552" t="str">
        <f>IF(HR_Data[YearsAtCompany]&lt;=2,"Fresher", IF(HR_Data[YearsAtCompany]&lt;=5,"Junior", IF(HR_Data[YearsAtCompany]&lt;=10, "Mid","Senior")))</f>
        <v>Junior</v>
      </c>
      <c r="AJ552" s="2" t="str">
        <f>IF(HR_Data[MonthlyIncome]&lt;=300,"Low", IF(HR_Data[MonthlyIncome]&lt;=7000,"Medium", "High"))</f>
        <v>Medium</v>
      </c>
      <c r="AK552" s="2" t="str">
        <f>VLOOKUP(HR_Data[JobRole], JobRole_Map[], 2, FALSE)</f>
        <v>Technical</v>
      </c>
    </row>
    <row r="553" spans="1:37" x14ac:dyDescent="0.25">
      <c r="A553" s="2">
        <v>38</v>
      </c>
      <c r="B553" t="s">
        <v>41</v>
      </c>
      <c r="C553" t="s">
        <v>61</v>
      </c>
      <c r="D553" t="s">
        <v>34</v>
      </c>
      <c r="E553">
        <v>2</v>
      </c>
      <c r="F553" t="s">
        <v>58</v>
      </c>
      <c r="G553">
        <v>2</v>
      </c>
      <c r="H553">
        <v>1</v>
      </c>
      <c r="I553" t="s">
        <v>36</v>
      </c>
      <c r="J553">
        <v>2</v>
      </c>
      <c r="K553" t="s">
        <v>37</v>
      </c>
      <c r="L553">
        <v>2440</v>
      </c>
      <c r="M553">
        <v>1</v>
      </c>
      <c r="N553" t="s">
        <v>41</v>
      </c>
      <c r="O553">
        <v>22</v>
      </c>
      <c r="P553">
        <v>4</v>
      </c>
      <c r="Q553">
        <v>0</v>
      </c>
      <c r="R553">
        <v>4</v>
      </c>
      <c r="S553">
        <v>3</v>
      </c>
      <c r="T553">
        <v>4</v>
      </c>
      <c r="U553">
        <v>3</v>
      </c>
      <c r="V553">
        <v>3</v>
      </c>
      <c r="W553" t="s">
        <v>38</v>
      </c>
      <c r="X553" s="1" t="d">
        <v>2017-04-07</v>
      </c>
      <c r="Z553" t="s">
        <v>63</v>
      </c>
      <c r="AA553" t="s">
        <v>46</v>
      </c>
      <c r="AB553">
        <v>5</v>
      </c>
      <c r="AC553">
        <v>1</v>
      </c>
      <c r="AD553" t="s">
        <v>41</v>
      </c>
      <c r="AE553" t="s">
        <v>60</v>
      </c>
      <c r="AF553" t="s">
        <v>43</v>
      </c>
      <c r="AG553">
        <f>IF(HR_Data[[#This Row],[Attrition]]="Yes",1,0)</f>
        <v>0</v>
      </c>
      <c r="AH553" t="str">
        <f>IF(HR_Data[Date_of_termination]="","Active","Left")</f>
        <v>Active</v>
      </c>
      <c r="AI553" t="str">
        <f>IF(HR_Data[YearsAtCompany]&lt;=2,"Fresher", IF(HR_Data[YearsAtCompany]&lt;=5,"Junior", IF(HR_Data[YearsAtCompany]&lt;=10, "Mid","Senior")))</f>
        <v>Junior</v>
      </c>
      <c r="AJ553" s="2" t="str">
        <f>IF(HR_Data[MonthlyIncome]&lt;=300,"Low", IF(HR_Data[MonthlyIncome]&lt;=7000,"Medium", "High"))</f>
        <v>Medium</v>
      </c>
      <c r="AK553" s="2" t="str">
        <f>VLOOKUP(HR_Data[JobRole], JobRole_Map[], 2, FALSE)</f>
        <v>Technical</v>
      </c>
    </row>
    <row r="554" spans="1:37" x14ac:dyDescent="0.25">
      <c r="A554" s="2">
        <v>53</v>
      </c>
      <c r="B554" t="s">
        <v>41</v>
      </c>
      <c r="C554" t="s">
        <v>33</v>
      </c>
      <c r="D554" t="s">
        <v>34</v>
      </c>
      <c r="E554">
        <v>24</v>
      </c>
      <c r="F554" t="s">
        <v>35</v>
      </c>
      <c r="G554">
        <v>4</v>
      </c>
      <c r="H554">
        <v>3</v>
      </c>
      <c r="I554" t="s">
        <v>69</v>
      </c>
      <c r="J554">
        <v>4</v>
      </c>
      <c r="K554" t="s">
        <v>50</v>
      </c>
      <c r="L554">
        <v>7005</v>
      </c>
      <c r="M554">
        <v>3</v>
      </c>
      <c r="N554" t="s">
        <v>41</v>
      </c>
      <c r="O554">
        <v>15</v>
      </c>
      <c r="P554">
        <v>3</v>
      </c>
      <c r="Q554">
        <v>0</v>
      </c>
      <c r="R554">
        <v>11</v>
      </c>
      <c r="S554">
        <v>2</v>
      </c>
      <c r="T554">
        <v>4</v>
      </c>
      <c r="U554">
        <v>1</v>
      </c>
      <c r="V554">
        <v>2</v>
      </c>
      <c r="W554" t="s">
        <v>56</v>
      </c>
      <c r="X554" s="1" t="d">
        <v>2017-03-24</v>
      </c>
      <c r="Z554" t="s">
        <v>59</v>
      </c>
      <c r="AA554" t="s">
        <v>40</v>
      </c>
      <c r="AB554">
        <v>5</v>
      </c>
      <c r="AC554">
        <v>3</v>
      </c>
      <c r="AD554" t="s">
        <v>32</v>
      </c>
      <c r="AE554" t="s">
        <v>60</v>
      </c>
      <c r="AF554" t="s">
        <v>57</v>
      </c>
      <c r="AG554">
        <f>IF(HR_Data[[#This Row],[Attrition]]="Yes",1,0)</f>
        <v>0</v>
      </c>
      <c r="AH554" t="str">
        <f>IF(HR_Data[Date_of_termination]="","Active","Left")</f>
        <v>Active</v>
      </c>
      <c r="AI554" t="str">
        <f>IF(HR_Data[YearsAtCompany]&lt;=2,"Fresher", IF(HR_Data[YearsAtCompany]&lt;=5,"Junior", IF(HR_Data[YearsAtCompany]&lt;=10, "Mid","Senior")))</f>
        <v>Junior</v>
      </c>
      <c r="AJ554" s="2" t="str">
        <f>IF(HR_Data[MonthlyIncome]&lt;=300,"Low", IF(HR_Data[MonthlyIncome]&lt;=7000,"Medium", "High"))</f>
        <v>High</v>
      </c>
      <c r="AK554" s="2" t="str">
        <f>VLOOKUP(HR_Data[JobRole], JobRole_Map[], 2, FALSE)</f>
        <v>Operations</v>
      </c>
    </row>
    <row r="555" spans="1:37" x14ac:dyDescent="0.25">
      <c r="A555" s="2">
        <v>55</v>
      </c>
      <c r="B555" t="s">
        <v>41</v>
      </c>
      <c r="C555" t="s">
        <v>33</v>
      </c>
      <c r="D555" t="s">
        <v>34</v>
      </c>
      <c r="E555">
        <v>22</v>
      </c>
      <c r="F555" t="s">
        <v>35</v>
      </c>
      <c r="G555">
        <v>2</v>
      </c>
      <c r="H555">
        <v>1</v>
      </c>
      <c r="I555" t="s">
        <v>44</v>
      </c>
      <c r="J555">
        <v>2</v>
      </c>
      <c r="K555" t="s">
        <v>55</v>
      </c>
      <c r="L555">
        <v>3537</v>
      </c>
      <c r="M555">
        <v>5</v>
      </c>
      <c r="N555" t="s">
        <v>41</v>
      </c>
      <c r="O555">
        <v>12</v>
      </c>
      <c r="P555">
        <v>3</v>
      </c>
      <c r="Q555">
        <v>1</v>
      </c>
      <c r="R555">
        <v>8</v>
      </c>
      <c r="S555">
        <v>1</v>
      </c>
      <c r="T555">
        <v>4</v>
      </c>
      <c r="U555">
        <v>1</v>
      </c>
      <c r="V555">
        <v>2</v>
      </c>
      <c r="W555" t="s">
        <v>51</v>
      </c>
      <c r="X555" s="1" t="d">
        <v>2017-05-18</v>
      </c>
      <c r="Z555" t="s">
        <v>59</v>
      </c>
      <c r="AA555" t="s">
        <v>46</v>
      </c>
      <c r="AB555">
        <v>5</v>
      </c>
      <c r="AC555">
        <v>1</v>
      </c>
      <c r="AD555" t="s">
        <v>32</v>
      </c>
      <c r="AE555" t="s">
        <v>47</v>
      </c>
      <c r="AF555" t="s">
        <v>43</v>
      </c>
      <c r="AG555">
        <f>IF(HR_Data[[#This Row],[Attrition]]="Yes",1,0)</f>
        <v>0</v>
      </c>
      <c r="AH555" t="str">
        <f>IF(HR_Data[Date_of_termination]="","Active","Left")</f>
        <v>Active</v>
      </c>
      <c r="AI555" t="str">
        <f>IF(HR_Data[YearsAtCompany]&lt;=2,"Fresher", IF(HR_Data[YearsAtCompany]&lt;=5,"Junior", IF(HR_Data[YearsAtCompany]&lt;=10, "Mid","Senior")))</f>
        <v>Junior</v>
      </c>
      <c r="AJ555" s="2" t="str">
        <f>IF(HR_Data[MonthlyIncome]&lt;=300,"Low", IF(HR_Data[MonthlyIncome]&lt;=7000,"Medium", "High"))</f>
        <v>Medium</v>
      </c>
      <c r="AK555" s="2" t="str">
        <f>VLOOKUP(HR_Data[JobRole], JobRole_Map[], 2, FALSE)</f>
        <v>Technical</v>
      </c>
    </row>
    <row r="556" spans="1:37" x14ac:dyDescent="0.25">
      <c r="A556" s="2">
        <v>32</v>
      </c>
      <c r="B556" t="s">
        <v>41</v>
      </c>
      <c r="C556" t="s">
        <v>33</v>
      </c>
      <c r="D556" t="s">
        <v>53</v>
      </c>
      <c r="E556">
        <v>19</v>
      </c>
      <c r="F556" t="s">
        <v>35</v>
      </c>
      <c r="G556">
        <v>1</v>
      </c>
      <c r="H556">
        <v>3</v>
      </c>
      <c r="I556" t="s">
        <v>64</v>
      </c>
      <c r="J556">
        <v>3</v>
      </c>
      <c r="K556" t="s">
        <v>50</v>
      </c>
      <c r="L556">
        <v>9610</v>
      </c>
      <c r="M556">
        <v>3</v>
      </c>
      <c r="N556" t="s">
        <v>41</v>
      </c>
      <c r="O556">
        <v>13</v>
      </c>
      <c r="P556">
        <v>3</v>
      </c>
      <c r="Q556">
        <v>1</v>
      </c>
      <c r="R556">
        <v>10</v>
      </c>
      <c r="S556">
        <v>2</v>
      </c>
      <c r="T556">
        <v>4</v>
      </c>
      <c r="U556">
        <v>0</v>
      </c>
      <c r="V556">
        <v>2</v>
      </c>
      <c r="W556" t="s">
        <v>51</v>
      </c>
      <c r="X556" s="1" t="d">
        <v>2017-02-25</v>
      </c>
      <c r="Z556" t="s">
        <v>52</v>
      </c>
      <c r="AA556" t="s">
        <v>46</v>
      </c>
      <c r="AB556">
        <v>5</v>
      </c>
      <c r="AC556">
        <v>3</v>
      </c>
      <c r="AD556" t="s">
        <v>41</v>
      </c>
      <c r="AE556" t="s">
        <v>42</v>
      </c>
      <c r="AF556" t="s">
        <v>43</v>
      </c>
      <c r="AG556">
        <f>IF(HR_Data[[#This Row],[Attrition]]="Yes",1,0)</f>
        <v>0</v>
      </c>
      <c r="AH556" t="str">
        <f>IF(HR_Data[Date_of_termination]="","Active","Left")</f>
        <v>Active</v>
      </c>
      <c r="AI556" t="str">
        <f>IF(HR_Data[YearsAtCompany]&lt;=2,"Fresher", IF(HR_Data[YearsAtCompany]&lt;=5,"Junior", IF(HR_Data[YearsAtCompany]&lt;=10, "Mid","Senior")))</f>
        <v>Junior</v>
      </c>
      <c r="AJ556" s="2" t="str">
        <f>IF(HR_Data[MonthlyIncome]&lt;=300,"Low", IF(HR_Data[MonthlyIncome]&lt;=7000,"Medium", "High"))</f>
        <v>High</v>
      </c>
      <c r="AK556" s="2" t="str">
        <f>VLOOKUP(HR_Data[JobRole], JobRole_Map[], 2, FALSE)</f>
        <v>Sales</v>
      </c>
    </row>
    <row r="557" spans="1:37" x14ac:dyDescent="0.25">
      <c r="A557" s="2">
        <v>30</v>
      </c>
      <c r="B557" t="s">
        <v>32</v>
      </c>
      <c r="C557" t="s">
        <v>61</v>
      </c>
      <c r="D557" t="s">
        <v>70</v>
      </c>
      <c r="E557">
        <v>8</v>
      </c>
      <c r="F557" t="s">
        <v>58</v>
      </c>
      <c r="G557">
        <v>2</v>
      </c>
      <c r="H557">
        <v>1</v>
      </c>
      <c r="I557" t="s">
        <v>70</v>
      </c>
      <c r="J557">
        <v>4</v>
      </c>
      <c r="K557" t="s">
        <v>55</v>
      </c>
      <c r="L557">
        <v>2180</v>
      </c>
      <c r="M557">
        <v>6</v>
      </c>
      <c r="N557" t="s">
        <v>41</v>
      </c>
      <c r="O557">
        <v>11</v>
      </c>
      <c r="P557">
        <v>3</v>
      </c>
      <c r="Q557">
        <v>1</v>
      </c>
      <c r="R557">
        <v>6</v>
      </c>
      <c r="S557">
        <v>0</v>
      </c>
      <c r="T557">
        <v>4</v>
      </c>
      <c r="U557">
        <v>1</v>
      </c>
      <c r="V557">
        <v>2</v>
      </c>
      <c r="W557" t="s">
        <v>38</v>
      </c>
      <c r="X557" s="1" t="d">
        <v>2017-03-13</v>
      </c>
      <c r="Z557" t="s">
        <v>52</v>
      </c>
      <c r="AA557" t="s">
        <v>46</v>
      </c>
      <c r="AB557">
        <v>4</v>
      </c>
      <c r="AC557">
        <v>1</v>
      </c>
      <c r="AD557" t="s">
        <v>32</v>
      </c>
      <c r="AE557" t="s">
        <v>62</v>
      </c>
      <c r="AF557" t="s">
        <v>43</v>
      </c>
      <c r="AG557">
        <f>IF(HR_Data[[#This Row],[Attrition]]="Yes",1,0)</f>
        <v>1</v>
      </c>
      <c r="AH557" t="str">
        <f>IF(HR_Data[Date_of_termination]="","Active","Left")</f>
        <v>Active</v>
      </c>
      <c r="AI557" t="str">
        <f>IF(HR_Data[YearsAtCompany]&lt;=2,"Fresher", IF(HR_Data[YearsAtCompany]&lt;=5,"Junior", IF(HR_Data[YearsAtCompany]&lt;=10, "Mid","Senior")))</f>
        <v>Junior</v>
      </c>
      <c r="AJ557" s="2" t="str">
        <f>IF(HR_Data[MonthlyIncome]&lt;=300,"Low", IF(HR_Data[MonthlyIncome]&lt;=7000,"Medium", "High"))</f>
        <v>Medium</v>
      </c>
      <c r="AK557" s="2" t="str">
        <f>VLOOKUP(HR_Data[JobRole], JobRole_Map[], 2, FALSE)</f>
        <v>HR</v>
      </c>
    </row>
    <row r="558" spans="1:37" x14ac:dyDescent="0.25">
      <c r="A558" s="2">
        <v>39</v>
      </c>
      <c r="B558" t="s">
        <v>41</v>
      </c>
      <c r="C558" t="s">
        <v>33</v>
      </c>
      <c r="D558" t="s">
        <v>34</v>
      </c>
      <c r="E558">
        <v>10</v>
      </c>
      <c r="F558" t="s">
        <v>35</v>
      </c>
      <c r="G558">
        <v>3</v>
      </c>
      <c r="H558">
        <v>3</v>
      </c>
      <c r="I558" t="s">
        <v>49</v>
      </c>
      <c r="J558">
        <v>3</v>
      </c>
      <c r="K558" t="s">
        <v>37</v>
      </c>
      <c r="L558">
        <v>13464</v>
      </c>
      <c r="M558">
        <v>7</v>
      </c>
      <c r="N558" t="s">
        <v>41</v>
      </c>
      <c r="O558">
        <v>21</v>
      </c>
      <c r="P558">
        <v>4</v>
      </c>
      <c r="Q558">
        <v>0</v>
      </c>
      <c r="R558">
        <v>9</v>
      </c>
      <c r="S558">
        <v>3</v>
      </c>
      <c r="T558">
        <v>4</v>
      </c>
      <c r="U558">
        <v>2</v>
      </c>
      <c r="V558">
        <v>2</v>
      </c>
      <c r="W558" t="s">
        <v>51</v>
      </c>
      <c r="X558" s="1" t="d">
        <v>2017-04-21</v>
      </c>
      <c r="Z558" t="s">
        <v>52</v>
      </c>
      <c r="AA558" t="s">
        <v>46</v>
      </c>
      <c r="AB558">
        <v>3</v>
      </c>
      <c r="AC558">
        <v>2</v>
      </c>
      <c r="AD558" t="s">
        <v>32</v>
      </c>
      <c r="AE558" t="s">
        <v>60</v>
      </c>
      <c r="AF558" t="s">
        <v>48</v>
      </c>
      <c r="AG558">
        <f>IF(HR_Data[[#This Row],[Attrition]]="Yes",1,0)</f>
        <v>0</v>
      </c>
      <c r="AH558" t="str">
        <f>IF(HR_Data[Date_of_termination]="","Active","Left")</f>
        <v>Active</v>
      </c>
      <c r="AI558" t="str">
        <f>IF(HR_Data[YearsAtCompany]&lt;=2,"Fresher", IF(HR_Data[YearsAtCompany]&lt;=5,"Junior", IF(HR_Data[YearsAtCompany]&lt;=10, "Mid","Senior")))</f>
        <v>Junior</v>
      </c>
      <c r="AJ558" s="2" t="str">
        <f>IF(HR_Data[MonthlyIncome]&lt;=300,"Low", IF(HR_Data[MonthlyIncome]&lt;=7000,"Medium", "High"))</f>
        <v>High</v>
      </c>
      <c r="AK558" s="2" t="str">
        <f>VLOOKUP(HR_Data[JobRole], JobRole_Map[], 2, FALSE)</f>
        <v>Management</v>
      </c>
    </row>
    <row r="559" spans="1:37" x14ac:dyDescent="0.25">
      <c r="A559" s="2">
        <v>40</v>
      </c>
      <c r="B559" t="s">
        <v>41</v>
      </c>
      <c r="C559" t="s">
        <v>33</v>
      </c>
      <c r="D559" t="s">
        <v>34</v>
      </c>
      <c r="E559">
        <v>2</v>
      </c>
      <c r="F559" t="s">
        <v>58</v>
      </c>
      <c r="G559">
        <v>3</v>
      </c>
      <c r="H559">
        <v>1</v>
      </c>
      <c r="I559" t="s">
        <v>36</v>
      </c>
      <c r="J559">
        <v>1</v>
      </c>
      <c r="K559" t="s">
        <v>50</v>
      </c>
      <c r="L559">
        <v>3377</v>
      </c>
      <c r="M559">
        <v>4</v>
      </c>
      <c r="N559" t="s">
        <v>41</v>
      </c>
      <c r="O559">
        <v>17</v>
      </c>
      <c r="P559">
        <v>3</v>
      </c>
      <c r="Q559">
        <v>1</v>
      </c>
      <c r="R559">
        <v>7</v>
      </c>
      <c r="S559">
        <v>5</v>
      </c>
      <c r="T559">
        <v>4</v>
      </c>
      <c r="U559">
        <v>0</v>
      </c>
      <c r="V559">
        <v>2</v>
      </c>
      <c r="W559" t="s">
        <v>51</v>
      </c>
      <c r="X559" s="1" t="d">
        <v>2017-03-04</v>
      </c>
      <c r="Z559" t="s">
        <v>59</v>
      </c>
      <c r="AA559" t="s">
        <v>40</v>
      </c>
      <c r="AB559">
        <v>2</v>
      </c>
      <c r="AC559">
        <v>1</v>
      </c>
      <c r="AD559" t="s">
        <v>41</v>
      </c>
      <c r="AE559" t="s">
        <v>60</v>
      </c>
      <c r="AF559" t="s">
        <v>57</v>
      </c>
      <c r="AG559">
        <f>IF(HR_Data[[#This Row],[Attrition]]="Yes",1,0)</f>
        <v>0</v>
      </c>
      <c r="AH559" t="str">
        <f>IF(HR_Data[Date_of_termination]="","Active","Left")</f>
        <v>Active</v>
      </c>
      <c r="AI559" t="str">
        <f>IF(HR_Data[YearsAtCompany]&lt;=2,"Fresher", IF(HR_Data[YearsAtCompany]&lt;=5,"Junior", IF(HR_Data[YearsAtCompany]&lt;=10, "Mid","Senior")))</f>
        <v>Junior</v>
      </c>
      <c r="AJ559" s="2" t="str">
        <f>IF(HR_Data[MonthlyIncome]&lt;=300,"Low", IF(HR_Data[MonthlyIncome]&lt;=7000,"Medium", "High"))</f>
        <v>Medium</v>
      </c>
      <c r="AK559" s="2" t="str">
        <f>VLOOKUP(HR_Data[JobRole], JobRole_Map[], 2, FALSE)</f>
        <v>Technical</v>
      </c>
    </row>
    <row r="560" spans="1:37" x14ac:dyDescent="0.25">
      <c r="A560" s="2">
        <v>38</v>
      </c>
      <c r="B560" t="s">
        <v>41</v>
      </c>
      <c r="C560" t="s">
        <v>33</v>
      </c>
      <c r="D560" t="s">
        <v>53</v>
      </c>
      <c r="E560">
        <v>2</v>
      </c>
      <c r="F560" t="s">
        <v>58</v>
      </c>
      <c r="G560">
        <v>1</v>
      </c>
      <c r="H560">
        <v>2</v>
      </c>
      <c r="I560" t="s">
        <v>54</v>
      </c>
      <c r="J560">
        <v>4</v>
      </c>
      <c r="K560" t="s">
        <v>50</v>
      </c>
      <c r="L560">
        <v>5405</v>
      </c>
      <c r="M560">
        <v>2</v>
      </c>
      <c r="N560" t="s">
        <v>32</v>
      </c>
      <c r="O560">
        <v>20</v>
      </c>
      <c r="P560">
        <v>4</v>
      </c>
      <c r="Q560">
        <v>2</v>
      </c>
      <c r="R560">
        <v>20</v>
      </c>
      <c r="S560">
        <v>4</v>
      </c>
      <c r="T560">
        <v>4</v>
      </c>
      <c r="U560">
        <v>0</v>
      </c>
      <c r="V560">
        <v>3</v>
      </c>
      <c r="W560" t="s">
        <v>51</v>
      </c>
      <c r="X560" s="1" t="d">
        <v>2017-06-24</v>
      </c>
      <c r="Z560" t="s">
        <v>45</v>
      </c>
      <c r="AA560" t="s">
        <v>40</v>
      </c>
      <c r="AB560">
        <v>5</v>
      </c>
      <c r="AC560">
        <v>3</v>
      </c>
      <c r="AD560" t="s">
        <v>32</v>
      </c>
      <c r="AE560" t="s">
        <v>42</v>
      </c>
      <c r="AF560" t="s">
        <v>57</v>
      </c>
      <c r="AG560">
        <f>IF(HR_Data[[#This Row],[Attrition]]="Yes",1,0)</f>
        <v>0</v>
      </c>
      <c r="AH560" t="str">
        <f>IF(HR_Data[Date_of_termination]="","Active","Left")</f>
        <v>Active</v>
      </c>
      <c r="AI560" t="str">
        <f>IF(HR_Data[YearsAtCompany]&lt;=2,"Fresher", IF(HR_Data[YearsAtCompany]&lt;=5,"Junior", IF(HR_Data[YearsAtCompany]&lt;=10, "Mid","Senior")))</f>
        <v>Junior</v>
      </c>
      <c r="AJ560" s="2" t="str">
        <f>IF(HR_Data[MonthlyIncome]&lt;=300,"Low", IF(HR_Data[MonthlyIncome]&lt;=7000,"Medium", "High"))</f>
        <v>Medium</v>
      </c>
      <c r="AK560" s="2" t="str">
        <f>VLOOKUP(HR_Data[JobRole], JobRole_Map[], 2, FALSE)</f>
        <v>Sales</v>
      </c>
    </row>
    <row r="561" spans="1:37" x14ac:dyDescent="0.25">
      <c r="A561" s="2">
        <v>56</v>
      </c>
      <c r="B561" t="s">
        <v>32</v>
      </c>
      <c r="C561" t="s">
        <v>33</v>
      </c>
      <c r="D561" t="s">
        <v>34</v>
      </c>
      <c r="E561">
        <v>24</v>
      </c>
      <c r="F561" t="s">
        <v>35</v>
      </c>
      <c r="G561">
        <v>3</v>
      </c>
      <c r="H561">
        <v>1</v>
      </c>
      <c r="I561" t="s">
        <v>36</v>
      </c>
      <c r="J561">
        <v>4</v>
      </c>
      <c r="K561" t="s">
        <v>37</v>
      </c>
      <c r="L561">
        <v>2587</v>
      </c>
      <c r="M561">
        <v>1</v>
      </c>
      <c r="N561" t="s">
        <v>41</v>
      </c>
      <c r="O561">
        <v>16</v>
      </c>
      <c r="P561">
        <v>3</v>
      </c>
      <c r="Q561">
        <v>0</v>
      </c>
      <c r="R561">
        <v>5</v>
      </c>
      <c r="S561">
        <v>3</v>
      </c>
      <c r="T561">
        <v>4</v>
      </c>
      <c r="U561">
        <v>1</v>
      </c>
      <c r="V561">
        <v>0</v>
      </c>
      <c r="W561" t="s">
        <v>38</v>
      </c>
      <c r="X561" s="1" t="d">
        <v>2017-03-26</v>
      </c>
      <c r="Z561" t="s">
        <v>39</v>
      </c>
      <c r="AA561" t="s">
        <v>46</v>
      </c>
      <c r="AB561">
        <v>1</v>
      </c>
      <c r="AC561">
        <v>3</v>
      </c>
      <c r="AD561" t="s">
        <v>32</v>
      </c>
      <c r="AE561" t="s">
        <v>42</v>
      </c>
      <c r="AF561" t="s">
        <v>48</v>
      </c>
      <c r="AG561">
        <f>IF(HR_Data[[#This Row],[Attrition]]="Yes",1,0)</f>
        <v>1</v>
      </c>
      <c r="AH561" t="str">
        <f>IF(HR_Data[Date_of_termination]="","Active","Left")</f>
        <v>Active</v>
      </c>
      <c r="AI561" t="str">
        <f>IF(HR_Data[YearsAtCompany]&lt;=2,"Fresher", IF(HR_Data[YearsAtCompany]&lt;=5,"Junior", IF(HR_Data[YearsAtCompany]&lt;=10, "Mid","Senior")))</f>
        <v>Junior</v>
      </c>
      <c r="AJ561" s="2" t="str">
        <f>IF(HR_Data[MonthlyIncome]&lt;=300,"Low", IF(HR_Data[MonthlyIncome]&lt;=7000,"Medium", "High"))</f>
        <v>Medium</v>
      </c>
      <c r="AK561" s="2" t="str">
        <f>VLOOKUP(HR_Data[JobRole], JobRole_Map[], 2, FALSE)</f>
        <v>Technical</v>
      </c>
    </row>
    <row r="562" spans="1:37" x14ac:dyDescent="0.25">
      <c r="A562" s="2">
        <v>36</v>
      </c>
      <c r="B562" t="s">
        <v>41</v>
      </c>
      <c r="C562" t="s">
        <v>33</v>
      </c>
      <c r="D562" t="s">
        <v>53</v>
      </c>
      <c r="E562">
        <v>17</v>
      </c>
      <c r="F562" t="s">
        <v>35</v>
      </c>
      <c r="G562">
        <v>2</v>
      </c>
      <c r="H562">
        <v>2</v>
      </c>
      <c r="I562" t="s">
        <v>64</v>
      </c>
      <c r="J562">
        <v>2</v>
      </c>
      <c r="K562" t="s">
        <v>50</v>
      </c>
      <c r="L562">
        <v>5507</v>
      </c>
      <c r="M562">
        <v>2</v>
      </c>
      <c r="N562" t="s">
        <v>41</v>
      </c>
      <c r="O562">
        <v>16</v>
      </c>
      <c r="P562">
        <v>3</v>
      </c>
      <c r="Q562">
        <v>2</v>
      </c>
      <c r="R562">
        <v>12</v>
      </c>
      <c r="S562">
        <v>1</v>
      </c>
      <c r="T562">
        <v>4</v>
      </c>
      <c r="U562">
        <v>1</v>
      </c>
      <c r="V562">
        <v>3</v>
      </c>
      <c r="W562" t="s">
        <v>51</v>
      </c>
      <c r="X562" s="1" t="d">
        <v>2017-04-02</v>
      </c>
      <c r="Z562" t="s">
        <v>39</v>
      </c>
      <c r="AA562" t="s">
        <v>46</v>
      </c>
      <c r="AB562">
        <v>0</v>
      </c>
      <c r="AC562">
        <v>0</v>
      </c>
      <c r="AD562" t="s">
        <v>32</v>
      </c>
      <c r="AE562" t="s">
        <v>47</v>
      </c>
      <c r="AF562" t="s">
        <v>43</v>
      </c>
      <c r="AG562">
        <f>IF(HR_Data[[#This Row],[Attrition]]="Yes",1,0)</f>
        <v>0</v>
      </c>
      <c r="AH562" t="str">
        <f>IF(HR_Data[Date_of_termination]="","Active","Left")</f>
        <v>Active</v>
      </c>
      <c r="AI562" t="str">
        <f>IF(HR_Data[YearsAtCompany]&lt;=2,"Fresher", IF(HR_Data[YearsAtCompany]&lt;=5,"Junior", IF(HR_Data[YearsAtCompany]&lt;=10, "Mid","Senior")))</f>
        <v>Junior</v>
      </c>
      <c r="AJ562" s="2" t="str">
        <f>IF(HR_Data[MonthlyIncome]&lt;=300,"Low", IF(HR_Data[MonthlyIncome]&lt;=7000,"Medium", "High"))</f>
        <v>Medium</v>
      </c>
      <c r="AK562" s="2" t="str">
        <f>VLOOKUP(HR_Data[JobRole], JobRole_Map[], 2, FALSE)</f>
        <v>Sales</v>
      </c>
    </row>
    <row r="563" spans="1:37" x14ac:dyDescent="0.25">
      <c r="A563" s="2">
        <v>34</v>
      </c>
      <c r="B563" t="s">
        <v>41</v>
      </c>
      <c r="C563" t="s">
        <v>33</v>
      </c>
      <c r="D563" t="s">
        <v>53</v>
      </c>
      <c r="E563">
        <v>3</v>
      </c>
      <c r="F563" t="s">
        <v>58</v>
      </c>
      <c r="G563">
        <v>2</v>
      </c>
      <c r="H563">
        <v>2</v>
      </c>
      <c r="I563" t="s">
        <v>64</v>
      </c>
      <c r="J563">
        <v>4</v>
      </c>
      <c r="K563" t="s">
        <v>50</v>
      </c>
      <c r="L563">
        <v>8103</v>
      </c>
      <c r="M563">
        <v>3</v>
      </c>
      <c r="N563" t="s">
        <v>32</v>
      </c>
      <c r="O563">
        <v>12</v>
      </c>
      <c r="P563">
        <v>3</v>
      </c>
      <c r="Q563">
        <v>0</v>
      </c>
      <c r="R563">
        <v>9</v>
      </c>
      <c r="S563">
        <v>3</v>
      </c>
      <c r="T563">
        <v>4</v>
      </c>
      <c r="U563">
        <v>0</v>
      </c>
      <c r="V563">
        <v>1</v>
      </c>
      <c r="W563" t="s">
        <v>51</v>
      </c>
      <c r="X563" s="1" t="d">
        <v>2017-03-09</v>
      </c>
      <c r="Z563" t="s">
        <v>52</v>
      </c>
      <c r="AA563" t="s">
        <v>40</v>
      </c>
      <c r="AB563">
        <v>1</v>
      </c>
      <c r="AC563">
        <v>2</v>
      </c>
      <c r="AD563" t="s">
        <v>32</v>
      </c>
      <c r="AE563" t="s">
        <v>62</v>
      </c>
      <c r="AF563" t="s">
        <v>48</v>
      </c>
      <c r="AG563">
        <f>IF(HR_Data[[#This Row],[Attrition]]="Yes",1,0)</f>
        <v>0</v>
      </c>
      <c r="AH563" t="str">
        <f>IF(HR_Data[Date_of_termination]="","Active","Left")</f>
        <v>Active</v>
      </c>
      <c r="AI563" t="str">
        <f>IF(HR_Data[YearsAtCompany]&lt;=2,"Fresher", IF(HR_Data[YearsAtCompany]&lt;=5,"Junior", IF(HR_Data[YearsAtCompany]&lt;=10, "Mid","Senior")))</f>
        <v>Junior</v>
      </c>
      <c r="AJ563" s="2" t="str">
        <f>IF(HR_Data[MonthlyIncome]&lt;=300,"Low", IF(HR_Data[MonthlyIncome]&lt;=7000,"Medium", "High"))</f>
        <v>High</v>
      </c>
      <c r="AK563" s="2" t="str">
        <f>VLOOKUP(HR_Data[JobRole], JobRole_Map[], 2, FALSE)</f>
        <v>Sales</v>
      </c>
    </row>
    <row r="564" spans="1:37" x14ac:dyDescent="0.25">
      <c r="A564" s="2">
        <v>45</v>
      </c>
      <c r="B564" t="s">
        <v>41</v>
      </c>
      <c r="C564" t="s">
        <v>61</v>
      </c>
      <c r="D564" t="s">
        <v>34</v>
      </c>
      <c r="E564">
        <v>1</v>
      </c>
      <c r="F564" t="s">
        <v>35</v>
      </c>
      <c r="G564">
        <v>3</v>
      </c>
      <c r="H564">
        <v>2</v>
      </c>
      <c r="I564" t="s">
        <v>69</v>
      </c>
      <c r="J564">
        <v>3</v>
      </c>
      <c r="K564" t="s">
        <v>37</v>
      </c>
      <c r="L564">
        <v>5399</v>
      </c>
      <c r="M564">
        <v>4</v>
      </c>
      <c r="N564" t="s">
        <v>41</v>
      </c>
      <c r="O564">
        <v>12</v>
      </c>
      <c r="P564">
        <v>3</v>
      </c>
      <c r="Q564">
        <v>0</v>
      </c>
      <c r="R564">
        <v>12</v>
      </c>
      <c r="S564">
        <v>3</v>
      </c>
      <c r="T564">
        <v>4</v>
      </c>
      <c r="U564">
        <v>0</v>
      </c>
      <c r="V564">
        <v>3</v>
      </c>
      <c r="W564" t="s">
        <v>65</v>
      </c>
      <c r="X564" s="1" t="d">
        <v>2017-02-12</v>
      </c>
      <c r="Z564" t="s">
        <v>39</v>
      </c>
      <c r="AA564" t="s">
        <v>46</v>
      </c>
      <c r="AB564">
        <v>3</v>
      </c>
      <c r="AC564">
        <v>2</v>
      </c>
      <c r="AD564" t="s">
        <v>41</v>
      </c>
      <c r="AE564" t="s">
        <v>62</v>
      </c>
      <c r="AF564" t="s">
        <v>48</v>
      </c>
      <c r="AG564">
        <f>IF(HR_Data[[#This Row],[Attrition]]="Yes",1,0)</f>
        <v>0</v>
      </c>
      <c r="AH564" t="str">
        <f>IF(HR_Data[Date_of_termination]="","Active","Left")</f>
        <v>Active</v>
      </c>
      <c r="AI564" t="str">
        <f>IF(HR_Data[YearsAtCompany]&lt;=2,"Fresher", IF(HR_Data[YearsAtCompany]&lt;=5,"Junior", IF(HR_Data[YearsAtCompany]&lt;=10, "Mid","Senior")))</f>
        <v>Junior</v>
      </c>
      <c r="AJ564" s="2" t="str">
        <f>IF(HR_Data[MonthlyIncome]&lt;=300,"Low", IF(HR_Data[MonthlyIncome]&lt;=7000,"Medium", "High"))</f>
        <v>Medium</v>
      </c>
      <c r="AK564" s="2" t="str">
        <f>VLOOKUP(HR_Data[JobRole], JobRole_Map[], 2, FALSE)</f>
        <v>Operations</v>
      </c>
    </row>
    <row r="565" spans="1:37" x14ac:dyDescent="0.25">
      <c r="A565" s="2">
        <v>32</v>
      </c>
      <c r="B565" t="s">
        <v>32</v>
      </c>
      <c r="C565" t="s">
        <v>61</v>
      </c>
      <c r="D565" t="s">
        <v>34</v>
      </c>
      <c r="E565">
        <v>5</v>
      </c>
      <c r="F565" t="s">
        <v>58</v>
      </c>
      <c r="G565">
        <v>4</v>
      </c>
      <c r="H565">
        <v>1</v>
      </c>
      <c r="I565" t="s">
        <v>44</v>
      </c>
      <c r="J565">
        <v>3</v>
      </c>
      <c r="K565" t="s">
        <v>37</v>
      </c>
      <c r="L565">
        <v>2432</v>
      </c>
      <c r="M565">
        <v>3</v>
      </c>
      <c r="N565" t="s">
        <v>32</v>
      </c>
      <c r="O565">
        <v>14</v>
      </c>
      <c r="P565">
        <v>3</v>
      </c>
      <c r="Q565">
        <v>0</v>
      </c>
      <c r="R565">
        <v>8</v>
      </c>
      <c r="S565">
        <v>2</v>
      </c>
      <c r="T565">
        <v>4</v>
      </c>
      <c r="U565">
        <v>0</v>
      </c>
      <c r="V565">
        <v>3</v>
      </c>
      <c r="W565" t="s">
        <v>65</v>
      </c>
      <c r="X565" s="1" t="d">
        <v>2017-06-30</v>
      </c>
      <c r="Z565" t="s">
        <v>63</v>
      </c>
      <c r="AA565" t="s">
        <v>40</v>
      </c>
      <c r="AB565">
        <v>4</v>
      </c>
      <c r="AC565">
        <v>1</v>
      </c>
      <c r="AD565" t="s">
        <v>32</v>
      </c>
      <c r="AE565" t="s">
        <v>60</v>
      </c>
      <c r="AF565" t="s">
        <v>48</v>
      </c>
      <c r="AG565">
        <f>IF(HR_Data[[#This Row],[Attrition]]="Yes",1,0)</f>
        <v>1</v>
      </c>
      <c r="AH565" t="str">
        <f>IF(HR_Data[Date_of_termination]="","Active","Left")</f>
        <v>Active</v>
      </c>
      <c r="AI565" t="str">
        <f>IF(HR_Data[YearsAtCompany]&lt;=2,"Fresher", IF(HR_Data[YearsAtCompany]&lt;=5,"Junior", IF(HR_Data[YearsAtCompany]&lt;=10, "Mid","Senior")))</f>
        <v>Junior</v>
      </c>
      <c r="AJ565" s="2" t="str">
        <f>IF(HR_Data[MonthlyIncome]&lt;=300,"Low", IF(HR_Data[MonthlyIncome]&lt;=7000,"Medium", "High"))</f>
        <v>Medium</v>
      </c>
      <c r="AK565" s="2" t="str">
        <f>VLOOKUP(HR_Data[JobRole], JobRole_Map[], 2, FALSE)</f>
        <v>Technical</v>
      </c>
    </row>
    <row r="566" spans="1:37" x14ac:dyDescent="0.25">
      <c r="A566" s="2">
        <v>31</v>
      </c>
      <c r="B566" t="s">
        <v>41</v>
      </c>
      <c r="C566" t="s">
        <v>68</v>
      </c>
      <c r="D566" t="s">
        <v>34</v>
      </c>
      <c r="E566">
        <v>3</v>
      </c>
      <c r="F566" t="s">
        <v>35</v>
      </c>
      <c r="G566">
        <v>3</v>
      </c>
      <c r="H566">
        <v>1</v>
      </c>
      <c r="I566" t="s">
        <v>44</v>
      </c>
      <c r="J566">
        <v>1</v>
      </c>
      <c r="K566" t="s">
        <v>55</v>
      </c>
      <c r="L566">
        <v>3065</v>
      </c>
      <c r="M566">
        <v>1</v>
      </c>
      <c r="N566" t="s">
        <v>32</v>
      </c>
      <c r="O566">
        <v>13</v>
      </c>
      <c r="P566">
        <v>3</v>
      </c>
      <c r="Q566">
        <v>1</v>
      </c>
      <c r="R566">
        <v>4</v>
      </c>
      <c r="S566">
        <v>3</v>
      </c>
      <c r="T566">
        <v>4</v>
      </c>
      <c r="U566">
        <v>2</v>
      </c>
      <c r="V566">
        <v>3</v>
      </c>
      <c r="W566" t="s">
        <v>38</v>
      </c>
      <c r="X566" s="1" t="d">
        <v>2017-05-07</v>
      </c>
      <c r="Z566" t="s">
        <v>52</v>
      </c>
      <c r="AA566" t="s">
        <v>40</v>
      </c>
      <c r="AB566">
        <v>1</v>
      </c>
      <c r="AC566">
        <v>0</v>
      </c>
      <c r="AD566" t="s">
        <v>32</v>
      </c>
      <c r="AE566" t="s">
        <v>42</v>
      </c>
      <c r="AF566" t="s">
        <v>57</v>
      </c>
      <c r="AG566">
        <f>IF(HR_Data[[#This Row],[Attrition]]="Yes",1,0)</f>
        <v>0</v>
      </c>
      <c r="AH566" t="str">
        <f>IF(HR_Data[Date_of_termination]="","Active","Left")</f>
        <v>Active</v>
      </c>
      <c r="AI566" t="str">
        <f>IF(HR_Data[YearsAtCompany]&lt;=2,"Fresher", IF(HR_Data[YearsAtCompany]&lt;=5,"Junior", IF(HR_Data[YearsAtCompany]&lt;=10, "Mid","Senior")))</f>
        <v>Junior</v>
      </c>
      <c r="AJ566" s="2" t="str">
        <f>IF(HR_Data[MonthlyIncome]&lt;=300,"Low", IF(HR_Data[MonthlyIncome]&lt;=7000,"Medium", "High"))</f>
        <v>Medium</v>
      </c>
      <c r="AK566" s="2" t="str">
        <f>VLOOKUP(HR_Data[JobRole], JobRole_Map[], 2, FALSE)</f>
        <v>Technical</v>
      </c>
    </row>
    <row r="567" spans="1:37" x14ac:dyDescent="0.25">
      <c r="A567" s="2">
        <v>28</v>
      </c>
      <c r="B567" t="s">
        <v>32</v>
      </c>
      <c r="C567" t="s">
        <v>33</v>
      </c>
      <c r="D567" t="s">
        <v>34</v>
      </c>
      <c r="E567">
        <v>17</v>
      </c>
      <c r="F567" t="s">
        <v>35</v>
      </c>
      <c r="G567">
        <v>2</v>
      </c>
      <c r="H567">
        <v>1</v>
      </c>
      <c r="I567" t="s">
        <v>36</v>
      </c>
      <c r="J567">
        <v>4</v>
      </c>
      <c r="K567" t="s">
        <v>55</v>
      </c>
      <c r="L567">
        <v>2367</v>
      </c>
      <c r="M567">
        <v>5</v>
      </c>
      <c r="N567" t="s">
        <v>41</v>
      </c>
      <c r="O567">
        <v>12</v>
      </c>
      <c r="P567">
        <v>3</v>
      </c>
      <c r="Q567">
        <v>1</v>
      </c>
      <c r="R567">
        <v>6</v>
      </c>
      <c r="S567">
        <v>2</v>
      </c>
      <c r="T567">
        <v>4</v>
      </c>
      <c r="U567">
        <v>0</v>
      </c>
      <c r="V567">
        <v>3</v>
      </c>
      <c r="W567" t="s">
        <v>51</v>
      </c>
      <c r="X567" s="1" t="d">
        <v>2017-05-14</v>
      </c>
      <c r="Z567" t="s">
        <v>45</v>
      </c>
      <c r="AA567" t="s">
        <v>46</v>
      </c>
      <c r="AB567">
        <v>0</v>
      </c>
      <c r="AC567">
        <v>2</v>
      </c>
      <c r="AD567" t="s">
        <v>41</v>
      </c>
      <c r="AE567" t="s">
        <v>47</v>
      </c>
      <c r="AF567" t="s">
        <v>48</v>
      </c>
      <c r="AG567">
        <f>IF(HR_Data[[#This Row],[Attrition]]="Yes",1,0)</f>
        <v>1</v>
      </c>
      <c r="AH567" t="str">
        <f>IF(HR_Data[Date_of_termination]="","Active","Left")</f>
        <v>Active</v>
      </c>
      <c r="AI567" t="str">
        <f>IF(HR_Data[YearsAtCompany]&lt;=2,"Fresher", IF(HR_Data[YearsAtCompany]&lt;=5,"Junior", IF(HR_Data[YearsAtCompany]&lt;=10, "Mid","Senior")))</f>
        <v>Junior</v>
      </c>
      <c r="AJ567" s="2" t="str">
        <f>IF(HR_Data[MonthlyIncome]&lt;=300,"Low", IF(HR_Data[MonthlyIncome]&lt;=7000,"Medium", "High"))</f>
        <v>Medium</v>
      </c>
      <c r="AK567" s="2" t="str">
        <f>VLOOKUP(HR_Data[JobRole], JobRole_Map[], 2, FALSE)</f>
        <v>Technical</v>
      </c>
    </row>
    <row r="568" spans="1:37" x14ac:dyDescent="0.25">
      <c r="A568" s="2">
        <v>54</v>
      </c>
      <c r="B568" t="s">
        <v>41</v>
      </c>
      <c r="C568" t="s">
        <v>33</v>
      </c>
      <c r="D568" t="s">
        <v>34</v>
      </c>
      <c r="E568">
        <v>9</v>
      </c>
      <c r="F568" t="s">
        <v>58</v>
      </c>
      <c r="G568">
        <v>3</v>
      </c>
      <c r="H568">
        <v>2</v>
      </c>
      <c r="I568" t="s">
        <v>44</v>
      </c>
      <c r="J568">
        <v>3</v>
      </c>
      <c r="K568" t="s">
        <v>50</v>
      </c>
      <c r="L568">
        <v>2897</v>
      </c>
      <c r="M568">
        <v>3</v>
      </c>
      <c r="N568" t="s">
        <v>41</v>
      </c>
      <c r="O568">
        <v>11</v>
      </c>
      <c r="P568">
        <v>3</v>
      </c>
      <c r="Q568">
        <v>2</v>
      </c>
      <c r="R568">
        <v>9</v>
      </c>
      <c r="S568">
        <v>6</v>
      </c>
      <c r="T568">
        <v>4</v>
      </c>
      <c r="U568">
        <v>2</v>
      </c>
      <c r="V568">
        <v>3</v>
      </c>
      <c r="W568" t="s">
        <v>51</v>
      </c>
      <c r="X568" s="1" t="d">
        <v>2017-06-23</v>
      </c>
      <c r="Z568" t="s">
        <v>52</v>
      </c>
      <c r="AA568" t="s">
        <v>46</v>
      </c>
      <c r="AB568">
        <v>5</v>
      </c>
      <c r="AC568">
        <v>1</v>
      </c>
      <c r="AD568" t="s">
        <v>32</v>
      </c>
      <c r="AE568" t="s">
        <v>60</v>
      </c>
      <c r="AF568" t="s">
        <v>43</v>
      </c>
      <c r="AG568">
        <f>IF(HR_Data[[#This Row],[Attrition]]="Yes",1,0)</f>
        <v>0</v>
      </c>
      <c r="AH568" t="str">
        <f>IF(HR_Data[Date_of_termination]="","Active","Left")</f>
        <v>Active</v>
      </c>
      <c r="AI568" t="str">
        <f>IF(HR_Data[YearsAtCompany]&lt;=2,"Fresher", IF(HR_Data[YearsAtCompany]&lt;=5,"Junior", IF(HR_Data[YearsAtCompany]&lt;=10, "Mid","Senior")))</f>
        <v>Junior</v>
      </c>
      <c r="AJ568" s="2" t="str">
        <f>IF(HR_Data[MonthlyIncome]&lt;=300,"Low", IF(HR_Data[MonthlyIncome]&lt;=7000,"Medium", "High"))</f>
        <v>Medium</v>
      </c>
      <c r="AK568" s="2" t="str">
        <f>VLOOKUP(HR_Data[JobRole], JobRole_Map[], 2, FALSE)</f>
        <v>Technical</v>
      </c>
    </row>
    <row r="569" spans="1:37" x14ac:dyDescent="0.25">
      <c r="A569" s="2">
        <v>24</v>
      </c>
      <c r="B569" t="s">
        <v>41</v>
      </c>
      <c r="C569" t="s">
        <v>33</v>
      </c>
      <c r="D569" t="s">
        <v>34</v>
      </c>
      <c r="E569">
        <v>1</v>
      </c>
      <c r="F569" t="s">
        <v>35</v>
      </c>
      <c r="G569">
        <v>2</v>
      </c>
      <c r="H569">
        <v>2</v>
      </c>
      <c r="I569" t="s">
        <v>69</v>
      </c>
      <c r="J569">
        <v>3</v>
      </c>
      <c r="K569" t="s">
        <v>37</v>
      </c>
      <c r="L569">
        <v>4617</v>
      </c>
      <c r="M569">
        <v>1</v>
      </c>
      <c r="N569" t="s">
        <v>41</v>
      </c>
      <c r="O569">
        <v>12</v>
      </c>
      <c r="P569">
        <v>3</v>
      </c>
      <c r="Q569">
        <v>0</v>
      </c>
      <c r="R569">
        <v>4</v>
      </c>
      <c r="S569">
        <v>2</v>
      </c>
      <c r="T569">
        <v>4</v>
      </c>
      <c r="U569">
        <v>1</v>
      </c>
      <c r="V569">
        <v>2</v>
      </c>
      <c r="W569" t="s">
        <v>38</v>
      </c>
      <c r="X569" s="1" t="d">
        <v>2017-06-01</v>
      </c>
      <c r="Z569" t="s">
        <v>52</v>
      </c>
      <c r="AA569" t="s">
        <v>46</v>
      </c>
      <c r="AB569">
        <v>0</v>
      </c>
      <c r="AC569">
        <v>1</v>
      </c>
      <c r="AD569" t="s">
        <v>41</v>
      </c>
      <c r="AE569" t="s">
        <v>62</v>
      </c>
      <c r="AF569" t="s">
        <v>48</v>
      </c>
      <c r="AG569">
        <f>IF(HR_Data[[#This Row],[Attrition]]="Yes",1,0)</f>
        <v>0</v>
      </c>
      <c r="AH569" t="str">
        <f>IF(HR_Data[Date_of_termination]="","Active","Left")</f>
        <v>Active</v>
      </c>
      <c r="AI569" t="str">
        <f>IF(HR_Data[YearsAtCompany]&lt;=2,"Fresher", IF(HR_Data[YearsAtCompany]&lt;=5,"Junior", IF(HR_Data[YearsAtCompany]&lt;=10, "Mid","Senior")))</f>
        <v>Junior</v>
      </c>
      <c r="AJ569" s="2" t="str">
        <f>IF(HR_Data[MonthlyIncome]&lt;=300,"Low", IF(HR_Data[MonthlyIncome]&lt;=7000,"Medium", "High"))</f>
        <v>Medium</v>
      </c>
      <c r="AK569" s="2" t="str">
        <f>VLOOKUP(HR_Data[JobRole], JobRole_Map[], 2, FALSE)</f>
        <v>Operations</v>
      </c>
    </row>
    <row r="570" spans="1:37" x14ac:dyDescent="0.25">
      <c r="A570" s="2">
        <v>42</v>
      </c>
      <c r="B570" t="s">
        <v>41</v>
      </c>
      <c r="C570" t="s">
        <v>33</v>
      </c>
      <c r="D570" t="s">
        <v>34</v>
      </c>
      <c r="E570">
        <v>18</v>
      </c>
      <c r="F570" t="s">
        <v>35</v>
      </c>
      <c r="G570">
        <v>3</v>
      </c>
      <c r="H570">
        <v>2</v>
      </c>
      <c r="I570" t="s">
        <v>44</v>
      </c>
      <c r="J570">
        <v>1</v>
      </c>
      <c r="K570" t="s">
        <v>55</v>
      </c>
      <c r="L570">
        <v>5410</v>
      </c>
      <c r="M570">
        <v>6</v>
      </c>
      <c r="N570" t="s">
        <v>32</v>
      </c>
      <c r="O570">
        <v>17</v>
      </c>
      <c r="P570">
        <v>3</v>
      </c>
      <c r="Q570">
        <v>1</v>
      </c>
      <c r="R570">
        <v>9</v>
      </c>
      <c r="S570">
        <v>3</v>
      </c>
      <c r="T570">
        <v>4</v>
      </c>
      <c r="U570">
        <v>1</v>
      </c>
      <c r="V570">
        <v>2</v>
      </c>
      <c r="W570" t="s">
        <v>56</v>
      </c>
      <c r="X570" s="1" t="d">
        <v>2017-06-01</v>
      </c>
      <c r="Z570" t="s">
        <v>63</v>
      </c>
      <c r="AA570" t="s">
        <v>46</v>
      </c>
      <c r="AB570">
        <v>3</v>
      </c>
      <c r="AC570">
        <v>0</v>
      </c>
      <c r="AD570" t="s">
        <v>32</v>
      </c>
      <c r="AE570" t="s">
        <v>60</v>
      </c>
      <c r="AF570" t="s">
        <v>57</v>
      </c>
      <c r="AG570">
        <f>IF(HR_Data[[#This Row],[Attrition]]="Yes",1,0)</f>
        <v>0</v>
      </c>
      <c r="AH570" t="str">
        <f>IF(HR_Data[Date_of_termination]="","Active","Left")</f>
        <v>Active</v>
      </c>
      <c r="AI570" t="str">
        <f>IF(HR_Data[YearsAtCompany]&lt;=2,"Fresher", IF(HR_Data[YearsAtCompany]&lt;=5,"Junior", IF(HR_Data[YearsAtCompany]&lt;=10, "Mid","Senior")))</f>
        <v>Junior</v>
      </c>
      <c r="AJ570" s="2" t="str">
        <f>IF(HR_Data[MonthlyIncome]&lt;=300,"Low", IF(HR_Data[MonthlyIncome]&lt;=7000,"Medium", "High"))</f>
        <v>Medium</v>
      </c>
      <c r="AK570" s="2" t="str">
        <f>VLOOKUP(HR_Data[JobRole], JobRole_Map[], 2, FALSE)</f>
        <v>Technical</v>
      </c>
    </row>
    <row r="571" spans="1:37" x14ac:dyDescent="0.25">
      <c r="A571" s="2">
        <v>44</v>
      </c>
      <c r="B571" t="s">
        <v>41</v>
      </c>
      <c r="C571" t="s">
        <v>33</v>
      </c>
      <c r="D571" t="s">
        <v>34</v>
      </c>
      <c r="E571">
        <v>1</v>
      </c>
      <c r="F571" t="s">
        <v>35</v>
      </c>
      <c r="G571">
        <v>3</v>
      </c>
      <c r="H571">
        <v>1</v>
      </c>
      <c r="I571" t="s">
        <v>44</v>
      </c>
      <c r="J571">
        <v>4</v>
      </c>
      <c r="K571" t="s">
        <v>37</v>
      </c>
      <c r="L571">
        <v>2436</v>
      </c>
      <c r="M571">
        <v>6</v>
      </c>
      <c r="N571" t="s">
        <v>32</v>
      </c>
      <c r="O571">
        <v>12</v>
      </c>
      <c r="P571">
        <v>3</v>
      </c>
      <c r="Q571">
        <v>0</v>
      </c>
      <c r="R571">
        <v>6</v>
      </c>
      <c r="S571">
        <v>2</v>
      </c>
      <c r="T571">
        <v>4</v>
      </c>
      <c r="U571">
        <v>1</v>
      </c>
      <c r="V571">
        <v>2</v>
      </c>
      <c r="W571" t="s">
        <v>51</v>
      </c>
      <c r="X571" s="1" t="d">
        <v>2017-02-25</v>
      </c>
      <c r="Z571" t="s">
        <v>39</v>
      </c>
      <c r="AA571" t="s">
        <v>46</v>
      </c>
      <c r="AB571">
        <v>2</v>
      </c>
      <c r="AC571">
        <v>2</v>
      </c>
      <c r="AD571" t="s">
        <v>41</v>
      </c>
      <c r="AE571" t="s">
        <v>62</v>
      </c>
      <c r="AF571" t="s">
        <v>57</v>
      </c>
      <c r="AG571">
        <f>IF(HR_Data[[#This Row],[Attrition]]="Yes",1,0)</f>
        <v>0</v>
      </c>
      <c r="AH571" t="str">
        <f>IF(HR_Data[Date_of_termination]="","Active","Left")</f>
        <v>Active</v>
      </c>
      <c r="AI571" t="str">
        <f>IF(HR_Data[YearsAtCompany]&lt;=2,"Fresher", IF(HR_Data[YearsAtCompany]&lt;=5,"Junior", IF(HR_Data[YearsAtCompany]&lt;=10, "Mid","Senior")))</f>
        <v>Junior</v>
      </c>
      <c r="AJ571" s="2" t="str">
        <f>IF(HR_Data[MonthlyIncome]&lt;=300,"Low", IF(HR_Data[MonthlyIncome]&lt;=7000,"Medium", "High"))</f>
        <v>Medium</v>
      </c>
      <c r="AK571" s="2" t="str">
        <f>VLOOKUP(HR_Data[JobRole], JobRole_Map[], 2, FALSE)</f>
        <v>Technical</v>
      </c>
    </row>
    <row r="572" spans="1:37" x14ac:dyDescent="0.25">
      <c r="A572" s="2">
        <v>36</v>
      </c>
      <c r="B572" t="s">
        <v>41</v>
      </c>
      <c r="C572" t="s">
        <v>61</v>
      </c>
      <c r="D572" t="s">
        <v>34</v>
      </c>
      <c r="E572">
        <v>4</v>
      </c>
      <c r="F572" t="s">
        <v>58</v>
      </c>
      <c r="G572">
        <v>3</v>
      </c>
      <c r="H572">
        <v>2</v>
      </c>
      <c r="I572" t="s">
        <v>67</v>
      </c>
      <c r="J572">
        <v>2</v>
      </c>
      <c r="K572" t="s">
        <v>55</v>
      </c>
      <c r="L572">
        <v>5131</v>
      </c>
      <c r="M572">
        <v>7</v>
      </c>
      <c r="N572" t="s">
        <v>41</v>
      </c>
      <c r="O572">
        <v>13</v>
      </c>
      <c r="P572">
        <v>3</v>
      </c>
      <c r="Q572">
        <v>3</v>
      </c>
      <c r="R572">
        <v>18</v>
      </c>
      <c r="S572">
        <v>3</v>
      </c>
      <c r="T572">
        <v>4</v>
      </c>
      <c r="U572">
        <v>0</v>
      </c>
      <c r="V572">
        <v>2</v>
      </c>
      <c r="W572" t="s">
        <v>65</v>
      </c>
      <c r="X572" s="1" t="d">
        <v>2017-03-25</v>
      </c>
      <c r="Z572" t="s">
        <v>63</v>
      </c>
      <c r="AA572" t="s">
        <v>40</v>
      </c>
      <c r="AB572">
        <v>3</v>
      </c>
      <c r="AC572">
        <v>1</v>
      </c>
      <c r="AD572" t="s">
        <v>41</v>
      </c>
      <c r="AE572" t="s">
        <v>62</v>
      </c>
      <c r="AF572" t="s">
        <v>48</v>
      </c>
      <c r="AG572">
        <f>IF(HR_Data[[#This Row],[Attrition]]="Yes",1,0)</f>
        <v>0</v>
      </c>
      <c r="AH572" t="str">
        <f>IF(HR_Data[Date_of_termination]="","Active","Left")</f>
        <v>Active</v>
      </c>
      <c r="AI572" t="str">
        <f>IF(HR_Data[YearsAtCompany]&lt;=2,"Fresher", IF(HR_Data[YearsAtCompany]&lt;=5,"Junior", IF(HR_Data[YearsAtCompany]&lt;=10, "Mid","Senior")))</f>
        <v>Junior</v>
      </c>
      <c r="AJ572" s="2" t="str">
        <f>IF(HR_Data[MonthlyIncome]&lt;=300,"Low", IF(HR_Data[MonthlyIncome]&lt;=7000,"Medium", "High"))</f>
        <v>Medium</v>
      </c>
      <c r="AK572" s="2" t="str">
        <f>VLOOKUP(HR_Data[JobRole], JobRole_Map[], 2, FALSE)</f>
        <v>Operations</v>
      </c>
    </row>
    <row r="573" spans="1:37" x14ac:dyDescent="0.25">
      <c r="A573" s="2">
        <v>32</v>
      </c>
      <c r="B573" t="s">
        <v>41</v>
      </c>
      <c r="C573" t="s">
        <v>33</v>
      </c>
      <c r="D573" t="s">
        <v>34</v>
      </c>
      <c r="E573">
        <v>2</v>
      </c>
      <c r="F573" t="s">
        <v>35</v>
      </c>
      <c r="G573">
        <v>3</v>
      </c>
      <c r="H573">
        <v>1</v>
      </c>
      <c r="I573" t="s">
        <v>44</v>
      </c>
      <c r="J573">
        <v>1</v>
      </c>
      <c r="K573" t="s">
        <v>37</v>
      </c>
      <c r="L573">
        <v>2439</v>
      </c>
      <c r="M573">
        <v>1</v>
      </c>
      <c r="N573" t="s">
        <v>41</v>
      </c>
      <c r="O573">
        <v>14</v>
      </c>
      <c r="P573">
        <v>3</v>
      </c>
      <c r="Q573">
        <v>0</v>
      </c>
      <c r="R573">
        <v>4</v>
      </c>
      <c r="S573">
        <v>4</v>
      </c>
      <c r="T573">
        <v>4</v>
      </c>
      <c r="U573">
        <v>1</v>
      </c>
      <c r="V573">
        <v>2</v>
      </c>
      <c r="W573" t="s">
        <v>65</v>
      </c>
      <c r="X573" s="1" t="d">
        <v>2017-01-14</v>
      </c>
      <c r="Z573" t="s">
        <v>59</v>
      </c>
      <c r="AA573" t="s">
        <v>40</v>
      </c>
      <c r="AB573">
        <v>4</v>
      </c>
      <c r="AC573">
        <v>2</v>
      </c>
      <c r="AD573" t="s">
        <v>32</v>
      </c>
      <c r="AE573" t="s">
        <v>60</v>
      </c>
      <c r="AF573" t="s">
        <v>48</v>
      </c>
      <c r="AG573">
        <f>IF(HR_Data[[#This Row],[Attrition]]="Yes",1,0)</f>
        <v>0</v>
      </c>
      <c r="AH573" t="str">
        <f>IF(HR_Data[Date_of_termination]="","Active","Left")</f>
        <v>Active</v>
      </c>
      <c r="AI573" t="str">
        <f>IF(HR_Data[YearsAtCompany]&lt;=2,"Fresher", IF(HR_Data[YearsAtCompany]&lt;=5,"Junior", IF(HR_Data[YearsAtCompany]&lt;=10, "Mid","Senior")))</f>
        <v>Junior</v>
      </c>
      <c r="AJ573" s="2" t="str">
        <f>IF(HR_Data[MonthlyIncome]&lt;=300,"Low", IF(HR_Data[MonthlyIncome]&lt;=7000,"Medium", "High"))</f>
        <v>Medium</v>
      </c>
      <c r="AK573" s="2" t="str">
        <f>VLOOKUP(HR_Data[JobRole], JobRole_Map[], 2, FALSE)</f>
        <v>Technical</v>
      </c>
    </row>
    <row r="574" spans="1:37" x14ac:dyDescent="0.25">
      <c r="A574" s="2">
        <v>35</v>
      </c>
      <c r="B574" t="s">
        <v>41</v>
      </c>
      <c r="C574" t="s">
        <v>33</v>
      </c>
      <c r="D574" t="s">
        <v>34</v>
      </c>
      <c r="E574">
        <v>1</v>
      </c>
      <c r="F574" t="s">
        <v>58</v>
      </c>
      <c r="G574">
        <v>1</v>
      </c>
      <c r="H574">
        <v>1</v>
      </c>
      <c r="I574" t="s">
        <v>44</v>
      </c>
      <c r="J574">
        <v>4</v>
      </c>
      <c r="K574" t="s">
        <v>50</v>
      </c>
      <c r="L574">
        <v>2977</v>
      </c>
      <c r="M574">
        <v>1</v>
      </c>
      <c r="N574" t="s">
        <v>41</v>
      </c>
      <c r="O574">
        <v>12</v>
      </c>
      <c r="P574">
        <v>3</v>
      </c>
      <c r="Q574">
        <v>1</v>
      </c>
      <c r="R574">
        <v>4</v>
      </c>
      <c r="S574">
        <v>5</v>
      </c>
      <c r="T574">
        <v>4</v>
      </c>
      <c r="U574">
        <v>1</v>
      </c>
      <c r="V574">
        <v>1</v>
      </c>
      <c r="W574" t="s">
        <v>38</v>
      </c>
      <c r="X574" s="1" t="d">
        <v>2017-05-18</v>
      </c>
      <c r="Z574" t="s">
        <v>45</v>
      </c>
      <c r="AA574" t="s">
        <v>46</v>
      </c>
      <c r="AB574">
        <v>4</v>
      </c>
      <c r="AC574">
        <v>0</v>
      </c>
      <c r="AD574" t="s">
        <v>32</v>
      </c>
      <c r="AE574" t="s">
        <v>47</v>
      </c>
      <c r="AF574" t="s">
        <v>48</v>
      </c>
      <c r="AG574">
        <f>IF(HR_Data[[#This Row],[Attrition]]="Yes",1,0)</f>
        <v>0</v>
      </c>
      <c r="AH574" t="str">
        <f>IF(HR_Data[Date_of_termination]="","Active","Left")</f>
        <v>Active</v>
      </c>
      <c r="AI574" t="str">
        <f>IF(HR_Data[YearsAtCompany]&lt;=2,"Fresher", IF(HR_Data[YearsAtCompany]&lt;=5,"Junior", IF(HR_Data[YearsAtCompany]&lt;=10, "Mid","Senior")))</f>
        <v>Junior</v>
      </c>
      <c r="AJ574" s="2" t="str">
        <f>IF(HR_Data[MonthlyIncome]&lt;=300,"Low", IF(HR_Data[MonthlyIncome]&lt;=7000,"Medium", "High"))</f>
        <v>Medium</v>
      </c>
      <c r="AK574" s="2" t="str">
        <f>VLOOKUP(HR_Data[JobRole], JobRole_Map[], 2, FALSE)</f>
        <v>Technical</v>
      </c>
    </row>
    <row r="575" spans="1:37" x14ac:dyDescent="0.25">
      <c r="A575" s="2">
        <v>29</v>
      </c>
      <c r="B575" t="s">
        <v>41</v>
      </c>
      <c r="C575" t="s">
        <v>33</v>
      </c>
      <c r="D575" t="s">
        <v>34</v>
      </c>
      <c r="E575">
        <v>13</v>
      </c>
      <c r="F575" t="s">
        <v>35</v>
      </c>
      <c r="G575">
        <v>2</v>
      </c>
      <c r="H575">
        <v>2</v>
      </c>
      <c r="I575" t="s">
        <v>36</v>
      </c>
      <c r="J575">
        <v>2</v>
      </c>
      <c r="K575" t="s">
        <v>50</v>
      </c>
      <c r="L575">
        <v>4025</v>
      </c>
      <c r="M575">
        <v>4</v>
      </c>
      <c r="N575" t="s">
        <v>32</v>
      </c>
      <c r="O575">
        <v>13</v>
      </c>
      <c r="P575">
        <v>3</v>
      </c>
      <c r="Q575">
        <v>1</v>
      </c>
      <c r="R575">
        <v>10</v>
      </c>
      <c r="S575">
        <v>2</v>
      </c>
      <c r="T575">
        <v>4</v>
      </c>
      <c r="U575">
        <v>0</v>
      </c>
      <c r="V575">
        <v>3</v>
      </c>
      <c r="W575" t="s">
        <v>65</v>
      </c>
      <c r="X575" s="1" t="d">
        <v>2017-03-27</v>
      </c>
      <c r="Z575" t="s">
        <v>45</v>
      </c>
      <c r="AA575" t="s">
        <v>40</v>
      </c>
      <c r="AB575">
        <v>5</v>
      </c>
      <c r="AC575">
        <v>2</v>
      </c>
      <c r="AD575" t="s">
        <v>41</v>
      </c>
      <c r="AE575" t="s">
        <v>60</v>
      </c>
      <c r="AF575" t="s">
        <v>57</v>
      </c>
      <c r="AG575">
        <f>IF(HR_Data[[#This Row],[Attrition]]="Yes",1,0)</f>
        <v>0</v>
      </c>
      <c r="AH575" t="str">
        <f>IF(HR_Data[Date_of_termination]="","Active","Left")</f>
        <v>Active</v>
      </c>
      <c r="AI575" t="str">
        <f>IF(HR_Data[YearsAtCompany]&lt;=2,"Fresher", IF(HR_Data[YearsAtCompany]&lt;=5,"Junior", IF(HR_Data[YearsAtCompany]&lt;=10, "Mid","Senior")))</f>
        <v>Junior</v>
      </c>
      <c r="AJ575" s="2" t="str">
        <f>IF(HR_Data[MonthlyIncome]&lt;=300,"Low", IF(HR_Data[MonthlyIncome]&lt;=7000,"Medium", "High"))</f>
        <v>Medium</v>
      </c>
      <c r="AK575" s="2" t="str">
        <f>VLOOKUP(HR_Data[JobRole], JobRole_Map[], 2, FALSE)</f>
        <v>Technical</v>
      </c>
    </row>
    <row r="576" spans="1:37" x14ac:dyDescent="0.25">
      <c r="A576" s="2">
        <v>26</v>
      </c>
      <c r="B576" t="s">
        <v>41</v>
      </c>
      <c r="C576" t="s">
        <v>33</v>
      </c>
      <c r="D576" t="s">
        <v>53</v>
      </c>
      <c r="E576">
        <v>5</v>
      </c>
      <c r="F576" t="s">
        <v>58</v>
      </c>
      <c r="G576">
        <v>2</v>
      </c>
      <c r="H576">
        <v>1</v>
      </c>
      <c r="I576" t="s">
        <v>54</v>
      </c>
      <c r="J576">
        <v>3</v>
      </c>
      <c r="K576" t="s">
        <v>37</v>
      </c>
      <c r="L576">
        <v>2966</v>
      </c>
      <c r="M576">
        <v>0</v>
      </c>
      <c r="N576" t="s">
        <v>41</v>
      </c>
      <c r="O576">
        <v>18</v>
      </c>
      <c r="P576">
        <v>3</v>
      </c>
      <c r="Q576">
        <v>0</v>
      </c>
      <c r="R576">
        <v>5</v>
      </c>
      <c r="S576">
        <v>2</v>
      </c>
      <c r="T576">
        <v>4</v>
      </c>
      <c r="U576">
        <v>0</v>
      </c>
      <c r="V576">
        <v>0</v>
      </c>
      <c r="W576" t="s">
        <v>56</v>
      </c>
      <c r="X576" s="1" t="d">
        <v>2017-02-01</v>
      </c>
      <c r="Z576" t="s">
        <v>63</v>
      </c>
      <c r="AA576" t="s">
        <v>46</v>
      </c>
      <c r="AB576">
        <v>4</v>
      </c>
      <c r="AC576">
        <v>2</v>
      </c>
      <c r="AD576" t="s">
        <v>32</v>
      </c>
      <c r="AE576" t="s">
        <v>47</v>
      </c>
      <c r="AF576" t="s">
        <v>57</v>
      </c>
      <c r="AG576">
        <f>IF(HR_Data[[#This Row],[Attrition]]="Yes",1,0)</f>
        <v>0</v>
      </c>
      <c r="AH576" t="str">
        <f>IF(HR_Data[Date_of_termination]="","Active","Left")</f>
        <v>Active</v>
      </c>
      <c r="AI576" t="str">
        <f>IF(HR_Data[YearsAtCompany]&lt;=2,"Fresher", IF(HR_Data[YearsAtCompany]&lt;=5,"Junior", IF(HR_Data[YearsAtCompany]&lt;=10, "Mid","Senior")))</f>
        <v>Junior</v>
      </c>
      <c r="AJ576" s="2" t="str">
        <f>IF(HR_Data[MonthlyIncome]&lt;=300,"Low", IF(HR_Data[MonthlyIncome]&lt;=7000,"Medium", "High"))</f>
        <v>Medium</v>
      </c>
      <c r="AK576" s="2" t="str">
        <f>VLOOKUP(HR_Data[JobRole], JobRole_Map[], 2, FALSE)</f>
        <v>Sales</v>
      </c>
    </row>
    <row r="577" spans="1:37" x14ac:dyDescent="0.25">
      <c r="A577" s="2">
        <v>34</v>
      </c>
      <c r="B577" t="s">
        <v>41</v>
      </c>
      <c r="C577" t="s">
        <v>33</v>
      </c>
      <c r="D577" t="s">
        <v>34</v>
      </c>
      <c r="E577">
        <v>8</v>
      </c>
      <c r="F577" t="s">
        <v>35</v>
      </c>
      <c r="G577">
        <v>4</v>
      </c>
      <c r="H577">
        <v>2</v>
      </c>
      <c r="I577" t="s">
        <v>36</v>
      </c>
      <c r="J577">
        <v>3</v>
      </c>
      <c r="K577" t="s">
        <v>50</v>
      </c>
      <c r="L577">
        <v>4404</v>
      </c>
      <c r="M577">
        <v>2</v>
      </c>
      <c r="N577" t="s">
        <v>41</v>
      </c>
      <c r="O577">
        <v>12</v>
      </c>
      <c r="P577">
        <v>3</v>
      </c>
      <c r="Q577">
        <v>0</v>
      </c>
      <c r="R577">
        <v>6</v>
      </c>
      <c r="S577">
        <v>3</v>
      </c>
      <c r="T577">
        <v>4</v>
      </c>
      <c r="U577">
        <v>1</v>
      </c>
      <c r="V577">
        <v>2</v>
      </c>
      <c r="W577" t="s">
        <v>38</v>
      </c>
      <c r="X577" s="1" t="d">
        <v>2017-01-31</v>
      </c>
      <c r="Z577" t="s">
        <v>45</v>
      </c>
      <c r="AA577" t="s">
        <v>40</v>
      </c>
      <c r="AB577">
        <v>5</v>
      </c>
      <c r="AC577">
        <v>3</v>
      </c>
      <c r="AD577" t="s">
        <v>41</v>
      </c>
      <c r="AE577" t="s">
        <v>62</v>
      </c>
      <c r="AF577" t="s">
        <v>48</v>
      </c>
      <c r="AG577">
        <f>IF(HR_Data[[#This Row],[Attrition]]="Yes",1,0)</f>
        <v>0</v>
      </c>
      <c r="AH577" t="str">
        <f>IF(HR_Data[Date_of_termination]="","Active","Left")</f>
        <v>Active</v>
      </c>
      <c r="AI577" t="str">
        <f>IF(HR_Data[YearsAtCompany]&lt;=2,"Fresher", IF(HR_Data[YearsAtCompany]&lt;=5,"Junior", IF(HR_Data[YearsAtCompany]&lt;=10, "Mid","Senior")))</f>
        <v>Junior</v>
      </c>
      <c r="AJ577" s="2" t="str">
        <f>IF(HR_Data[MonthlyIncome]&lt;=300,"Low", IF(HR_Data[MonthlyIncome]&lt;=7000,"Medium", "High"))</f>
        <v>Medium</v>
      </c>
      <c r="AK577" s="2" t="str">
        <f>VLOOKUP(HR_Data[JobRole], JobRole_Map[], 2, FALSE)</f>
        <v>Technical</v>
      </c>
    </row>
    <row r="578" spans="1:37" x14ac:dyDescent="0.25">
      <c r="A578" s="2">
        <v>35</v>
      </c>
      <c r="B578" t="s">
        <v>41</v>
      </c>
      <c r="C578" t="s">
        <v>33</v>
      </c>
      <c r="D578" t="s">
        <v>34</v>
      </c>
      <c r="E578">
        <v>16</v>
      </c>
      <c r="F578" t="s">
        <v>35</v>
      </c>
      <c r="G578">
        <v>4</v>
      </c>
      <c r="H578">
        <v>1</v>
      </c>
      <c r="I578" t="s">
        <v>36</v>
      </c>
      <c r="J578">
        <v>2</v>
      </c>
      <c r="K578" t="s">
        <v>50</v>
      </c>
      <c r="L578">
        <v>2426</v>
      </c>
      <c r="M578">
        <v>0</v>
      </c>
      <c r="N578" t="s">
        <v>41</v>
      </c>
      <c r="O578">
        <v>13</v>
      </c>
      <c r="P578">
        <v>3</v>
      </c>
      <c r="Q578">
        <v>1</v>
      </c>
      <c r="R578">
        <v>6</v>
      </c>
      <c r="S578">
        <v>5</v>
      </c>
      <c r="T578">
        <v>5</v>
      </c>
      <c r="U578">
        <v>0</v>
      </c>
      <c r="V578">
        <v>3</v>
      </c>
      <c r="W578" t="s">
        <v>56</v>
      </c>
      <c r="X578" s="1" t="d">
        <v>2016-04-13</v>
      </c>
      <c r="Z578" t="s">
        <v>52</v>
      </c>
      <c r="AA578" t="s">
        <v>40</v>
      </c>
      <c r="AB578">
        <v>1</v>
      </c>
      <c r="AC578">
        <v>3</v>
      </c>
      <c r="AD578" t="s">
        <v>32</v>
      </c>
      <c r="AE578" t="s">
        <v>60</v>
      </c>
      <c r="AF578" t="s">
        <v>43</v>
      </c>
      <c r="AG578">
        <f>IF(HR_Data[[#This Row],[Attrition]]="Yes",1,0)</f>
        <v>0</v>
      </c>
      <c r="AH578" t="str">
        <f>IF(HR_Data[Date_of_termination]="","Active","Left")</f>
        <v>Active</v>
      </c>
      <c r="AI578" t="str">
        <f>IF(HR_Data[YearsAtCompany]&lt;=2,"Fresher", IF(HR_Data[YearsAtCompany]&lt;=5,"Junior", IF(HR_Data[YearsAtCompany]&lt;=10, "Mid","Senior")))</f>
        <v>Junior</v>
      </c>
      <c r="AJ578" s="2" t="str">
        <f>IF(HR_Data[MonthlyIncome]&lt;=300,"Low", IF(HR_Data[MonthlyIncome]&lt;=7000,"Medium", "High"))</f>
        <v>Medium</v>
      </c>
      <c r="AK578" s="2" t="str">
        <f>VLOOKUP(HR_Data[JobRole], JobRole_Map[], 2, FALSE)</f>
        <v>Technical</v>
      </c>
    </row>
    <row r="579" spans="1:37" x14ac:dyDescent="0.25">
      <c r="A579" s="2">
        <v>31</v>
      </c>
      <c r="B579" t="s">
        <v>41</v>
      </c>
      <c r="C579" t="s">
        <v>33</v>
      </c>
      <c r="D579" t="s">
        <v>34</v>
      </c>
      <c r="E579">
        <v>26</v>
      </c>
      <c r="F579" t="s">
        <v>35</v>
      </c>
      <c r="G579">
        <v>3</v>
      </c>
      <c r="H579">
        <v>1</v>
      </c>
      <c r="I579" t="s">
        <v>44</v>
      </c>
      <c r="J579">
        <v>3</v>
      </c>
      <c r="K579" t="s">
        <v>55</v>
      </c>
      <c r="L579">
        <v>2911</v>
      </c>
      <c r="M579">
        <v>1</v>
      </c>
      <c r="N579" t="s">
        <v>41</v>
      </c>
      <c r="O579">
        <v>17</v>
      </c>
      <c r="P579">
        <v>3</v>
      </c>
      <c r="Q579">
        <v>1</v>
      </c>
      <c r="R579">
        <v>5</v>
      </c>
      <c r="S579">
        <v>1</v>
      </c>
      <c r="T579">
        <v>5</v>
      </c>
      <c r="U579">
        <v>4</v>
      </c>
      <c r="V579">
        <v>3</v>
      </c>
      <c r="W579" t="s">
        <v>56</v>
      </c>
      <c r="X579" s="1" t="d">
        <v>2016-06-18</v>
      </c>
      <c r="Z579" t="s">
        <v>39</v>
      </c>
      <c r="AA579" t="s">
        <v>46</v>
      </c>
      <c r="AB579">
        <v>3</v>
      </c>
      <c r="AC579">
        <v>2</v>
      </c>
      <c r="AD579" t="s">
        <v>32</v>
      </c>
      <c r="AE579" t="s">
        <v>62</v>
      </c>
      <c r="AF579" t="s">
        <v>43</v>
      </c>
      <c r="AG579">
        <f>IF(HR_Data[[#This Row],[Attrition]]="Yes",1,0)</f>
        <v>0</v>
      </c>
      <c r="AH579" t="str">
        <f>IF(HR_Data[Date_of_termination]="","Active","Left")</f>
        <v>Active</v>
      </c>
      <c r="AI579" t="str">
        <f>IF(HR_Data[YearsAtCompany]&lt;=2,"Fresher", IF(HR_Data[YearsAtCompany]&lt;=5,"Junior", IF(HR_Data[YearsAtCompany]&lt;=10, "Mid","Senior")))</f>
        <v>Junior</v>
      </c>
      <c r="AJ579" s="2" t="str">
        <f>IF(HR_Data[MonthlyIncome]&lt;=300,"Low", IF(HR_Data[MonthlyIncome]&lt;=7000,"Medium", "High"))</f>
        <v>Medium</v>
      </c>
      <c r="AK579" s="2" t="str">
        <f>VLOOKUP(HR_Data[JobRole], JobRole_Map[], 2, FALSE)</f>
        <v>Technical</v>
      </c>
    </row>
    <row r="580" spans="1:37" x14ac:dyDescent="0.25">
      <c r="A580" s="2">
        <v>36</v>
      </c>
      <c r="B580" t="s">
        <v>32</v>
      </c>
      <c r="C580" t="s">
        <v>33</v>
      </c>
      <c r="D580" t="s">
        <v>53</v>
      </c>
      <c r="E580">
        <v>9</v>
      </c>
      <c r="F580" t="s">
        <v>35</v>
      </c>
      <c r="G580">
        <v>2</v>
      </c>
      <c r="H580">
        <v>1</v>
      </c>
      <c r="I580" t="s">
        <v>54</v>
      </c>
      <c r="J580">
        <v>1</v>
      </c>
      <c r="K580" t="s">
        <v>37</v>
      </c>
      <c r="L580">
        <v>3407</v>
      </c>
      <c r="M580">
        <v>7</v>
      </c>
      <c r="N580" t="s">
        <v>41</v>
      </c>
      <c r="O580">
        <v>23</v>
      </c>
      <c r="P580">
        <v>4</v>
      </c>
      <c r="Q580">
        <v>0</v>
      </c>
      <c r="R580">
        <v>10</v>
      </c>
      <c r="S580">
        <v>4</v>
      </c>
      <c r="T580">
        <v>5</v>
      </c>
      <c r="U580">
        <v>0</v>
      </c>
      <c r="V580">
        <v>3</v>
      </c>
      <c r="W580" t="s">
        <v>56</v>
      </c>
      <c r="X580" s="1" t="d">
        <v>2016-02-17</v>
      </c>
      <c r="Z580" t="s">
        <v>52</v>
      </c>
      <c r="AA580" t="s">
        <v>46</v>
      </c>
      <c r="AB580">
        <v>3</v>
      </c>
      <c r="AC580">
        <v>2</v>
      </c>
      <c r="AD580" t="s">
        <v>41</v>
      </c>
      <c r="AE580" t="s">
        <v>47</v>
      </c>
      <c r="AF580" t="s">
        <v>43</v>
      </c>
      <c r="AG580">
        <f>IF(HR_Data[[#This Row],[Attrition]]="Yes",1,0)</f>
        <v>1</v>
      </c>
      <c r="AH580" t="str">
        <f>IF(HR_Data[Date_of_termination]="","Active","Left")</f>
        <v>Active</v>
      </c>
      <c r="AI580" t="str">
        <f>IF(HR_Data[YearsAtCompany]&lt;=2,"Fresher", IF(HR_Data[YearsAtCompany]&lt;=5,"Junior", IF(HR_Data[YearsAtCompany]&lt;=10, "Mid","Senior")))</f>
        <v>Junior</v>
      </c>
      <c r="AJ580" s="2" t="str">
        <f>IF(HR_Data[MonthlyIncome]&lt;=300,"Low", IF(HR_Data[MonthlyIncome]&lt;=7000,"Medium", "High"))</f>
        <v>Medium</v>
      </c>
      <c r="AK580" s="2" t="str">
        <f>VLOOKUP(HR_Data[JobRole], JobRole_Map[], 2, FALSE)</f>
        <v>Sales</v>
      </c>
    </row>
    <row r="581" spans="1:37" x14ac:dyDescent="0.25">
      <c r="A581" s="2">
        <v>43</v>
      </c>
      <c r="B581" t="s">
        <v>41</v>
      </c>
      <c r="C581" t="s">
        <v>33</v>
      </c>
      <c r="D581" t="s">
        <v>34</v>
      </c>
      <c r="E581">
        <v>2</v>
      </c>
      <c r="F581" t="s">
        <v>58</v>
      </c>
      <c r="G581">
        <v>4</v>
      </c>
      <c r="H581">
        <v>1</v>
      </c>
      <c r="I581" t="s">
        <v>44</v>
      </c>
      <c r="J581">
        <v>3</v>
      </c>
      <c r="K581" t="s">
        <v>55</v>
      </c>
      <c r="L581">
        <v>2645</v>
      </c>
      <c r="M581">
        <v>1</v>
      </c>
      <c r="N581" t="s">
        <v>41</v>
      </c>
      <c r="O581">
        <v>12</v>
      </c>
      <c r="P581">
        <v>3</v>
      </c>
      <c r="Q581">
        <v>2</v>
      </c>
      <c r="R581">
        <v>6</v>
      </c>
      <c r="S581">
        <v>3</v>
      </c>
      <c r="T581">
        <v>5</v>
      </c>
      <c r="U581">
        <v>1</v>
      </c>
      <c r="V581">
        <v>4</v>
      </c>
      <c r="W581" t="s">
        <v>65</v>
      </c>
      <c r="X581" s="1" t="d">
        <v>2016-01-09</v>
      </c>
      <c r="Z581" t="s">
        <v>52</v>
      </c>
      <c r="AA581" t="s">
        <v>40</v>
      </c>
      <c r="AB581">
        <v>0</v>
      </c>
      <c r="AC581">
        <v>0</v>
      </c>
      <c r="AD581" t="s">
        <v>32</v>
      </c>
      <c r="AE581" t="s">
        <v>62</v>
      </c>
      <c r="AF581" t="s">
        <v>57</v>
      </c>
      <c r="AG581">
        <f>IF(HR_Data[[#This Row],[Attrition]]="Yes",1,0)</f>
        <v>0</v>
      </c>
      <c r="AH581" t="str">
        <f>IF(HR_Data[Date_of_termination]="","Active","Left")</f>
        <v>Active</v>
      </c>
      <c r="AI581" t="str">
        <f>IF(HR_Data[YearsAtCompany]&lt;=2,"Fresher", IF(HR_Data[YearsAtCompany]&lt;=5,"Junior", IF(HR_Data[YearsAtCompany]&lt;=10, "Mid","Senior")))</f>
        <v>Junior</v>
      </c>
      <c r="AJ581" s="2" t="str">
        <f>IF(HR_Data[MonthlyIncome]&lt;=300,"Low", IF(HR_Data[MonthlyIncome]&lt;=7000,"Medium", "High"))</f>
        <v>Medium</v>
      </c>
      <c r="AK581" s="2" t="str">
        <f>VLOOKUP(HR_Data[JobRole], JobRole_Map[], 2, FALSE)</f>
        <v>Technical</v>
      </c>
    </row>
    <row r="582" spans="1:37" x14ac:dyDescent="0.25">
      <c r="A582" s="2">
        <v>33</v>
      </c>
      <c r="B582" t="s">
        <v>41</v>
      </c>
      <c r="C582" t="s">
        <v>61</v>
      </c>
      <c r="D582" t="s">
        <v>53</v>
      </c>
      <c r="E582">
        <v>1</v>
      </c>
      <c r="F582" t="s">
        <v>58</v>
      </c>
      <c r="G582">
        <v>4</v>
      </c>
      <c r="H582">
        <v>2</v>
      </c>
      <c r="I582" t="s">
        <v>64</v>
      </c>
      <c r="J582">
        <v>1</v>
      </c>
      <c r="K582" t="s">
        <v>50</v>
      </c>
      <c r="L582">
        <v>5376</v>
      </c>
      <c r="M582">
        <v>2</v>
      </c>
      <c r="N582" t="s">
        <v>41</v>
      </c>
      <c r="O582">
        <v>19</v>
      </c>
      <c r="P582">
        <v>3</v>
      </c>
      <c r="Q582">
        <v>2</v>
      </c>
      <c r="R582">
        <v>10</v>
      </c>
      <c r="S582">
        <v>3</v>
      </c>
      <c r="T582">
        <v>5</v>
      </c>
      <c r="U582">
        <v>1</v>
      </c>
      <c r="V582">
        <v>3</v>
      </c>
      <c r="W582" t="s">
        <v>38</v>
      </c>
      <c r="X582" s="1" t="d">
        <v>2016-03-24</v>
      </c>
      <c r="Z582" t="s">
        <v>59</v>
      </c>
      <c r="AA582" t="s">
        <v>46</v>
      </c>
      <c r="AB582">
        <v>4</v>
      </c>
      <c r="AC582">
        <v>3</v>
      </c>
      <c r="AD582" t="s">
        <v>41</v>
      </c>
      <c r="AE582" t="s">
        <v>47</v>
      </c>
      <c r="AF582" t="s">
        <v>57</v>
      </c>
      <c r="AG582">
        <f>IF(HR_Data[[#This Row],[Attrition]]="Yes",1,0)</f>
        <v>0</v>
      </c>
      <c r="AH582" t="str">
        <f>IF(HR_Data[Date_of_termination]="","Active","Left")</f>
        <v>Active</v>
      </c>
      <c r="AI582" t="str">
        <f>IF(HR_Data[YearsAtCompany]&lt;=2,"Fresher", IF(HR_Data[YearsAtCompany]&lt;=5,"Junior", IF(HR_Data[YearsAtCompany]&lt;=10, "Mid","Senior")))</f>
        <v>Junior</v>
      </c>
      <c r="AJ582" s="2" t="str">
        <f>IF(HR_Data[MonthlyIncome]&lt;=300,"Low", IF(HR_Data[MonthlyIncome]&lt;=7000,"Medium", "High"))</f>
        <v>Medium</v>
      </c>
      <c r="AK582" s="2" t="str">
        <f>VLOOKUP(HR_Data[JobRole], JobRole_Map[], 2, FALSE)</f>
        <v>Sales</v>
      </c>
    </row>
    <row r="583" spans="1:37" x14ac:dyDescent="0.25">
      <c r="A583" s="2">
        <v>55</v>
      </c>
      <c r="B583" t="s">
        <v>41</v>
      </c>
      <c r="C583" t="s">
        <v>33</v>
      </c>
      <c r="D583" t="s">
        <v>34</v>
      </c>
      <c r="E583">
        <v>8</v>
      </c>
      <c r="F583" t="s">
        <v>58</v>
      </c>
      <c r="G583">
        <v>3</v>
      </c>
      <c r="H583">
        <v>4</v>
      </c>
      <c r="I583" t="s">
        <v>66</v>
      </c>
      <c r="J583">
        <v>3</v>
      </c>
      <c r="K583" t="s">
        <v>55</v>
      </c>
      <c r="L583">
        <v>14756</v>
      </c>
      <c r="M583">
        <v>2</v>
      </c>
      <c r="N583" t="s">
        <v>32</v>
      </c>
      <c r="O583">
        <v>14</v>
      </c>
      <c r="P583">
        <v>3</v>
      </c>
      <c r="Q583">
        <v>3</v>
      </c>
      <c r="R583">
        <v>21</v>
      </c>
      <c r="S583">
        <v>2</v>
      </c>
      <c r="T583">
        <v>5</v>
      </c>
      <c r="U583">
        <v>0</v>
      </c>
      <c r="V583">
        <v>2</v>
      </c>
      <c r="W583" t="s">
        <v>56</v>
      </c>
      <c r="X583" s="1" t="d">
        <v>2016-01-11</v>
      </c>
      <c r="Z583" t="s">
        <v>39</v>
      </c>
      <c r="AA583" t="s">
        <v>46</v>
      </c>
      <c r="AB583">
        <v>5</v>
      </c>
      <c r="AC583">
        <v>3</v>
      </c>
      <c r="AD583" t="s">
        <v>41</v>
      </c>
      <c r="AE583" t="s">
        <v>42</v>
      </c>
      <c r="AF583" t="s">
        <v>57</v>
      </c>
      <c r="AG583">
        <f>IF(HR_Data[[#This Row],[Attrition]]="Yes",1,0)</f>
        <v>0</v>
      </c>
      <c r="AH583" t="str">
        <f>IF(HR_Data[Date_of_termination]="","Active","Left")</f>
        <v>Active</v>
      </c>
      <c r="AI583" t="str">
        <f>IF(HR_Data[YearsAtCompany]&lt;=2,"Fresher", IF(HR_Data[YearsAtCompany]&lt;=5,"Junior", IF(HR_Data[YearsAtCompany]&lt;=10, "Mid","Senior")))</f>
        <v>Junior</v>
      </c>
      <c r="AJ583" s="2" t="str">
        <f>IF(HR_Data[MonthlyIncome]&lt;=300,"Low", IF(HR_Data[MonthlyIncome]&lt;=7000,"Medium", "High"))</f>
        <v>High</v>
      </c>
      <c r="AK583" s="2" t="str">
        <f>VLOOKUP(HR_Data[JobRole], JobRole_Map[], 2, FALSE)</f>
        <v>Management</v>
      </c>
    </row>
    <row r="584" spans="1:37" x14ac:dyDescent="0.25">
      <c r="A584" s="2">
        <v>29</v>
      </c>
      <c r="B584" t="s">
        <v>41</v>
      </c>
      <c r="C584" t="s">
        <v>33</v>
      </c>
      <c r="D584" t="s">
        <v>34</v>
      </c>
      <c r="E584">
        <v>2</v>
      </c>
      <c r="F584" t="s">
        <v>35</v>
      </c>
      <c r="G584">
        <v>3</v>
      </c>
      <c r="H584">
        <v>1</v>
      </c>
      <c r="I584" t="s">
        <v>44</v>
      </c>
      <c r="J584">
        <v>2</v>
      </c>
      <c r="K584" t="s">
        <v>50</v>
      </c>
      <c r="L584">
        <v>2703</v>
      </c>
      <c r="M584">
        <v>0</v>
      </c>
      <c r="N584" t="s">
        <v>41</v>
      </c>
      <c r="O584">
        <v>23</v>
      </c>
      <c r="P584">
        <v>4</v>
      </c>
      <c r="Q584">
        <v>1</v>
      </c>
      <c r="R584">
        <v>6</v>
      </c>
      <c r="S584">
        <v>3</v>
      </c>
      <c r="T584">
        <v>5</v>
      </c>
      <c r="U584">
        <v>0</v>
      </c>
      <c r="V584">
        <v>4</v>
      </c>
      <c r="W584" t="s">
        <v>38</v>
      </c>
      <c r="X584" s="1" t="d">
        <v>2016-02-25</v>
      </c>
      <c r="Z584" t="s">
        <v>45</v>
      </c>
      <c r="AA584" t="s">
        <v>40</v>
      </c>
      <c r="AB584">
        <v>0</v>
      </c>
      <c r="AC584">
        <v>3</v>
      </c>
      <c r="AD584" t="s">
        <v>32</v>
      </c>
      <c r="AE584" t="s">
        <v>62</v>
      </c>
      <c r="AF584" t="s">
        <v>48</v>
      </c>
      <c r="AG584">
        <f>IF(HR_Data[[#This Row],[Attrition]]="Yes",1,0)</f>
        <v>0</v>
      </c>
      <c r="AH584" t="str">
        <f>IF(HR_Data[Date_of_termination]="","Active","Left")</f>
        <v>Active</v>
      </c>
      <c r="AI584" t="str">
        <f>IF(HR_Data[YearsAtCompany]&lt;=2,"Fresher", IF(HR_Data[YearsAtCompany]&lt;=5,"Junior", IF(HR_Data[YearsAtCompany]&lt;=10, "Mid","Senior")))</f>
        <v>Junior</v>
      </c>
      <c r="AJ584" s="2" t="str">
        <f>IF(HR_Data[MonthlyIncome]&lt;=300,"Low", IF(HR_Data[MonthlyIncome]&lt;=7000,"Medium", "High"))</f>
        <v>Medium</v>
      </c>
      <c r="AK584" s="2" t="str">
        <f>VLOOKUP(HR_Data[JobRole], JobRole_Map[], 2, FALSE)</f>
        <v>Technical</v>
      </c>
    </row>
    <row r="585" spans="1:37" x14ac:dyDescent="0.25">
      <c r="A585" s="2">
        <v>37</v>
      </c>
      <c r="B585" t="s">
        <v>41</v>
      </c>
      <c r="C585" t="s">
        <v>33</v>
      </c>
      <c r="D585" t="s">
        <v>34</v>
      </c>
      <c r="E585">
        <v>7</v>
      </c>
      <c r="F585" t="s">
        <v>35</v>
      </c>
      <c r="G585">
        <v>3</v>
      </c>
      <c r="H585">
        <v>3</v>
      </c>
      <c r="I585" t="s">
        <v>49</v>
      </c>
      <c r="J585">
        <v>3</v>
      </c>
      <c r="K585" t="s">
        <v>37</v>
      </c>
      <c r="L585">
        <v>13664</v>
      </c>
      <c r="M585">
        <v>4</v>
      </c>
      <c r="N585" t="s">
        <v>41</v>
      </c>
      <c r="O585">
        <v>13</v>
      </c>
      <c r="P585">
        <v>3</v>
      </c>
      <c r="Q585">
        <v>0</v>
      </c>
      <c r="R585">
        <v>16</v>
      </c>
      <c r="S585">
        <v>3</v>
      </c>
      <c r="T585">
        <v>5</v>
      </c>
      <c r="U585">
        <v>0</v>
      </c>
      <c r="V585">
        <v>2</v>
      </c>
      <c r="W585" t="s">
        <v>38</v>
      </c>
      <c r="X585" s="1" t="d">
        <v>2016-04-29</v>
      </c>
      <c r="Z585" t="s">
        <v>45</v>
      </c>
      <c r="AA585" t="s">
        <v>46</v>
      </c>
      <c r="AB585">
        <v>3</v>
      </c>
      <c r="AC585">
        <v>0</v>
      </c>
      <c r="AD585" t="s">
        <v>32</v>
      </c>
      <c r="AE585" t="s">
        <v>47</v>
      </c>
      <c r="AF585" t="s">
        <v>43</v>
      </c>
      <c r="AG585">
        <f>IF(HR_Data[[#This Row],[Attrition]]="Yes",1,0)</f>
        <v>0</v>
      </c>
      <c r="AH585" t="str">
        <f>IF(HR_Data[Date_of_termination]="","Active","Left")</f>
        <v>Active</v>
      </c>
      <c r="AI585" t="str">
        <f>IF(HR_Data[YearsAtCompany]&lt;=2,"Fresher", IF(HR_Data[YearsAtCompany]&lt;=5,"Junior", IF(HR_Data[YearsAtCompany]&lt;=10, "Mid","Senior")))</f>
        <v>Junior</v>
      </c>
      <c r="AJ585" s="2" t="str">
        <f>IF(HR_Data[MonthlyIncome]&lt;=300,"Low", IF(HR_Data[MonthlyIncome]&lt;=7000,"Medium", "High"))</f>
        <v>High</v>
      </c>
      <c r="AK585" s="2" t="str">
        <f>VLOOKUP(HR_Data[JobRole], JobRole_Map[], 2, FALSE)</f>
        <v>Management</v>
      </c>
    </row>
    <row r="586" spans="1:37" x14ac:dyDescent="0.25">
      <c r="A586" s="2">
        <v>34</v>
      </c>
      <c r="B586" t="s">
        <v>41</v>
      </c>
      <c r="C586" t="s">
        <v>33</v>
      </c>
      <c r="D586" t="s">
        <v>34</v>
      </c>
      <c r="E586">
        <v>1</v>
      </c>
      <c r="F586" t="s">
        <v>35</v>
      </c>
      <c r="G586">
        <v>3</v>
      </c>
      <c r="H586">
        <v>2</v>
      </c>
      <c r="I586" t="s">
        <v>67</v>
      </c>
      <c r="J586">
        <v>2</v>
      </c>
      <c r="K586" t="s">
        <v>50</v>
      </c>
      <c r="L586">
        <v>4325</v>
      </c>
      <c r="M586">
        <v>1</v>
      </c>
      <c r="N586" t="s">
        <v>41</v>
      </c>
      <c r="O586">
        <v>15</v>
      </c>
      <c r="P586">
        <v>3</v>
      </c>
      <c r="Q586">
        <v>0</v>
      </c>
      <c r="R586">
        <v>5</v>
      </c>
      <c r="S586">
        <v>2</v>
      </c>
      <c r="T586">
        <v>5</v>
      </c>
      <c r="U586">
        <v>1</v>
      </c>
      <c r="V586">
        <v>3</v>
      </c>
      <c r="W586" t="s">
        <v>38</v>
      </c>
      <c r="X586" s="1" t="d">
        <v>2016-06-23</v>
      </c>
      <c r="Z586" t="s">
        <v>63</v>
      </c>
      <c r="AA586" t="s">
        <v>40</v>
      </c>
      <c r="AB586">
        <v>1</v>
      </c>
      <c r="AC586">
        <v>1</v>
      </c>
      <c r="AD586" t="s">
        <v>41</v>
      </c>
      <c r="AE586" t="s">
        <v>42</v>
      </c>
      <c r="AF586" t="s">
        <v>48</v>
      </c>
      <c r="AG586">
        <f>IF(HR_Data[[#This Row],[Attrition]]="Yes",1,0)</f>
        <v>0</v>
      </c>
      <c r="AH586" t="str">
        <f>IF(HR_Data[Date_of_termination]="","Active","Left")</f>
        <v>Active</v>
      </c>
      <c r="AI586" t="str">
        <f>IF(HR_Data[YearsAtCompany]&lt;=2,"Fresher", IF(HR_Data[YearsAtCompany]&lt;=5,"Junior", IF(HR_Data[YearsAtCompany]&lt;=10, "Mid","Senior")))</f>
        <v>Junior</v>
      </c>
      <c r="AJ586" s="2" t="str">
        <f>IF(HR_Data[MonthlyIncome]&lt;=300,"Low", IF(HR_Data[MonthlyIncome]&lt;=7000,"Medium", "High"))</f>
        <v>Medium</v>
      </c>
      <c r="AK586" s="2" t="str">
        <f>VLOOKUP(HR_Data[JobRole], JobRole_Map[], 2, FALSE)</f>
        <v>Operations</v>
      </c>
    </row>
    <row r="587" spans="1:37" x14ac:dyDescent="0.25">
      <c r="A587" s="2">
        <v>28</v>
      </c>
      <c r="B587" t="s">
        <v>41</v>
      </c>
      <c r="C587" t="s">
        <v>68</v>
      </c>
      <c r="D587" t="s">
        <v>53</v>
      </c>
      <c r="E587">
        <v>4</v>
      </c>
      <c r="F587" t="s">
        <v>35</v>
      </c>
      <c r="G587">
        <v>3</v>
      </c>
      <c r="H587">
        <v>2</v>
      </c>
      <c r="I587" t="s">
        <v>64</v>
      </c>
      <c r="J587">
        <v>3</v>
      </c>
      <c r="K587" t="s">
        <v>50</v>
      </c>
      <c r="L587">
        <v>4221</v>
      </c>
      <c r="M587">
        <v>1</v>
      </c>
      <c r="N587" t="s">
        <v>41</v>
      </c>
      <c r="O587">
        <v>15</v>
      </c>
      <c r="P587">
        <v>3</v>
      </c>
      <c r="Q587">
        <v>0</v>
      </c>
      <c r="R587">
        <v>5</v>
      </c>
      <c r="S587">
        <v>3</v>
      </c>
      <c r="T587">
        <v>5</v>
      </c>
      <c r="U587">
        <v>0</v>
      </c>
      <c r="V587">
        <v>4</v>
      </c>
      <c r="W587" t="s">
        <v>56</v>
      </c>
      <c r="X587" s="1" t="d">
        <v>2016-06-14</v>
      </c>
      <c r="Z587" t="s">
        <v>52</v>
      </c>
      <c r="AA587" t="s">
        <v>40</v>
      </c>
      <c r="AB587">
        <v>2</v>
      </c>
      <c r="AC587">
        <v>1</v>
      </c>
      <c r="AD587" t="s">
        <v>41</v>
      </c>
      <c r="AE587" t="s">
        <v>42</v>
      </c>
      <c r="AF587" t="s">
        <v>48</v>
      </c>
      <c r="AG587">
        <f>IF(HR_Data[[#This Row],[Attrition]]="Yes",1,0)</f>
        <v>0</v>
      </c>
      <c r="AH587" t="str">
        <f>IF(HR_Data[Date_of_termination]="","Active","Left")</f>
        <v>Active</v>
      </c>
      <c r="AI587" t="str">
        <f>IF(HR_Data[YearsAtCompany]&lt;=2,"Fresher", IF(HR_Data[YearsAtCompany]&lt;=5,"Junior", IF(HR_Data[YearsAtCompany]&lt;=10, "Mid","Senior")))</f>
        <v>Junior</v>
      </c>
      <c r="AJ587" s="2" t="str">
        <f>IF(HR_Data[MonthlyIncome]&lt;=300,"Low", IF(HR_Data[MonthlyIncome]&lt;=7000,"Medium", "High"))</f>
        <v>Medium</v>
      </c>
      <c r="AK587" s="2" t="str">
        <f>VLOOKUP(HR_Data[JobRole], JobRole_Map[], 2, FALSE)</f>
        <v>Sales</v>
      </c>
    </row>
    <row r="588" spans="1:37" x14ac:dyDescent="0.25">
      <c r="A588" s="2">
        <v>54</v>
      </c>
      <c r="B588" t="s">
        <v>41</v>
      </c>
      <c r="C588" t="s">
        <v>68</v>
      </c>
      <c r="D588" t="s">
        <v>70</v>
      </c>
      <c r="E588">
        <v>26</v>
      </c>
      <c r="F588" t="s">
        <v>58</v>
      </c>
      <c r="G588">
        <v>4</v>
      </c>
      <c r="H588">
        <v>4</v>
      </c>
      <c r="I588" t="s">
        <v>66</v>
      </c>
      <c r="J588">
        <v>4</v>
      </c>
      <c r="K588" t="s">
        <v>37</v>
      </c>
      <c r="L588">
        <v>17328</v>
      </c>
      <c r="M588">
        <v>2</v>
      </c>
      <c r="N588" t="s">
        <v>32</v>
      </c>
      <c r="O588">
        <v>12</v>
      </c>
      <c r="P588">
        <v>3</v>
      </c>
      <c r="Q588">
        <v>0</v>
      </c>
      <c r="R588">
        <v>23</v>
      </c>
      <c r="S588">
        <v>3</v>
      </c>
      <c r="T588">
        <v>5</v>
      </c>
      <c r="U588">
        <v>4</v>
      </c>
      <c r="V588">
        <v>4</v>
      </c>
      <c r="W588" t="s">
        <v>56</v>
      </c>
      <c r="X588" s="1" t="d">
        <v>2016-04-17</v>
      </c>
      <c r="Z588" t="s">
        <v>39</v>
      </c>
      <c r="AA588" t="s">
        <v>40</v>
      </c>
      <c r="AB588">
        <v>1</v>
      </c>
      <c r="AC588">
        <v>3</v>
      </c>
      <c r="AD588" t="s">
        <v>41</v>
      </c>
      <c r="AE588" t="s">
        <v>42</v>
      </c>
      <c r="AF588" t="s">
        <v>48</v>
      </c>
      <c r="AG588">
        <f>IF(HR_Data[[#This Row],[Attrition]]="Yes",1,0)</f>
        <v>0</v>
      </c>
      <c r="AH588" t="str">
        <f>IF(HR_Data[Date_of_termination]="","Active","Left")</f>
        <v>Active</v>
      </c>
      <c r="AI588" t="str">
        <f>IF(HR_Data[YearsAtCompany]&lt;=2,"Fresher", IF(HR_Data[YearsAtCompany]&lt;=5,"Junior", IF(HR_Data[YearsAtCompany]&lt;=10, "Mid","Senior")))</f>
        <v>Junior</v>
      </c>
      <c r="AJ588" s="2" t="str">
        <f>IF(HR_Data[MonthlyIncome]&lt;=300,"Low", IF(HR_Data[MonthlyIncome]&lt;=7000,"Medium", "High"))</f>
        <v>High</v>
      </c>
      <c r="AK588" s="2" t="str">
        <f>VLOOKUP(HR_Data[JobRole], JobRole_Map[], 2, FALSE)</f>
        <v>Management</v>
      </c>
    </row>
    <row r="589" spans="1:37" x14ac:dyDescent="0.25">
      <c r="A589" s="2">
        <v>24</v>
      </c>
      <c r="B589" t="s">
        <v>41</v>
      </c>
      <c r="C589" t="s">
        <v>33</v>
      </c>
      <c r="D589" t="s">
        <v>34</v>
      </c>
      <c r="E589">
        <v>18</v>
      </c>
      <c r="F589" t="s">
        <v>35</v>
      </c>
      <c r="G589">
        <v>3</v>
      </c>
      <c r="H589">
        <v>1</v>
      </c>
      <c r="I589" t="s">
        <v>36</v>
      </c>
      <c r="J589">
        <v>3</v>
      </c>
      <c r="K589" t="s">
        <v>50</v>
      </c>
      <c r="L589">
        <v>2774</v>
      </c>
      <c r="M589">
        <v>0</v>
      </c>
      <c r="N589" t="s">
        <v>41</v>
      </c>
      <c r="O589">
        <v>12</v>
      </c>
      <c r="P589">
        <v>3</v>
      </c>
      <c r="Q589">
        <v>1</v>
      </c>
      <c r="R589">
        <v>6</v>
      </c>
      <c r="S589">
        <v>2</v>
      </c>
      <c r="T589">
        <v>5</v>
      </c>
      <c r="U589">
        <v>1</v>
      </c>
      <c r="V589">
        <v>2</v>
      </c>
      <c r="W589" t="s">
        <v>51</v>
      </c>
      <c r="X589" s="1" t="d">
        <v>2016-05-08</v>
      </c>
      <c r="Z589" t="s">
        <v>63</v>
      </c>
      <c r="AA589" t="s">
        <v>40</v>
      </c>
      <c r="AB589">
        <v>3</v>
      </c>
      <c r="AC589">
        <v>0</v>
      </c>
      <c r="AD589" t="s">
        <v>32</v>
      </c>
      <c r="AE589" t="s">
        <v>47</v>
      </c>
      <c r="AF589" t="s">
        <v>43</v>
      </c>
      <c r="AG589">
        <f>IF(HR_Data[[#This Row],[Attrition]]="Yes",1,0)</f>
        <v>0</v>
      </c>
      <c r="AH589" t="str">
        <f>IF(HR_Data[Date_of_termination]="","Active","Left")</f>
        <v>Active</v>
      </c>
      <c r="AI589" t="str">
        <f>IF(HR_Data[YearsAtCompany]&lt;=2,"Fresher", IF(HR_Data[YearsAtCompany]&lt;=5,"Junior", IF(HR_Data[YearsAtCompany]&lt;=10, "Mid","Senior")))</f>
        <v>Junior</v>
      </c>
      <c r="AJ589" s="2" t="str">
        <f>IF(HR_Data[MonthlyIncome]&lt;=300,"Low", IF(HR_Data[MonthlyIncome]&lt;=7000,"Medium", "High"))</f>
        <v>Medium</v>
      </c>
      <c r="AK589" s="2" t="str">
        <f>VLOOKUP(HR_Data[JobRole], JobRole_Map[], 2, FALSE)</f>
        <v>Technical</v>
      </c>
    </row>
    <row r="590" spans="1:37" x14ac:dyDescent="0.25">
      <c r="A590" s="2">
        <v>37</v>
      </c>
      <c r="B590" t="s">
        <v>41</v>
      </c>
      <c r="C590" t="s">
        <v>33</v>
      </c>
      <c r="D590" t="s">
        <v>53</v>
      </c>
      <c r="E590">
        <v>3</v>
      </c>
      <c r="F590" t="s">
        <v>35</v>
      </c>
      <c r="G590">
        <v>3</v>
      </c>
      <c r="H590">
        <v>3</v>
      </c>
      <c r="I590" t="s">
        <v>64</v>
      </c>
      <c r="J590">
        <v>4</v>
      </c>
      <c r="K590" t="s">
        <v>37</v>
      </c>
      <c r="L590">
        <v>7428</v>
      </c>
      <c r="M590">
        <v>2</v>
      </c>
      <c r="N590" t="s">
        <v>41</v>
      </c>
      <c r="O590">
        <v>12</v>
      </c>
      <c r="P590">
        <v>3</v>
      </c>
      <c r="Q590">
        <v>0</v>
      </c>
      <c r="R590">
        <v>12</v>
      </c>
      <c r="S590">
        <v>3</v>
      </c>
      <c r="T590">
        <v>5</v>
      </c>
      <c r="U590">
        <v>1</v>
      </c>
      <c r="V590">
        <v>3</v>
      </c>
      <c r="W590" t="s">
        <v>56</v>
      </c>
      <c r="X590" s="1" t="d">
        <v>2016-01-17</v>
      </c>
      <c r="Z590" t="s">
        <v>63</v>
      </c>
      <c r="AA590" t="s">
        <v>46</v>
      </c>
      <c r="AB590">
        <v>5</v>
      </c>
      <c r="AC590">
        <v>3</v>
      </c>
      <c r="AD590" t="s">
        <v>41</v>
      </c>
      <c r="AE590" t="s">
        <v>42</v>
      </c>
      <c r="AF590" t="s">
        <v>48</v>
      </c>
      <c r="AG590">
        <f>IF(HR_Data[[#This Row],[Attrition]]="Yes",1,0)</f>
        <v>0</v>
      </c>
      <c r="AH590" t="str">
        <f>IF(HR_Data[Date_of_termination]="","Active","Left")</f>
        <v>Active</v>
      </c>
      <c r="AI590" t="str">
        <f>IF(HR_Data[YearsAtCompany]&lt;=2,"Fresher", IF(HR_Data[YearsAtCompany]&lt;=5,"Junior", IF(HR_Data[YearsAtCompany]&lt;=10, "Mid","Senior")))</f>
        <v>Junior</v>
      </c>
      <c r="AJ590" s="2" t="str">
        <f>IF(HR_Data[MonthlyIncome]&lt;=300,"Low", IF(HR_Data[MonthlyIncome]&lt;=7000,"Medium", "High"))</f>
        <v>High</v>
      </c>
      <c r="AK590" s="2" t="str">
        <f>VLOOKUP(HR_Data[JobRole], JobRole_Map[], 2, FALSE)</f>
        <v>Sales</v>
      </c>
    </row>
    <row r="591" spans="1:37" x14ac:dyDescent="0.25">
      <c r="A591" s="2">
        <v>56</v>
      </c>
      <c r="B591" t="s">
        <v>32</v>
      </c>
      <c r="C591" t="s">
        <v>33</v>
      </c>
      <c r="D591" t="s">
        <v>34</v>
      </c>
      <c r="E591">
        <v>14</v>
      </c>
      <c r="F591" t="s">
        <v>58</v>
      </c>
      <c r="G591">
        <v>3</v>
      </c>
      <c r="H591">
        <v>1</v>
      </c>
      <c r="I591" t="s">
        <v>44</v>
      </c>
      <c r="J591">
        <v>2</v>
      </c>
      <c r="K591" t="s">
        <v>50</v>
      </c>
      <c r="L591">
        <v>4963</v>
      </c>
      <c r="M591">
        <v>9</v>
      </c>
      <c r="N591" t="s">
        <v>32</v>
      </c>
      <c r="O591">
        <v>18</v>
      </c>
      <c r="P591">
        <v>3</v>
      </c>
      <c r="Q591">
        <v>3</v>
      </c>
      <c r="R591">
        <v>7</v>
      </c>
      <c r="S591">
        <v>2</v>
      </c>
      <c r="T591">
        <v>5</v>
      </c>
      <c r="U591">
        <v>4</v>
      </c>
      <c r="V591">
        <v>3</v>
      </c>
      <c r="W591" t="s">
        <v>38</v>
      </c>
      <c r="X591" s="1" t="d">
        <v>2016-02-07</v>
      </c>
      <c r="Z591" t="s">
        <v>39</v>
      </c>
      <c r="AA591" t="s">
        <v>46</v>
      </c>
      <c r="AB591">
        <v>0</v>
      </c>
      <c r="AC591">
        <v>3</v>
      </c>
      <c r="AD591" t="s">
        <v>32</v>
      </c>
      <c r="AE591" t="s">
        <v>42</v>
      </c>
      <c r="AF591" t="s">
        <v>43</v>
      </c>
      <c r="AG591">
        <f>IF(HR_Data[[#This Row],[Attrition]]="Yes",1,0)</f>
        <v>1</v>
      </c>
      <c r="AH591" t="str">
        <f>IF(HR_Data[Date_of_termination]="","Active","Left")</f>
        <v>Active</v>
      </c>
      <c r="AI591" t="str">
        <f>IF(HR_Data[YearsAtCompany]&lt;=2,"Fresher", IF(HR_Data[YearsAtCompany]&lt;=5,"Junior", IF(HR_Data[YearsAtCompany]&lt;=10, "Mid","Senior")))</f>
        <v>Junior</v>
      </c>
      <c r="AJ591" s="2" t="str">
        <f>IF(HR_Data[MonthlyIncome]&lt;=300,"Low", IF(HR_Data[MonthlyIncome]&lt;=7000,"Medium", "High"))</f>
        <v>Medium</v>
      </c>
      <c r="AK591" s="2" t="str">
        <f>VLOOKUP(HR_Data[JobRole], JobRole_Map[], 2, FALSE)</f>
        <v>Technical</v>
      </c>
    </row>
    <row r="592" spans="1:37" x14ac:dyDescent="0.25">
      <c r="A592" s="2">
        <v>26</v>
      </c>
      <c r="B592" t="s">
        <v>41</v>
      </c>
      <c r="C592" t="s">
        <v>33</v>
      </c>
      <c r="D592" t="s">
        <v>34</v>
      </c>
      <c r="E592">
        <v>6</v>
      </c>
      <c r="F592" t="s">
        <v>58</v>
      </c>
      <c r="G592">
        <v>2</v>
      </c>
      <c r="H592">
        <v>1</v>
      </c>
      <c r="I592" t="s">
        <v>44</v>
      </c>
      <c r="J592">
        <v>2</v>
      </c>
      <c r="K592" t="s">
        <v>50</v>
      </c>
      <c r="L592">
        <v>2368</v>
      </c>
      <c r="M592">
        <v>1</v>
      </c>
      <c r="N592" t="s">
        <v>41</v>
      </c>
      <c r="O592">
        <v>19</v>
      </c>
      <c r="P592">
        <v>3</v>
      </c>
      <c r="Q592">
        <v>0</v>
      </c>
      <c r="R592">
        <v>5</v>
      </c>
      <c r="S592">
        <v>3</v>
      </c>
      <c r="T592">
        <v>5</v>
      </c>
      <c r="U592">
        <v>4</v>
      </c>
      <c r="V592">
        <v>3</v>
      </c>
      <c r="W592" t="s">
        <v>38</v>
      </c>
      <c r="X592" s="1" t="d">
        <v>2016-02-23</v>
      </c>
      <c r="Z592" t="s">
        <v>52</v>
      </c>
      <c r="AA592" t="s">
        <v>46</v>
      </c>
      <c r="AB592">
        <v>0</v>
      </c>
      <c r="AC592">
        <v>3</v>
      </c>
      <c r="AD592" t="s">
        <v>32</v>
      </c>
      <c r="AE592" t="s">
        <v>60</v>
      </c>
      <c r="AF592" t="s">
        <v>43</v>
      </c>
      <c r="AG592">
        <f>IF(HR_Data[[#This Row],[Attrition]]="Yes",1,0)</f>
        <v>0</v>
      </c>
      <c r="AH592" t="str">
        <f>IF(HR_Data[Date_of_termination]="","Active","Left")</f>
        <v>Active</v>
      </c>
      <c r="AI592" t="str">
        <f>IF(HR_Data[YearsAtCompany]&lt;=2,"Fresher", IF(HR_Data[YearsAtCompany]&lt;=5,"Junior", IF(HR_Data[YearsAtCompany]&lt;=10, "Mid","Senior")))</f>
        <v>Junior</v>
      </c>
      <c r="AJ592" s="2" t="str">
        <f>IF(HR_Data[MonthlyIncome]&lt;=300,"Low", IF(HR_Data[MonthlyIncome]&lt;=7000,"Medium", "High"))</f>
        <v>Medium</v>
      </c>
      <c r="AK592" s="2" t="str">
        <f>VLOOKUP(HR_Data[JobRole], JobRole_Map[], 2, FALSE)</f>
        <v>Technical</v>
      </c>
    </row>
    <row r="593" spans="1:37" x14ac:dyDescent="0.25">
      <c r="A593" s="2">
        <v>32</v>
      </c>
      <c r="B593" t="s">
        <v>32</v>
      </c>
      <c r="C593" t="s">
        <v>33</v>
      </c>
      <c r="D593" t="s">
        <v>34</v>
      </c>
      <c r="E593">
        <v>9</v>
      </c>
      <c r="F593" t="s">
        <v>58</v>
      </c>
      <c r="G593">
        <v>3</v>
      </c>
      <c r="H593">
        <v>1</v>
      </c>
      <c r="I593" t="s">
        <v>36</v>
      </c>
      <c r="J593">
        <v>1</v>
      </c>
      <c r="K593" t="s">
        <v>37</v>
      </c>
      <c r="L593">
        <v>4200</v>
      </c>
      <c r="M593">
        <v>7</v>
      </c>
      <c r="N593" t="s">
        <v>41</v>
      </c>
      <c r="O593">
        <v>22</v>
      </c>
      <c r="P593">
        <v>4</v>
      </c>
      <c r="Q593">
        <v>0</v>
      </c>
      <c r="R593">
        <v>10</v>
      </c>
      <c r="S593">
        <v>2</v>
      </c>
      <c r="T593">
        <v>5</v>
      </c>
      <c r="U593">
        <v>0</v>
      </c>
      <c r="V593">
        <v>4</v>
      </c>
      <c r="W593" t="s">
        <v>65</v>
      </c>
      <c r="X593" s="1" t="d">
        <v>2016-02-22</v>
      </c>
      <c r="Z593" t="s">
        <v>63</v>
      </c>
      <c r="AA593" t="s">
        <v>46</v>
      </c>
      <c r="AB593">
        <v>5</v>
      </c>
      <c r="AC593">
        <v>1</v>
      </c>
      <c r="AD593" t="s">
        <v>32</v>
      </c>
      <c r="AE593" t="s">
        <v>62</v>
      </c>
      <c r="AF593" t="s">
        <v>43</v>
      </c>
      <c r="AG593">
        <f>IF(HR_Data[[#This Row],[Attrition]]="Yes",1,0)</f>
        <v>1</v>
      </c>
      <c r="AH593" t="str">
        <f>IF(HR_Data[Date_of_termination]="","Active","Left")</f>
        <v>Active</v>
      </c>
      <c r="AI593" t="str">
        <f>IF(HR_Data[YearsAtCompany]&lt;=2,"Fresher", IF(HR_Data[YearsAtCompany]&lt;=5,"Junior", IF(HR_Data[YearsAtCompany]&lt;=10, "Mid","Senior")))</f>
        <v>Junior</v>
      </c>
      <c r="AJ593" s="2" t="str">
        <f>IF(HR_Data[MonthlyIncome]&lt;=300,"Low", IF(HR_Data[MonthlyIncome]&lt;=7000,"Medium", "High"))</f>
        <v>Medium</v>
      </c>
      <c r="AK593" s="2" t="str">
        <f>VLOOKUP(HR_Data[JobRole], JobRole_Map[], 2, FALSE)</f>
        <v>Technical</v>
      </c>
    </row>
    <row r="594" spans="1:37" x14ac:dyDescent="0.25">
      <c r="A594" s="2">
        <v>30</v>
      </c>
      <c r="B594" t="s">
        <v>41</v>
      </c>
      <c r="C594" t="s">
        <v>33</v>
      </c>
      <c r="D594" t="s">
        <v>34</v>
      </c>
      <c r="E594">
        <v>18</v>
      </c>
      <c r="F594" t="s">
        <v>58</v>
      </c>
      <c r="G594">
        <v>3</v>
      </c>
      <c r="H594">
        <v>1</v>
      </c>
      <c r="I594" t="s">
        <v>44</v>
      </c>
      <c r="J594">
        <v>3</v>
      </c>
      <c r="K594" t="s">
        <v>37</v>
      </c>
      <c r="L594">
        <v>2632</v>
      </c>
      <c r="M594">
        <v>1</v>
      </c>
      <c r="N594" t="s">
        <v>41</v>
      </c>
      <c r="O594">
        <v>14</v>
      </c>
      <c r="P594">
        <v>3</v>
      </c>
      <c r="Q594">
        <v>0</v>
      </c>
      <c r="R594">
        <v>5</v>
      </c>
      <c r="S594">
        <v>4</v>
      </c>
      <c r="T594">
        <v>5</v>
      </c>
      <c r="U594">
        <v>0</v>
      </c>
      <c r="V594">
        <v>4</v>
      </c>
      <c r="W594" t="s">
        <v>65</v>
      </c>
      <c r="X594" s="1" t="d">
        <v>2016-03-01</v>
      </c>
      <c r="Z594" t="s">
        <v>45</v>
      </c>
      <c r="AA594" t="s">
        <v>40</v>
      </c>
      <c r="AB594">
        <v>1</v>
      </c>
      <c r="AC594">
        <v>3</v>
      </c>
      <c r="AD594" t="s">
        <v>41</v>
      </c>
      <c r="AE594" t="s">
        <v>42</v>
      </c>
      <c r="AF594" t="s">
        <v>57</v>
      </c>
      <c r="AG594">
        <f>IF(HR_Data[[#This Row],[Attrition]]="Yes",1,0)</f>
        <v>0</v>
      </c>
      <c r="AH594" t="str">
        <f>IF(HR_Data[Date_of_termination]="","Active","Left")</f>
        <v>Active</v>
      </c>
      <c r="AI594" t="str">
        <f>IF(HR_Data[YearsAtCompany]&lt;=2,"Fresher", IF(HR_Data[YearsAtCompany]&lt;=5,"Junior", IF(HR_Data[YearsAtCompany]&lt;=10, "Mid","Senior")))</f>
        <v>Junior</v>
      </c>
      <c r="AJ594" s="2" t="str">
        <f>IF(HR_Data[MonthlyIncome]&lt;=300,"Low", IF(HR_Data[MonthlyIncome]&lt;=7000,"Medium", "High"))</f>
        <v>Medium</v>
      </c>
      <c r="AK594" s="2" t="str">
        <f>VLOOKUP(HR_Data[JobRole], JobRole_Map[], 2, FALSE)</f>
        <v>Technical</v>
      </c>
    </row>
    <row r="595" spans="1:37" x14ac:dyDescent="0.25">
      <c r="A595" s="2">
        <v>30</v>
      </c>
      <c r="B595" t="s">
        <v>41</v>
      </c>
      <c r="C595" t="s">
        <v>33</v>
      </c>
      <c r="D595" t="s">
        <v>34</v>
      </c>
      <c r="E595">
        <v>2</v>
      </c>
      <c r="F595" t="s">
        <v>35</v>
      </c>
      <c r="G595">
        <v>2</v>
      </c>
      <c r="H595">
        <v>1</v>
      </c>
      <c r="I595" t="s">
        <v>36</v>
      </c>
      <c r="J595">
        <v>4</v>
      </c>
      <c r="K595" t="s">
        <v>37</v>
      </c>
      <c r="L595">
        <v>2720</v>
      </c>
      <c r="M595">
        <v>0</v>
      </c>
      <c r="N595" t="s">
        <v>41</v>
      </c>
      <c r="O595">
        <v>13</v>
      </c>
      <c r="P595">
        <v>3</v>
      </c>
      <c r="Q595">
        <v>0</v>
      </c>
      <c r="R595">
        <v>6</v>
      </c>
      <c r="S595">
        <v>3</v>
      </c>
      <c r="T595">
        <v>5</v>
      </c>
      <c r="U595">
        <v>1</v>
      </c>
      <c r="V595">
        <v>2</v>
      </c>
      <c r="W595" t="s">
        <v>56</v>
      </c>
      <c r="X595" s="1" t="d">
        <v>2016-06-05</v>
      </c>
      <c r="Z595" t="s">
        <v>59</v>
      </c>
      <c r="AA595" t="s">
        <v>46</v>
      </c>
      <c r="AB595">
        <v>1</v>
      </c>
      <c r="AC595">
        <v>1</v>
      </c>
      <c r="AD595" t="s">
        <v>32</v>
      </c>
      <c r="AE595" t="s">
        <v>42</v>
      </c>
      <c r="AF595" t="s">
        <v>43</v>
      </c>
      <c r="AG595">
        <f>IF(HR_Data[[#This Row],[Attrition]]="Yes",1,0)</f>
        <v>0</v>
      </c>
      <c r="AH595" t="str">
        <f>IF(HR_Data[Date_of_termination]="","Active","Left")</f>
        <v>Active</v>
      </c>
      <c r="AI595" t="str">
        <f>IF(HR_Data[YearsAtCompany]&lt;=2,"Fresher", IF(HR_Data[YearsAtCompany]&lt;=5,"Junior", IF(HR_Data[YearsAtCompany]&lt;=10, "Mid","Senior")))</f>
        <v>Junior</v>
      </c>
      <c r="AJ595" s="2" t="str">
        <f>IF(HR_Data[MonthlyIncome]&lt;=300,"Low", IF(HR_Data[MonthlyIncome]&lt;=7000,"Medium", "High"))</f>
        <v>Medium</v>
      </c>
      <c r="AK595" s="2" t="str">
        <f>VLOOKUP(HR_Data[JobRole], JobRole_Map[], 2, FALSE)</f>
        <v>Technical</v>
      </c>
    </row>
    <row r="596" spans="1:37" x14ac:dyDescent="0.25">
      <c r="A596" s="2">
        <v>41</v>
      </c>
      <c r="B596" t="s">
        <v>41</v>
      </c>
      <c r="C596" t="s">
        <v>33</v>
      </c>
      <c r="D596" t="s">
        <v>34</v>
      </c>
      <c r="E596">
        <v>9</v>
      </c>
      <c r="F596" t="s">
        <v>35</v>
      </c>
      <c r="G596">
        <v>3</v>
      </c>
      <c r="H596">
        <v>1</v>
      </c>
      <c r="I596" t="s">
        <v>36</v>
      </c>
      <c r="J596">
        <v>1</v>
      </c>
      <c r="K596" t="s">
        <v>50</v>
      </c>
      <c r="L596">
        <v>2238</v>
      </c>
      <c r="M596">
        <v>2</v>
      </c>
      <c r="N596" t="s">
        <v>41</v>
      </c>
      <c r="O596">
        <v>21</v>
      </c>
      <c r="P596">
        <v>4</v>
      </c>
      <c r="Q596">
        <v>1</v>
      </c>
      <c r="R596">
        <v>7</v>
      </c>
      <c r="S596">
        <v>2</v>
      </c>
      <c r="T596">
        <v>5</v>
      </c>
      <c r="U596">
        <v>1</v>
      </c>
      <c r="V596">
        <v>4</v>
      </c>
      <c r="W596" t="s">
        <v>51</v>
      </c>
      <c r="X596" s="1" t="d">
        <v>2016-02-02</v>
      </c>
      <c r="Z596" t="s">
        <v>63</v>
      </c>
      <c r="AA596" t="s">
        <v>46</v>
      </c>
      <c r="AB596">
        <v>1</v>
      </c>
      <c r="AC596">
        <v>2</v>
      </c>
      <c r="AD596" t="s">
        <v>41</v>
      </c>
      <c r="AE596" t="s">
        <v>47</v>
      </c>
      <c r="AF596" t="s">
        <v>48</v>
      </c>
      <c r="AG596">
        <f>IF(HR_Data[[#This Row],[Attrition]]="Yes",1,0)</f>
        <v>0</v>
      </c>
      <c r="AH596" t="str">
        <f>IF(HR_Data[Date_of_termination]="","Active","Left")</f>
        <v>Active</v>
      </c>
      <c r="AI596" t="str">
        <f>IF(HR_Data[YearsAtCompany]&lt;=2,"Fresher", IF(HR_Data[YearsAtCompany]&lt;=5,"Junior", IF(HR_Data[YearsAtCompany]&lt;=10, "Mid","Senior")))</f>
        <v>Junior</v>
      </c>
      <c r="AJ596" s="2" t="str">
        <f>IF(HR_Data[MonthlyIncome]&lt;=300,"Low", IF(HR_Data[MonthlyIncome]&lt;=7000,"Medium", "High"))</f>
        <v>Medium</v>
      </c>
      <c r="AK596" s="2" t="str">
        <f>VLOOKUP(HR_Data[JobRole], JobRole_Map[], 2, FALSE)</f>
        <v>Technical</v>
      </c>
    </row>
    <row r="597" spans="1:37" x14ac:dyDescent="0.25">
      <c r="A597" s="2">
        <v>28</v>
      </c>
      <c r="B597" t="s">
        <v>41</v>
      </c>
      <c r="C597" t="s">
        <v>33</v>
      </c>
      <c r="D597" t="s">
        <v>34</v>
      </c>
      <c r="E597">
        <v>21</v>
      </c>
      <c r="F597" t="s">
        <v>35</v>
      </c>
      <c r="G597">
        <v>3</v>
      </c>
      <c r="H597">
        <v>1</v>
      </c>
      <c r="I597" t="s">
        <v>44</v>
      </c>
      <c r="J597">
        <v>4</v>
      </c>
      <c r="K597" t="s">
        <v>50</v>
      </c>
      <c r="L597">
        <v>2713</v>
      </c>
      <c r="M597">
        <v>1</v>
      </c>
      <c r="N597" t="s">
        <v>41</v>
      </c>
      <c r="O597">
        <v>11</v>
      </c>
      <c r="P597">
        <v>3</v>
      </c>
      <c r="Q597">
        <v>1</v>
      </c>
      <c r="R597">
        <v>5</v>
      </c>
      <c r="S597">
        <v>2</v>
      </c>
      <c r="T597">
        <v>5</v>
      </c>
      <c r="U597">
        <v>0</v>
      </c>
      <c r="V597">
        <v>2</v>
      </c>
      <c r="W597" t="s">
        <v>51</v>
      </c>
      <c r="X597" s="1" t="d">
        <v>2016-04-20</v>
      </c>
      <c r="Z597" t="s">
        <v>63</v>
      </c>
      <c r="AA597" t="s">
        <v>46</v>
      </c>
      <c r="AB597">
        <v>2</v>
      </c>
      <c r="AC597">
        <v>0</v>
      </c>
      <c r="AD597" t="s">
        <v>41</v>
      </c>
      <c r="AE597" t="s">
        <v>42</v>
      </c>
      <c r="AF597" t="s">
        <v>57</v>
      </c>
      <c r="AG597">
        <f>IF(HR_Data[[#This Row],[Attrition]]="Yes",1,0)</f>
        <v>0</v>
      </c>
      <c r="AH597" t="str">
        <f>IF(HR_Data[Date_of_termination]="","Active","Left")</f>
        <v>Active</v>
      </c>
      <c r="AI597" t="str">
        <f>IF(HR_Data[YearsAtCompany]&lt;=2,"Fresher", IF(HR_Data[YearsAtCompany]&lt;=5,"Junior", IF(HR_Data[YearsAtCompany]&lt;=10, "Mid","Senior")))</f>
        <v>Junior</v>
      </c>
      <c r="AJ597" s="2" t="str">
        <f>IF(HR_Data[MonthlyIncome]&lt;=300,"Low", IF(HR_Data[MonthlyIncome]&lt;=7000,"Medium", "High"))</f>
        <v>Medium</v>
      </c>
      <c r="AK597" s="2" t="str">
        <f>VLOOKUP(HR_Data[JobRole], JobRole_Map[], 2, FALSE)</f>
        <v>Technical</v>
      </c>
    </row>
    <row r="598" spans="1:37" x14ac:dyDescent="0.25">
      <c r="A598" s="2">
        <v>57</v>
      </c>
      <c r="B598" t="s">
        <v>41</v>
      </c>
      <c r="C598" t="s">
        <v>33</v>
      </c>
      <c r="D598" t="s">
        <v>34</v>
      </c>
      <c r="E598">
        <v>24</v>
      </c>
      <c r="F598" t="s">
        <v>35</v>
      </c>
      <c r="G598">
        <v>4</v>
      </c>
      <c r="H598">
        <v>3</v>
      </c>
      <c r="I598" t="s">
        <v>69</v>
      </c>
      <c r="J598">
        <v>4</v>
      </c>
      <c r="K598" t="s">
        <v>55</v>
      </c>
      <c r="L598">
        <v>9439</v>
      </c>
      <c r="M598">
        <v>3</v>
      </c>
      <c r="N598" t="s">
        <v>32</v>
      </c>
      <c r="O598">
        <v>16</v>
      </c>
      <c r="P598">
        <v>3</v>
      </c>
      <c r="Q598">
        <v>1</v>
      </c>
      <c r="R598">
        <v>12</v>
      </c>
      <c r="S598">
        <v>2</v>
      </c>
      <c r="T598">
        <v>5</v>
      </c>
      <c r="U598">
        <v>1</v>
      </c>
      <c r="V598">
        <v>4</v>
      </c>
      <c r="W598" t="s">
        <v>65</v>
      </c>
      <c r="X598" s="1" t="d">
        <v>2016-05-18</v>
      </c>
      <c r="Z598" t="s">
        <v>63</v>
      </c>
      <c r="AA598" t="s">
        <v>46</v>
      </c>
      <c r="AB598">
        <v>4</v>
      </c>
      <c r="AC598">
        <v>2</v>
      </c>
      <c r="AD598" t="s">
        <v>32</v>
      </c>
      <c r="AE598" t="s">
        <v>60</v>
      </c>
      <c r="AF598" t="s">
        <v>57</v>
      </c>
      <c r="AG598">
        <f>IF(HR_Data[[#This Row],[Attrition]]="Yes",1,0)</f>
        <v>0</v>
      </c>
      <c r="AH598" t="str">
        <f>IF(HR_Data[Date_of_termination]="","Active","Left")</f>
        <v>Active</v>
      </c>
      <c r="AI598" t="str">
        <f>IF(HR_Data[YearsAtCompany]&lt;=2,"Fresher", IF(HR_Data[YearsAtCompany]&lt;=5,"Junior", IF(HR_Data[YearsAtCompany]&lt;=10, "Mid","Senior")))</f>
        <v>Junior</v>
      </c>
      <c r="AJ598" s="2" t="str">
        <f>IF(HR_Data[MonthlyIncome]&lt;=300,"Low", IF(HR_Data[MonthlyIncome]&lt;=7000,"Medium", "High"))</f>
        <v>High</v>
      </c>
      <c r="AK598" s="2" t="str">
        <f>VLOOKUP(HR_Data[JobRole], JobRole_Map[], 2, FALSE)</f>
        <v>Operations</v>
      </c>
    </row>
    <row r="599" spans="1:37" x14ac:dyDescent="0.25">
      <c r="A599" s="2">
        <v>50</v>
      </c>
      <c r="B599" t="s">
        <v>41</v>
      </c>
      <c r="C599" t="s">
        <v>33</v>
      </c>
      <c r="D599" t="s">
        <v>34</v>
      </c>
      <c r="E599">
        <v>11</v>
      </c>
      <c r="F599" t="s">
        <v>58</v>
      </c>
      <c r="G599">
        <v>3</v>
      </c>
      <c r="H599">
        <v>5</v>
      </c>
      <c r="I599" t="s">
        <v>66</v>
      </c>
      <c r="J599">
        <v>2</v>
      </c>
      <c r="K599" t="s">
        <v>37</v>
      </c>
      <c r="L599">
        <v>19926</v>
      </c>
      <c r="M599">
        <v>3</v>
      </c>
      <c r="N599" t="s">
        <v>41</v>
      </c>
      <c r="O599">
        <v>15</v>
      </c>
      <c r="P599">
        <v>3</v>
      </c>
      <c r="Q599">
        <v>0</v>
      </c>
      <c r="R599">
        <v>21</v>
      </c>
      <c r="S599">
        <v>5</v>
      </c>
      <c r="T599">
        <v>5</v>
      </c>
      <c r="U599">
        <v>4</v>
      </c>
      <c r="V599">
        <v>4</v>
      </c>
      <c r="W599" t="s">
        <v>38</v>
      </c>
      <c r="X599" s="1" t="d">
        <v>2016-05-02</v>
      </c>
      <c r="Z599" t="s">
        <v>45</v>
      </c>
      <c r="AA599" t="s">
        <v>40</v>
      </c>
      <c r="AB599">
        <v>2</v>
      </c>
      <c r="AC599">
        <v>1</v>
      </c>
      <c r="AD599" t="s">
        <v>32</v>
      </c>
      <c r="AE599" t="s">
        <v>60</v>
      </c>
      <c r="AF599" t="s">
        <v>48</v>
      </c>
      <c r="AG599">
        <f>IF(HR_Data[[#This Row],[Attrition]]="Yes",1,0)</f>
        <v>0</v>
      </c>
      <c r="AH599" t="str">
        <f>IF(HR_Data[Date_of_termination]="","Active","Left")</f>
        <v>Active</v>
      </c>
      <c r="AI599" t="str">
        <f>IF(HR_Data[YearsAtCompany]&lt;=2,"Fresher", IF(HR_Data[YearsAtCompany]&lt;=5,"Junior", IF(HR_Data[YearsAtCompany]&lt;=10, "Mid","Senior")))</f>
        <v>Junior</v>
      </c>
      <c r="AJ599" s="2" t="str">
        <f>IF(HR_Data[MonthlyIncome]&lt;=300,"Low", IF(HR_Data[MonthlyIncome]&lt;=7000,"Medium", "High"))</f>
        <v>High</v>
      </c>
      <c r="AK599" s="2" t="str">
        <f>VLOOKUP(HR_Data[JobRole], JobRole_Map[], 2, FALSE)</f>
        <v>Management</v>
      </c>
    </row>
    <row r="600" spans="1:37" x14ac:dyDescent="0.25">
      <c r="A600" s="2">
        <v>32</v>
      </c>
      <c r="B600" t="s">
        <v>41</v>
      </c>
      <c r="C600" t="s">
        <v>33</v>
      </c>
      <c r="D600" t="s">
        <v>34</v>
      </c>
      <c r="E600">
        <v>6</v>
      </c>
      <c r="F600" t="s">
        <v>35</v>
      </c>
      <c r="G600">
        <v>3</v>
      </c>
      <c r="H600">
        <v>1</v>
      </c>
      <c r="I600" t="s">
        <v>44</v>
      </c>
      <c r="J600">
        <v>3</v>
      </c>
      <c r="K600" t="s">
        <v>37</v>
      </c>
      <c r="L600">
        <v>3038</v>
      </c>
      <c r="M600">
        <v>3</v>
      </c>
      <c r="N600" t="s">
        <v>41</v>
      </c>
      <c r="O600">
        <v>20</v>
      </c>
      <c r="P600">
        <v>4</v>
      </c>
      <c r="Q600">
        <v>0</v>
      </c>
      <c r="R600">
        <v>8</v>
      </c>
      <c r="S600">
        <v>2</v>
      </c>
      <c r="T600">
        <v>5</v>
      </c>
      <c r="U600">
        <v>1</v>
      </c>
      <c r="V600">
        <v>4</v>
      </c>
      <c r="W600" t="s">
        <v>56</v>
      </c>
      <c r="X600" s="1" t="d">
        <v>2016-01-10</v>
      </c>
      <c r="Z600" t="s">
        <v>59</v>
      </c>
      <c r="AA600" t="s">
        <v>40</v>
      </c>
      <c r="AB600">
        <v>4</v>
      </c>
      <c r="AC600">
        <v>1</v>
      </c>
      <c r="AD600" t="s">
        <v>41</v>
      </c>
      <c r="AE600" t="s">
        <v>60</v>
      </c>
      <c r="AF600" t="s">
        <v>48</v>
      </c>
      <c r="AG600">
        <f>IF(HR_Data[[#This Row],[Attrition]]="Yes",1,0)</f>
        <v>0</v>
      </c>
      <c r="AH600" t="str">
        <f>IF(HR_Data[Date_of_termination]="","Active","Left")</f>
        <v>Active</v>
      </c>
      <c r="AI600" t="str">
        <f>IF(HR_Data[YearsAtCompany]&lt;=2,"Fresher", IF(HR_Data[YearsAtCompany]&lt;=5,"Junior", IF(HR_Data[YearsAtCompany]&lt;=10, "Mid","Senior")))</f>
        <v>Junior</v>
      </c>
      <c r="AJ600" s="2" t="str">
        <f>IF(HR_Data[MonthlyIncome]&lt;=300,"Low", IF(HR_Data[MonthlyIncome]&lt;=7000,"Medium", "High"))</f>
        <v>Medium</v>
      </c>
      <c r="AK600" s="2" t="str">
        <f>VLOOKUP(HR_Data[JobRole], JobRole_Map[], 2, FALSE)</f>
        <v>Technical</v>
      </c>
    </row>
    <row r="601" spans="1:37" x14ac:dyDescent="0.25">
      <c r="A601" s="2">
        <v>27</v>
      </c>
      <c r="B601" t="s">
        <v>41</v>
      </c>
      <c r="C601" t="s">
        <v>33</v>
      </c>
      <c r="D601" t="s">
        <v>34</v>
      </c>
      <c r="E601">
        <v>17</v>
      </c>
      <c r="F601" t="s">
        <v>35</v>
      </c>
      <c r="G601">
        <v>3</v>
      </c>
      <c r="H601">
        <v>1</v>
      </c>
      <c r="I601" t="s">
        <v>44</v>
      </c>
      <c r="J601">
        <v>2</v>
      </c>
      <c r="K601" t="s">
        <v>50</v>
      </c>
      <c r="L601">
        <v>3058</v>
      </c>
      <c r="M601">
        <v>0</v>
      </c>
      <c r="N601" t="s">
        <v>32</v>
      </c>
      <c r="O601">
        <v>16</v>
      </c>
      <c r="P601">
        <v>3</v>
      </c>
      <c r="Q601">
        <v>1</v>
      </c>
      <c r="R601">
        <v>6</v>
      </c>
      <c r="S601">
        <v>3</v>
      </c>
      <c r="T601">
        <v>5</v>
      </c>
      <c r="U601">
        <v>1</v>
      </c>
      <c r="V601">
        <v>1</v>
      </c>
      <c r="W601" t="s">
        <v>65</v>
      </c>
      <c r="X601" s="1" t="d">
        <v>2016-04-22</v>
      </c>
      <c r="Z601" t="s">
        <v>45</v>
      </c>
      <c r="AA601" t="s">
        <v>46</v>
      </c>
      <c r="AB601">
        <v>3</v>
      </c>
      <c r="AC601">
        <v>2</v>
      </c>
      <c r="AD601" t="s">
        <v>41</v>
      </c>
      <c r="AE601" t="s">
        <v>62</v>
      </c>
      <c r="AF601" t="s">
        <v>43</v>
      </c>
      <c r="AG601">
        <f>IF(HR_Data[[#This Row],[Attrition]]="Yes",1,0)</f>
        <v>0</v>
      </c>
      <c r="AH601" t="str">
        <f>IF(HR_Data[Date_of_termination]="","Active","Left")</f>
        <v>Active</v>
      </c>
      <c r="AI601" t="str">
        <f>IF(HR_Data[YearsAtCompany]&lt;=2,"Fresher", IF(HR_Data[YearsAtCompany]&lt;=5,"Junior", IF(HR_Data[YearsAtCompany]&lt;=10, "Mid","Senior")))</f>
        <v>Junior</v>
      </c>
      <c r="AJ601" s="2" t="str">
        <f>IF(HR_Data[MonthlyIncome]&lt;=300,"Low", IF(HR_Data[MonthlyIncome]&lt;=7000,"Medium", "High"))</f>
        <v>Medium</v>
      </c>
      <c r="AK601" s="2" t="str">
        <f>VLOOKUP(HR_Data[JobRole], JobRole_Map[], 2, FALSE)</f>
        <v>Technical</v>
      </c>
    </row>
    <row r="602" spans="1:37" x14ac:dyDescent="0.25">
      <c r="A602" s="2">
        <v>45</v>
      </c>
      <c r="B602" t="s">
        <v>41</v>
      </c>
      <c r="C602" t="s">
        <v>33</v>
      </c>
      <c r="D602" t="s">
        <v>53</v>
      </c>
      <c r="E602">
        <v>4</v>
      </c>
      <c r="F602" t="s">
        <v>58</v>
      </c>
      <c r="G602">
        <v>3</v>
      </c>
      <c r="H602">
        <v>2</v>
      </c>
      <c r="I602" t="s">
        <v>64</v>
      </c>
      <c r="J602">
        <v>1</v>
      </c>
      <c r="K602" t="s">
        <v>55</v>
      </c>
      <c r="L602">
        <v>5006</v>
      </c>
      <c r="M602">
        <v>4</v>
      </c>
      <c r="N602" t="s">
        <v>32</v>
      </c>
      <c r="O602">
        <v>11</v>
      </c>
      <c r="P602">
        <v>3</v>
      </c>
      <c r="Q602">
        <v>1</v>
      </c>
      <c r="R602">
        <v>9</v>
      </c>
      <c r="S602">
        <v>3</v>
      </c>
      <c r="T602">
        <v>5</v>
      </c>
      <c r="U602">
        <v>0</v>
      </c>
      <c r="V602">
        <v>3</v>
      </c>
      <c r="W602" t="s">
        <v>56</v>
      </c>
      <c r="X602" s="1" t="d">
        <v>2016-04-05</v>
      </c>
      <c r="Z602" t="s">
        <v>63</v>
      </c>
      <c r="AA602" t="s">
        <v>46</v>
      </c>
      <c r="AB602">
        <v>2</v>
      </c>
      <c r="AC602">
        <v>3</v>
      </c>
      <c r="AD602" t="s">
        <v>41</v>
      </c>
      <c r="AE602" t="s">
        <v>42</v>
      </c>
      <c r="AF602" t="s">
        <v>43</v>
      </c>
      <c r="AG602">
        <f>IF(HR_Data[[#This Row],[Attrition]]="Yes",1,0)</f>
        <v>0</v>
      </c>
      <c r="AH602" t="str">
        <f>IF(HR_Data[Date_of_termination]="","Active","Left")</f>
        <v>Active</v>
      </c>
      <c r="AI602" t="str">
        <f>IF(HR_Data[YearsAtCompany]&lt;=2,"Fresher", IF(HR_Data[YearsAtCompany]&lt;=5,"Junior", IF(HR_Data[YearsAtCompany]&lt;=10, "Mid","Senior")))</f>
        <v>Junior</v>
      </c>
      <c r="AJ602" s="2" t="str">
        <f>IF(HR_Data[MonthlyIncome]&lt;=300,"Low", IF(HR_Data[MonthlyIncome]&lt;=7000,"Medium", "High"))</f>
        <v>Medium</v>
      </c>
      <c r="AK602" s="2" t="str">
        <f>VLOOKUP(HR_Data[JobRole], JobRole_Map[], 2, FALSE)</f>
        <v>Sales</v>
      </c>
    </row>
    <row r="603" spans="1:37" x14ac:dyDescent="0.25">
      <c r="A603" s="2">
        <v>43</v>
      </c>
      <c r="B603" t="s">
        <v>41</v>
      </c>
      <c r="C603" t="s">
        <v>68</v>
      </c>
      <c r="D603" t="s">
        <v>34</v>
      </c>
      <c r="E603">
        <v>7</v>
      </c>
      <c r="F603" t="s">
        <v>35</v>
      </c>
      <c r="G603">
        <v>4</v>
      </c>
      <c r="H603">
        <v>1</v>
      </c>
      <c r="I603" t="s">
        <v>44</v>
      </c>
      <c r="J603">
        <v>4</v>
      </c>
      <c r="K603" t="s">
        <v>55</v>
      </c>
      <c r="L603">
        <v>2089</v>
      </c>
      <c r="M603">
        <v>4</v>
      </c>
      <c r="N603" t="s">
        <v>41</v>
      </c>
      <c r="O603">
        <v>14</v>
      </c>
      <c r="P603">
        <v>3</v>
      </c>
      <c r="Q603">
        <v>3</v>
      </c>
      <c r="R603">
        <v>7</v>
      </c>
      <c r="S603">
        <v>3</v>
      </c>
      <c r="T603">
        <v>5</v>
      </c>
      <c r="U603">
        <v>2</v>
      </c>
      <c r="V603">
        <v>2</v>
      </c>
      <c r="W603" t="s">
        <v>65</v>
      </c>
      <c r="X603" s="1" t="d">
        <v>2016-01-04</v>
      </c>
      <c r="Z603" t="s">
        <v>59</v>
      </c>
      <c r="AA603" t="s">
        <v>46</v>
      </c>
      <c r="AB603">
        <v>3</v>
      </c>
      <c r="AC603">
        <v>3</v>
      </c>
      <c r="AD603" t="s">
        <v>41</v>
      </c>
      <c r="AE603" t="s">
        <v>47</v>
      </c>
      <c r="AF603" t="s">
        <v>57</v>
      </c>
      <c r="AG603">
        <f>IF(HR_Data[[#This Row],[Attrition]]="Yes",1,0)</f>
        <v>0</v>
      </c>
      <c r="AH603" t="str">
        <f>IF(HR_Data[Date_of_termination]="","Active","Left")</f>
        <v>Active</v>
      </c>
      <c r="AI603" t="str">
        <f>IF(HR_Data[YearsAtCompany]&lt;=2,"Fresher", IF(HR_Data[YearsAtCompany]&lt;=5,"Junior", IF(HR_Data[YearsAtCompany]&lt;=10, "Mid","Senior")))</f>
        <v>Junior</v>
      </c>
      <c r="AJ603" s="2" t="str">
        <f>IF(HR_Data[MonthlyIncome]&lt;=300,"Low", IF(HR_Data[MonthlyIncome]&lt;=7000,"Medium", "High"))</f>
        <v>Medium</v>
      </c>
      <c r="AK603" s="2" t="str">
        <f>VLOOKUP(HR_Data[JobRole], JobRole_Map[], 2, FALSE)</f>
        <v>Technical</v>
      </c>
    </row>
    <row r="604" spans="1:37" x14ac:dyDescent="0.25">
      <c r="A604" s="2">
        <v>42</v>
      </c>
      <c r="B604" t="s">
        <v>41</v>
      </c>
      <c r="C604" t="s">
        <v>68</v>
      </c>
      <c r="D604" t="s">
        <v>34</v>
      </c>
      <c r="E604">
        <v>21</v>
      </c>
      <c r="F604" t="s">
        <v>58</v>
      </c>
      <c r="G604">
        <v>3</v>
      </c>
      <c r="H604">
        <v>2</v>
      </c>
      <c r="I604" t="s">
        <v>67</v>
      </c>
      <c r="J604">
        <v>3</v>
      </c>
      <c r="K604" t="s">
        <v>55</v>
      </c>
      <c r="L604">
        <v>5265</v>
      </c>
      <c r="M604">
        <v>2</v>
      </c>
      <c r="N604" t="s">
        <v>41</v>
      </c>
      <c r="O604">
        <v>16</v>
      </c>
      <c r="P604">
        <v>3</v>
      </c>
      <c r="Q604">
        <v>1</v>
      </c>
      <c r="R604">
        <v>11</v>
      </c>
      <c r="S604">
        <v>5</v>
      </c>
      <c r="T604">
        <v>5</v>
      </c>
      <c r="U604">
        <v>0</v>
      </c>
      <c r="V604">
        <v>2</v>
      </c>
      <c r="W604" t="s">
        <v>65</v>
      </c>
      <c r="X604" s="1" t="d">
        <v>2016-06-02</v>
      </c>
      <c r="Z604" t="s">
        <v>59</v>
      </c>
      <c r="AA604" t="s">
        <v>46</v>
      </c>
      <c r="AB604">
        <v>2</v>
      </c>
      <c r="AC604">
        <v>0</v>
      </c>
      <c r="AD604" t="s">
        <v>41</v>
      </c>
      <c r="AE604" t="s">
        <v>62</v>
      </c>
      <c r="AF604" t="s">
        <v>43</v>
      </c>
      <c r="AG604">
        <f>IF(HR_Data[[#This Row],[Attrition]]="Yes",1,0)</f>
        <v>0</v>
      </c>
      <c r="AH604" t="str">
        <f>IF(HR_Data[Date_of_termination]="","Active","Left")</f>
        <v>Active</v>
      </c>
      <c r="AI604" t="str">
        <f>IF(HR_Data[YearsAtCompany]&lt;=2,"Fresher", IF(HR_Data[YearsAtCompany]&lt;=5,"Junior", IF(HR_Data[YearsAtCompany]&lt;=10, "Mid","Senior")))</f>
        <v>Junior</v>
      </c>
      <c r="AJ604" s="2" t="str">
        <f>IF(HR_Data[MonthlyIncome]&lt;=300,"Low", IF(HR_Data[MonthlyIncome]&lt;=7000,"Medium", "High"))</f>
        <v>Medium</v>
      </c>
      <c r="AK604" s="2" t="str">
        <f>VLOOKUP(HR_Data[JobRole], JobRole_Map[], 2, FALSE)</f>
        <v>Operations</v>
      </c>
    </row>
    <row r="605" spans="1:37" x14ac:dyDescent="0.25">
      <c r="A605" s="2">
        <v>34</v>
      </c>
      <c r="B605" t="s">
        <v>41</v>
      </c>
      <c r="C605" t="s">
        <v>61</v>
      </c>
      <c r="D605" t="s">
        <v>34</v>
      </c>
      <c r="E605">
        <v>10</v>
      </c>
      <c r="F605" t="s">
        <v>35</v>
      </c>
      <c r="G605">
        <v>3</v>
      </c>
      <c r="H605">
        <v>1</v>
      </c>
      <c r="I605" t="s">
        <v>44</v>
      </c>
      <c r="J605">
        <v>3</v>
      </c>
      <c r="K605" t="s">
        <v>55</v>
      </c>
      <c r="L605">
        <v>3815</v>
      </c>
      <c r="M605">
        <v>1</v>
      </c>
      <c r="N605" t="s">
        <v>32</v>
      </c>
      <c r="O605">
        <v>17</v>
      </c>
      <c r="P605">
        <v>3</v>
      </c>
      <c r="Q605">
        <v>1</v>
      </c>
      <c r="R605">
        <v>5</v>
      </c>
      <c r="S605">
        <v>4</v>
      </c>
      <c r="T605">
        <v>5</v>
      </c>
      <c r="U605">
        <v>2</v>
      </c>
      <c r="V605">
        <v>0</v>
      </c>
      <c r="W605" t="s">
        <v>56</v>
      </c>
      <c r="X605" s="1" t="d">
        <v>2016-03-15</v>
      </c>
      <c r="Z605" t="s">
        <v>39</v>
      </c>
      <c r="AA605" t="s">
        <v>40</v>
      </c>
      <c r="AB605">
        <v>0</v>
      </c>
      <c r="AC605">
        <v>2</v>
      </c>
      <c r="AD605" t="s">
        <v>32</v>
      </c>
      <c r="AE605" t="s">
        <v>42</v>
      </c>
      <c r="AF605" t="s">
        <v>43</v>
      </c>
      <c r="AG605">
        <f>IF(HR_Data[[#This Row],[Attrition]]="Yes",1,0)</f>
        <v>0</v>
      </c>
      <c r="AH605" t="str">
        <f>IF(HR_Data[Date_of_termination]="","Active","Left")</f>
        <v>Active</v>
      </c>
      <c r="AI605" t="str">
        <f>IF(HR_Data[YearsAtCompany]&lt;=2,"Fresher", IF(HR_Data[YearsAtCompany]&lt;=5,"Junior", IF(HR_Data[YearsAtCompany]&lt;=10, "Mid","Senior")))</f>
        <v>Junior</v>
      </c>
      <c r="AJ605" s="2" t="str">
        <f>IF(HR_Data[MonthlyIncome]&lt;=300,"Low", IF(HR_Data[MonthlyIncome]&lt;=7000,"Medium", "High"))</f>
        <v>Medium</v>
      </c>
      <c r="AK605" s="2" t="str">
        <f>VLOOKUP(HR_Data[JobRole], JobRole_Map[], 2, FALSE)</f>
        <v>Technical</v>
      </c>
    </row>
    <row r="606" spans="1:37" x14ac:dyDescent="0.25">
      <c r="A606" s="2">
        <v>30</v>
      </c>
      <c r="B606" t="s">
        <v>32</v>
      </c>
      <c r="C606" t="s">
        <v>33</v>
      </c>
      <c r="D606" t="s">
        <v>34</v>
      </c>
      <c r="E606">
        <v>3</v>
      </c>
      <c r="F606" t="s">
        <v>58</v>
      </c>
      <c r="G606">
        <v>3</v>
      </c>
      <c r="H606">
        <v>1</v>
      </c>
      <c r="I606" t="s">
        <v>44</v>
      </c>
      <c r="J606">
        <v>1</v>
      </c>
      <c r="K606" t="s">
        <v>37</v>
      </c>
      <c r="L606">
        <v>2657</v>
      </c>
      <c r="M606">
        <v>5</v>
      </c>
      <c r="N606" t="s">
        <v>32</v>
      </c>
      <c r="O606">
        <v>11</v>
      </c>
      <c r="P606">
        <v>3</v>
      </c>
      <c r="Q606">
        <v>0</v>
      </c>
      <c r="R606">
        <v>8</v>
      </c>
      <c r="S606">
        <v>5</v>
      </c>
      <c r="T606">
        <v>5</v>
      </c>
      <c r="U606">
        <v>0</v>
      </c>
      <c r="V606">
        <v>4</v>
      </c>
      <c r="W606" t="s">
        <v>38</v>
      </c>
      <c r="X606" s="1" t="d">
        <v>2016-01-28</v>
      </c>
      <c r="Z606" t="s">
        <v>45</v>
      </c>
      <c r="AA606" t="s">
        <v>40</v>
      </c>
      <c r="AB606">
        <v>4</v>
      </c>
      <c r="AC606">
        <v>0</v>
      </c>
      <c r="AD606" t="s">
        <v>41</v>
      </c>
      <c r="AE606" t="s">
        <v>62</v>
      </c>
      <c r="AF606" t="s">
        <v>43</v>
      </c>
      <c r="AG606">
        <f>IF(HR_Data[[#This Row],[Attrition]]="Yes",1,0)</f>
        <v>1</v>
      </c>
      <c r="AH606" t="str">
        <f>IF(HR_Data[Date_of_termination]="","Active","Left")</f>
        <v>Active</v>
      </c>
      <c r="AI606" t="str">
        <f>IF(HR_Data[YearsAtCompany]&lt;=2,"Fresher", IF(HR_Data[YearsAtCompany]&lt;=5,"Junior", IF(HR_Data[YearsAtCompany]&lt;=10, "Mid","Senior")))</f>
        <v>Junior</v>
      </c>
      <c r="AJ606" s="2" t="str">
        <f>IF(HR_Data[MonthlyIncome]&lt;=300,"Low", IF(HR_Data[MonthlyIncome]&lt;=7000,"Medium", "High"))</f>
        <v>Medium</v>
      </c>
      <c r="AK606" s="2" t="str">
        <f>VLOOKUP(HR_Data[JobRole], JobRole_Map[], 2, FALSE)</f>
        <v>Technical</v>
      </c>
    </row>
    <row r="607" spans="1:37" x14ac:dyDescent="0.25">
      <c r="A607" s="2">
        <v>31</v>
      </c>
      <c r="B607" t="s">
        <v>41</v>
      </c>
      <c r="C607" t="s">
        <v>68</v>
      </c>
      <c r="D607" t="s">
        <v>34</v>
      </c>
      <c r="E607">
        <v>1</v>
      </c>
      <c r="F607" t="s">
        <v>35</v>
      </c>
      <c r="G607">
        <v>1</v>
      </c>
      <c r="H607">
        <v>2</v>
      </c>
      <c r="I607" t="s">
        <v>67</v>
      </c>
      <c r="J607">
        <v>3</v>
      </c>
      <c r="K607" t="s">
        <v>50</v>
      </c>
      <c r="L607">
        <v>4345</v>
      </c>
      <c r="M607">
        <v>0</v>
      </c>
      <c r="N607" t="s">
        <v>41</v>
      </c>
      <c r="O607">
        <v>12</v>
      </c>
      <c r="P607">
        <v>3</v>
      </c>
      <c r="Q607">
        <v>1</v>
      </c>
      <c r="R607">
        <v>6</v>
      </c>
      <c r="S607">
        <v>2</v>
      </c>
      <c r="T607">
        <v>5</v>
      </c>
      <c r="U607">
        <v>1</v>
      </c>
      <c r="V607">
        <v>4</v>
      </c>
      <c r="W607" t="s">
        <v>51</v>
      </c>
      <c r="X607" s="1" t="d">
        <v>2016-01-17</v>
      </c>
      <c r="Z607" t="s">
        <v>59</v>
      </c>
      <c r="AA607" t="s">
        <v>46</v>
      </c>
      <c r="AB607">
        <v>5</v>
      </c>
      <c r="AC607">
        <v>1</v>
      </c>
      <c r="AD607" t="s">
        <v>41</v>
      </c>
      <c r="AE607" t="s">
        <v>60</v>
      </c>
      <c r="AF607" t="s">
        <v>48</v>
      </c>
      <c r="AG607">
        <f>IF(HR_Data[[#This Row],[Attrition]]="Yes",1,0)</f>
        <v>0</v>
      </c>
      <c r="AH607" t="str">
        <f>IF(HR_Data[Date_of_termination]="","Active","Left")</f>
        <v>Active</v>
      </c>
      <c r="AI607" t="str">
        <f>IF(HR_Data[YearsAtCompany]&lt;=2,"Fresher", IF(HR_Data[YearsAtCompany]&lt;=5,"Junior", IF(HR_Data[YearsAtCompany]&lt;=10, "Mid","Senior")))</f>
        <v>Junior</v>
      </c>
      <c r="AJ607" s="2" t="str">
        <f>IF(HR_Data[MonthlyIncome]&lt;=300,"Low", IF(HR_Data[MonthlyIncome]&lt;=7000,"Medium", "High"))</f>
        <v>Medium</v>
      </c>
      <c r="AK607" s="2" t="str">
        <f>VLOOKUP(HR_Data[JobRole], JobRole_Map[], 2, FALSE)</f>
        <v>Operations</v>
      </c>
    </row>
    <row r="608" spans="1:37" x14ac:dyDescent="0.25">
      <c r="A608" s="2">
        <v>33</v>
      </c>
      <c r="B608" t="s">
        <v>32</v>
      </c>
      <c r="C608" t="s">
        <v>33</v>
      </c>
      <c r="D608" t="s">
        <v>34</v>
      </c>
      <c r="E608">
        <v>14</v>
      </c>
      <c r="F608" t="s">
        <v>35</v>
      </c>
      <c r="G608">
        <v>3</v>
      </c>
      <c r="H608">
        <v>1</v>
      </c>
      <c r="I608" t="s">
        <v>36</v>
      </c>
      <c r="J608">
        <v>4</v>
      </c>
      <c r="K608" t="s">
        <v>50</v>
      </c>
      <c r="L608">
        <v>2436</v>
      </c>
      <c r="M608">
        <v>5</v>
      </c>
      <c r="N608" t="s">
        <v>32</v>
      </c>
      <c r="O608">
        <v>13</v>
      </c>
      <c r="P608">
        <v>3</v>
      </c>
      <c r="Q608">
        <v>1</v>
      </c>
      <c r="R608">
        <v>8</v>
      </c>
      <c r="S608">
        <v>2</v>
      </c>
      <c r="T608">
        <v>5</v>
      </c>
      <c r="U608">
        <v>0</v>
      </c>
      <c r="V608">
        <v>4</v>
      </c>
      <c r="W608" t="s">
        <v>56</v>
      </c>
      <c r="X608" s="1" t="d">
        <v>2016-06-08</v>
      </c>
      <c r="Z608" t="s">
        <v>39</v>
      </c>
      <c r="AA608" t="s">
        <v>46</v>
      </c>
      <c r="AB608">
        <v>1</v>
      </c>
      <c r="AC608">
        <v>1</v>
      </c>
      <c r="AD608" t="s">
        <v>32</v>
      </c>
      <c r="AE608" t="s">
        <v>60</v>
      </c>
      <c r="AF608" t="s">
        <v>43</v>
      </c>
      <c r="AG608">
        <f>IF(HR_Data[[#This Row],[Attrition]]="Yes",1,0)</f>
        <v>1</v>
      </c>
      <c r="AH608" t="str">
        <f>IF(HR_Data[Date_of_termination]="","Active","Left")</f>
        <v>Active</v>
      </c>
      <c r="AI608" t="str">
        <f>IF(HR_Data[YearsAtCompany]&lt;=2,"Fresher", IF(HR_Data[YearsAtCompany]&lt;=5,"Junior", IF(HR_Data[YearsAtCompany]&lt;=10, "Mid","Senior")))</f>
        <v>Junior</v>
      </c>
      <c r="AJ608" s="2" t="str">
        <f>IF(HR_Data[MonthlyIncome]&lt;=300,"Low", IF(HR_Data[MonthlyIncome]&lt;=7000,"Medium", "High"))</f>
        <v>Medium</v>
      </c>
      <c r="AK608" s="2" t="str">
        <f>VLOOKUP(HR_Data[JobRole], JobRole_Map[], 2, FALSE)</f>
        <v>Technical</v>
      </c>
    </row>
    <row r="609" spans="1:37" x14ac:dyDescent="0.25">
      <c r="A609" s="2">
        <v>31</v>
      </c>
      <c r="B609" t="s">
        <v>32</v>
      </c>
      <c r="C609" t="s">
        <v>61</v>
      </c>
      <c r="D609" t="s">
        <v>34</v>
      </c>
      <c r="E609">
        <v>29</v>
      </c>
      <c r="F609" t="s">
        <v>35</v>
      </c>
      <c r="G609">
        <v>2</v>
      </c>
      <c r="H609">
        <v>1</v>
      </c>
      <c r="I609" t="s">
        <v>36</v>
      </c>
      <c r="J609">
        <v>2</v>
      </c>
      <c r="K609" t="s">
        <v>37</v>
      </c>
      <c r="L609">
        <v>3479</v>
      </c>
      <c r="M609">
        <v>0</v>
      </c>
      <c r="N609" t="s">
        <v>41</v>
      </c>
      <c r="O609">
        <v>11</v>
      </c>
      <c r="P609">
        <v>3</v>
      </c>
      <c r="Q609">
        <v>0</v>
      </c>
      <c r="R609">
        <v>6</v>
      </c>
      <c r="S609">
        <v>2</v>
      </c>
      <c r="T609">
        <v>5</v>
      </c>
      <c r="U609">
        <v>1</v>
      </c>
      <c r="V609">
        <v>4</v>
      </c>
      <c r="W609" t="s">
        <v>51</v>
      </c>
      <c r="X609" s="1" t="d">
        <v>2016-06-11</v>
      </c>
      <c r="Z609" t="s">
        <v>45</v>
      </c>
      <c r="AA609" t="s">
        <v>46</v>
      </c>
      <c r="AB609">
        <v>3</v>
      </c>
      <c r="AC609">
        <v>2</v>
      </c>
      <c r="AD609" t="s">
        <v>41</v>
      </c>
      <c r="AE609" t="s">
        <v>42</v>
      </c>
      <c r="AF609" t="s">
        <v>43</v>
      </c>
      <c r="AG609">
        <f>IF(HR_Data[[#This Row],[Attrition]]="Yes",1,0)</f>
        <v>1</v>
      </c>
      <c r="AH609" t="str">
        <f>IF(HR_Data[Date_of_termination]="","Active","Left")</f>
        <v>Active</v>
      </c>
      <c r="AI609" t="str">
        <f>IF(HR_Data[YearsAtCompany]&lt;=2,"Fresher", IF(HR_Data[YearsAtCompany]&lt;=5,"Junior", IF(HR_Data[YearsAtCompany]&lt;=10, "Mid","Senior")))</f>
        <v>Junior</v>
      </c>
      <c r="AJ609" s="2" t="str">
        <f>IF(HR_Data[MonthlyIncome]&lt;=300,"Low", IF(HR_Data[MonthlyIncome]&lt;=7000,"Medium", "High"))</f>
        <v>Medium</v>
      </c>
      <c r="AK609" s="2" t="str">
        <f>VLOOKUP(HR_Data[JobRole], JobRole_Map[], 2, FALSE)</f>
        <v>Technical</v>
      </c>
    </row>
    <row r="610" spans="1:37" x14ac:dyDescent="0.25">
      <c r="A610" s="2">
        <v>32</v>
      </c>
      <c r="B610" t="s">
        <v>41</v>
      </c>
      <c r="C610" t="s">
        <v>61</v>
      </c>
      <c r="D610" t="s">
        <v>34</v>
      </c>
      <c r="E610">
        <v>7</v>
      </c>
      <c r="F610" t="s">
        <v>35</v>
      </c>
      <c r="G610">
        <v>4</v>
      </c>
      <c r="H610">
        <v>1</v>
      </c>
      <c r="I610" t="s">
        <v>36</v>
      </c>
      <c r="J610">
        <v>2</v>
      </c>
      <c r="K610" t="s">
        <v>50</v>
      </c>
      <c r="L610">
        <v>2794</v>
      </c>
      <c r="M610">
        <v>1</v>
      </c>
      <c r="N610" t="s">
        <v>41</v>
      </c>
      <c r="O610">
        <v>20</v>
      </c>
      <c r="P610">
        <v>4</v>
      </c>
      <c r="Q610">
        <v>0</v>
      </c>
      <c r="R610">
        <v>5</v>
      </c>
      <c r="S610">
        <v>3</v>
      </c>
      <c r="T610">
        <v>5</v>
      </c>
      <c r="U610">
        <v>0</v>
      </c>
      <c r="V610">
        <v>3</v>
      </c>
      <c r="W610" t="s">
        <v>56</v>
      </c>
      <c r="X610" s="1" t="d">
        <v>2016-01-02</v>
      </c>
      <c r="Z610" t="s">
        <v>39</v>
      </c>
      <c r="AA610" t="s">
        <v>46</v>
      </c>
      <c r="AB610">
        <v>4</v>
      </c>
      <c r="AC610">
        <v>1</v>
      </c>
      <c r="AD610" t="s">
        <v>41</v>
      </c>
      <c r="AE610" t="s">
        <v>62</v>
      </c>
      <c r="AF610" t="s">
        <v>48</v>
      </c>
      <c r="AG610">
        <f>IF(HR_Data[[#This Row],[Attrition]]="Yes",1,0)</f>
        <v>0</v>
      </c>
      <c r="AH610" t="str">
        <f>IF(HR_Data[Date_of_termination]="","Active","Left")</f>
        <v>Active</v>
      </c>
      <c r="AI610" t="str">
        <f>IF(HR_Data[YearsAtCompany]&lt;=2,"Fresher", IF(HR_Data[YearsAtCompany]&lt;=5,"Junior", IF(HR_Data[YearsAtCompany]&lt;=10, "Mid","Senior")))</f>
        <v>Junior</v>
      </c>
      <c r="AJ610" s="2" t="str">
        <f>IF(HR_Data[MonthlyIncome]&lt;=300,"Low", IF(HR_Data[MonthlyIncome]&lt;=7000,"Medium", "High"))</f>
        <v>Medium</v>
      </c>
      <c r="AK610" s="2" t="str">
        <f>VLOOKUP(HR_Data[JobRole], JobRole_Map[], 2, FALSE)</f>
        <v>Technical</v>
      </c>
    </row>
    <row r="611" spans="1:37" x14ac:dyDescent="0.25">
      <c r="A611" s="2">
        <v>28</v>
      </c>
      <c r="B611" t="s">
        <v>41</v>
      </c>
      <c r="C611" t="s">
        <v>33</v>
      </c>
      <c r="D611" t="s">
        <v>34</v>
      </c>
      <c r="E611">
        <v>9</v>
      </c>
      <c r="F611" t="s">
        <v>35</v>
      </c>
      <c r="G611">
        <v>3</v>
      </c>
      <c r="H611">
        <v>1</v>
      </c>
      <c r="I611" t="s">
        <v>44</v>
      </c>
      <c r="J611">
        <v>4</v>
      </c>
      <c r="K611" t="s">
        <v>50</v>
      </c>
      <c r="L611">
        <v>2070</v>
      </c>
      <c r="M611">
        <v>1</v>
      </c>
      <c r="N611" t="s">
        <v>41</v>
      </c>
      <c r="O611">
        <v>23</v>
      </c>
      <c r="P611">
        <v>4</v>
      </c>
      <c r="Q611">
        <v>1</v>
      </c>
      <c r="R611">
        <v>5</v>
      </c>
      <c r="S611">
        <v>3</v>
      </c>
      <c r="T611">
        <v>5</v>
      </c>
      <c r="U611">
        <v>0</v>
      </c>
      <c r="V611">
        <v>4</v>
      </c>
      <c r="W611" t="s">
        <v>51</v>
      </c>
      <c r="X611" s="1" t="d">
        <v>2016-06-08</v>
      </c>
      <c r="Z611" t="s">
        <v>39</v>
      </c>
      <c r="AA611" t="s">
        <v>46</v>
      </c>
      <c r="AB611">
        <v>5</v>
      </c>
      <c r="AC611">
        <v>0</v>
      </c>
      <c r="AD611" t="s">
        <v>41</v>
      </c>
      <c r="AE611" t="s">
        <v>42</v>
      </c>
      <c r="AF611" t="s">
        <v>57</v>
      </c>
      <c r="AG611">
        <f>IF(HR_Data[[#This Row],[Attrition]]="Yes",1,0)</f>
        <v>0</v>
      </c>
      <c r="AH611" t="str">
        <f>IF(HR_Data[Date_of_termination]="","Active","Left")</f>
        <v>Active</v>
      </c>
      <c r="AI611" t="str">
        <f>IF(HR_Data[YearsAtCompany]&lt;=2,"Fresher", IF(HR_Data[YearsAtCompany]&lt;=5,"Junior", IF(HR_Data[YearsAtCompany]&lt;=10, "Mid","Senior")))</f>
        <v>Junior</v>
      </c>
      <c r="AJ611" s="2" t="str">
        <f>IF(HR_Data[MonthlyIncome]&lt;=300,"Low", IF(HR_Data[MonthlyIncome]&lt;=7000,"Medium", "High"))</f>
        <v>Medium</v>
      </c>
      <c r="AK611" s="2" t="str">
        <f>VLOOKUP(HR_Data[JobRole], JobRole_Map[], 2, FALSE)</f>
        <v>Technical</v>
      </c>
    </row>
    <row r="612" spans="1:37" x14ac:dyDescent="0.25">
      <c r="A612" s="2">
        <v>37</v>
      </c>
      <c r="B612" t="s">
        <v>41</v>
      </c>
      <c r="C612" t="s">
        <v>33</v>
      </c>
      <c r="D612" t="s">
        <v>53</v>
      </c>
      <c r="E612">
        <v>6</v>
      </c>
      <c r="F612" t="s">
        <v>35</v>
      </c>
      <c r="G612">
        <v>3</v>
      </c>
      <c r="H612">
        <v>2</v>
      </c>
      <c r="I612" t="s">
        <v>64</v>
      </c>
      <c r="J612">
        <v>4</v>
      </c>
      <c r="K612" t="s">
        <v>50</v>
      </c>
      <c r="L612">
        <v>6502</v>
      </c>
      <c r="M612">
        <v>4</v>
      </c>
      <c r="N612" t="s">
        <v>41</v>
      </c>
      <c r="O612">
        <v>14</v>
      </c>
      <c r="P612">
        <v>3</v>
      </c>
      <c r="Q612">
        <v>1</v>
      </c>
      <c r="R612">
        <v>7</v>
      </c>
      <c r="S612">
        <v>5</v>
      </c>
      <c r="T612">
        <v>5</v>
      </c>
      <c r="U612">
        <v>0</v>
      </c>
      <c r="V612">
        <v>1</v>
      </c>
      <c r="W612" t="s">
        <v>65</v>
      </c>
      <c r="X612" s="1" t="d">
        <v>2016-05-08</v>
      </c>
      <c r="Z612" t="s">
        <v>52</v>
      </c>
      <c r="AA612" t="s">
        <v>46</v>
      </c>
      <c r="AB612">
        <v>3</v>
      </c>
      <c r="AC612">
        <v>2</v>
      </c>
      <c r="AD612" t="s">
        <v>32</v>
      </c>
      <c r="AE612" t="s">
        <v>62</v>
      </c>
      <c r="AF612" t="s">
        <v>43</v>
      </c>
      <c r="AG612">
        <f>IF(HR_Data[[#This Row],[Attrition]]="Yes",1,0)</f>
        <v>0</v>
      </c>
      <c r="AH612" t="str">
        <f>IF(HR_Data[Date_of_termination]="","Active","Left")</f>
        <v>Active</v>
      </c>
      <c r="AI612" t="str">
        <f>IF(HR_Data[YearsAtCompany]&lt;=2,"Fresher", IF(HR_Data[YearsAtCompany]&lt;=5,"Junior", IF(HR_Data[YearsAtCompany]&lt;=10, "Mid","Senior")))</f>
        <v>Junior</v>
      </c>
      <c r="AJ612" s="2" t="str">
        <f>IF(HR_Data[MonthlyIncome]&lt;=300,"Low", IF(HR_Data[MonthlyIncome]&lt;=7000,"Medium", "High"))</f>
        <v>Medium</v>
      </c>
      <c r="AK612" s="2" t="str">
        <f>VLOOKUP(HR_Data[JobRole], JobRole_Map[], 2, FALSE)</f>
        <v>Sales</v>
      </c>
    </row>
    <row r="613" spans="1:37" x14ac:dyDescent="0.25">
      <c r="A613" s="2">
        <v>37</v>
      </c>
      <c r="B613" t="s">
        <v>41</v>
      </c>
      <c r="C613" t="s">
        <v>68</v>
      </c>
      <c r="D613" t="s">
        <v>34</v>
      </c>
      <c r="E613">
        <v>1</v>
      </c>
      <c r="F613" t="s">
        <v>58</v>
      </c>
      <c r="G613">
        <v>3</v>
      </c>
      <c r="H613">
        <v>3</v>
      </c>
      <c r="I613" t="s">
        <v>49</v>
      </c>
      <c r="J613">
        <v>4</v>
      </c>
      <c r="K613" t="s">
        <v>55</v>
      </c>
      <c r="L613">
        <v>13603</v>
      </c>
      <c r="M613">
        <v>2</v>
      </c>
      <c r="N613" t="s">
        <v>32</v>
      </c>
      <c r="O613">
        <v>18</v>
      </c>
      <c r="P613">
        <v>3</v>
      </c>
      <c r="Q613">
        <v>2</v>
      </c>
      <c r="R613">
        <v>15</v>
      </c>
      <c r="S613">
        <v>2</v>
      </c>
      <c r="T613">
        <v>5</v>
      </c>
      <c r="U613">
        <v>0</v>
      </c>
      <c r="V613">
        <v>2</v>
      </c>
      <c r="W613" t="s">
        <v>56</v>
      </c>
      <c r="X613" s="1" t="d">
        <v>2016-05-13</v>
      </c>
      <c r="Z613" t="s">
        <v>39</v>
      </c>
      <c r="AA613" t="s">
        <v>40</v>
      </c>
      <c r="AB613">
        <v>2</v>
      </c>
      <c r="AC613">
        <v>2</v>
      </c>
      <c r="AD613" t="s">
        <v>41</v>
      </c>
      <c r="AE613" t="s">
        <v>62</v>
      </c>
      <c r="AF613" t="s">
        <v>48</v>
      </c>
      <c r="AG613">
        <f>IF(HR_Data[[#This Row],[Attrition]]="Yes",1,0)</f>
        <v>0</v>
      </c>
      <c r="AH613" t="str">
        <f>IF(HR_Data[Date_of_termination]="","Active","Left")</f>
        <v>Active</v>
      </c>
      <c r="AI613" t="str">
        <f>IF(HR_Data[YearsAtCompany]&lt;=2,"Fresher", IF(HR_Data[YearsAtCompany]&lt;=5,"Junior", IF(HR_Data[YearsAtCompany]&lt;=10, "Mid","Senior")))</f>
        <v>Junior</v>
      </c>
      <c r="AJ613" s="2" t="str">
        <f>IF(HR_Data[MonthlyIncome]&lt;=300,"Low", IF(HR_Data[MonthlyIncome]&lt;=7000,"Medium", "High"))</f>
        <v>High</v>
      </c>
      <c r="AK613" s="2" t="str">
        <f>VLOOKUP(HR_Data[JobRole], JobRole_Map[], 2, FALSE)</f>
        <v>Management</v>
      </c>
    </row>
    <row r="614" spans="1:37" x14ac:dyDescent="0.25">
      <c r="A614" s="2">
        <v>53</v>
      </c>
      <c r="B614" t="s">
        <v>41</v>
      </c>
      <c r="C614" t="s">
        <v>33</v>
      </c>
      <c r="D614" t="s">
        <v>34</v>
      </c>
      <c r="E614">
        <v>3</v>
      </c>
      <c r="F614" t="s">
        <v>35</v>
      </c>
      <c r="G614">
        <v>3</v>
      </c>
      <c r="H614">
        <v>4</v>
      </c>
      <c r="I614" t="s">
        <v>49</v>
      </c>
      <c r="J614">
        <v>3</v>
      </c>
      <c r="K614" t="s">
        <v>50</v>
      </c>
      <c r="L614">
        <v>17584</v>
      </c>
      <c r="M614">
        <v>3</v>
      </c>
      <c r="N614" t="s">
        <v>32</v>
      </c>
      <c r="O614">
        <v>16</v>
      </c>
      <c r="P614">
        <v>3</v>
      </c>
      <c r="Q614">
        <v>3</v>
      </c>
      <c r="R614">
        <v>21</v>
      </c>
      <c r="S614">
        <v>5</v>
      </c>
      <c r="T614">
        <v>5</v>
      </c>
      <c r="U614">
        <v>1</v>
      </c>
      <c r="V614">
        <v>3</v>
      </c>
      <c r="W614" t="s">
        <v>65</v>
      </c>
      <c r="X614" s="1" t="d">
        <v>2016-06-23</v>
      </c>
      <c r="Z614" t="s">
        <v>59</v>
      </c>
      <c r="AA614" t="s">
        <v>40</v>
      </c>
      <c r="AB614">
        <v>0</v>
      </c>
      <c r="AC614">
        <v>0</v>
      </c>
      <c r="AD614" t="s">
        <v>32</v>
      </c>
      <c r="AE614" t="s">
        <v>42</v>
      </c>
      <c r="AF614" t="s">
        <v>48</v>
      </c>
      <c r="AG614">
        <f>IF(HR_Data[[#This Row],[Attrition]]="Yes",1,0)</f>
        <v>0</v>
      </c>
      <c r="AH614" t="str">
        <f>IF(HR_Data[Date_of_termination]="","Active","Left")</f>
        <v>Active</v>
      </c>
      <c r="AI614" t="str">
        <f>IF(HR_Data[YearsAtCompany]&lt;=2,"Fresher", IF(HR_Data[YearsAtCompany]&lt;=5,"Junior", IF(HR_Data[YearsAtCompany]&lt;=10, "Mid","Senior")))</f>
        <v>Junior</v>
      </c>
      <c r="AJ614" s="2" t="str">
        <f>IF(HR_Data[MonthlyIncome]&lt;=300,"Low", IF(HR_Data[MonthlyIncome]&lt;=7000,"Medium", "High"))</f>
        <v>High</v>
      </c>
      <c r="AK614" s="2" t="str">
        <f>VLOOKUP(HR_Data[JobRole], JobRole_Map[], 2, FALSE)</f>
        <v>Management</v>
      </c>
    </row>
    <row r="615" spans="1:37" x14ac:dyDescent="0.25">
      <c r="A615" s="2">
        <v>26</v>
      </c>
      <c r="B615" t="s">
        <v>41</v>
      </c>
      <c r="C615" t="s">
        <v>61</v>
      </c>
      <c r="D615" t="s">
        <v>34</v>
      </c>
      <c r="E615">
        <v>11</v>
      </c>
      <c r="F615" t="s">
        <v>35</v>
      </c>
      <c r="G615">
        <v>3</v>
      </c>
      <c r="H615">
        <v>2</v>
      </c>
      <c r="I615" t="s">
        <v>69</v>
      </c>
      <c r="J615">
        <v>1</v>
      </c>
      <c r="K615" t="s">
        <v>50</v>
      </c>
      <c r="L615">
        <v>4741</v>
      </c>
      <c r="M615">
        <v>1</v>
      </c>
      <c r="N615" t="s">
        <v>32</v>
      </c>
      <c r="O615">
        <v>13</v>
      </c>
      <c r="P615">
        <v>3</v>
      </c>
      <c r="Q615">
        <v>1</v>
      </c>
      <c r="R615">
        <v>5</v>
      </c>
      <c r="S615">
        <v>3</v>
      </c>
      <c r="T615">
        <v>5</v>
      </c>
      <c r="U615">
        <v>3</v>
      </c>
      <c r="V615">
        <v>3</v>
      </c>
      <c r="W615" t="s">
        <v>56</v>
      </c>
      <c r="X615" s="1" t="d">
        <v>2016-03-06</v>
      </c>
      <c r="Z615" t="s">
        <v>52</v>
      </c>
      <c r="AA615" t="s">
        <v>46</v>
      </c>
      <c r="AB615">
        <v>4</v>
      </c>
      <c r="AC615">
        <v>1</v>
      </c>
      <c r="AD615" t="s">
        <v>32</v>
      </c>
      <c r="AE615" t="s">
        <v>62</v>
      </c>
      <c r="AF615" t="s">
        <v>48</v>
      </c>
      <c r="AG615">
        <f>IF(HR_Data[[#This Row],[Attrition]]="Yes",1,0)</f>
        <v>0</v>
      </c>
      <c r="AH615" t="str">
        <f>IF(HR_Data[Date_of_termination]="","Active","Left")</f>
        <v>Active</v>
      </c>
      <c r="AI615" t="str">
        <f>IF(HR_Data[YearsAtCompany]&lt;=2,"Fresher", IF(HR_Data[YearsAtCompany]&lt;=5,"Junior", IF(HR_Data[YearsAtCompany]&lt;=10, "Mid","Senior")))</f>
        <v>Junior</v>
      </c>
      <c r="AJ615" s="2" t="str">
        <f>IF(HR_Data[MonthlyIncome]&lt;=300,"Low", IF(HR_Data[MonthlyIncome]&lt;=7000,"Medium", "High"))</f>
        <v>Medium</v>
      </c>
      <c r="AK615" s="2" t="str">
        <f>VLOOKUP(HR_Data[JobRole], JobRole_Map[], 2, FALSE)</f>
        <v>Operations</v>
      </c>
    </row>
    <row r="616" spans="1:37" x14ac:dyDescent="0.25">
      <c r="A616" s="2">
        <v>28</v>
      </c>
      <c r="B616" t="s">
        <v>41</v>
      </c>
      <c r="C616" t="s">
        <v>33</v>
      </c>
      <c r="D616" t="s">
        <v>34</v>
      </c>
      <c r="E616">
        <v>8</v>
      </c>
      <c r="F616" t="s">
        <v>58</v>
      </c>
      <c r="G616">
        <v>3</v>
      </c>
      <c r="H616">
        <v>1</v>
      </c>
      <c r="I616" t="s">
        <v>44</v>
      </c>
      <c r="J616">
        <v>4</v>
      </c>
      <c r="K616" t="s">
        <v>37</v>
      </c>
      <c r="L616">
        <v>3310</v>
      </c>
      <c r="M616">
        <v>1</v>
      </c>
      <c r="N616" t="s">
        <v>41</v>
      </c>
      <c r="O616">
        <v>21</v>
      </c>
      <c r="P616">
        <v>4</v>
      </c>
      <c r="Q616">
        <v>0</v>
      </c>
      <c r="R616">
        <v>5</v>
      </c>
      <c r="S616">
        <v>3</v>
      </c>
      <c r="T616">
        <v>5</v>
      </c>
      <c r="U616">
        <v>0</v>
      </c>
      <c r="V616">
        <v>2</v>
      </c>
      <c r="W616" t="s">
        <v>65</v>
      </c>
      <c r="X616" s="1" t="d">
        <v>2016-06-25</v>
      </c>
      <c r="Z616" t="s">
        <v>45</v>
      </c>
      <c r="AA616" t="s">
        <v>46</v>
      </c>
      <c r="AB616">
        <v>5</v>
      </c>
      <c r="AC616">
        <v>3</v>
      </c>
      <c r="AD616" t="s">
        <v>32</v>
      </c>
      <c r="AE616" t="s">
        <v>42</v>
      </c>
      <c r="AF616" t="s">
        <v>57</v>
      </c>
      <c r="AG616">
        <f>IF(HR_Data[[#This Row],[Attrition]]="Yes",1,0)</f>
        <v>0</v>
      </c>
      <c r="AH616" t="str">
        <f>IF(HR_Data[Date_of_termination]="","Active","Left")</f>
        <v>Active</v>
      </c>
      <c r="AI616" t="str">
        <f>IF(HR_Data[YearsAtCompany]&lt;=2,"Fresher", IF(HR_Data[YearsAtCompany]&lt;=5,"Junior", IF(HR_Data[YearsAtCompany]&lt;=10, "Mid","Senior")))</f>
        <v>Junior</v>
      </c>
      <c r="AJ616" s="2" t="str">
        <f>IF(HR_Data[MonthlyIncome]&lt;=300,"Low", IF(HR_Data[MonthlyIncome]&lt;=7000,"Medium", "High"))</f>
        <v>Medium</v>
      </c>
      <c r="AK616" s="2" t="str">
        <f>VLOOKUP(HR_Data[JobRole], JobRole_Map[], 2, FALSE)</f>
        <v>Technical</v>
      </c>
    </row>
    <row r="617" spans="1:37" x14ac:dyDescent="0.25">
      <c r="A617" s="2">
        <v>58</v>
      </c>
      <c r="B617" t="s">
        <v>41</v>
      </c>
      <c r="C617" t="s">
        <v>68</v>
      </c>
      <c r="D617" t="s">
        <v>34</v>
      </c>
      <c r="E617">
        <v>1</v>
      </c>
      <c r="F617" t="s">
        <v>35</v>
      </c>
      <c r="G617">
        <v>1</v>
      </c>
      <c r="H617">
        <v>2</v>
      </c>
      <c r="I617" t="s">
        <v>69</v>
      </c>
      <c r="J617">
        <v>3</v>
      </c>
      <c r="K617" t="s">
        <v>55</v>
      </c>
      <c r="L617">
        <v>5660</v>
      </c>
      <c r="M617">
        <v>2</v>
      </c>
      <c r="N617" t="s">
        <v>32</v>
      </c>
      <c r="O617">
        <v>13</v>
      </c>
      <c r="P617">
        <v>3</v>
      </c>
      <c r="Q617">
        <v>1</v>
      </c>
      <c r="R617">
        <v>12</v>
      </c>
      <c r="S617">
        <v>2</v>
      </c>
      <c r="T617">
        <v>5</v>
      </c>
      <c r="U617">
        <v>1</v>
      </c>
      <c r="V617">
        <v>2</v>
      </c>
      <c r="W617" t="s">
        <v>65</v>
      </c>
      <c r="X617" s="1" t="d">
        <v>2016-01-10</v>
      </c>
      <c r="Z617" t="s">
        <v>52</v>
      </c>
      <c r="AA617" t="s">
        <v>40</v>
      </c>
      <c r="AB617">
        <v>4</v>
      </c>
      <c r="AC617">
        <v>2</v>
      </c>
      <c r="AD617" t="s">
        <v>32</v>
      </c>
      <c r="AE617" t="s">
        <v>62</v>
      </c>
      <c r="AF617" t="s">
        <v>48</v>
      </c>
      <c r="AG617">
        <f>IF(HR_Data[[#This Row],[Attrition]]="Yes",1,0)</f>
        <v>0</v>
      </c>
      <c r="AH617" t="str">
        <f>IF(HR_Data[Date_of_termination]="","Active","Left")</f>
        <v>Active</v>
      </c>
      <c r="AI617" t="str">
        <f>IF(HR_Data[YearsAtCompany]&lt;=2,"Fresher", IF(HR_Data[YearsAtCompany]&lt;=5,"Junior", IF(HR_Data[YearsAtCompany]&lt;=10, "Mid","Senior")))</f>
        <v>Junior</v>
      </c>
      <c r="AJ617" s="2" t="str">
        <f>IF(HR_Data[MonthlyIncome]&lt;=300,"Low", IF(HR_Data[MonthlyIncome]&lt;=7000,"Medium", "High"))</f>
        <v>Medium</v>
      </c>
      <c r="AK617" s="2" t="str">
        <f>VLOOKUP(HR_Data[JobRole], JobRole_Map[], 2, FALSE)</f>
        <v>Operations</v>
      </c>
    </row>
    <row r="618" spans="1:37" x14ac:dyDescent="0.25">
      <c r="A618" s="2">
        <v>31</v>
      </c>
      <c r="B618" t="s">
        <v>41</v>
      </c>
      <c r="C618" t="s">
        <v>33</v>
      </c>
      <c r="D618" t="s">
        <v>34</v>
      </c>
      <c r="E618">
        <v>5</v>
      </c>
      <c r="F618" t="s">
        <v>35</v>
      </c>
      <c r="G618">
        <v>3</v>
      </c>
      <c r="H618">
        <v>1</v>
      </c>
      <c r="I618" t="s">
        <v>44</v>
      </c>
      <c r="J618">
        <v>4</v>
      </c>
      <c r="K618" t="s">
        <v>50</v>
      </c>
      <c r="L618">
        <v>4821</v>
      </c>
      <c r="M618">
        <v>0</v>
      </c>
      <c r="N618" t="s">
        <v>32</v>
      </c>
      <c r="O618">
        <v>12</v>
      </c>
      <c r="P618">
        <v>3</v>
      </c>
      <c r="Q618">
        <v>1</v>
      </c>
      <c r="R618">
        <v>6</v>
      </c>
      <c r="S618">
        <v>4</v>
      </c>
      <c r="T618">
        <v>5</v>
      </c>
      <c r="U618">
        <v>0</v>
      </c>
      <c r="V618">
        <v>3</v>
      </c>
      <c r="W618" t="s">
        <v>38</v>
      </c>
      <c r="X618" s="1" t="d">
        <v>2016-05-24</v>
      </c>
      <c r="Z618" t="s">
        <v>52</v>
      </c>
      <c r="AA618" t="s">
        <v>46</v>
      </c>
      <c r="AB618">
        <v>1</v>
      </c>
      <c r="AC618">
        <v>0</v>
      </c>
      <c r="AD618" t="s">
        <v>32</v>
      </c>
      <c r="AE618" t="s">
        <v>47</v>
      </c>
      <c r="AF618" t="s">
        <v>48</v>
      </c>
      <c r="AG618">
        <f>IF(HR_Data[[#This Row],[Attrition]]="Yes",1,0)</f>
        <v>0</v>
      </c>
      <c r="AH618" t="str">
        <f>IF(HR_Data[Date_of_termination]="","Active","Left")</f>
        <v>Active</v>
      </c>
      <c r="AI618" t="str">
        <f>IF(HR_Data[YearsAtCompany]&lt;=2,"Fresher", IF(HR_Data[YearsAtCompany]&lt;=5,"Junior", IF(HR_Data[YearsAtCompany]&lt;=10, "Mid","Senior")))</f>
        <v>Junior</v>
      </c>
      <c r="AJ618" s="2" t="str">
        <f>IF(HR_Data[MonthlyIncome]&lt;=300,"Low", IF(HR_Data[MonthlyIncome]&lt;=7000,"Medium", "High"))</f>
        <v>Medium</v>
      </c>
      <c r="AK618" s="2" t="str">
        <f>VLOOKUP(HR_Data[JobRole], JobRole_Map[], 2, FALSE)</f>
        <v>Technical</v>
      </c>
    </row>
    <row r="619" spans="1:37" x14ac:dyDescent="0.25">
      <c r="A619" s="2">
        <v>27</v>
      </c>
      <c r="B619" t="s">
        <v>41</v>
      </c>
      <c r="C619" t="s">
        <v>33</v>
      </c>
      <c r="D619" t="s">
        <v>53</v>
      </c>
      <c r="E619">
        <v>2</v>
      </c>
      <c r="F619" t="s">
        <v>35</v>
      </c>
      <c r="G619">
        <v>3</v>
      </c>
      <c r="H619">
        <v>2</v>
      </c>
      <c r="I619" t="s">
        <v>64</v>
      </c>
      <c r="J619">
        <v>3</v>
      </c>
      <c r="K619" t="s">
        <v>37</v>
      </c>
      <c r="L619">
        <v>4478</v>
      </c>
      <c r="M619">
        <v>1</v>
      </c>
      <c r="N619" t="s">
        <v>32</v>
      </c>
      <c r="O619">
        <v>11</v>
      </c>
      <c r="P619">
        <v>3</v>
      </c>
      <c r="Q619">
        <v>0</v>
      </c>
      <c r="R619">
        <v>5</v>
      </c>
      <c r="S619">
        <v>3</v>
      </c>
      <c r="T619">
        <v>5</v>
      </c>
      <c r="U619">
        <v>0</v>
      </c>
      <c r="V619">
        <v>4</v>
      </c>
      <c r="W619" t="s">
        <v>65</v>
      </c>
      <c r="X619" s="1" t="d">
        <v>2016-03-24</v>
      </c>
      <c r="Z619" t="s">
        <v>59</v>
      </c>
      <c r="AA619" t="s">
        <v>46</v>
      </c>
      <c r="AB619">
        <v>5</v>
      </c>
      <c r="AC619">
        <v>2</v>
      </c>
      <c r="AD619" t="s">
        <v>32</v>
      </c>
      <c r="AE619" t="s">
        <v>60</v>
      </c>
      <c r="AF619" t="s">
        <v>48</v>
      </c>
      <c r="AG619">
        <f>IF(HR_Data[[#This Row],[Attrition]]="Yes",1,0)</f>
        <v>0</v>
      </c>
      <c r="AH619" t="str">
        <f>IF(HR_Data[Date_of_termination]="","Active","Left")</f>
        <v>Active</v>
      </c>
      <c r="AI619" t="str">
        <f>IF(HR_Data[YearsAtCompany]&lt;=2,"Fresher", IF(HR_Data[YearsAtCompany]&lt;=5,"Junior", IF(HR_Data[YearsAtCompany]&lt;=10, "Mid","Senior")))</f>
        <v>Junior</v>
      </c>
      <c r="AJ619" s="2" t="str">
        <f>IF(HR_Data[MonthlyIncome]&lt;=300,"Low", IF(HR_Data[MonthlyIncome]&lt;=7000,"Medium", "High"))</f>
        <v>Medium</v>
      </c>
      <c r="AK619" s="2" t="str">
        <f>VLOOKUP(HR_Data[JobRole], JobRole_Map[], 2, FALSE)</f>
        <v>Sales</v>
      </c>
    </row>
    <row r="620" spans="1:37" x14ac:dyDescent="0.25">
      <c r="A620" s="2">
        <v>27</v>
      </c>
      <c r="B620" t="s">
        <v>41</v>
      </c>
      <c r="C620" t="s">
        <v>68</v>
      </c>
      <c r="D620" t="s">
        <v>53</v>
      </c>
      <c r="E620">
        <v>1</v>
      </c>
      <c r="F620" t="s">
        <v>35</v>
      </c>
      <c r="G620">
        <v>3</v>
      </c>
      <c r="H620">
        <v>2</v>
      </c>
      <c r="I620" t="s">
        <v>64</v>
      </c>
      <c r="J620">
        <v>2</v>
      </c>
      <c r="K620" t="s">
        <v>50</v>
      </c>
      <c r="L620">
        <v>6349</v>
      </c>
      <c r="M620">
        <v>0</v>
      </c>
      <c r="N620" t="s">
        <v>32</v>
      </c>
      <c r="O620">
        <v>13</v>
      </c>
      <c r="P620">
        <v>3</v>
      </c>
      <c r="Q620">
        <v>1</v>
      </c>
      <c r="R620">
        <v>6</v>
      </c>
      <c r="S620">
        <v>0</v>
      </c>
      <c r="T620">
        <v>5</v>
      </c>
      <c r="U620">
        <v>1</v>
      </c>
      <c r="V620">
        <v>4</v>
      </c>
      <c r="W620" t="s">
        <v>56</v>
      </c>
      <c r="X620" s="1" t="d">
        <v>2016-03-28</v>
      </c>
      <c r="Z620" t="s">
        <v>39</v>
      </c>
      <c r="AA620" t="s">
        <v>40</v>
      </c>
      <c r="AB620">
        <v>2</v>
      </c>
      <c r="AC620">
        <v>2</v>
      </c>
      <c r="AD620" t="s">
        <v>41</v>
      </c>
      <c r="AE620" t="s">
        <v>47</v>
      </c>
      <c r="AF620" t="s">
        <v>57</v>
      </c>
      <c r="AG620">
        <f>IF(HR_Data[[#This Row],[Attrition]]="Yes",1,0)</f>
        <v>0</v>
      </c>
      <c r="AH620" t="str">
        <f>IF(HR_Data[Date_of_termination]="","Active","Left")</f>
        <v>Active</v>
      </c>
      <c r="AI620" t="str">
        <f>IF(HR_Data[YearsAtCompany]&lt;=2,"Fresher", IF(HR_Data[YearsAtCompany]&lt;=5,"Junior", IF(HR_Data[YearsAtCompany]&lt;=10, "Mid","Senior")))</f>
        <v>Junior</v>
      </c>
      <c r="AJ620" s="2" t="str">
        <f>IF(HR_Data[MonthlyIncome]&lt;=300,"Low", IF(HR_Data[MonthlyIncome]&lt;=7000,"Medium", "High"))</f>
        <v>Medium</v>
      </c>
      <c r="AK620" s="2" t="str">
        <f>VLOOKUP(HR_Data[JobRole], JobRole_Map[], 2, FALSE)</f>
        <v>Sales</v>
      </c>
    </row>
    <row r="621" spans="1:37" x14ac:dyDescent="0.25">
      <c r="A621" s="2">
        <v>41</v>
      </c>
      <c r="B621" t="s">
        <v>41</v>
      </c>
      <c r="C621" t="s">
        <v>33</v>
      </c>
      <c r="D621" t="s">
        <v>34</v>
      </c>
      <c r="E621">
        <v>6</v>
      </c>
      <c r="F621" t="s">
        <v>35</v>
      </c>
      <c r="G621">
        <v>2</v>
      </c>
      <c r="H621">
        <v>2</v>
      </c>
      <c r="I621" t="s">
        <v>67</v>
      </c>
      <c r="J621">
        <v>2</v>
      </c>
      <c r="K621" t="s">
        <v>37</v>
      </c>
      <c r="L621">
        <v>6032</v>
      </c>
      <c r="M621">
        <v>6</v>
      </c>
      <c r="N621" t="s">
        <v>32</v>
      </c>
      <c r="O621">
        <v>15</v>
      </c>
      <c r="P621">
        <v>3</v>
      </c>
      <c r="Q621">
        <v>0</v>
      </c>
      <c r="R621">
        <v>8</v>
      </c>
      <c r="S621">
        <v>3</v>
      </c>
      <c r="T621">
        <v>5</v>
      </c>
      <c r="U621">
        <v>1</v>
      </c>
      <c r="V621">
        <v>2</v>
      </c>
      <c r="W621" t="s">
        <v>65</v>
      </c>
      <c r="X621" s="1" t="d">
        <v>2016-05-13</v>
      </c>
      <c r="Z621" t="s">
        <v>52</v>
      </c>
      <c r="AA621" t="s">
        <v>46</v>
      </c>
      <c r="AB621">
        <v>1</v>
      </c>
      <c r="AC621">
        <v>1</v>
      </c>
      <c r="AD621" t="s">
        <v>41</v>
      </c>
      <c r="AE621" t="s">
        <v>60</v>
      </c>
      <c r="AF621" t="s">
        <v>48</v>
      </c>
      <c r="AG621">
        <f>IF(HR_Data[[#This Row],[Attrition]]="Yes",1,0)</f>
        <v>0</v>
      </c>
      <c r="AH621" t="str">
        <f>IF(HR_Data[Date_of_termination]="","Active","Left")</f>
        <v>Active</v>
      </c>
      <c r="AI621" t="str">
        <f>IF(HR_Data[YearsAtCompany]&lt;=2,"Fresher", IF(HR_Data[YearsAtCompany]&lt;=5,"Junior", IF(HR_Data[YearsAtCompany]&lt;=10, "Mid","Senior")))</f>
        <v>Junior</v>
      </c>
      <c r="AJ621" s="2" t="str">
        <f>IF(HR_Data[MonthlyIncome]&lt;=300,"Low", IF(HR_Data[MonthlyIncome]&lt;=7000,"Medium", "High"))</f>
        <v>Medium</v>
      </c>
      <c r="AK621" s="2" t="str">
        <f>VLOOKUP(HR_Data[JobRole], JobRole_Map[], 2, FALSE)</f>
        <v>Operations</v>
      </c>
    </row>
    <row r="622" spans="1:37" x14ac:dyDescent="0.25">
      <c r="A622" s="2">
        <v>37</v>
      </c>
      <c r="B622" t="s">
        <v>41</v>
      </c>
      <c r="C622" t="s">
        <v>33</v>
      </c>
      <c r="D622" t="s">
        <v>34</v>
      </c>
      <c r="E622">
        <v>10</v>
      </c>
      <c r="F622" t="s">
        <v>58</v>
      </c>
      <c r="G622">
        <v>3</v>
      </c>
      <c r="H622">
        <v>1</v>
      </c>
      <c r="I622" t="s">
        <v>36</v>
      </c>
      <c r="J622">
        <v>1</v>
      </c>
      <c r="K622" t="s">
        <v>50</v>
      </c>
      <c r="L622">
        <v>3452</v>
      </c>
      <c r="M622">
        <v>6</v>
      </c>
      <c r="N622" t="s">
        <v>41</v>
      </c>
      <c r="O622">
        <v>20</v>
      </c>
      <c r="P622">
        <v>4</v>
      </c>
      <c r="Q622">
        <v>1</v>
      </c>
      <c r="R622">
        <v>17</v>
      </c>
      <c r="S622">
        <v>3</v>
      </c>
      <c r="T622">
        <v>5</v>
      </c>
      <c r="U622">
        <v>0</v>
      </c>
      <c r="V622">
        <v>3</v>
      </c>
      <c r="W622" t="s">
        <v>56</v>
      </c>
      <c r="X622" s="1" t="d">
        <v>2016-03-15</v>
      </c>
      <c r="Z622" t="s">
        <v>39</v>
      </c>
      <c r="AA622" t="s">
        <v>40</v>
      </c>
      <c r="AB622">
        <v>4</v>
      </c>
      <c r="AC622">
        <v>1</v>
      </c>
      <c r="AD622" t="s">
        <v>41</v>
      </c>
      <c r="AE622" t="s">
        <v>60</v>
      </c>
      <c r="AF622" t="s">
        <v>43</v>
      </c>
      <c r="AG622">
        <f>IF(HR_Data[[#This Row],[Attrition]]="Yes",1,0)</f>
        <v>0</v>
      </c>
      <c r="AH622" t="str">
        <f>IF(HR_Data[Date_of_termination]="","Active","Left")</f>
        <v>Active</v>
      </c>
      <c r="AI622" t="str">
        <f>IF(HR_Data[YearsAtCompany]&lt;=2,"Fresher", IF(HR_Data[YearsAtCompany]&lt;=5,"Junior", IF(HR_Data[YearsAtCompany]&lt;=10, "Mid","Senior")))</f>
        <v>Junior</v>
      </c>
      <c r="AJ622" s="2" t="str">
        <f>IF(HR_Data[MonthlyIncome]&lt;=300,"Low", IF(HR_Data[MonthlyIncome]&lt;=7000,"Medium", "High"))</f>
        <v>Medium</v>
      </c>
      <c r="AK622" s="2" t="str">
        <f>VLOOKUP(HR_Data[JobRole], JobRole_Map[], 2, FALSE)</f>
        <v>Technical</v>
      </c>
    </row>
    <row r="623" spans="1:37" x14ac:dyDescent="0.25">
      <c r="A623" s="2">
        <v>27</v>
      </c>
      <c r="B623" t="s">
        <v>41</v>
      </c>
      <c r="C623" t="s">
        <v>33</v>
      </c>
      <c r="D623" t="s">
        <v>34</v>
      </c>
      <c r="E623">
        <v>1</v>
      </c>
      <c r="F623" t="s">
        <v>35</v>
      </c>
      <c r="G623">
        <v>3</v>
      </c>
      <c r="H623">
        <v>1</v>
      </c>
      <c r="I623" t="s">
        <v>36</v>
      </c>
      <c r="J623">
        <v>2</v>
      </c>
      <c r="K623" t="s">
        <v>55</v>
      </c>
      <c r="L623">
        <v>3816</v>
      </c>
      <c r="M623">
        <v>1</v>
      </c>
      <c r="N623" t="s">
        <v>41</v>
      </c>
      <c r="O623">
        <v>11</v>
      </c>
      <c r="P623">
        <v>3</v>
      </c>
      <c r="Q623">
        <v>1</v>
      </c>
      <c r="R623">
        <v>5</v>
      </c>
      <c r="S623">
        <v>2</v>
      </c>
      <c r="T623">
        <v>5</v>
      </c>
      <c r="U623">
        <v>0</v>
      </c>
      <c r="V623">
        <v>4</v>
      </c>
      <c r="W623" t="s">
        <v>65</v>
      </c>
      <c r="X623" s="1" t="d">
        <v>2016-04-26</v>
      </c>
      <c r="Z623" t="s">
        <v>52</v>
      </c>
      <c r="AA623" t="s">
        <v>46</v>
      </c>
      <c r="AB623">
        <v>5</v>
      </c>
      <c r="AC623">
        <v>0</v>
      </c>
      <c r="AD623" t="s">
        <v>32</v>
      </c>
      <c r="AE623" t="s">
        <v>60</v>
      </c>
      <c r="AF623" t="s">
        <v>43</v>
      </c>
      <c r="AG623">
        <f>IF(HR_Data[[#This Row],[Attrition]]="Yes",1,0)</f>
        <v>0</v>
      </c>
      <c r="AH623" t="str">
        <f>IF(HR_Data[Date_of_termination]="","Active","Left")</f>
        <v>Active</v>
      </c>
      <c r="AI623" t="str">
        <f>IF(HR_Data[YearsAtCompany]&lt;=2,"Fresher", IF(HR_Data[YearsAtCompany]&lt;=5,"Junior", IF(HR_Data[YearsAtCompany]&lt;=10, "Mid","Senior")))</f>
        <v>Junior</v>
      </c>
      <c r="AJ623" s="2" t="str">
        <f>IF(HR_Data[MonthlyIncome]&lt;=300,"Low", IF(HR_Data[MonthlyIncome]&lt;=7000,"Medium", "High"))</f>
        <v>Medium</v>
      </c>
      <c r="AK623" s="2" t="str">
        <f>VLOOKUP(HR_Data[JobRole], JobRole_Map[], 2, FALSE)</f>
        <v>Technical</v>
      </c>
    </row>
    <row r="624" spans="1:37" x14ac:dyDescent="0.25">
      <c r="A624" s="2">
        <v>49</v>
      </c>
      <c r="B624" t="s">
        <v>41</v>
      </c>
      <c r="C624" t="s">
        <v>33</v>
      </c>
      <c r="D624" t="s">
        <v>34</v>
      </c>
      <c r="E624">
        <v>7</v>
      </c>
      <c r="F624" t="s">
        <v>35</v>
      </c>
      <c r="G624">
        <v>2</v>
      </c>
      <c r="H624">
        <v>3</v>
      </c>
      <c r="I624" t="s">
        <v>69</v>
      </c>
      <c r="J624">
        <v>3</v>
      </c>
      <c r="K624" t="s">
        <v>37</v>
      </c>
      <c r="L624">
        <v>10965</v>
      </c>
      <c r="M624">
        <v>8</v>
      </c>
      <c r="N624" t="s">
        <v>41</v>
      </c>
      <c r="O624">
        <v>24</v>
      </c>
      <c r="P624">
        <v>4</v>
      </c>
      <c r="Q624">
        <v>0</v>
      </c>
      <c r="R624">
        <v>26</v>
      </c>
      <c r="S624">
        <v>2</v>
      </c>
      <c r="T624">
        <v>5</v>
      </c>
      <c r="U624">
        <v>0</v>
      </c>
      <c r="V624">
        <v>0</v>
      </c>
      <c r="W624" t="s">
        <v>38</v>
      </c>
      <c r="X624" s="1" t="d">
        <v>2016-04-07</v>
      </c>
      <c r="Z624" t="s">
        <v>52</v>
      </c>
      <c r="AA624" t="s">
        <v>40</v>
      </c>
      <c r="AB624">
        <v>3</v>
      </c>
      <c r="AC624">
        <v>0</v>
      </c>
      <c r="AD624" t="s">
        <v>32</v>
      </c>
      <c r="AE624" t="s">
        <v>62</v>
      </c>
      <c r="AF624" t="s">
        <v>48</v>
      </c>
      <c r="AG624">
        <f>IF(HR_Data[[#This Row],[Attrition]]="Yes",1,0)</f>
        <v>0</v>
      </c>
      <c r="AH624" t="str">
        <f>IF(HR_Data[Date_of_termination]="","Active","Left")</f>
        <v>Active</v>
      </c>
      <c r="AI624" t="str">
        <f>IF(HR_Data[YearsAtCompany]&lt;=2,"Fresher", IF(HR_Data[YearsAtCompany]&lt;=5,"Junior", IF(HR_Data[YearsAtCompany]&lt;=10, "Mid","Senior")))</f>
        <v>Junior</v>
      </c>
      <c r="AJ624" s="2" t="str">
        <f>IF(HR_Data[MonthlyIncome]&lt;=300,"Low", IF(HR_Data[MonthlyIncome]&lt;=7000,"Medium", "High"))</f>
        <v>High</v>
      </c>
      <c r="AK624" s="2" t="str">
        <f>VLOOKUP(HR_Data[JobRole], JobRole_Map[], 2, FALSE)</f>
        <v>Operations</v>
      </c>
    </row>
    <row r="625" spans="1:37" x14ac:dyDescent="0.25">
      <c r="A625" s="2">
        <v>34</v>
      </c>
      <c r="B625" t="s">
        <v>32</v>
      </c>
      <c r="C625" t="s">
        <v>68</v>
      </c>
      <c r="D625" t="s">
        <v>53</v>
      </c>
      <c r="E625">
        <v>19</v>
      </c>
      <c r="F625" t="s">
        <v>35</v>
      </c>
      <c r="G625">
        <v>4</v>
      </c>
      <c r="H625">
        <v>2</v>
      </c>
      <c r="I625" t="s">
        <v>64</v>
      </c>
      <c r="J625">
        <v>4</v>
      </c>
      <c r="K625" t="s">
        <v>37</v>
      </c>
      <c r="L625">
        <v>5304</v>
      </c>
      <c r="M625">
        <v>8</v>
      </c>
      <c r="N625" t="s">
        <v>32</v>
      </c>
      <c r="O625">
        <v>13</v>
      </c>
      <c r="P625">
        <v>3</v>
      </c>
      <c r="Q625">
        <v>0</v>
      </c>
      <c r="R625">
        <v>9</v>
      </c>
      <c r="S625">
        <v>3</v>
      </c>
      <c r="T625">
        <v>5</v>
      </c>
      <c r="U625">
        <v>0</v>
      </c>
      <c r="V625">
        <v>4</v>
      </c>
      <c r="W625" t="s">
        <v>65</v>
      </c>
      <c r="X625" s="1" t="d">
        <v>2016-04-01</v>
      </c>
      <c r="Z625" t="s">
        <v>59</v>
      </c>
      <c r="AA625" t="s">
        <v>46</v>
      </c>
      <c r="AB625">
        <v>0</v>
      </c>
      <c r="AC625">
        <v>3</v>
      </c>
      <c r="AD625" t="s">
        <v>32</v>
      </c>
      <c r="AE625" t="s">
        <v>42</v>
      </c>
      <c r="AF625" t="s">
        <v>43</v>
      </c>
      <c r="AG625">
        <f>IF(HR_Data[[#This Row],[Attrition]]="Yes",1,0)</f>
        <v>1</v>
      </c>
      <c r="AH625" t="str">
        <f>IF(HR_Data[Date_of_termination]="","Active","Left")</f>
        <v>Active</v>
      </c>
      <c r="AI625" t="str">
        <f>IF(HR_Data[YearsAtCompany]&lt;=2,"Fresher", IF(HR_Data[YearsAtCompany]&lt;=5,"Junior", IF(HR_Data[YearsAtCompany]&lt;=10, "Mid","Senior")))</f>
        <v>Junior</v>
      </c>
      <c r="AJ625" s="2" t="str">
        <f>IF(HR_Data[MonthlyIncome]&lt;=300,"Low", IF(HR_Data[MonthlyIncome]&lt;=7000,"Medium", "High"))</f>
        <v>Medium</v>
      </c>
      <c r="AK625" s="2" t="str">
        <f>VLOOKUP(HR_Data[JobRole], JobRole_Map[], 2, FALSE)</f>
        <v>Sales</v>
      </c>
    </row>
    <row r="626" spans="1:37" x14ac:dyDescent="0.25">
      <c r="A626" s="2">
        <v>55</v>
      </c>
      <c r="B626" t="s">
        <v>41</v>
      </c>
      <c r="C626" t="s">
        <v>33</v>
      </c>
      <c r="D626" t="s">
        <v>34</v>
      </c>
      <c r="E626">
        <v>2</v>
      </c>
      <c r="F626" t="s">
        <v>58</v>
      </c>
      <c r="G626">
        <v>3</v>
      </c>
      <c r="H626">
        <v>4</v>
      </c>
      <c r="I626" t="s">
        <v>66</v>
      </c>
      <c r="J626">
        <v>4</v>
      </c>
      <c r="K626" t="s">
        <v>37</v>
      </c>
      <c r="L626">
        <v>16659</v>
      </c>
      <c r="M626">
        <v>2</v>
      </c>
      <c r="N626" t="s">
        <v>32</v>
      </c>
      <c r="O626">
        <v>13</v>
      </c>
      <c r="P626">
        <v>3</v>
      </c>
      <c r="Q626">
        <v>0</v>
      </c>
      <c r="R626">
        <v>30</v>
      </c>
      <c r="S626">
        <v>2</v>
      </c>
      <c r="T626">
        <v>5</v>
      </c>
      <c r="U626">
        <v>1</v>
      </c>
      <c r="V626">
        <v>2</v>
      </c>
      <c r="W626" t="s">
        <v>38</v>
      </c>
      <c r="X626" s="1" t="d">
        <v>2016-01-07</v>
      </c>
      <c r="Z626" t="s">
        <v>39</v>
      </c>
      <c r="AA626" t="s">
        <v>40</v>
      </c>
      <c r="AB626">
        <v>0</v>
      </c>
      <c r="AC626">
        <v>3</v>
      </c>
      <c r="AD626" t="s">
        <v>32</v>
      </c>
      <c r="AE626" t="s">
        <v>60</v>
      </c>
      <c r="AF626" t="s">
        <v>57</v>
      </c>
      <c r="AG626">
        <f>IF(HR_Data[[#This Row],[Attrition]]="Yes",1,0)</f>
        <v>0</v>
      </c>
      <c r="AH626" t="str">
        <f>IF(HR_Data[Date_of_termination]="","Active","Left")</f>
        <v>Active</v>
      </c>
      <c r="AI626" t="str">
        <f>IF(HR_Data[YearsAtCompany]&lt;=2,"Fresher", IF(HR_Data[YearsAtCompany]&lt;=5,"Junior", IF(HR_Data[YearsAtCompany]&lt;=10, "Mid","Senior")))</f>
        <v>Junior</v>
      </c>
      <c r="AJ626" s="2" t="str">
        <f>IF(HR_Data[MonthlyIncome]&lt;=300,"Low", IF(HR_Data[MonthlyIncome]&lt;=7000,"Medium", "High"))</f>
        <v>High</v>
      </c>
      <c r="AK626" s="2" t="str">
        <f>VLOOKUP(HR_Data[JobRole], JobRole_Map[], 2, FALSE)</f>
        <v>Management</v>
      </c>
    </row>
    <row r="627" spans="1:37" x14ac:dyDescent="0.25">
      <c r="A627" s="2">
        <v>24</v>
      </c>
      <c r="B627" t="s">
        <v>41</v>
      </c>
      <c r="C627" t="s">
        <v>33</v>
      </c>
      <c r="D627" t="s">
        <v>53</v>
      </c>
      <c r="E627">
        <v>10</v>
      </c>
      <c r="F627" t="s">
        <v>58</v>
      </c>
      <c r="G627">
        <v>3</v>
      </c>
      <c r="H627">
        <v>2</v>
      </c>
      <c r="I627" t="s">
        <v>64</v>
      </c>
      <c r="J627">
        <v>3</v>
      </c>
      <c r="K627" t="s">
        <v>55</v>
      </c>
      <c r="L627">
        <v>4260</v>
      </c>
      <c r="M627">
        <v>1</v>
      </c>
      <c r="N627" t="s">
        <v>32</v>
      </c>
      <c r="O627">
        <v>12</v>
      </c>
      <c r="P627">
        <v>3</v>
      </c>
      <c r="Q627">
        <v>1</v>
      </c>
      <c r="R627">
        <v>5</v>
      </c>
      <c r="S627">
        <v>2</v>
      </c>
      <c r="T627">
        <v>5</v>
      </c>
      <c r="U627">
        <v>0</v>
      </c>
      <c r="V627">
        <v>3</v>
      </c>
      <c r="W627" t="s">
        <v>65</v>
      </c>
      <c r="X627" s="1" t="d">
        <v>2016-01-08</v>
      </c>
      <c r="Z627" t="s">
        <v>59</v>
      </c>
      <c r="AA627" t="s">
        <v>46</v>
      </c>
      <c r="AB627">
        <v>2</v>
      </c>
      <c r="AC627">
        <v>0</v>
      </c>
      <c r="AD627" t="s">
        <v>41</v>
      </c>
      <c r="AE627" t="s">
        <v>60</v>
      </c>
      <c r="AF627" t="s">
        <v>57</v>
      </c>
      <c r="AG627">
        <f>IF(HR_Data[[#This Row],[Attrition]]="Yes",1,0)</f>
        <v>0</v>
      </c>
      <c r="AH627" t="str">
        <f>IF(HR_Data[Date_of_termination]="","Active","Left")</f>
        <v>Active</v>
      </c>
      <c r="AI627" t="str">
        <f>IF(HR_Data[YearsAtCompany]&lt;=2,"Fresher", IF(HR_Data[YearsAtCompany]&lt;=5,"Junior", IF(HR_Data[YearsAtCompany]&lt;=10, "Mid","Senior")))</f>
        <v>Junior</v>
      </c>
      <c r="AJ627" s="2" t="str">
        <f>IF(HR_Data[MonthlyIncome]&lt;=300,"Low", IF(HR_Data[MonthlyIncome]&lt;=7000,"Medium", "High"))</f>
        <v>Medium</v>
      </c>
      <c r="AK627" s="2" t="str">
        <f>VLOOKUP(HR_Data[JobRole], JobRole_Map[], 2, FALSE)</f>
        <v>Sales</v>
      </c>
    </row>
    <row r="628" spans="1:37" x14ac:dyDescent="0.25">
      <c r="A628" s="2">
        <v>40</v>
      </c>
      <c r="B628" t="s">
        <v>41</v>
      </c>
      <c r="C628" t="s">
        <v>33</v>
      </c>
      <c r="D628" t="s">
        <v>53</v>
      </c>
      <c r="E628">
        <v>2</v>
      </c>
      <c r="F628" t="s">
        <v>58</v>
      </c>
      <c r="G628">
        <v>3</v>
      </c>
      <c r="H628">
        <v>2</v>
      </c>
      <c r="I628" t="s">
        <v>64</v>
      </c>
      <c r="J628">
        <v>2</v>
      </c>
      <c r="K628" t="s">
        <v>55</v>
      </c>
      <c r="L628">
        <v>5715</v>
      </c>
      <c r="M628">
        <v>7</v>
      </c>
      <c r="N628" t="s">
        <v>41</v>
      </c>
      <c r="O628">
        <v>12</v>
      </c>
      <c r="P628">
        <v>3</v>
      </c>
      <c r="Q628">
        <v>2</v>
      </c>
      <c r="R628">
        <v>8</v>
      </c>
      <c r="S628">
        <v>5</v>
      </c>
      <c r="T628">
        <v>5</v>
      </c>
      <c r="U628">
        <v>1</v>
      </c>
      <c r="V628">
        <v>3</v>
      </c>
      <c r="W628" t="s">
        <v>56</v>
      </c>
      <c r="X628" s="1" t="d">
        <v>2016-02-09</v>
      </c>
      <c r="Z628" t="s">
        <v>59</v>
      </c>
      <c r="AA628" t="s">
        <v>46</v>
      </c>
      <c r="AB628">
        <v>3</v>
      </c>
      <c r="AC628">
        <v>3</v>
      </c>
      <c r="AD628" t="s">
        <v>32</v>
      </c>
      <c r="AE628" t="s">
        <v>47</v>
      </c>
      <c r="AF628" t="s">
        <v>57</v>
      </c>
      <c r="AG628">
        <f>IF(HR_Data[[#This Row],[Attrition]]="Yes",1,0)</f>
        <v>0</v>
      </c>
      <c r="AH628" t="str">
        <f>IF(HR_Data[Date_of_termination]="","Active","Left")</f>
        <v>Active</v>
      </c>
      <c r="AI628" t="str">
        <f>IF(HR_Data[YearsAtCompany]&lt;=2,"Fresher", IF(HR_Data[YearsAtCompany]&lt;=5,"Junior", IF(HR_Data[YearsAtCompany]&lt;=10, "Mid","Senior")))</f>
        <v>Junior</v>
      </c>
      <c r="AJ628" s="2" t="str">
        <f>IF(HR_Data[MonthlyIncome]&lt;=300,"Low", IF(HR_Data[MonthlyIncome]&lt;=7000,"Medium", "High"))</f>
        <v>Medium</v>
      </c>
      <c r="AK628" s="2" t="str">
        <f>VLOOKUP(HR_Data[JobRole], JobRole_Map[], 2, FALSE)</f>
        <v>Sales</v>
      </c>
    </row>
    <row r="629" spans="1:37" x14ac:dyDescent="0.25">
      <c r="A629" s="2">
        <v>42</v>
      </c>
      <c r="B629" t="s">
        <v>41</v>
      </c>
      <c r="C629" t="s">
        <v>33</v>
      </c>
      <c r="D629" t="s">
        <v>34</v>
      </c>
      <c r="E629">
        <v>1</v>
      </c>
      <c r="F629" t="s">
        <v>58</v>
      </c>
      <c r="G629">
        <v>3</v>
      </c>
      <c r="H629">
        <v>1</v>
      </c>
      <c r="I629" t="s">
        <v>36</v>
      </c>
      <c r="J629">
        <v>1</v>
      </c>
      <c r="K629" t="s">
        <v>55</v>
      </c>
      <c r="L629">
        <v>2576</v>
      </c>
      <c r="M629">
        <v>3</v>
      </c>
      <c r="N629" t="s">
        <v>41</v>
      </c>
      <c r="O629">
        <v>16</v>
      </c>
      <c r="P629">
        <v>3</v>
      </c>
      <c r="Q629">
        <v>1</v>
      </c>
      <c r="R629">
        <v>8</v>
      </c>
      <c r="S629">
        <v>5</v>
      </c>
      <c r="T629">
        <v>5</v>
      </c>
      <c r="U629">
        <v>1</v>
      </c>
      <c r="V629">
        <v>2</v>
      </c>
      <c r="W629" t="s">
        <v>38</v>
      </c>
      <c r="X629" s="1" t="d">
        <v>2016-04-17</v>
      </c>
      <c r="Z629" t="s">
        <v>63</v>
      </c>
      <c r="AA629" t="s">
        <v>46</v>
      </c>
      <c r="AB629">
        <v>4</v>
      </c>
      <c r="AC629">
        <v>2</v>
      </c>
      <c r="AD629" t="s">
        <v>41</v>
      </c>
      <c r="AE629" t="s">
        <v>42</v>
      </c>
      <c r="AF629" t="s">
        <v>43</v>
      </c>
      <c r="AG629">
        <f>IF(HR_Data[[#This Row],[Attrition]]="Yes",1,0)</f>
        <v>0</v>
      </c>
      <c r="AH629" t="str">
        <f>IF(HR_Data[Date_of_termination]="","Active","Left")</f>
        <v>Active</v>
      </c>
      <c r="AI629" t="str">
        <f>IF(HR_Data[YearsAtCompany]&lt;=2,"Fresher", IF(HR_Data[YearsAtCompany]&lt;=5,"Junior", IF(HR_Data[YearsAtCompany]&lt;=10, "Mid","Senior")))</f>
        <v>Junior</v>
      </c>
      <c r="AJ629" s="2" t="str">
        <f>IF(HR_Data[MonthlyIncome]&lt;=300,"Low", IF(HR_Data[MonthlyIncome]&lt;=7000,"Medium", "High"))</f>
        <v>Medium</v>
      </c>
      <c r="AK629" s="2" t="str">
        <f>VLOOKUP(HR_Data[JobRole], JobRole_Map[], 2, FALSE)</f>
        <v>Technical</v>
      </c>
    </row>
    <row r="630" spans="1:37" x14ac:dyDescent="0.25">
      <c r="A630" s="2">
        <v>43</v>
      </c>
      <c r="B630" t="s">
        <v>41</v>
      </c>
      <c r="C630" t="s">
        <v>33</v>
      </c>
      <c r="D630" t="s">
        <v>34</v>
      </c>
      <c r="E630">
        <v>8</v>
      </c>
      <c r="F630" t="s">
        <v>58</v>
      </c>
      <c r="G630">
        <v>3</v>
      </c>
      <c r="H630">
        <v>2</v>
      </c>
      <c r="I630" t="s">
        <v>69</v>
      </c>
      <c r="J630">
        <v>3</v>
      </c>
      <c r="K630" t="s">
        <v>55</v>
      </c>
      <c r="L630">
        <v>4522</v>
      </c>
      <c r="M630">
        <v>4</v>
      </c>
      <c r="N630" t="s">
        <v>32</v>
      </c>
      <c r="O630">
        <v>14</v>
      </c>
      <c r="P630">
        <v>3</v>
      </c>
      <c r="Q630">
        <v>0</v>
      </c>
      <c r="R630">
        <v>8</v>
      </c>
      <c r="S630">
        <v>3</v>
      </c>
      <c r="T630">
        <v>5</v>
      </c>
      <c r="U630">
        <v>0</v>
      </c>
      <c r="V630">
        <v>2</v>
      </c>
      <c r="W630" t="s">
        <v>65</v>
      </c>
      <c r="X630" s="1" t="d">
        <v>2016-02-24</v>
      </c>
      <c r="Z630" t="s">
        <v>45</v>
      </c>
      <c r="AA630" t="s">
        <v>40</v>
      </c>
      <c r="AB630">
        <v>3</v>
      </c>
      <c r="AC630">
        <v>2</v>
      </c>
      <c r="AD630" t="s">
        <v>41</v>
      </c>
      <c r="AE630" t="s">
        <v>60</v>
      </c>
      <c r="AF630" t="s">
        <v>43</v>
      </c>
      <c r="AG630">
        <f>IF(HR_Data[[#This Row],[Attrition]]="Yes",1,0)</f>
        <v>0</v>
      </c>
      <c r="AH630" t="str">
        <f>IF(HR_Data[Date_of_termination]="","Active","Left")</f>
        <v>Active</v>
      </c>
      <c r="AI630" t="str">
        <f>IF(HR_Data[YearsAtCompany]&lt;=2,"Fresher", IF(HR_Data[YearsAtCompany]&lt;=5,"Junior", IF(HR_Data[YearsAtCompany]&lt;=10, "Mid","Senior")))</f>
        <v>Junior</v>
      </c>
      <c r="AJ630" s="2" t="str">
        <f>IF(HR_Data[MonthlyIncome]&lt;=300,"Low", IF(HR_Data[MonthlyIncome]&lt;=7000,"Medium", "High"))</f>
        <v>Medium</v>
      </c>
      <c r="AK630" s="2" t="str">
        <f>VLOOKUP(HR_Data[JobRole], JobRole_Map[], 2, FALSE)</f>
        <v>Operations</v>
      </c>
    </row>
    <row r="631" spans="1:37" x14ac:dyDescent="0.25">
      <c r="A631" s="2">
        <v>25</v>
      </c>
      <c r="B631" t="s">
        <v>41</v>
      </c>
      <c r="C631" t="s">
        <v>33</v>
      </c>
      <c r="D631" t="s">
        <v>53</v>
      </c>
      <c r="E631">
        <v>4</v>
      </c>
      <c r="F631" t="s">
        <v>58</v>
      </c>
      <c r="G631">
        <v>2</v>
      </c>
      <c r="H631">
        <v>2</v>
      </c>
      <c r="I631" t="s">
        <v>64</v>
      </c>
      <c r="J631">
        <v>4</v>
      </c>
      <c r="K631" t="s">
        <v>37</v>
      </c>
      <c r="L631">
        <v>4487</v>
      </c>
      <c r="M631">
        <v>1</v>
      </c>
      <c r="N631" t="s">
        <v>32</v>
      </c>
      <c r="O631">
        <v>11</v>
      </c>
      <c r="P631">
        <v>3</v>
      </c>
      <c r="Q631">
        <v>0</v>
      </c>
      <c r="R631">
        <v>5</v>
      </c>
      <c r="S631">
        <v>3</v>
      </c>
      <c r="T631">
        <v>5</v>
      </c>
      <c r="U631">
        <v>1</v>
      </c>
      <c r="V631">
        <v>3</v>
      </c>
      <c r="W631" t="s">
        <v>51</v>
      </c>
      <c r="X631" s="1" t="d">
        <v>2016-04-18</v>
      </c>
      <c r="Z631" t="s">
        <v>39</v>
      </c>
      <c r="AA631" t="s">
        <v>46</v>
      </c>
      <c r="AB631">
        <v>1</v>
      </c>
      <c r="AC631">
        <v>1</v>
      </c>
      <c r="AD631" t="s">
        <v>32</v>
      </c>
      <c r="AE631" t="s">
        <v>47</v>
      </c>
      <c r="AF631" t="s">
        <v>48</v>
      </c>
      <c r="AG631">
        <f>IF(HR_Data[[#This Row],[Attrition]]="Yes",1,0)</f>
        <v>0</v>
      </c>
      <c r="AH631" t="str">
        <f>IF(HR_Data[Date_of_termination]="","Active","Left")</f>
        <v>Active</v>
      </c>
      <c r="AI631" t="str">
        <f>IF(HR_Data[YearsAtCompany]&lt;=2,"Fresher", IF(HR_Data[YearsAtCompany]&lt;=5,"Junior", IF(HR_Data[YearsAtCompany]&lt;=10, "Mid","Senior")))</f>
        <v>Junior</v>
      </c>
      <c r="AJ631" s="2" t="str">
        <f>IF(HR_Data[MonthlyIncome]&lt;=300,"Low", IF(HR_Data[MonthlyIncome]&lt;=7000,"Medium", "High"))</f>
        <v>Medium</v>
      </c>
      <c r="AK631" s="2" t="str">
        <f>VLOOKUP(HR_Data[JobRole], JobRole_Map[], 2, FALSE)</f>
        <v>Sales</v>
      </c>
    </row>
    <row r="632" spans="1:37" x14ac:dyDescent="0.25">
      <c r="A632" s="2">
        <v>30</v>
      </c>
      <c r="B632" t="s">
        <v>41</v>
      </c>
      <c r="C632" t="s">
        <v>33</v>
      </c>
      <c r="D632" t="s">
        <v>53</v>
      </c>
      <c r="E632">
        <v>12</v>
      </c>
      <c r="F632" t="s">
        <v>58</v>
      </c>
      <c r="G632">
        <v>3</v>
      </c>
      <c r="H632">
        <v>2</v>
      </c>
      <c r="I632" t="s">
        <v>64</v>
      </c>
      <c r="J632">
        <v>3</v>
      </c>
      <c r="K632" t="s">
        <v>37</v>
      </c>
      <c r="L632">
        <v>6577</v>
      </c>
      <c r="M632">
        <v>0</v>
      </c>
      <c r="N632" t="s">
        <v>41</v>
      </c>
      <c r="O632">
        <v>11</v>
      </c>
      <c r="P632">
        <v>3</v>
      </c>
      <c r="Q632">
        <v>0</v>
      </c>
      <c r="R632">
        <v>6</v>
      </c>
      <c r="S632">
        <v>6</v>
      </c>
      <c r="T632">
        <v>5</v>
      </c>
      <c r="U632">
        <v>4</v>
      </c>
      <c r="V632">
        <v>4</v>
      </c>
      <c r="W632" t="s">
        <v>56</v>
      </c>
      <c r="X632" s="1" t="d">
        <v>2016-01-30</v>
      </c>
      <c r="Z632" t="s">
        <v>39</v>
      </c>
      <c r="AA632" t="s">
        <v>46</v>
      </c>
      <c r="AB632">
        <v>1</v>
      </c>
      <c r="AC632">
        <v>1</v>
      </c>
      <c r="AD632" t="s">
        <v>32</v>
      </c>
      <c r="AE632" t="s">
        <v>42</v>
      </c>
      <c r="AF632" t="s">
        <v>43</v>
      </c>
      <c r="AG632">
        <f>IF(HR_Data[[#This Row],[Attrition]]="Yes",1,0)</f>
        <v>0</v>
      </c>
      <c r="AH632" t="str">
        <f>IF(HR_Data[Date_of_termination]="","Active","Left")</f>
        <v>Active</v>
      </c>
      <c r="AI632" t="str">
        <f>IF(HR_Data[YearsAtCompany]&lt;=2,"Fresher", IF(HR_Data[YearsAtCompany]&lt;=5,"Junior", IF(HR_Data[YearsAtCompany]&lt;=10, "Mid","Senior")))</f>
        <v>Junior</v>
      </c>
      <c r="AJ632" s="2" t="str">
        <f>IF(HR_Data[MonthlyIncome]&lt;=300,"Low", IF(HR_Data[MonthlyIncome]&lt;=7000,"Medium", "High"))</f>
        <v>Medium</v>
      </c>
      <c r="AK632" s="2" t="str">
        <f>VLOOKUP(HR_Data[JobRole], JobRole_Map[], 2, FALSE)</f>
        <v>Sales</v>
      </c>
    </row>
    <row r="633" spans="1:37" x14ac:dyDescent="0.25">
      <c r="A633" s="2">
        <v>52</v>
      </c>
      <c r="B633" t="s">
        <v>41</v>
      </c>
      <c r="C633" t="s">
        <v>33</v>
      </c>
      <c r="D633" t="s">
        <v>34</v>
      </c>
      <c r="E633">
        <v>3</v>
      </c>
      <c r="F633" t="s">
        <v>35</v>
      </c>
      <c r="G633">
        <v>2</v>
      </c>
      <c r="H633">
        <v>3</v>
      </c>
      <c r="I633" t="s">
        <v>67</v>
      </c>
      <c r="J633">
        <v>3</v>
      </c>
      <c r="K633" t="s">
        <v>50</v>
      </c>
      <c r="L633">
        <v>7969</v>
      </c>
      <c r="M633">
        <v>2</v>
      </c>
      <c r="N633" t="s">
        <v>32</v>
      </c>
      <c r="O633">
        <v>14</v>
      </c>
      <c r="P633">
        <v>3</v>
      </c>
      <c r="Q633">
        <v>0</v>
      </c>
      <c r="R633">
        <v>28</v>
      </c>
      <c r="S633">
        <v>4</v>
      </c>
      <c r="T633">
        <v>5</v>
      </c>
      <c r="U633">
        <v>0</v>
      </c>
      <c r="V633">
        <v>4</v>
      </c>
      <c r="W633" t="s">
        <v>56</v>
      </c>
      <c r="X633" s="1" t="d">
        <v>2016-01-15</v>
      </c>
      <c r="Z633" t="s">
        <v>39</v>
      </c>
      <c r="AA633" t="s">
        <v>46</v>
      </c>
      <c r="AB633">
        <v>5</v>
      </c>
      <c r="AC633">
        <v>1</v>
      </c>
      <c r="AD633" t="s">
        <v>32</v>
      </c>
      <c r="AE633" t="s">
        <v>62</v>
      </c>
      <c r="AF633" t="s">
        <v>57</v>
      </c>
      <c r="AG633">
        <f>IF(HR_Data[[#This Row],[Attrition]]="Yes",1,0)</f>
        <v>0</v>
      </c>
      <c r="AH633" t="str">
        <f>IF(HR_Data[Date_of_termination]="","Active","Left")</f>
        <v>Active</v>
      </c>
      <c r="AI633" t="str">
        <f>IF(HR_Data[YearsAtCompany]&lt;=2,"Fresher", IF(HR_Data[YearsAtCompany]&lt;=5,"Junior", IF(HR_Data[YearsAtCompany]&lt;=10, "Mid","Senior")))</f>
        <v>Junior</v>
      </c>
      <c r="AJ633" s="2" t="str">
        <f>IF(HR_Data[MonthlyIncome]&lt;=300,"Low", IF(HR_Data[MonthlyIncome]&lt;=7000,"Medium", "High"))</f>
        <v>High</v>
      </c>
      <c r="AK633" s="2" t="str">
        <f>VLOOKUP(HR_Data[JobRole], JobRole_Map[], 2, FALSE)</f>
        <v>Operations</v>
      </c>
    </row>
    <row r="634" spans="1:37" x14ac:dyDescent="0.25">
      <c r="A634" s="2">
        <v>52</v>
      </c>
      <c r="B634" t="s">
        <v>41</v>
      </c>
      <c r="C634" t="s">
        <v>33</v>
      </c>
      <c r="D634" t="s">
        <v>34</v>
      </c>
      <c r="E634">
        <v>4</v>
      </c>
      <c r="F634" t="s">
        <v>58</v>
      </c>
      <c r="G634">
        <v>3</v>
      </c>
      <c r="H634">
        <v>4</v>
      </c>
      <c r="I634" t="s">
        <v>66</v>
      </c>
      <c r="J634">
        <v>4</v>
      </c>
      <c r="K634" t="s">
        <v>50</v>
      </c>
      <c r="L634">
        <v>16555</v>
      </c>
      <c r="M634">
        <v>2</v>
      </c>
      <c r="N634" t="s">
        <v>41</v>
      </c>
      <c r="O634">
        <v>13</v>
      </c>
      <c r="P634">
        <v>3</v>
      </c>
      <c r="Q634">
        <v>0</v>
      </c>
      <c r="R634">
        <v>31</v>
      </c>
      <c r="S634">
        <v>2</v>
      </c>
      <c r="T634">
        <v>5</v>
      </c>
      <c r="U634">
        <v>1</v>
      </c>
      <c r="V634">
        <v>4</v>
      </c>
      <c r="W634" t="s">
        <v>56</v>
      </c>
      <c r="X634" s="1" t="d">
        <v>2016-04-01</v>
      </c>
      <c r="Z634" t="s">
        <v>45</v>
      </c>
      <c r="AA634" t="s">
        <v>46</v>
      </c>
      <c r="AB634">
        <v>5</v>
      </c>
      <c r="AC634">
        <v>2</v>
      </c>
      <c r="AD634" t="s">
        <v>32</v>
      </c>
      <c r="AE634" t="s">
        <v>47</v>
      </c>
      <c r="AF634" t="s">
        <v>48</v>
      </c>
      <c r="AG634">
        <f>IF(HR_Data[[#This Row],[Attrition]]="Yes",1,0)</f>
        <v>0</v>
      </c>
      <c r="AH634" t="str">
        <f>IF(HR_Data[Date_of_termination]="","Active","Left")</f>
        <v>Active</v>
      </c>
      <c r="AI634" t="str">
        <f>IF(HR_Data[YearsAtCompany]&lt;=2,"Fresher", IF(HR_Data[YearsAtCompany]&lt;=5,"Junior", IF(HR_Data[YearsAtCompany]&lt;=10, "Mid","Senior")))</f>
        <v>Junior</v>
      </c>
      <c r="AJ634" s="2" t="str">
        <f>IF(HR_Data[MonthlyIncome]&lt;=300,"Low", IF(HR_Data[MonthlyIncome]&lt;=7000,"Medium", "High"))</f>
        <v>High</v>
      </c>
      <c r="AK634" s="2" t="str">
        <f>VLOOKUP(HR_Data[JobRole], JobRole_Map[], 2, FALSE)</f>
        <v>Management</v>
      </c>
    </row>
    <row r="635" spans="1:37" x14ac:dyDescent="0.25">
      <c r="A635" s="2">
        <v>42</v>
      </c>
      <c r="B635" t="s">
        <v>41</v>
      </c>
      <c r="C635" t="s">
        <v>61</v>
      </c>
      <c r="D635" t="s">
        <v>34</v>
      </c>
      <c r="E635">
        <v>29</v>
      </c>
      <c r="F635" t="s">
        <v>58</v>
      </c>
      <c r="G635">
        <v>3</v>
      </c>
      <c r="H635">
        <v>2</v>
      </c>
      <c r="I635" t="s">
        <v>44</v>
      </c>
      <c r="J635">
        <v>3</v>
      </c>
      <c r="K635" t="s">
        <v>55</v>
      </c>
      <c r="L635">
        <v>4556</v>
      </c>
      <c r="M635">
        <v>2</v>
      </c>
      <c r="N635" t="s">
        <v>41</v>
      </c>
      <c r="O635">
        <v>11</v>
      </c>
      <c r="P635">
        <v>3</v>
      </c>
      <c r="Q635">
        <v>1</v>
      </c>
      <c r="R635">
        <v>19</v>
      </c>
      <c r="S635">
        <v>3</v>
      </c>
      <c r="T635">
        <v>5</v>
      </c>
      <c r="U635">
        <v>0</v>
      </c>
      <c r="V635">
        <v>2</v>
      </c>
      <c r="W635" t="s">
        <v>56</v>
      </c>
      <c r="X635" s="1" t="d">
        <v>2016-02-12</v>
      </c>
      <c r="Z635" t="s">
        <v>52</v>
      </c>
      <c r="AA635" t="s">
        <v>46</v>
      </c>
      <c r="AB635">
        <v>0</v>
      </c>
      <c r="AC635">
        <v>2</v>
      </c>
      <c r="AD635" t="s">
        <v>41</v>
      </c>
      <c r="AE635" t="s">
        <v>62</v>
      </c>
      <c r="AF635" t="s">
        <v>48</v>
      </c>
      <c r="AG635">
        <f>IF(HR_Data[[#This Row],[Attrition]]="Yes",1,0)</f>
        <v>0</v>
      </c>
      <c r="AH635" t="str">
        <f>IF(HR_Data[Date_of_termination]="","Active","Left")</f>
        <v>Active</v>
      </c>
      <c r="AI635" t="str">
        <f>IF(HR_Data[YearsAtCompany]&lt;=2,"Fresher", IF(HR_Data[YearsAtCompany]&lt;=5,"Junior", IF(HR_Data[YearsAtCompany]&lt;=10, "Mid","Senior")))</f>
        <v>Junior</v>
      </c>
      <c r="AJ635" s="2" t="str">
        <f>IF(HR_Data[MonthlyIncome]&lt;=300,"Low", IF(HR_Data[MonthlyIncome]&lt;=7000,"Medium", "High"))</f>
        <v>Medium</v>
      </c>
      <c r="AK635" s="2" t="str">
        <f>VLOOKUP(HR_Data[JobRole], JobRole_Map[], 2, FALSE)</f>
        <v>Technical</v>
      </c>
    </row>
    <row r="636" spans="1:37" x14ac:dyDescent="0.25">
      <c r="A636" s="2">
        <v>30</v>
      </c>
      <c r="B636" t="s">
        <v>41</v>
      </c>
      <c r="C636" t="s">
        <v>33</v>
      </c>
      <c r="D636" t="s">
        <v>34</v>
      </c>
      <c r="E636">
        <v>2</v>
      </c>
      <c r="F636" t="s">
        <v>58</v>
      </c>
      <c r="G636">
        <v>1</v>
      </c>
      <c r="H636">
        <v>2</v>
      </c>
      <c r="I636" t="s">
        <v>67</v>
      </c>
      <c r="J636">
        <v>4</v>
      </c>
      <c r="K636" t="s">
        <v>37</v>
      </c>
      <c r="L636">
        <v>6091</v>
      </c>
      <c r="M636">
        <v>2</v>
      </c>
      <c r="N636" t="s">
        <v>41</v>
      </c>
      <c r="O636">
        <v>20</v>
      </c>
      <c r="P636">
        <v>4</v>
      </c>
      <c r="Q636">
        <v>0</v>
      </c>
      <c r="R636">
        <v>11</v>
      </c>
      <c r="S636">
        <v>2</v>
      </c>
      <c r="T636">
        <v>5</v>
      </c>
      <c r="U636">
        <v>0</v>
      </c>
      <c r="V636">
        <v>2</v>
      </c>
      <c r="W636" t="s">
        <v>65</v>
      </c>
      <c r="X636" s="1" t="d">
        <v>2016-06-27</v>
      </c>
      <c r="Z636" t="s">
        <v>52</v>
      </c>
      <c r="AA636" t="s">
        <v>46</v>
      </c>
      <c r="AB636">
        <v>4</v>
      </c>
      <c r="AC636">
        <v>2</v>
      </c>
      <c r="AD636" t="s">
        <v>32</v>
      </c>
      <c r="AE636" t="s">
        <v>47</v>
      </c>
      <c r="AF636" t="s">
        <v>57</v>
      </c>
      <c r="AG636">
        <f>IF(HR_Data[[#This Row],[Attrition]]="Yes",1,0)</f>
        <v>0</v>
      </c>
      <c r="AH636" t="str">
        <f>IF(HR_Data[Date_of_termination]="","Active","Left")</f>
        <v>Active</v>
      </c>
      <c r="AI636" t="str">
        <f>IF(HR_Data[YearsAtCompany]&lt;=2,"Fresher", IF(HR_Data[YearsAtCompany]&lt;=5,"Junior", IF(HR_Data[YearsAtCompany]&lt;=10, "Mid","Senior")))</f>
        <v>Junior</v>
      </c>
      <c r="AJ636" s="2" t="str">
        <f>IF(HR_Data[MonthlyIncome]&lt;=300,"Low", IF(HR_Data[MonthlyIncome]&lt;=7000,"Medium", "High"))</f>
        <v>Medium</v>
      </c>
      <c r="AK636" s="2" t="str">
        <f>VLOOKUP(HR_Data[JobRole], JobRole_Map[], 2, FALSE)</f>
        <v>Operations</v>
      </c>
    </row>
    <row r="637" spans="1:37" x14ac:dyDescent="0.25">
      <c r="A637" s="2">
        <v>24</v>
      </c>
      <c r="B637" t="s">
        <v>32</v>
      </c>
      <c r="C637" t="s">
        <v>33</v>
      </c>
      <c r="D637" t="s">
        <v>53</v>
      </c>
      <c r="E637">
        <v>1</v>
      </c>
      <c r="F637" t="s">
        <v>58</v>
      </c>
      <c r="G637">
        <v>3</v>
      </c>
      <c r="H637">
        <v>1</v>
      </c>
      <c r="I637" t="s">
        <v>54</v>
      </c>
      <c r="J637">
        <v>2</v>
      </c>
      <c r="K637" t="s">
        <v>37</v>
      </c>
      <c r="L637">
        <v>3202</v>
      </c>
      <c r="M637">
        <v>1</v>
      </c>
      <c r="N637" t="s">
        <v>32</v>
      </c>
      <c r="O637">
        <v>16</v>
      </c>
      <c r="P637">
        <v>3</v>
      </c>
      <c r="Q637">
        <v>0</v>
      </c>
      <c r="R637">
        <v>6</v>
      </c>
      <c r="S637">
        <v>4</v>
      </c>
      <c r="T637">
        <v>5</v>
      </c>
      <c r="U637">
        <v>1</v>
      </c>
      <c r="V637">
        <v>4</v>
      </c>
      <c r="W637" t="s">
        <v>38</v>
      </c>
      <c r="X637" s="1" t="d">
        <v>2016-06-22</v>
      </c>
      <c r="Z637" t="s">
        <v>52</v>
      </c>
      <c r="AA637" t="s">
        <v>46</v>
      </c>
      <c r="AB637">
        <v>4</v>
      </c>
      <c r="AC637">
        <v>3</v>
      </c>
      <c r="AD637" t="s">
        <v>41</v>
      </c>
      <c r="AE637" t="s">
        <v>47</v>
      </c>
      <c r="AF637" t="s">
        <v>57</v>
      </c>
      <c r="AG637">
        <f>IF(HR_Data[[#This Row],[Attrition]]="Yes",1,0)</f>
        <v>1</v>
      </c>
      <c r="AH637" t="str">
        <f>IF(HR_Data[Date_of_termination]="","Active","Left")</f>
        <v>Active</v>
      </c>
      <c r="AI637" t="str">
        <f>IF(HR_Data[YearsAtCompany]&lt;=2,"Fresher", IF(HR_Data[YearsAtCompany]&lt;=5,"Junior", IF(HR_Data[YearsAtCompany]&lt;=10, "Mid","Senior")))</f>
        <v>Junior</v>
      </c>
      <c r="AJ637" s="2" t="str">
        <f>IF(HR_Data[MonthlyIncome]&lt;=300,"Low", IF(HR_Data[MonthlyIncome]&lt;=7000,"Medium", "High"))</f>
        <v>Medium</v>
      </c>
      <c r="AK637" s="2" t="str">
        <f>VLOOKUP(HR_Data[JobRole], JobRole_Map[], 2, FALSE)</f>
        <v>Sales</v>
      </c>
    </row>
    <row r="638" spans="1:37" x14ac:dyDescent="0.25">
      <c r="A638" s="2">
        <v>30</v>
      </c>
      <c r="B638" t="s">
        <v>41</v>
      </c>
      <c r="C638" t="s">
        <v>68</v>
      </c>
      <c r="D638" t="s">
        <v>34</v>
      </c>
      <c r="E638">
        <v>3</v>
      </c>
      <c r="F638" t="s">
        <v>35</v>
      </c>
      <c r="G638">
        <v>3</v>
      </c>
      <c r="H638">
        <v>1</v>
      </c>
      <c r="I638" t="s">
        <v>36</v>
      </c>
      <c r="J638">
        <v>4</v>
      </c>
      <c r="K638" t="s">
        <v>50</v>
      </c>
      <c r="L638">
        <v>2097</v>
      </c>
      <c r="M638">
        <v>4</v>
      </c>
      <c r="N638" t="s">
        <v>41</v>
      </c>
      <c r="O638">
        <v>15</v>
      </c>
      <c r="P638">
        <v>3</v>
      </c>
      <c r="Q638">
        <v>1</v>
      </c>
      <c r="R638">
        <v>9</v>
      </c>
      <c r="S638">
        <v>3</v>
      </c>
      <c r="T638">
        <v>5</v>
      </c>
      <c r="U638">
        <v>1</v>
      </c>
      <c r="V638">
        <v>4</v>
      </c>
      <c r="W638" t="s">
        <v>38</v>
      </c>
      <c r="X638" s="1" t="d">
        <v>2016-05-28</v>
      </c>
      <c r="Z638" t="s">
        <v>45</v>
      </c>
      <c r="AA638" t="s">
        <v>40</v>
      </c>
      <c r="AB638">
        <v>3</v>
      </c>
      <c r="AC638">
        <v>3</v>
      </c>
      <c r="AD638" t="s">
        <v>32</v>
      </c>
      <c r="AE638" t="s">
        <v>62</v>
      </c>
      <c r="AF638" t="s">
        <v>48</v>
      </c>
      <c r="AG638">
        <f>IF(HR_Data[[#This Row],[Attrition]]="Yes",1,0)</f>
        <v>0</v>
      </c>
      <c r="AH638" t="str">
        <f>IF(HR_Data[Date_of_termination]="","Active","Left")</f>
        <v>Active</v>
      </c>
      <c r="AI638" t="str">
        <f>IF(HR_Data[YearsAtCompany]&lt;=2,"Fresher", IF(HR_Data[YearsAtCompany]&lt;=5,"Junior", IF(HR_Data[YearsAtCompany]&lt;=10, "Mid","Senior")))</f>
        <v>Junior</v>
      </c>
      <c r="AJ638" s="2" t="str">
        <f>IF(HR_Data[MonthlyIncome]&lt;=300,"Low", IF(HR_Data[MonthlyIncome]&lt;=7000,"Medium", "High"))</f>
        <v>Medium</v>
      </c>
      <c r="AK638" s="2" t="str">
        <f>VLOOKUP(HR_Data[JobRole], JobRole_Map[], 2, FALSE)</f>
        <v>Technical</v>
      </c>
    </row>
    <row r="639" spans="1:37" x14ac:dyDescent="0.25">
      <c r="A639" s="2">
        <v>47</v>
      </c>
      <c r="B639" t="s">
        <v>41</v>
      </c>
      <c r="C639" t="s">
        <v>33</v>
      </c>
      <c r="D639" t="s">
        <v>34</v>
      </c>
      <c r="E639">
        <v>2</v>
      </c>
      <c r="F639" t="s">
        <v>58</v>
      </c>
      <c r="G639">
        <v>3</v>
      </c>
      <c r="H639">
        <v>2</v>
      </c>
      <c r="I639" t="s">
        <v>67</v>
      </c>
      <c r="J639">
        <v>4</v>
      </c>
      <c r="K639" t="s">
        <v>55</v>
      </c>
      <c r="L639">
        <v>5070</v>
      </c>
      <c r="M639">
        <v>5</v>
      </c>
      <c r="N639" t="s">
        <v>41</v>
      </c>
      <c r="O639">
        <v>13</v>
      </c>
      <c r="P639">
        <v>3</v>
      </c>
      <c r="Q639">
        <v>3</v>
      </c>
      <c r="R639">
        <v>20</v>
      </c>
      <c r="S639">
        <v>2</v>
      </c>
      <c r="T639">
        <v>5</v>
      </c>
      <c r="U639">
        <v>0</v>
      </c>
      <c r="V639">
        <v>4</v>
      </c>
      <c r="W639" t="s">
        <v>38</v>
      </c>
      <c r="X639" s="1" t="d">
        <v>2016-03-27</v>
      </c>
      <c r="Z639" t="s">
        <v>63</v>
      </c>
      <c r="AA639" t="s">
        <v>46</v>
      </c>
      <c r="AB639">
        <v>3</v>
      </c>
      <c r="AC639">
        <v>3</v>
      </c>
      <c r="AD639" t="s">
        <v>32</v>
      </c>
      <c r="AE639" t="s">
        <v>42</v>
      </c>
      <c r="AF639" t="s">
        <v>57</v>
      </c>
      <c r="AG639">
        <f>IF(HR_Data[[#This Row],[Attrition]]="Yes",1,0)</f>
        <v>0</v>
      </c>
      <c r="AH639" t="str">
        <f>IF(HR_Data[Date_of_termination]="","Active","Left")</f>
        <v>Active</v>
      </c>
      <c r="AI639" t="str">
        <f>IF(HR_Data[YearsAtCompany]&lt;=2,"Fresher", IF(HR_Data[YearsAtCompany]&lt;=5,"Junior", IF(HR_Data[YearsAtCompany]&lt;=10, "Mid","Senior")))</f>
        <v>Junior</v>
      </c>
      <c r="AJ639" s="2" t="str">
        <f>IF(HR_Data[MonthlyIncome]&lt;=300,"Low", IF(HR_Data[MonthlyIncome]&lt;=7000,"Medium", "High"))</f>
        <v>Medium</v>
      </c>
      <c r="AK639" s="2" t="str">
        <f>VLOOKUP(HR_Data[JobRole], JobRole_Map[], 2, FALSE)</f>
        <v>Operations</v>
      </c>
    </row>
    <row r="640" spans="1:37" x14ac:dyDescent="0.25">
      <c r="A640" s="2">
        <v>35</v>
      </c>
      <c r="B640" t="s">
        <v>41</v>
      </c>
      <c r="C640" t="s">
        <v>33</v>
      </c>
      <c r="D640" t="s">
        <v>34</v>
      </c>
      <c r="E640">
        <v>22</v>
      </c>
      <c r="F640" t="s">
        <v>35</v>
      </c>
      <c r="G640">
        <v>1</v>
      </c>
      <c r="H640">
        <v>1</v>
      </c>
      <c r="I640" t="s">
        <v>36</v>
      </c>
      <c r="J640">
        <v>3</v>
      </c>
      <c r="K640" t="s">
        <v>37</v>
      </c>
      <c r="L640">
        <v>4230</v>
      </c>
      <c r="M640">
        <v>0</v>
      </c>
      <c r="N640" t="s">
        <v>41</v>
      </c>
      <c r="O640">
        <v>15</v>
      </c>
      <c r="P640">
        <v>3</v>
      </c>
      <c r="Q640">
        <v>0</v>
      </c>
      <c r="R640">
        <v>6</v>
      </c>
      <c r="S640">
        <v>2</v>
      </c>
      <c r="T640">
        <v>5</v>
      </c>
      <c r="U640">
        <v>4</v>
      </c>
      <c r="V640">
        <v>3</v>
      </c>
      <c r="W640" t="s">
        <v>51</v>
      </c>
      <c r="X640" s="1" t="d">
        <v>2016-05-21</v>
      </c>
      <c r="Z640" t="s">
        <v>39</v>
      </c>
      <c r="AA640" t="s">
        <v>46</v>
      </c>
      <c r="AB640">
        <v>3</v>
      </c>
      <c r="AC640">
        <v>1</v>
      </c>
      <c r="AD640" t="s">
        <v>32</v>
      </c>
      <c r="AE640" t="s">
        <v>60</v>
      </c>
      <c r="AF640" t="s">
        <v>48</v>
      </c>
      <c r="AG640">
        <f>IF(HR_Data[[#This Row],[Attrition]]="Yes",1,0)</f>
        <v>0</v>
      </c>
      <c r="AH640" t="str">
        <f>IF(HR_Data[Date_of_termination]="","Active","Left")</f>
        <v>Active</v>
      </c>
      <c r="AI640" t="str">
        <f>IF(HR_Data[YearsAtCompany]&lt;=2,"Fresher", IF(HR_Data[YearsAtCompany]&lt;=5,"Junior", IF(HR_Data[YearsAtCompany]&lt;=10, "Mid","Senior")))</f>
        <v>Junior</v>
      </c>
      <c r="AJ640" s="2" t="str">
        <f>IF(HR_Data[MonthlyIncome]&lt;=300,"Low", IF(HR_Data[MonthlyIncome]&lt;=7000,"Medium", "High"))</f>
        <v>Medium</v>
      </c>
      <c r="AK640" s="2" t="str">
        <f>VLOOKUP(HR_Data[JobRole], JobRole_Map[], 2, FALSE)</f>
        <v>Technical</v>
      </c>
    </row>
    <row r="641" spans="1:37" x14ac:dyDescent="0.25">
      <c r="A641" s="2">
        <v>31</v>
      </c>
      <c r="B641" t="s">
        <v>41</v>
      </c>
      <c r="C641" t="s">
        <v>33</v>
      </c>
      <c r="D641" t="s">
        <v>53</v>
      </c>
      <c r="E641">
        <v>7</v>
      </c>
      <c r="F641" t="s">
        <v>35</v>
      </c>
      <c r="G641">
        <v>2</v>
      </c>
      <c r="H641">
        <v>3</v>
      </c>
      <c r="I641" t="s">
        <v>66</v>
      </c>
      <c r="J641">
        <v>4</v>
      </c>
      <c r="K641" t="s">
        <v>55</v>
      </c>
      <c r="L641">
        <v>11557</v>
      </c>
      <c r="M641">
        <v>9</v>
      </c>
      <c r="N641" t="s">
        <v>41</v>
      </c>
      <c r="O641">
        <v>21</v>
      </c>
      <c r="P641">
        <v>4</v>
      </c>
      <c r="Q641">
        <v>1</v>
      </c>
      <c r="R641">
        <v>10</v>
      </c>
      <c r="S641">
        <v>3</v>
      </c>
      <c r="T641">
        <v>5</v>
      </c>
      <c r="U641">
        <v>0</v>
      </c>
      <c r="V641">
        <v>1</v>
      </c>
      <c r="W641" t="s">
        <v>56</v>
      </c>
      <c r="X641" s="1" t="d">
        <v>2016-04-24</v>
      </c>
      <c r="Z641" t="s">
        <v>52</v>
      </c>
      <c r="AA641" t="s">
        <v>46</v>
      </c>
      <c r="AB641">
        <v>0</v>
      </c>
      <c r="AC641">
        <v>0</v>
      </c>
      <c r="AD641" t="s">
        <v>41</v>
      </c>
      <c r="AE641" t="s">
        <v>42</v>
      </c>
      <c r="AF641" t="s">
        <v>43</v>
      </c>
      <c r="AG641">
        <f>IF(HR_Data[[#This Row],[Attrition]]="Yes",1,0)</f>
        <v>0</v>
      </c>
      <c r="AH641" t="str">
        <f>IF(HR_Data[Date_of_termination]="","Active","Left")</f>
        <v>Active</v>
      </c>
      <c r="AI641" t="str">
        <f>IF(HR_Data[YearsAtCompany]&lt;=2,"Fresher", IF(HR_Data[YearsAtCompany]&lt;=5,"Junior", IF(HR_Data[YearsAtCompany]&lt;=10, "Mid","Senior")))</f>
        <v>Junior</v>
      </c>
      <c r="AJ641" s="2" t="str">
        <f>IF(HR_Data[MonthlyIncome]&lt;=300,"Low", IF(HR_Data[MonthlyIncome]&lt;=7000,"Medium", "High"))</f>
        <v>High</v>
      </c>
      <c r="AK641" s="2" t="str">
        <f>VLOOKUP(HR_Data[JobRole], JobRole_Map[], 2, FALSE)</f>
        <v>Management</v>
      </c>
    </row>
    <row r="642" spans="1:37" x14ac:dyDescent="0.25">
      <c r="A642" s="2">
        <v>35</v>
      </c>
      <c r="B642" t="s">
        <v>41</v>
      </c>
      <c r="C642" t="s">
        <v>33</v>
      </c>
      <c r="D642" t="s">
        <v>53</v>
      </c>
      <c r="E642">
        <v>1</v>
      </c>
      <c r="F642" t="s">
        <v>58</v>
      </c>
      <c r="G642">
        <v>3</v>
      </c>
      <c r="H642">
        <v>2</v>
      </c>
      <c r="I642" t="s">
        <v>64</v>
      </c>
      <c r="J642">
        <v>3</v>
      </c>
      <c r="K642" t="s">
        <v>37</v>
      </c>
      <c r="L642">
        <v>4859</v>
      </c>
      <c r="M642">
        <v>1</v>
      </c>
      <c r="N642" t="s">
        <v>41</v>
      </c>
      <c r="O642">
        <v>16</v>
      </c>
      <c r="P642">
        <v>3</v>
      </c>
      <c r="Q642">
        <v>0</v>
      </c>
      <c r="R642">
        <v>5</v>
      </c>
      <c r="S642">
        <v>3</v>
      </c>
      <c r="T642">
        <v>5</v>
      </c>
      <c r="U642">
        <v>0</v>
      </c>
      <c r="V642">
        <v>3</v>
      </c>
      <c r="W642" t="s">
        <v>51</v>
      </c>
      <c r="X642" s="1" t="d">
        <v>2016-04-06</v>
      </c>
      <c r="Z642" t="s">
        <v>59</v>
      </c>
      <c r="AA642" t="s">
        <v>46</v>
      </c>
      <c r="AB642">
        <v>3</v>
      </c>
      <c r="AC642">
        <v>2</v>
      </c>
      <c r="AD642" t="s">
        <v>41</v>
      </c>
      <c r="AE642" t="s">
        <v>47</v>
      </c>
      <c r="AF642" t="s">
        <v>48</v>
      </c>
      <c r="AG642">
        <f>IF(HR_Data[[#This Row],[Attrition]]="Yes",1,0)</f>
        <v>0</v>
      </c>
      <c r="AH642" t="str">
        <f>IF(HR_Data[Date_of_termination]="","Active","Left")</f>
        <v>Active</v>
      </c>
      <c r="AI642" t="str">
        <f>IF(HR_Data[YearsAtCompany]&lt;=2,"Fresher", IF(HR_Data[YearsAtCompany]&lt;=5,"Junior", IF(HR_Data[YearsAtCompany]&lt;=10, "Mid","Senior")))</f>
        <v>Junior</v>
      </c>
      <c r="AJ642" s="2" t="str">
        <f>IF(HR_Data[MonthlyIncome]&lt;=300,"Low", IF(HR_Data[MonthlyIncome]&lt;=7000,"Medium", "High"))</f>
        <v>Medium</v>
      </c>
      <c r="AK642" s="2" t="str">
        <f>VLOOKUP(HR_Data[JobRole], JobRole_Map[], 2, FALSE)</f>
        <v>Sales</v>
      </c>
    </row>
    <row r="643" spans="1:37" x14ac:dyDescent="0.25">
      <c r="A643" s="2">
        <v>26</v>
      </c>
      <c r="B643" t="s">
        <v>41</v>
      </c>
      <c r="C643" t="s">
        <v>33</v>
      </c>
      <c r="D643" t="s">
        <v>53</v>
      </c>
      <c r="E643">
        <v>28</v>
      </c>
      <c r="F643" t="s">
        <v>35</v>
      </c>
      <c r="G643">
        <v>3</v>
      </c>
      <c r="H643">
        <v>2</v>
      </c>
      <c r="I643" t="s">
        <v>64</v>
      </c>
      <c r="J643">
        <v>2</v>
      </c>
      <c r="K643" t="s">
        <v>50</v>
      </c>
      <c r="L643">
        <v>6272</v>
      </c>
      <c r="M643">
        <v>1</v>
      </c>
      <c r="N643" t="s">
        <v>41</v>
      </c>
      <c r="O643">
        <v>20</v>
      </c>
      <c r="P643">
        <v>4</v>
      </c>
      <c r="Q643">
        <v>2</v>
      </c>
      <c r="R643">
        <v>6</v>
      </c>
      <c r="S643">
        <v>5</v>
      </c>
      <c r="T643">
        <v>5</v>
      </c>
      <c r="U643">
        <v>1</v>
      </c>
      <c r="V643">
        <v>4</v>
      </c>
      <c r="W643" t="s">
        <v>38</v>
      </c>
      <c r="X643" s="1" t="d">
        <v>2016-05-27</v>
      </c>
      <c r="Z643" t="s">
        <v>59</v>
      </c>
      <c r="AA643" t="s">
        <v>46</v>
      </c>
      <c r="AB643">
        <v>3</v>
      </c>
      <c r="AC643">
        <v>1</v>
      </c>
      <c r="AD643" t="s">
        <v>32</v>
      </c>
      <c r="AE643" t="s">
        <v>62</v>
      </c>
      <c r="AF643" t="s">
        <v>43</v>
      </c>
      <c r="AG643">
        <f>IF(HR_Data[[#This Row],[Attrition]]="Yes",1,0)</f>
        <v>0</v>
      </c>
      <c r="AH643" t="str">
        <f>IF(HR_Data[Date_of_termination]="","Active","Left")</f>
        <v>Active</v>
      </c>
      <c r="AI643" t="str">
        <f>IF(HR_Data[YearsAtCompany]&lt;=2,"Fresher", IF(HR_Data[YearsAtCompany]&lt;=5,"Junior", IF(HR_Data[YearsAtCompany]&lt;=10, "Mid","Senior")))</f>
        <v>Junior</v>
      </c>
      <c r="AJ643" s="2" t="str">
        <f>IF(HR_Data[MonthlyIncome]&lt;=300,"Low", IF(HR_Data[MonthlyIncome]&lt;=7000,"Medium", "High"))</f>
        <v>Medium</v>
      </c>
      <c r="AK643" s="2" t="str">
        <f>VLOOKUP(HR_Data[JobRole], JobRole_Map[], 2, FALSE)</f>
        <v>Sales</v>
      </c>
    </row>
    <row r="644" spans="1:37" x14ac:dyDescent="0.25">
      <c r="A644" s="2">
        <v>27</v>
      </c>
      <c r="B644" t="s">
        <v>41</v>
      </c>
      <c r="C644" t="s">
        <v>33</v>
      </c>
      <c r="D644" t="s">
        <v>34</v>
      </c>
      <c r="E644">
        <v>6</v>
      </c>
      <c r="F644" t="s">
        <v>58</v>
      </c>
      <c r="G644">
        <v>2</v>
      </c>
      <c r="H644">
        <v>1</v>
      </c>
      <c r="I644" t="s">
        <v>44</v>
      </c>
      <c r="J644">
        <v>3</v>
      </c>
      <c r="K644" t="s">
        <v>55</v>
      </c>
      <c r="L644">
        <v>2187</v>
      </c>
      <c r="M644">
        <v>0</v>
      </c>
      <c r="N644" t="s">
        <v>41</v>
      </c>
      <c r="O644">
        <v>12</v>
      </c>
      <c r="P644">
        <v>3</v>
      </c>
      <c r="Q644">
        <v>2</v>
      </c>
      <c r="R644">
        <v>6</v>
      </c>
      <c r="S644">
        <v>5</v>
      </c>
      <c r="T644">
        <v>5</v>
      </c>
      <c r="U644">
        <v>0</v>
      </c>
      <c r="V644">
        <v>3</v>
      </c>
      <c r="W644" t="s">
        <v>56</v>
      </c>
      <c r="X644" s="1" t="d">
        <v>2016-02-15</v>
      </c>
      <c r="Z644" t="s">
        <v>45</v>
      </c>
      <c r="AA644" t="s">
        <v>40</v>
      </c>
      <c r="AB644">
        <v>3</v>
      </c>
      <c r="AC644">
        <v>2</v>
      </c>
      <c r="AD644" t="s">
        <v>32</v>
      </c>
      <c r="AE644" t="s">
        <v>47</v>
      </c>
      <c r="AF644" t="s">
        <v>57</v>
      </c>
      <c r="AG644">
        <f>IF(HR_Data[[#This Row],[Attrition]]="Yes",1,0)</f>
        <v>0</v>
      </c>
      <c r="AH644" t="str">
        <f>IF(HR_Data[Date_of_termination]="","Active","Left")</f>
        <v>Active</v>
      </c>
      <c r="AI644" t="str">
        <f>IF(HR_Data[YearsAtCompany]&lt;=2,"Fresher", IF(HR_Data[YearsAtCompany]&lt;=5,"Junior", IF(HR_Data[YearsAtCompany]&lt;=10, "Mid","Senior")))</f>
        <v>Junior</v>
      </c>
      <c r="AJ644" s="2" t="str">
        <f>IF(HR_Data[MonthlyIncome]&lt;=300,"Low", IF(HR_Data[MonthlyIncome]&lt;=7000,"Medium", "High"))</f>
        <v>Medium</v>
      </c>
      <c r="AK644" s="2" t="str">
        <f>VLOOKUP(HR_Data[JobRole], JobRole_Map[], 2, FALSE)</f>
        <v>Technical</v>
      </c>
    </row>
    <row r="645" spans="1:37" x14ac:dyDescent="0.25">
      <c r="A645" s="2">
        <v>33</v>
      </c>
      <c r="B645" t="s">
        <v>41</v>
      </c>
      <c r="C645" t="s">
        <v>33</v>
      </c>
      <c r="D645" t="s">
        <v>53</v>
      </c>
      <c r="E645">
        <v>8</v>
      </c>
      <c r="F645" t="s">
        <v>35</v>
      </c>
      <c r="G645">
        <v>3</v>
      </c>
      <c r="H645">
        <v>2</v>
      </c>
      <c r="I645" t="s">
        <v>64</v>
      </c>
      <c r="J645">
        <v>3</v>
      </c>
      <c r="K645" t="s">
        <v>55</v>
      </c>
      <c r="L645">
        <v>7104</v>
      </c>
      <c r="M645">
        <v>0</v>
      </c>
      <c r="N645" t="s">
        <v>41</v>
      </c>
      <c r="O645">
        <v>12</v>
      </c>
      <c r="P645">
        <v>3</v>
      </c>
      <c r="Q645">
        <v>0</v>
      </c>
      <c r="R645">
        <v>6</v>
      </c>
      <c r="S645">
        <v>3</v>
      </c>
      <c r="T645">
        <v>5</v>
      </c>
      <c r="U645">
        <v>1</v>
      </c>
      <c r="V645">
        <v>2</v>
      </c>
      <c r="W645" t="s">
        <v>65</v>
      </c>
      <c r="X645" s="1" t="d">
        <v>2016-05-24</v>
      </c>
      <c r="Z645" t="s">
        <v>39</v>
      </c>
      <c r="AA645" t="s">
        <v>40</v>
      </c>
      <c r="AB645">
        <v>1</v>
      </c>
      <c r="AC645">
        <v>0</v>
      </c>
      <c r="AD645" t="s">
        <v>41</v>
      </c>
      <c r="AE645" t="s">
        <v>47</v>
      </c>
      <c r="AF645" t="s">
        <v>57</v>
      </c>
      <c r="AG645">
        <f>IF(HR_Data[[#This Row],[Attrition]]="Yes",1,0)</f>
        <v>0</v>
      </c>
      <c r="AH645" t="str">
        <f>IF(HR_Data[Date_of_termination]="","Active","Left")</f>
        <v>Active</v>
      </c>
      <c r="AI645" t="str">
        <f>IF(HR_Data[YearsAtCompany]&lt;=2,"Fresher", IF(HR_Data[YearsAtCompany]&lt;=5,"Junior", IF(HR_Data[YearsAtCompany]&lt;=10, "Mid","Senior")))</f>
        <v>Junior</v>
      </c>
      <c r="AJ645" s="2" t="str">
        <f>IF(HR_Data[MonthlyIncome]&lt;=300,"Low", IF(HR_Data[MonthlyIncome]&lt;=7000,"Medium", "High"))</f>
        <v>High</v>
      </c>
      <c r="AK645" s="2" t="str">
        <f>VLOOKUP(HR_Data[JobRole], JobRole_Map[], 2, FALSE)</f>
        <v>Sales</v>
      </c>
    </row>
    <row r="646" spans="1:37" x14ac:dyDescent="0.25">
      <c r="A646" s="2">
        <v>53</v>
      </c>
      <c r="B646" t="s">
        <v>41</v>
      </c>
      <c r="C646" t="s">
        <v>33</v>
      </c>
      <c r="D646" t="s">
        <v>34</v>
      </c>
      <c r="E646">
        <v>7</v>
      </c>
      <c r="F646" t="s">
        <v>35</v>
      </c>
      <c r="G646">
        <v>4</v>
      </c>
      <c r="H646">
        <v>4</v>
      </c>
      <c r="I646" t="s">
        <v>49</v>
      </c>
      <c r="J646">
        <v>3</v>
      </c>
      <c r="K646" t="s">
        <v>50</v>
      </c>
      <c r="L646">
        <v>14814</v>
      </c>
      <c r="M646">
        <v>3</v>
      </c>
      <c r="N646" t="s">
        <v>41</v>
      </c>
      <c r="O646">
        <v>19</v>
      </c>
      <c r="P646">
        <v>3</v>
      </c>
      <c r="Q646">
        <v>0</v>
      </c>
      <c r="R646">
        <v>32</v>
      </c>
      <c r="S646">
        <v>3</v>
      </c>
      <c r="T646">
        <v>5</v>
      </c>
      <c r="U646">
        <v>1</v>
      </c>
      <c r="V646">
        <v>3</v>
      </c>
      <c r="W646" t="s">
        <v>65</v>
      </c>
      <c r="X646" s="1" t="d">
        <v>2016-01-27</v>
      </c>
      <c r="Z646" t="s">
        <v>59</v>
      </c>
      <c r="AA646" t="s">
        <v>46</v>
      </c>
      <c r="AB646">
        <v>5</v>
      </c>
      <c r="AC646">
        <v>0</v>
      </c>
      <c r="AD646" t="s">
        <v>32</v>
      </c>
      <c r="AE646" t="s">
        <v>62</v>
      </c>
      <c r="AF646" t="s">
        <v>57</v>
      </c>
      <c r="AG646">
        <f>IF(HR_Data[[#This Row],[Attrition]]="Yes",1,0)</f>
        <v>0</v>
      </c>
      <c r="AH646" t="str">
        <f>IF(HR_Data[Date_of_termination]="","Active","Left")</f>
        <v>Active</v>
      </c>
      <c r="AI646" t="str">
        <f>IF(HR_Data[YearsAtCompany]&lt;=2,"Fresher", IF(HR_Data[YearsAtCompany]&lt;=5,"Junior", IF(HR_Data[YearsAtCompany]&lt;=10, "Mid","Senior")))</f>
        <v>Junior</v>
      </c>
      <c r="AJ646" s="2" t="str">
        <f>IF(HR_Data[MonthlyIncome]&lt;=300,"Low", IF(HR_Data[MonthlyIncome]&lt;=7000,"Medium", "High"))</f>
        <v>High</v>
      </c>
      <c r="AK646" s="2" t="str">
        <f>VLOOKUP(HR_Data[JobRole], JobRole_Map[], 2, FALSE)</f>
        <v>Management</v>
      </c>
    </row>
    <row r="647" spans="1:37" x14ac:dyDescent="0.25">
      <c r="A647" s="2">
        <v>44</v>
      </c>
      <c r="B647" t="s">
        <v>41</v>
      </c>
      <c r="C647" t="s">
        <v>68</v>
      </c>
      <c r="D647" t="s">
        <v>34</v>
      </c>
      <c r="E647">
        <v>24</v>
      </c>
      <c r="F647" t="s">
        <v>35</v>
      </c>
      <c r="G647">
        <v>1</v>
      </c>
      <c r="H647">
        <v>1</v>
      </c>
      <c r="I647" t="s">
        <v>36</v>
      </c>
      <c r="J647">
        <v>3</v>
      </c>
      <c r="K647" t="s">
        <v>37</v>
      </c>
      <c r="L647">
        <v>3708</v>
      </c>
      <c r="M647">
        <v>2</v>
      </c>
      <c r="N647" t="s">
        <v>41</v>
      </c>
      <c r="O647">
        <v>14</v>
      </c>
      <c r="P647">
        <v>3</v>
      </c>
      <c r="Q647">
        <v>0</v>
      </c>
      <c r="R647">
        <v>9</v>
      </c>
      <c r="S647">
        <v>5</v>
      </c>
      <c r="T647">
        <v>5</v>
      </c>
      <c r="U647">
        <v>1</v>
      </c>
      <c r="V647">
        <v>4</v>
      </c>
      <c r="W647" t="s">
        <v>51</v>
      </c>
      <c r="X647" s="1" t="d">
        <v>2016-03-22</v>
      </c>
      <c r="Z647" t="s">
        <v>52</v>
      </c>
      <c r="AA647" t="s">
        <v>46</v>
      </c>
      <c r="AB647">
        <v>0</v>
      </c>
      <c r="AC647">
        <v>1</v>
      </c>
      <c r="AD647" t="s">
        <v>41</v>
      </c>
      <c r="AE647" t="s">
        <v>42</v>
      </c>
      <c r="AF647" t="s">
        <v>57</v>
      </c>
      <c r="AG647">
        <f>IF(HR_Data[[#This Row],[Attrition]]="Yes",1,0)</f>
        <v>0</v>
      </c>
      <c r="AH647" t="str">
        <f>IF(HR_Data[Date_of_termination]="","Active","Left")</f>
        <v>Active</v>
      </c>
      <c r="AI647" t="str">
        <f>IF(HR_Data[YearsAtCompany]&lt;=2,"Fresher", IF(HR_Data[YearsAtCompany]&lt;=5,"Junior", IF(HR_Data[YearsAtCompany]&lt;=10, "Mid","Senior")))</f>
        <v>Junior</v>
      </c>
      <c r="AJ647" s="2" t="str">
        <f>IF(HR_Data[MonthlyIncome]&lt;=300,"Low", IF(HR_Data[MonthlyIncome]&lt;=7000,"Medium", "High"))</f>
        <v>Medium</v>
      </c>
      <c r="AK647" s="2" t="str">
        <f>VLOOKUP(HR_Data[JobRole], JobRole_Map[], 2, FALSE)</f>
        <v>Technical</v>
      </c>
    </row>
    <row r="648" spans="1:37" x14ac:dyDescent="0.25">
      <c r="A648" s="2">
        <v>34</v>
      </c>
      <c r="B648" t="s">
        <v>41</v>
      </c>
      <c r="C648" t="s">
        <v>33</v>
      </c>
      <c r="D648" t="s">
        <v>34</v>
      </c>
      <c r="E648">
        <v>8</v>
      </c>
      <c r="F648" t="s">
        <v>58</v>
      </c>
      <c r="G648">
        <v>3</v>
      </c>
      <c r="H648">
        <v>2</v>
      </c>
      <c r="I648" t="s">
        <v>69</v>
      </c>
      <c r="J648">
        <v>3</v>
      </c>
      <c r="K648" t="s">
        <v>37</v>
      </c>
      <c r="L648">
        <v>6142</v>
      </c>
      <c r="M648">
        <v>3</v>
      </c>
      <c r="N648" t="s">
        <v>41</v>
      </c>
      <c r="O648">
        <v>11</v>
      </c>
      <c r="P648">
        <v>3</v>
      </c>
      <c r="Q648">
        <v>0</v>
      </c>
      <c r="R648">
        <v>10</v>
      </c>
      <c r="S648">
        <v>2</v>
      </c>
      <c r="T648">
        <v>5</v>
      </c>
      <c r="U648">
        <v>4</v>
      </c>
      <c r="V648">
        <v>3</v>
      </c>
      <c r="W648" t="s">
        <v>38</v>
      </c>
      <c r="X648" s="1" t="d">
        <v>2016-01-12</v>
      </c>
      <c r="Z648" t="s">
        <v>59</v>
      </c>
      <c r="AA648" t="s">
        <v>40</v>
      </c>
      <c r="AB648">
        <v>5</v>
      </c>
      <c r="AC648">
        <v>1</v>
      </c>
      <c r="AD648" t="s">
        <v>32</v>
      </c>
      <c r="AE648" t="s">
        <v>42</v>
      </c>
      <c r="AF648" t="s">
        <v>43</v>
      </c>
      <c r="AG648">
        <f>IF(HR_Data[[#This Row],[Attrition]]="Yes",1,0)</f>
        <v>0</v>
      </c>
      <c r="AH648" t="str">
        <f>IF(HR_Data[Date_of_termination]="","Active","Left")</f>
        <v>Active</v>
      </c>
      <c r="AI648" t="str">
        <f>IF(HR_Data[YearsAtCompany]&lt;=2,"Fresher", IF(HR_Data[YearsAtCompany]&lt;=5,"Junior", IF(HR_Data[YearsAtCompany]&lt;=10, "Mid","Senior")))</f>
        <v>Junior</v>
      </c>
      <c r="AJ648" s="2" t="str">
        <f>IF(HR_Data[MonthlyIncome]&lt;=300,"Low", IF(HR_Data[MonthlyIncome]&lt;=7000,"Medium", "High"))</f>
        <v>Medium</v>
      </c>
      <c r="AK648" s="2" t="str">
        <f>VLOOKUP(HR_Data[JobRole], JobRole_Map[], 2, FALSE)</f>
        <v>Operations</v>
      </c>
    </row>
    <row r="649" spans="1:37" x14ac:dyDescent="0.25">
      <c r="A649" s="2">
        <v>47</v>
      </c>
      <c r="B649" t="s">
        <v>32</v>
      </c>
      <c r="C649" t="s">
        <v>61</v>
      </c>
      <c r="D649" t="s">
        <v>53</v>
      </c>
      <c r="E649">
        <v>27</v>
      </c>
      <c r="F649" t="s">
        <v>58</v>
      </c>
      <c r="G649">
        <v>4</v>
      </c>
      <c r="H649">
        <v>2</v>
      </c>
      <c r="I649" t="s">
        <v>64</v>
      </c>
      <c r="J649">
        <v>3</v>
      </c>
      <c r="K649" t="s">
        <v>37</v>
      </c>
      <c r="L649">
        <v>6397</v>
      </c>
      <c r="M649">
        <v>4</v>
      </c>
      <c r="N649" t="s">
        <v>32</v>
      </c>
      <c r="O649">
        <v>12</v>
      </c>
      <c r="P649">
        <v>3</v>
      </c>
      <c r="Q649">
        <v>0</v>
      </c>
      <c r="R649">
        <v>8</v>
      </c>
      <c r="S649">
        <v>2</v>
      </c>
      <c r="T649">
        <v>5</v>
      </c>
      <c r="U649">
        <v>1</v>
      </c>
      <c r="V649">
        <v>3</v>
      </c>
      <c r="W649" t="s">
        <v>56</v>
      </c>
      <c r="X649" s="1" t="d">
        <v>2016-03-20</v>
      </c>
      <c r="Z649" t="s">
        <v>59</v>
      </c>
      <c r="AA649" t="s">
        <v>46</v>
      </c>
      <c r="AB649">
        <v>0</v>
      </c>
      <c r="AC649">
        <v>0</v>
      </c>
      <c r="AD649" t="s">
        <v>41</v>
      </c>
      <c r="AE649" t="s">
        <v>62</v>
      </c>
      <c r="AF649" t="s">
        <v>48</v>
      </c>
      <c r="AG649">
        <f>IF(HR_Data[[#This Row],[Attrition]]="Yes",1,0)</f>
        <v>1</v>
      </c>
      <c r="AH649" t="str">
        <f>IF(HR_Data[Date_of_termination]="","Active","Left")</f>
        <v>Active</v>
      </c>
      <c r="AI649" t="str">
        <f>IF(HR_Data[YearsAtCompany]&lt;=2,"Fresher", IF(HR_Data[YearsAtCompany]&lt;=5,"Junior", IF(HR_Data[YearsAtCompany]&lt;=10, "Mid","Senior")))</f>
        <v>Junior</v>
      </c>
      <c r="AJ649" s="2" t="str">
        <f>IF(HR_Data[MonthlyIncome]&lt;=300,"Low", IF(HR_Data[MonthlyIncome]&lt;=7000,"Medium", "High"))</f>
        <v>Medium</v>
      </c>
      <c r="AK649" s="2" t="str">
        <f>VLOOKUP(HR_Data[JobRole], JobRole_Map[], 2, FALSE)</f>
        <v>Sales</v>
      </c>
    </row>
    <row r="650" spans="1:37" x14ac:dyDescent="0.25">
      <c r="A650" s="2">
        <v>55</v>
      </c>
      <c r="B650" t="s">
        <v>32</v>
      </c>
      <c r="C650" t="s">
        <v>33</v>
      </c>
      <c r="D650" t="s">
        <v>34</v>
      </c>
      <c r="E650">
        <v>2</v>
      </c>
      <c r="F650" t="s">
        <v>35</v>
      </c>
      <c r="G650">
        <v>3</v>
      </c>
      <c r="H650">
        <v>5</v>
      </c>
      <c r="I650" t="s">
        <v>66</v>
      </c>
      <c r="J650">
        <v>1</v>
      </c>
      <c r="K650" t="s">
        <v>50</v>
      </c>
      <c r="L650">
        <v>19859</v>
      </c>
      <c r="M650">
        <v>5</v>
      </c>
      <c r="N650" t="s">
        <v>32</v>
      </c>
      <c r="O650">
        <v>13</v>
      </c>
      <c r="P650">
        <v>3</v>
      </c>
      <c r="Q650">
        <v>1</v>
      </c>
      <c r="R650">
        <v>24</v>
      </c>
      <c r="S650">
        <v>2</v>
      </c>
      <c r="T650">
        <v>5</v>
      </c>
      <c r="U650">
        <v>1</v>
      </c>
      <c r="V650">
        <v>4</v>
      </c>
      <c r="W650" t="s">
        <v>51</v>
      </c>
      <c r="X650" s="1" t="d">
        <v>2016-05-17</v>
      </c>
      <c r="Z650" t="s">
        <v>45</v>
      </c>
      <c r="AA650" t="s">
        <v>40</v>
      </c>
      <c r="AB650">
        <v>5</v>
      </c>
      <c r="AC650">
        <v>2</v>
      </c>
      <c r="AD650" t="s">
        <v>32</v>
      </c>
      <c r="AE650" t="s">
        <v>62</v>
      </c>
      <c r="AF650" t="s">
        <v>57</v>
      </c>
      <c r="AG650">
        <f>IF(HR_Data[[#This Row],[Attrition]]="Yes",1,0)</f>
        <v>1</v>
      </c>
      <c r="AH650" t="str">
        <f>IF(HR_Data[Date_of_termination]="","Active","Left")</f>
        <v>Active</v>
      </c>
      <c r="AI650" t="str">
        <f>IF(HR_Data[YearsAtCompany]&lt;=2,"Fresher", IF(HR_Data[YearsAtCompany]&lt;=5,"Junior", IF(HR_Data[YearsAtCompany]&lt;=10, "Mid","Senior")))</f>
        <v>Junior</v>
      </c>
      <c r="AJ650" s="2" t="str">
        <f>IF(HR_Data[MonthlyIncome]&lt;=300,"Low", IF(HR_Data[MonthlyIncome]&lt;=7000,"Medium", "High"))</f>
        <v>High</v>
      </c>
      <c r="AK650" s="2" t="str">
        <f>VLOOKUP(HR_Data[JobRole], JobRole_Map[], 2, FALSE)</f>
        <v>Management</v>
      </c>
    </row>
    <row r="651" spans="1:37" x14ac:dyDescent="0.25">
      <c r="A651" s="2">
        <v>54</v>
      </c>
      <c r="B651" t="s">
        <v>41</v>
      </c>
      <c r="C651" t="s">
        <v>33</v>
      </c>
      <c r="D651" t="s">
        <v>34</v>
      </c>
      <c r="E651">
        <v>19</v>
      </c>
      <c r="F651" t="s">
        <v>58</v>
      </c>
      <c r="G651">
        <v>3</v>
      </c>
      <c r="H651">
        <v>2</v>
      </c>
      <c r="I651" t="s">
        <v>67</v>
      </c>
      <c r="J651">
        <v>1</v>
      </c>
      <c r="K651" t="s">
        <v>55</v>
      </c>
      <c r="L651">
        <v>5485</v>
      </c>
      <c r="M651">
        <v>9</v>
      </c>
      <c r="N651" t="s">
        <v>32</v>
      </c>
      <c r="O651">
        <v>11</v>
      </c>
      <c r="P651">
        <v>3</v>
      </c>
      <c r="Q651">
        <v>2</v>
      </c>
      <c r="R651">
        <v>9</v>
      </c>
      <c r="S651">
        <v>4</v>
      </c>
      <c r="T651">
        <v>5</v>
      </c>
      <c r="U651">
        <v>1</v>
      </c>
      <c r="V651">
        <v>4</v>
      </c>
      <c r="W651" t="s">
        <v>51</v>
      </c>
      <c r="X651" s="1" t="d">
        <v>2016-03-14</v>
      </c>
      <c r="Z651" t="s">
        <v>52</v>
      </c>
      <c r="AA651" t="s">
        <v>40</v>
      </c>
      <c r="AB651">
        <v>4</v>
      </c>
      <c r="AC651">
        <v>1</v>
      </c>
      <c r="AD651" t="s">
        <v>41</v>
      </c>
      <c r="AE651" t="s">
        <v>47</v>
      </c>
      <c r="AF651" t="s">
        <v>48</v>
      </c>
      <c r="AG651">
        <f>IF(HR_Data[[#This Row],[Attrition]]="Yes",1,0)</f>
        <v>0</v>
      </c>
      <c r="AH651" t="str">
        <f>IF(HR_Data[Date_of_termination]="","Active","Left")</f>
        <v>Active</v>
      </c>
      <c r="AI651" t="str">
        <f>IF(HR_Data[YearsAtCompany]&lt;=2,"Fresher", IF(HR_Data[YearsAtCompany]&lt;=5,"Junior", IF(HR_Data[YearsAtCompany]&lt;=10, "Mid","Senior")))</f>
        <v>Junior</v>
      </c>
      <c r="AJ651" s="2" t="str">
        <f>IF(HR_Data[MonthlyIncome]&lt;=300,"Low", IF(HR_Data[MonthlyIncome]&lt;=7000,"Medium", "High"))</f>
        <v>Medium</v>
      </c>
      <c r="AK651" s="2" t="str">
        <f>VLOOKUP(HR_Data[JobRole], JobRole_Map[], 2, FALSE)</f>
        <v>Operations</v>
      </c>
    </row>
    <row r="652" spans="1:37" x14ac:dyDescent="0.25">
      <c r="A652" s="2">
        <v>37</v>
      </c>
      <c r="B652" t="s">
        <v>41</v>
      </c>
      <c r="C652" t="s">
        <v>33</v>
      </c>
      <c r="D652" t="s">
        <v>34</v>
      </c>
      <c r="E652">
        <v>10</v>
      </c>
      <c r="F652" t="s">
        <v>58</v>
      </c>
      <c r="G652">
        <v>3</v>
      </c>
      <c r="H652">
        <v>1</v>
      </c>
      <c r="I652" t="s">
        <v>44</v>
      </c>
      <c r="J652">
        <v>1</v>
      </c>
      <c r="K652" t="s">
        <v>55</v>
      </c>
      <c r="L652">
        <v>2782</v>
      </c>
      <c r="M652">
        <v>0</v>
      </c>
      <c r="N652" t="s">
        <v>32</v>
      </c>
      <c r="O652">
        <v>13</v>
      </c>
      <c r="P652">
        <v>3</v>
      </c>
      <c r="Q652">
        <v>2</v>
      </c>
      <c r="R652">
        <v>6</v>
      </c>
      <c r="S652">
        <v>3</v>
      </c>
      <c r="T652">
        <v>5</v>
      </c>
      <c r="U652">
        <v>4</v>
      </c>
      <c r="V652">
        <v>3</v>
      </c>
      <c r="W652" t="s">
        <v>38</v>
      </c>
      <c r="X652" s="1" t="d">
        <v>2016-04-13</v>
      </c>
      <c r="Z652" t="s">
        <v>39</v>
      </c>
      <c r="AA652" t="s">
        <v>46</v>
      </c>
      <c r="AB652">
        <v>1</v>
      </c>
      <c r="AC652">
        <v>1</v>
      </c>
      <c r="AD652" t="s">
        <v>41</v>
      </c>
      <c r="AE652" t="s">
        <v>47</v>
      </c>
      <c r="AF652" t="s">
        <v>48</v>
      </c>
      <c r="AG652">
        <f>IF(HR_Data[[#This Row],[Attrition]]="Yes",1,0)</f>
        <v>0</v>
      </c>
      <c r="AH652" t="str">
        <f>IF(HR_Data[Date_of_termination]="","Active","Left")</f>
        <v>Active</v>
      </c>
      <c r="AI652" t="str">
        <f>IF(HR_Data[YearsAtCompany]&lt;=2,"Fresher", IF(HR_Data[YearsAtCompany]&lt;=5,"Junior", IF(HR_Data[YearsAtCompany]&lt;=10, "Mid","Senior")))</f>
        <v>Junior</v>
      </c>
      <c r="AJ652" s="2" t="str">
        <f>IF(HR_Data[MonthlyIncome]&lt;=300,"Low", IF(HR_Data[MonthlyIncome]&lt;=7000,"Medium", "High"))</f>
        <v>Medium</v>
      </c>
      <c r="AK652" s="2" t="str">
        <f>VLOOKUP(HR_Data[JobRole], JobRole_Map[], 2, FALSE)</f>
        <v>Technical</v>
      </c>
    </row>
    <row r="653" spans="1:37" x14ac:dyDescent="0.25">
      <c r="A653" s="2">
        <v>52</v>
      </c>
      <c r="B653" t="s">
        <v>41</v>
      </c>
      <c r="C653" t="s">
        <v>33</v>
      </c>
      <c r="D653" t="s">
        <v>34</v>
      </c>
      <c r="E653">
        <v>11</v>
      </c>
      <c r="F653" t="s">
        <v>58</v>
      </c>
      <c r="G653">
        <v>3</v>
      </c>
      <c r="H653">
        <v>2</v>
      </c>
      <c r="I653" t="s">
        <v>36</v>
      </c>
      <c r="J653">
        <v>3</v>
      </c>
      <c r="K653" t="s">
        <v>50</v>
      </c>
      <c r="L653">
        <v>3149</v>
      </c>
      <c r="M653">
        <v>8</v>
      </c>
      <c r="N653" t="s">
        <v>41</v>
      </c>
      <c r="O653">
        <v>20</v>
      </c>
      <c r="P653">
        <v>4</v>
      </c>
      <c r="Q653">
        <v>1</v>
      </c>
      <c r="R653">
        <v>9</v>
      </c>
      <c r="S653">
        <v>3</v>
      </c>
      <c r="T653">
        <v>5</v>
      </c>
      <c r="U653">
        <v>1</v>
      </c>
      <c r="V653">
        <v>4</v>
      </c>
      <c r="W653" t="s">
        <v>65</v>
      </c>
      <c r="X653" s="1" t="d">
        <v>2016-02-18</v>
      </c>
      <c r="Z653" t="s">
        <v>63</v>
      </c>
      <c r="AA653" t="s">
        <v>40</v>
      </c>
      <c r="AB653">
        <v>1</v>
      </c>
      <c r="AC653">
        <v>3</v>
      </c>
      <c r="AD653" t="s">
        <v>41</v>
      </c>
      <c r="AE653" t="s">
        <v>62</v>
      </c>
      <c r="AF653" t="s">
        <v>57</v>
      </c>
      <c r="AG653">
        <f>IF(HR_Data[[#This Row],[Attrition]]="Yes",1,0)</f>
        <v>0</v>
      </c>
      <c r="AH653" t="str">
        <f>IF(HR_Data[Date_of_termination]="","Active","Left")</f>
        <v>Active</v>
      </c>
      <c r="AI653" t="str">
        <f>IF(HR_Data[YearsAtCompany]&lt;=2,"Fresher", IF(HR_Data[YearsAtCompany]&lt;=5,"Junior", IF(HR_Data[YearsAtCompany]&lt;=10, "Mid","Senior")))</f>
        <v>Junior</v>
      </c>
      <c r="AJ653" s="2" t="str">
        <f>IF(HR_Data[MonthlyIncome]&lt;=300,"Low", IF(HR_Data[MonthlyIncome]&lt;=7000,"Medium", "High"))</f>
        <v>Medium</v>
      </c>
      <c r="AK653" s="2" t="str">
        <f>VLOOKUP(HR_Data[JobRole], JobRole_Map[], 2, FALSE)</f>
        <v>Technical</v>
      </c>
    </row>
    <row r="654" spans="1:37" x14ac:dyDescent="0.25">
      <c r="A654" s="2">
        <v>36</v>
      </c>
      <c r="B654" t="s">
        <v>41</v>
      </c>
      <c r="C654" t="s">
        <v>33</v>
      </c>
      <c r="D654" t="s">
        <v>70</v>
      </c>
      <c r="E654">
        <v>13</v>
      </c>
      <c r="F654" t="s">
        <v>35</v>
      </c>
      <c r="G654">
        <v>3</v>
      </c>
      <c r="H654">
        <v>1</v>
      </c>
      <c r="I654" t="s">
        <v>70</v>
      </c>
      <c r="J654">
        <v>2</v>
      </c>
      <c r="K654" t="s">
        <v>50</v>
      </c>
      <c r="L654">
        <v>2143</v>
      </c>
      <c r="M654">
        <v>4</v>
      </c>
      <c r="N654" t="s">
        <v>41</v>
      </c>
      <c r="O654">
        <v>13</v>
      </c>
      <c r="P654">
        <v>3</v>
      </c>
      <c r="Q654">
        <v>1</v>
      </c>
      <c r="R654">
        <v>8</v>
      </c>
      <c r="S654">
        <v>2</v>
      </c>
      <c r="T654">
        <v>5</v>
      </c>
      <c r="U654">
        <v>0</v>
      </c>
      <c r="V654">
        <v>4</v>
      </c>
      <c r="W654" t="s">
        <v>65</v>
      </c>
      <c r="X654" s="1" t="d">
        <v>2016-05-11</v>
      </c>
      <c r="Z654" t="s">
        <v>45</v>
      </c>
      <c r="AA654" t="s">
        <v>40</v>
      </c>
      <c r="AB654">
        <v>5</v>
      </c>
      <c r="AC654">
        <v>3</v>
      </c>
      <c r="AD654" t="s">
        <v>32</v>
      </c>
      <c r="AE654" t="s">
        <v>62</v>
      </c>
      <c r="AF654" t="s">
        <v>43</v>
      </c>
      <c r="AG654">
        <f>IF(HR_Data[[#This Row],[Attrition]]="Yes",1,0)</f>
        <v>0</v>
      </c>
      <c r="AH654" t="str">
        <f>IF(HR_Data[Date_of_termination]="","Active","Left")</f>
        <v>Active</v>
      </c>
      <c r="AI654" t="str">
        <f>IF(HR_Data[YearsAtCompany]&lt;=2,"Fresher", IF(HR_Data[YearsAtCompany]&lt;=5,"Junior", IF(HR_Data[YearsAtCompany]&lt;=10, "Mid","Senior")))</f>
        <v>Junior</v>
      </c>
      <c r="AJ654" s="2" t="str">
        <f>IF(HR_Data[MonthlyIncome]&lt;=300,"Low", IF(HR_Data[MonthlyIncome]&lt;=7000,"Medium", "High"))</f>
        <v>Medium</v>
      </c>
      <c r="AK654" s="2" t="str">
        <f>VLOOKUP(HR_Data[JobRole], JobRole_Map[], 2, FALSE)</f>
        <v>HR</v>
      </c>
    </row>
    <row r="655" spans="1:37" x14ac:dyDescent="0.25">
      <c r="A655" s="2">
        <v>34</v>
      </c>
      <c r="B655" t="s">
        <v>41</v>
      </c>
      <c r="C655" t="s">
        <v>61</v>
      </c>
      <c r="D655" t="s">
        <v>34</v>
      </c>
      <c r="E655">
        <v>16</v>
      </c>
      <c r="F655" t="s">
        <v>58</v>
      </c>
      <c r="G655">
        <v>2</v>
      </c>
      <c r="H655">
        <v>1</v>
      </c>
      <c r="I655" t="s">
        <v>44</v>
      </c>
      <c r="J655">
        <v>4</v>
      </c>
      <c r="K655" t="s">
        <v>37</v>
      </c>
      <c r="L655">
        <v>2553</v>
      </c>
      <c r="M655">
        <v>1</v>
      </c>
      <c r="N655" t="s">
        <v>41</v>
      </c>
      <c r="O655">
        <v>16</v>
      </c>
      <c r="P655">
        <v>3</v>
      </c>
      <c r="Q655">
        <v>0</v>
      </c>
      <c r="R655">
        <v>6</v>
      </c>
      <c r="S655">
        <v>3</v>
      </c>
      <c r="T655">
        <v>5</v>
      </c>
      <c r="U655">
        <v>1</v>
      </c>
      <c r="V655">
        <v>3</v>
      </c>
      <c r="W655" t="s">
        <v>65</v>
      </c>
      <c r="X655" s="1" t="d">
        <v>2016-01-14</v>
      </c>
      <c r="Z655" t="s">
        <v>45</v>
      </c>
      <c r="AA655" t="s">
        <v>46</v>
      </c>
      <c r="AB655">
        <v>4</v>
      </c>
      <c r="AC655">
        <v>3</v>
      </c>
      <c r="AD655" t="s">
        <v>32</v>
      </c>
      <c r="AE655" t="s">
        <v>47</v>
      </c>
      <c r="AF655" t="s">
        <v>48</v>
      </c>
      <c r="AG655">
        <f>IF(HR_Data[[#This Row],[Attrition]]="Yes",1,0)</f>
        <v>0</v>
      </c>
      <c r="AH655" t="str">
        <f>IF(HR_Data[Date_of_termination]="","Active","Left")</f>
        <v>Active</v>
      </c>
      <c r="AI655" t="str">
        <f>IF(HR_Data[YearsAtCompany]&lt;=2,"Fresher", IF(HR_Data[YearsAtCompany]&lt;=5,"Junior", IF(HR_Data[YearsAtCompany]&lt;=10, "Mid","Senior")))</f>
        <v>Junior</v>
      </c>
      <c r="AJ655" s="2" t="str">
        <f>IF(HR_Data[MonthlyIncome]&lt;=300,"Low", IF(HR_Data[MonthlyIncome]&lt;=7000,"Medium", "High"))</f>
        <v>Medium</v>
      </c>
      <c r="AK655" s="2" t="str">
        <f>VLOOKUP(HR_Data[JobRole], JobRole_Map[], 2, FALSE)</f>
        <v>Technical</v>
      </c>
    </row>
    <row r="656" spans="1:37" x14ac:dyDescent="0.25">
      <c r="A656" s="2">
        <v>44</v>
      </c>
      <c r="B656" t="s">
        <v>41</v>
      </c>
      <c r="C656" t="s">
        <v>33</v>
      </c>
      <c r="D656" t="s">
        <v>34</v>
      </c>
      <c r="E656">
        <v>4</v>
      </c>
      <c r="F656" t="s">
        <v>35</v>
      </c>
      <c r="G656">
        <v>3</v>
      </c>
      <c r="H656">
        <v>2</v>
      </c>
      <c r="I656" t="s">
        <v>69</v>
      </c>
      <c r="J656">
        <v>2</v>
      </c>
      <c r="K656" t="s">
        <v>37</v>
      </c>
      <c r="L656">
        <v>5933</v>
      </c>
      <c r="M656">
        <v>9</v>
      </c>
      <c r="N656" t="s">
        <v>41</v>
      </c>
      <c r="O656">
        <v>12</v>
      </c>
      <c r="P656">
        <v>3</v>
      </c>
      <c r="Q656">
        <v>0</v>
      </c>
      <c r="R656">
        <v>10</v>
      </c>
      <c r="S656">
        <v>2</v>
      </c>
      <c r="T656">
        <v>5</v>
      </c>
      <c r="U656">
        <v>2</v>
      </c>
      <c r="V656">
        <v>3</v>
      </c>
      <c r="W656" t="s">
        <v>51</v>
      </c>
      <c r="X656" s="1" t="d">
        <v>2016-06-23</v>
      </c>
      <c r="Z656" t="s">
        <v>63</v>
      </c>
      <c r="AA656" t="s">
        <v>40</v>
      </c>
      <c r="AB656">
        <v>1</v>
      </c>
      <c r="AC656">
        <v>2</v>
      </c>
      <c r="AD656" t="s">
        <v>41</v>
      </c>
      <c r="AE656" t="s">
        <v>47</v>
      </c>
      <c r="AF656" t="s">
        <v>57</v>
      </c>
      <c r="AG656">
        <f>IF(HR_Data[[#This Row],[Attrition]]="Yes",1,0)</f>
        <v>0</v>
      </c>
      <c r="AH656" t="str">
        <f>IF(HR_Data[Date_of_termination]="","Active","Left")</f>
        <v>Active</v>
      </c>
      <c r="AI656" t="str">
        <f>IF(HR_Data[YearsAtCompany]&lt;=2,"Fresher", IF(HR_Data[YearsAtCompany]&lt;=5,"Junior", IF(HR_Data[YearsAtCompany]&lt;=10, "Mid","Senior")))</f>
        <v>Junior</v>
      </c>
      <c r="AJ656" s="2" t="str">
        <f>IF(HR_Data[MonthlyIncome]&lt;=300,"Low", IF(HR_Data[MonthlyIncome]&lt;=7000,"Medium", "High"))</f>
        <v>Medium</v>
      </c>
      <c r="AK656" s="2" t="str">
        <f>VLOOKUP(HR_Data[JobRole], JobRole_Map[], 2, FALSE)</f>
        <v>Operations</v>
      </c>
    </row>
    <row r="657" spans="1:37" x14ac:dyDescent="0.25">
      <c r="A657" s="2">
        <v>32</v>
      </c>
      <c r="B657" t="s">
        <v>41</v>
      </c>
      <c r="C657" t="s">
        <v>33</v>
      </c>
      <c r="D657" t="s">
        <v>53</v>
      </c>
      <c r="E657">
        <v>13</v>
      </c>
      <c r="F657" t="s">
        <v>35</v>
      </c>
      <c r="G657">
        <v>3</v>
      </c>
      <c r="H657">
        <v>2</v>
      </c>
      <c r="I657" t="s">
        <v>64</v>
      </c>
      <c r="J657">
        <v>4</v>
      </c>
      <c r="K657" t="s">
        <v>55</v>
      </c>
      <c r="L657">
        <v>4403</v>
      </c>
      <c r="M657">
        <v>2</v>
      </c>
      <c r="N657" t="s">
        <v>41</v>
      </c>
      <c r="O657">
        <v>11</v>
      </c>
      <c r="P657">
        <v>3</v>
      </c>
      <c r="Q657">
        <v>1</v>
      </c>
      <c r="R657">
        <v>8</v>
      </c>
      <c r="S657">
        <v>3</v>
      </c>
      <c r="T657">
        <v>5</v>
      </c>
      <c r="U657">
        <v>0</v>
      </c>
      <c r="V657">
        <v>3</v>
      </c>
      <c r="W657" t="s">
        <v>51</v>
      </c>
      <c r="X657" s="1" t="d">
        <v>2016-01-12</v>
      </c>
      <c r="Z657" t="s">
        <v>39</v>
      </c>
      <c r="AA657" t="s">
        <v>40</v>
      </c>
      <c r="AB657">
        <v>0</v>
      </c>
      <c r="AC657">
        <v>1</v>
      </c>
      <c r="AD657" t="s">
        <v>32</v>
      </c>
      <c r="AE657" t="s">
        <v>60</v>
      </c>
      <c r="AF657" t="s">
        <v>48</v>
      </c>
      <c r="AG657">
        <f>IF(HR_Data[[#This Row],[Attrition]]="Yes",1,0)</f>
        <v>0</v>
      </c>
      <c r="AH657" t="str">
        <f>IF(HR_Data[Date_of_termination]="","Active","Left")</f>
        <v>Active</v>
      </c>
      <c r="AI657" t="str">
        <f>IF(HR_Data[YearsAtCompany]&lt;=2,"Fresher", IF(HR_Data[YearsAtCompany]&lt;=5,"Junior", IF(HR_Data[YearsAtCompany]&lt;=10, "Mid","Senior")))</f>
        <v>Junior</v>
      </c>
      <c r="AJ657" s="2" t="str">
        <f>IF(HR_Data[MonthlyIncome]&lt;=300,"Low", IF(HR_Data[MonthlyIncome]&lt;=7000,"Medium", "High"))</f>
        <v>Medium</v>
      </c>
      <c r="AK657" s="2" t="str">
        <f>VLOOKUP(HR_Data[JobRole], JobRole_Map[], 2, FALSE)</f>
        <v>Sales</v>
      </c>
    </row>
    <row r="658" spans="1:37" x14ac:dyDescent="0.25">
      <c r="A658" s="2">
        <v>30</v>
      </c>
      <c r="B658" t="s">
        <v>41</v>
      </c>
      <c r="C658" t="s">
        <v>61</v>
      </c>
      <c r="D658" t="s">
        <v>34</v>
      </c>
      <c r="E658">
        <v>5</v>
      </c>
      <c r="F658" t="s">
        <v>35</v>
      </c>
      <c r="G658">
        <v>2</v>
      </c>
      <c r="H658">
        <v>1</v>
      </c>
      <c r="I658" t="s">
        <v>44</v>
      </c>
      <c r="J658">
        <v>4</v>
      </c>
      <c r="K658" t="s">
        <v>55</v>
      </c>
      <c r="L658">
        <v>3761</v>
      </c>
      <c r="M658">
        <v>9</v>
      </c>
      <c r="N658" t="s">
        <v>41</v>
      </c>
      <c r="O658">
        <v>12</v>
      </c>
      <c r="P658">
        <v>3</v>
      </c>
      <c r="Q658">
        <v>1</v>
      </c>
      <c r="R658">
        <v>10</v>
      </c>
      <c r="S658">
        <v>3</v>
      </c>
      <c r="T658">
        <v>5</v>
      </c>
      <c r="U658">
        <v>0</v>
      </c>
      <c r="V658">
        <v>3</v>
      </c>
      <c r="W658" t="s">
        <v>38</v>
      </c>
      <c r="X658" s="1" t="d">
        <v>2016-03-15</v>
      </c>
      <c r="Z658" t="s">
        <v>52</v>
      </c>
      <c r="AA658" t="s">
        <v>46</v>
      </c>
      <c r="AB658">
        <v>4</v>
      </c>
      <c r="AC658">
        <v>1</v>
      </c>
      <c r="AD658" t="s">
        <v>32</v>
      </c>
      <c r="AE658" t="s">
        <v>62</v>
      </c>
      <c r="AF658" t="s">
        <v>43</v>
      </c>
      <c r="AG658">
        <f>IF(HR_Data[[#This Row],[Attrition]]="Yes",1,0)</f>
        <v>0</v>
      </c>
      <c r="AH658" t="str">
        <f>IF(HR_Data[Date_of_termination]="","Active","Left")</f>
        <v>Active</v>
      </c>
      <c r="AI658" t="str">
        <f>IF(HR_Data[YearsAtCompany]&lt;=2,"Fresher", IF(HR_Data[YearsAtCompany]&lt;=5,"Junior", IF(HR_Data[YearsAtCompany]&lt;=10, "Mid","Senior")))</f>
        <v>Junior</v>
      </c>
      <c r="AJ658" s="2" t="str">
        <f>IF(HR_Data[MonthlyIncome]&lt;=300,"Low", IF(HR_Data[MonthlyIncome]&lt;=7000,"Medium", "High"))</f>
        <v>Medium</v>
      </c>
      <c r="AK658" s="2" t="str">
        <f>VLOOKUP(HR_Data[JobRole], JobRole_Map[], 2, FALSE)</f>
        <v>Technical</v>
      </c>
    </row>
    <row r="659" spans="1:37" x14ac:dyDescent="0.25">
      <c r="A659" s="2">
        <v>53</v>
      </c>
      <c r="B659" t="s">
        <v>41</v>
      </c>
      <c r="C659" t="s">
        <v>33</v>
      </c>
      <c r="D659" t="s">
        <v>53</v>
      </c>
      <c r="E659">
        <v>7</v>
      </c>
      <c r="F659" t="s">
        <v>58</v>
      </c>
      <c r="G659">
        <v>2</v>
      </c>
      <c r="H659">
        <v>3</v>
      </c>
      <c r="I659" t="s">
        <v>64</v>
      </c>
      <c r="J659">
        <v>4</v>
      </c>
      <c r="K659" t="s">
        <v>50</v>
      </c>
      <c r="L659">
        <v>10934</v>
      </c>
      <c r="M659">
        <v>7</v>
      </c>
      <c r="N659" t="s">
        <v>32</v>
      </c>
      <c r="O659">
        <v>18</v>
      </c>
      <c r="P659">
        <v>3</v>
      </c>
      <c r="Q659">
        <v>1</v>
      </c>
      <c r="R659">
        <v>35</v>
      </c>
      <c r="S659">
        <v>3</v>
      </c>
      <c r="T659">
        <v>5</v>
      </c>
      <c r="U659">
        <v>0</v>
      </c>
      <c r="V659">
        <v>4</v>
      </c>
      <c r="W659" t="s">
        <v>65</v>
      </c>
      <c r="X659" s="1" t="d">
        <v>2016-01-16</v>
      </c>
      <c r="Z659" t="s">
        <v>59</v>
      </c>
      <c r="AA659" t="s">
        <v>46</v>
      </c>
      <c r="AB659">
        <v>2</v>
      </c>
      <c r="AC659">
        <v>0</v>
      </c>
      <c r="AD659" t="s">
        <v>32</v>
      </c>
      <c r="AE659" t="s">
        <v>42</v>
      </c>
      <c r="AF659" t="s">
        <v>57</v>
      </c>
      <c r="AG659">
        <f>IF(HR_Data[[#This Row],[Attrition]]="Yes",1,0)</f>
        <v>0</v>
      </c>
      <c r="AH659" t="str">
        <f>IF(HR_Data[Date_of_termination]="","Active","Left")</f>
        <v>Active</v>
      </c>
      <c r="AI659" t="str">
        <f>IF(HR_Data[YearsAtCompany]&lt;=2,"Fresher", IF(HR_Data[YearsAtCompany]&lt;=5,"Junior", IF(HR_Data[YearsAtCompany]&lt;=10, "Mid","Senior")))</f>
        <v>Junior</v>
      </c>
      <c r="AJ659" s="2" t="str">
        <f>IF(HR_Data[MonthlyIncome]&lt;=300,"Low", IF(HR_Data[MonthlyIncome]&lt;=7000,"Medium", "High"))</f>
        <v>High</v>
      </c>
      <c r="AK659" s="2" t="str">
        <f>VLOOKUP(HR_Data[JobRole], JobRole_Map[], 2, FALSE)</f>
        <v>Sales</v>
      </c>
    </row>
    <row r="660" spans="1:37" x14ac:dyDescent="0.25">
      <c r="A660" s="2">
        <v>45</v>
      </c>
      <c r="B660" t="s">
        <v>41</v>
      </c>
      <c r="C660" t="s">
        <v>33</v>
      </c>
      <c r="D660" t="s">
        <v>53</v>
      </c>
      <c r="E660">
        <v>9</v>
      </c>
      <c r="F660" t="s">
        <v>35</v>
      </c>
      <c r="G660">
        <v>3</v>
      </c>
      <c r="H660">
        <v>3</v>
      </c>
      <c r="I660" t="s">
        <v>64</v>
      </c>
      <c r="J660">
        <v>1</v>
      </c>
      <c r="K660" t="s">
        <v>55</v>
      </c>
      <c r="L660">
        <v>10761</v>
      </c>
      <c r="M660">
        <v>4</v>
      </c>
      <c r="N660" t="s">
        <v>32</v>
      </c>
      <c r="O660">
        <v>12</v>
      </c>
      <c r="P660">
        <v>3</v>
      </c>
      <c r="Q660">
        <v>1</v>
      </c>
      <c r="R660">
        <v>18</v>
      </c>
      <c r="S660">
        <v>2</v>
      </c>
      <c r="T660">
        <v>5</v>
      </c>
      <c r="U660">
        <v>0</v>
      </c>
      <c r="V660">
        <v>2</v>
      </c>
      <c r="W660" t="s">
        <v>56</v>
      </c>
      <c r="X660" s="1" t="d">
        <v>2016-05-24</v>
      </c>
      <c r="Z660" t="s">
        <v>39</v>
      </c>
      <c r="AA660" t="s">
        <v>46</v>
      </c>
      <c r="AB660">
        <v>4</v>
      </c>
      <c r="AC660">
        <v>1</v>
      </c>
      <c r="AD660" t="s">
        <v>32</v>
      </c>
      <c r="AE660" t="s">
        <v>47</v>
      </c>
      <c r="AF660" t="s">
        <v>43</v>
      </c>
      <c r="AG660">
        <f>IF(HR_Data[[#This Row],[Attrition]]="Yes",1,0)</f>
        <v>0</v>
      </c>
      <c r="AH660" t="str">
        <f>IF(HR_Data[Date_of_termination]="","Active","Left")</f>
        <v>Active</v>
      </c>
      <c r="AI660" t="str">
        <f>IF(HR_Data[YearsAtCompany]&lt;=2,"Fresher", IF(HR_Data[YearsAtCompany]&lt;=5,"Junior", IF(HR_Data[YearsAtCompany]&lt;=10, "Mid","Senior")))</f>
        <v>Junior</v>
      </c>
      <c r="AJ660" s="2" t="str">
        <f>IF(HR_Data[MonthlyIncome]&lt;=300,"Low", IF(HR_Data[MonthlyIncome]&lt;=7000,"Medium", "High"))</f>
        <v>High</v>
      </c>
      <c r="AK660" s="2" t="str">
        <f>VLOOKUP(HR_Data[JobRole], JobRole_Map[], 2, FALSE)</f>
        <v>Sales</v>
      </c>
    </row>
    <row r="661" spans="1:37" x14ac:dyDescent="0.25">
      <c r="A661" s="2">
        <v>32</v>
      </c>
      <c r="B661" t="s">
        <v>41</v>
      </c>
      <c r="C661" t="s">
        <v>33</v>
      </c>
      <c r="D661" t="s">
        <v>34</v>
      </c>
      <c r="E661">
        <v>8</v>
      </c>
      <c r="F661" t="s">
        <v>58</v>
      </c>
      <c r="G661">
        <v>4</v>
      </c>
      <c r="H661">
        <v>2</v>
      </c>
      <c r="I661" t="s">
        <v>44</v>
      </c>
      <c r="J661">
        <v>3</v>
      </c>
      <c r="K661" t="s">
        <v>50</v>
      </c>
      <c r="L661">
        <v>5175</v>
      </c>
      <c r="M661">
        <v>5</v>
      </c>
      <c r="N661" t="s">
        <v>41</v>
      </c>
      <c r="O661">
        <v>12</v>
      </c>
      <c r="P661">
        <v>3</v>
      </c>
      <c r="Q661">
        <v>1</v>
      </c>
      <c r="R661">
        <v>9</v>
      </c>
      <c r="S661">
        <v>3</v>
      </c>
      <c r="T661">
        <v>5</v>
      </c>
      <c r="U661">
        <v>1</v>
      </c>
      <c r="V661">
        <v>3</v>
      </c>
      <c r="W661" t="s">
        <v>56</v>
      </c>
      <c r="X661" s="1" t="d">
        <v>2016-01-18</v>
      </c>
      <c r="Z661" t="s">
        <v>45</v>
      </c>
      <c r="AA661" t="s">
        <v>46</v>
      </c>
      <c r="AB661">
        <v>5</v>
      </c>
      <c r="AC661">
        <v>1</v>
      </c>
      <c r="AD661" t="s">
        <v>32</v>
      </c>
      <c r="AE661" t="s">
        <v>47</v>
      </c>
      <c r="AF661" t="s">
        <v>57</v>
      </c>
      <c r="AG661">
        <f>IF(HR_Data[[#This Row],[Attrition]]="Yes",1,0)</f>
        <v>0</v>
      </c>
      <c r="AH661" t="str">
        <f>IF(HR_Data[Date_of_termination]="","Active","Left")</f>
        <v>Active</v>
      </c>
      <c r="AI661" t="str">
        <f>IF(HR_Data[YearsAtCompany]&lt;=2,"Fresher", IF(HR_Data[YearsAtCompany]&lt;=5,"Junior", IF(HR_Data[YearsAtCompany]&lt;=10, "Mid","Senior")))</f>
        <v>Junior</v>
      </c>
      <c r="AJ661" s="2" t="str">
        <f>IF(HR_Data[MonthlyIncome]&lt;=300,"Low", IF(HR_Data[MonthlyIncome]&lt;=7000,"Medium", "High"))</f>
        <v>Medium</v>
      </c>
      <c r="AK661" s="2" t="str">
        <f>VLOOKUP(HR_Data[JobRole], JobRole_Map[], 2, FALSE)</f>
        <v>Technical</v>
      </c>
    </row>
    <row r="662" spans="1:37" x14ac:dyDescent="0.25">
      <c r="A662" s="2">
        <v>28</v>
      </c>
      <c r="B662" t="s">
        <v>41</v>
      </c>
      <c r="C662" t="s">
        <v>33</v>
      </c>
      <c r="D662" t="s">
        <v>70</v>
      </c>
      <c r="E662">
        <v>8</v>
      </c>
      <c r="F662" t="s">
        <v>35</v>
      </c>
      <c r="G662">
        <v>2</v>
      </c>
      <c r="H662">
        <v>1</v>
      </c>
      <c r="I662" t="s">
        <v>70</v>
      </c>
      <c r="J662">
        <v>4</v>
      </c>
      <c r="K662" t="s">
        <v>55</v>
      </c>
      <c r="L662">
        <v>4936</v>
      </c>
      <c r="M662">
        <v>1</v>
      </c>
      <c r="N662" t="s">
        <v>41</v>
      </c>
      <c r="O662">
        <v>13</v>
      </c>
      <c r="P662">
        <v>3</v>
      </c>
      <c r="Q662">
        <v>1</v>
      </c>
      <c r="R662">
        <v>6</v>
      </c>
      <c r="S662">
        <v>6</v>
      </c>
      <c r="T662">
        <v>5</v>
      </c>
      <c r="U662">
        <v>0</v>
      </c>
      <c r="V662">
        <v>4</v>
      </c>
      <c r="W662" t="s">
        <v>56</v>
      </c>
      <c r="X662" s="1" t="d">
        <v>2016-02-20</v>
      </c>
      <c r="Z662" t="s">
        <v>63</v>
      </c>
      <c r="AA662" t="s">
        <v>46</v>
      </c>
      <c r="AB662">
        <v>1</v>
      </c>
      <c r="AC662">
        <v>0</v>
      </c>
      <c r="AD662" t="s">
        <v>41</v>
      </c>
      <c r="AE662" t="s">
        <v>42</v>
      </c>
      <c r="AF662" t="s">
        <v>57</v>
      </c>
      <c r="AG662">
        <f>IF(HR_Data[[#This Row],[Attrition]]="Yes",1,0)</f>
        <v>0</v>
      </c>
      <c r="AH662" t="str">
        <f>IF(HR_Data[Date_of_termination]="","Active","Left")</f>
        <v>Active</v>
      </c>
      <c r="AI662" t="str">
        <f>IF(HR_Data[YearsAtCompany]&lt;=2,"Fresher", IF(HR_Data[YearsAtCompany]&lt;=5,"Junior", IF(HR_Data[YearsAtCompany]&lt;=10, "Mid","Senior")))</f>
        <v>Junior</v>
      </c>
      <c r="AJ662" s="2" t="str">
        <f>IF(HR_Data[MonthlyIncome]&lt;=300,"Low", IF(HR_Data[MonthlyIncome]&lt;=7000,"Medium", "High"))</f>
        <v>Medium</v>
      </c>
      <c r="AK662" s="2" t="str">
        <f>VLOOKUP(HR_Data[JobRole], JobRole_Map[], 2, FALSE)</f>
        <v>HR</v>
      </c>
    </row>
    <row r="663" spans="1:37" x14ac:dyDescent="0.25">
      <c r="A663" s="2">
        <v>36</v>
      </c>
      <c r="B663" t="s">
        <v>41</v>
      </c>
      <c r="C663" t="s">
        <v>33</v>
      </c>
      <c r="D663" t="s">
        <v>70</v>
      </c>
      <c r="E663">
        <v>8</v>
      </c>
      <c r="F663" t="s">
        <v>35</v>
      </c>
      <c r="G663">
        <v>2</v>
      </c>
      <c r="H663">
        <v>1</v>
      </c>
      <c r="I663" t="s">
        <v>70</v>
      </c>
      <c r="J663">
        <v>1</v>
      </c>
      <c r="K663" t="s">
        <v>50</v>
      </c>
      <c r="L663">
        <v>2342</v>
      </c>
      <c r="M663">
        <v>0</v>
      </c>
      <c r="N663" t="s">
        <v>41</v>
      </c>
      <c r="O663">
        <v>21</v>
      </c>
      <c r="P663">
        <v>4</v>
      </c>
      <c r="Q663">
        <v>0</v>
      </c>
      <c r="R663">
        <v>6</v>
      </c>
      <c r="S663">
        <v>3</v>
      </c>
      <c r="T663">
        <v>5</v>
      </c>
      <c r="U663">
        <v>0</v>
      </c>
      <c r="V663">
        <v>3</v>
      </c>
      <c r="W663" t="s">
        <v>56</v>
      </c>
      <c r="X663" s="1" t="d">
        <v>2016-04-22</v>
      </c>
      <c r="Z663" t="s">
        <v>63</v>
      </c>
      <c r="AA663" t="s">
        <v>40</v>
      </c>
      <c r="AB663">
        <v>4</v>
      </c>
      <c r="AC663">
        <v>0</v>
      </c>
      <c r="AD663" t="s">
        <v>32</v>
      </c>
      <c r="AE663" t="s">
        <v>60</v>
      </c>
      <c r="AF663" t="s">
        <v>48</v>
      </c>
      <c r="AG663">
        <f>IF(HR_Data[[#This Row],[Attrition]]="Yes",1,0)</f>
        <v>0</v>
      </c>
      <c r="AH663" t="str">
        <f>IF(HR_Data[Date_of_termination]="","Active","Left")</f>
        <v>Active</v>
      </c>
      <c r="AI663" t="str">
        <f>IF(HR_Data[YearsAtCompany]&lt;=2,"Fresher", IF(HR_Data[YearsAtCompany]&lt;=5,"Junior", IF(HR_Data[YearsAtCompany]&lt;=10, "Mid","Senior")))</f>
        <v>Junior</v>
      </c>
      <c r="AJ663" s="2" t="str">
        <f>IF(HR_Data[MonthlyIncome]&lt;=300,"Low", IF(HR_Data[MonthlyIncome]&lt;=7000,"Medium", "High"))</f>
        <v>Medium</v>
      </c>
      <c r="AK663" s="2" t="str">
        <f>VLOOKUP(HR_Data[JobRole], JobRole_Map[], 2, FALSE)</f>
        <v>HR</v>
      </c>
    </row>
    <row r="664" spans="1:37" x14ac:dyDescent="0.25">
      <c r="A664" s="2">
        <v>25</v>
      </c>
      <c r="B664" t="s">
        <v>41</v>
      </c>
      <c r="C664" t="s">
        <v>33</v>
      </c>
      <c r="D664" t="s">
        <v>53</v>
      </c>
      <c r="E664">
        <v>3</v>
      </c>
      <c r="F664" t="s">
        <v>35</v>
      </c>
      <c r="G664">
        <v>3</v>
      </c>
      <c r="H664">
        <v>2</v>
      </c>
      <c r="I664" t="s">
        <v>64</v>
      </c>
      <c r="J664">
        <v>1</v>
      </c>
      <c r="K664" t="s">
        <v>50</v>
      </c>
      <c r="L664">
        <v>4194</v>
      </c>
      <c r="M664">
        <v>1</v>
      </c>
      <c r="N664" t="s">
        <v>32</v>
      </c>
      <c r="O664">
        <v>18</v>
      </c>
      <c r="P664">
        <v>3</v>
      </c>
      <c r="Q664">
        <v>0</v>
      </c>
      <c r="R664">
        <v>5</v>
      </c>
      <c r="S664">
        <v>3</v>
      </c>
      <c r="T664">
        <v>5</v>
      </c>
      <c r="U664">
        <v>0</v>
      </c>
      <c r="V664">
        <v>3</v>
      </c>
      <c r="W664" t="s">
        <v>38</v>
      </c>
      <c r="X664" s="1" t="d">
        <v>2016-01-14</v>
      </c>
      <c r="Z664" t="s">
        <v>45</v>
      </c>
      <c r="AA664" t="s">
        <v>46</v>
      </c>
      <c r="AB664">
        <v>2</v>
      </c>
      <c r="AC664">
        <v>2</v>
      </c>
      <c r="AD664" t="s">
        <v>32</v>
      </c>
      <c r="AE664" t="s">
        <v>42</v>
      </c>
      <c r="AF664" t="s">
        <v>48</v>
      </c>
      <c r="AG664">
        <f>IF(HR_Data[[#This Row],[Attrition]]="Yes",1,0)</f>
        <v>0</v>
      </c>
      <c r="AH664" t="str">
        <f>IF(HR_Data[Date_of_termination]="","Active","Left")</f>
        <v>Active</v>
      </c>
      <c r="AI664" t="str">
        <f>IF(HR_Data[YearsAtCompany]&lt;=2,"Fresher", IF(HR_Data[YearsAtCompany]&lt;=5,"Junior", IF(HR_Data[YearsAtCompany]&lt;=10, "Mid","Senior")))</f>
        <v>Junior</v>
      </c>
      <c r="AJ664" s="2" t="str">
        <f>IF(HR_Data[MonthlyIncome]&lt;=300,"Low", IF(HR_Data[MonthlyIncome]&lt;=7000,"Medium", "High"))</f>
        <v>Medium</v>
      </c>
      <c r="AK664" s="2" t="str">
        <f>VLOOKUP(HR_Data[JobRole], JobRole_Map[], 2, FALSE)</f>
        <v>Sales</v>
      </c>
    </row>
    <row r="665" spans="1:37" x14ac:dyDescent="0.25">
      <c r="A665" s="2">
        <v>25</v>
      </c>
      <c r="B665" t="s">
        <v>41</v>
      </c>
      <c r="C665" t="s">
        <v>33</v>
      </c>
      <c r="D665" t="s">
        <v>53</v>
      </c>
      <c r="E665">
        <v>4</v>
      </c>
      <c r="F665" t="s">
        <v>35</v>
      </c>
      <c r="G665">
        <v>2</v>
      </c>
      <c r="H665">
        <v>2</v>
      </c>
      <c r="I665" t="s">
        <v>64</v>
      </c>
      <c r="J665">
        <v>1</v>
      </c>
      <c r="K665" t="s">
        <v>50</v>
      </c>
      <c r="L665">
        <v>4256</v>
      </c>
      <c r="M665">
        <v>1</v>
      </c>
      <c r="N665" t="s">
        <v>41</v>
      </c>
      <c r="O665">
        <v>12</v>
      </c>
      <c r="P665">
        <v>3</v>
      </c>
      <c r="Q665">
        <v>0</v>
      </c>
      <c r="R665">
        <v>5</v>
      </c>
      <c r="S665">
        <v>1</v>
      </c>
      <c r="T665">
        <v>5</v>
      </c>
      <c r="U665">
        <v>0</v>
      </c>
      <c r="V665">
        <v>3</v>
      </c>
      <c r="W665" t="s">
        <v>65</v>
      </c>
      <c r="X665" s="1" t="d">
        <v>2016-05-13</v>
      </c>
      <c r="Z665" t="s">
        <v>52</v>
      </c>
      <c r="AA665" t="s">
        <v>46</v>
      </c>
      <c r="AB665">
        <v>2</v>
      </c>
      <c r="AC665">
        <v>1</v>
      </c>
      <c r="AD665" t="s">
        <v>32</v>
      </c>
      <c r="AE665" t="s">
        <v>47</v>
      </c>
      <c r="AF665" t="s">
        <v>48</v>
      </c>
      <c r="AG665">
        <f>IF(HR_Data[[#This Row],[Attrition]]="Yes",1,0)</f>
        <v>0</v>
      </c>
      <c r="AH665" t="str">
        <f>IF(HR_Data[Date_of_termination]="","Active","Left")</f>
        <v>Active</v>
      </c>
      <c r="AI665" t="str">
        <f>IF(HR_Data[YearsAtCompany]&lt;=2,"Fresher", IF(HR_Data[YearsAtCompany]&lt;=5,"Junior", IF(HR_Data[YearsAtCompany]&lt;=10, "Mid","Senior")))</f>
        <v>Junior</v>
      </c>
      <c r="AJ665" s="2" t="str">
        <f>IF(HR_Data[MonthlyIncome]&lt;=300,"Low", IF(HR_Data[MonthlyIncome]&lt;=7000,"Medium", "High"))</f>
        <v>Medium</v>
      </c>
      <c r="AK665" s="2" t="str">
        <f>VLOOKUP(HR_Data[JobRole], JobRole_Map[], 2, FALSE)</f>
        <v>Sales</v>
      </c>
    </row>
    <row r="666" spans="1:37" x14ac:dyDescent="0.25">
      <c r="A666" s="2">
        <v>24</v>
      </c>
      <c r="B666" t="s">
        <v>41</v>
      </c>
      <c r="C666" t="s">
        <v>68</v>
      </c>
      <c r="D666" t="s">
        <v>34</v>
      </c>
      <c r="E666">
        <v>4</v>
      </c>
      <c r="F666" t="s">
        <v>35</v>
      </c>
      <c r="G666">
        <v>2</v>
      </c>
      <c r="H666">
        <v>1</v>
      </c>
      <c r="I666" t="s">
        <v>36</v>
      </c>
      <c r="J666">
        <v>4</v>
      </c>
      <c r="K666" t="s">
        <v>50</v>
      </c>
      <c r="L666">
        <v>3162</v>
      </c>
      <c r="M666">
        <v>0</v>
      </c>
      <c r="N666" t="s">
        <v>41</v>
      </c>
      <c r="O666">
        <v>17</v>
      </c>
      <c r="P666">
        <v>3</v>
      </c>
      <c r="Q666">
        <v>0</v>
      </c>
      <c r="R666">
        <v>6</v>
      </c>
      <c r="S666">
        <v>2</v>
      </c>
      <c r="T666">
        <v>5</v>
      </c>
      <c r="U666">
        <v>3</v>
      </c>
      <c r="V666">
        <v>4</v>
      </c>
      <c r="W666" t="s">
        <v>56</v>
      </c>
      <c r="X666" s="1" t="d">
        <v>2016-03-31</v>
      </c>
      <c r="Z666" t="s">
        <v>39</v>
      </c>
      <c r="AA666" t="s">
        <v>40</v>
      </c>
      <c r="AB666">
        <v>4</v>
      </c>
      <c r="AC666">
        <v>3</v>
      </c>
      <c r="AD666" t="s">
        <v>41</v>
      </c>
      <c r="AE666" t="s">
        <v>60</v>
      </c>
      <c r="AF666" t="s">
        <v>48</v>
      </c>
      <c r="AG666">
        <f>IF(HR_Data[[#This Row],[Attrition]]="Yes",1,0)</f>
        <v>0</v>
      </c>
      <c r="AH666" t="str">
        <f>IF(HR_Data[Date_of_termination]="","Active","Left")</f>
        <v>Active</v>
      </c>
      <c r="AI666" t="str">
        <f>IF(HR_Data[YearsAtCompany]&lt;=2,"Fresher", IF(HR_Data[YearsAtCompany]&lt;=5,"Junior", IF(HR_Data[YearsAtCompany]&lt;=10, "Mid","Senior")))</f>
        <v>Junior</v>
      </c>
      <c r="AJ666" s="2" t="str">
        <f>IF(HR_Data[MonthlyIncome]&lt;=300,"Low", IF(HR_Data[MonthlyIncome]&lt;=7000,"Medium", "High"))</f>
        <v>Medium</v>
      </c>
      <c r="AK666" s="2" t="str">
        <f>VLOOKUP(HR_Data[JobRole], JobRole_Map[], 2, FALSE)</f>
        <v>Technical</v>
      </c>
    </row>
    <row r="667" spans="1:37" x14ac:dyDescent="0.25">
      <c r="A667" s="2">
        <v>42</v>
      </c>
      <c r="B667" t="s">
        <v>41</v>
      </c>
      <c r="C667" t="s">
        <v>33</v>
      </c>
      <c r="D667" t="s">
        <v>34</v>
      </c>
      <c r="E667">
        <v>3</v>
      </c>
      <c r="F667" t="s">
        <v>58</v>
      </c>
      <c r="G667">
        <v>4</v>
      </c>
      <c r="H667">
        <v>2</v>
      </c>
      <c r="I667" t="s">
        <v>36</v>
      </c>
      <c r="J667">
        <v>4</v>
      </c>
      <c r="K667" t="s">
        <v>50</v>
      </c>
      <c r="L667">
        <v>5231</v>
      </c>
      <c r="M667">
        <v>2</v>
      </c>
      <c r="N667" t="s">
        <v>32</v>
      </c>
      <c r="O667">
        <v>13</v>
      </c>
      <c r="P667">
        <v>3</v>
      </c>
      <c r="Q667">
        <v>1</v>
      </c>
      <c r="R667">
        <v>17</v>
      </c>
      <c r="S667">
        <v>1</v>
      </c>
      <c r="T667">
        <v>5</v>
      </c>
      <c r="U667">
        <v>1</v>
      </c>
      <c r="V667">
        <v>3</v>
      </c>
      <c r="W667" t="s">
        <v>56</v>
      </c>
      <c r="X667" s="1" t="d">
        <v>2016-03-26</v>
      </c>
      <c r="Z667" t="s">
        <v>63</v>
      </c>
      <c r="AA667" t="s">
        <v>40</v>
      </c>
      <c r="AB667">
        <v>4</v>
      </c>
      <c r="AC667">
        <v>2</v>
      </c>
      <c r="AD667" t="s">
        <v>41</v>
      </c>
      <c r="AE667" t="s">
        <v>62</v>
      </c>
      <c r="AF667" t="s">
        <v>57</v>
      </c>
      <c r="AG667">
        <f>IF(HR_Data[[#This Row],[Attrition]]="Yes",1,0)</f>
        <v>0</v>
      </c>
      <c r="AH667" t="str">
        <f>IF(HR_Data[Date_of_termination]="","Active","Left")</f>
        <v>Active</v>
      </c>
      <c r="AI667" t="str">
        <f>IF(HR_Data[YearsAtCompany]&lt;=2,"Fresher", IF(HR_Data[YearsAtCompany]&lt;=5,"Junior", IF(HR_Data[YearsAtCompany]&lt;=10, "Mid","Senior")))</f>
        <v>Junior</v>
      </c>
      <c r="AJ667" s="2" t="str">
        <f>IF(HR_Data[MonthlyIncome]&lt;=300,"Low", IF(HR_Data[MonthlyIncome]&lt;=7000,"Medium", "High"))</f>
        <v>Medium</v>
      </c>
      <c r="AK667" s="2" t="str">
        <f>VLOOKUP(HR_Data[JobRole], JobRole_Map[], 2, FALSE)</f>
        <v>Technical</v>
      </c>
    </row>
    <row r="668" spans="1:37" x14ac:dyDescent="0.25">
      <c r="A668" s="2">
        <v>37</v>
      </c>
      <c r="B668" t="s">
        <v>41</v>
      </c>
      <c r="C668" t="s">
        <v>61</v>
      </c>
      <c r="D668" t="s">
        <v>53</v>
      </c>
      <c r="E668">
        <v>21</v>
      </c>
      <c r="F668" t="s">
        <v>58</v>
      </c>
      <c r="G668">
        <v>3</v>
      </c>
      <c r="H668">
        <v>1</v>
      </c>
      <c r="I668" t="s">
        <v>54</v>
      </c>
      <c r="J668">
        <v>4</v>
      </c>
      <c r="K668" t="s">
        <v>50</v>
      </c>
      <c r="L668">
        <v>2973</v>
      </c>
      <c r="M668">
        <v>5</v>
      </c>
      <c r="N668" t="s">
        <v>41</v>
      </c>
      <c r="O668">
        <v>15</v>
      </c>
      <c r="P668">
        <v>3</v>
      </c>
      <c r="Q668">
        <v>1</v>
      </c>
      <c r="R668">
        <v>10</v>
      </c>
      <c r="S668">
        <v>3</v>
      </c>
      <c r="T668">
        <v>5</v>
      </c>
      <c r="U668">
        <v>0</v>
      </c>
      <c r="V668">
        <v>0</v>
      </c>
      <c r="W668" t="s">
        <v>51</v>
      </c>
      <c r="X668" s="1" t="d">
        <v>2016-03-11</v>
      </c>
      <c r="Z668" t="s">
        <v>39</v>
      </c>
      <c r="AA668" t="s">
        <v>46</v>
      </c>
      <c r="AB668">
        <v>1</v>
      </c>
      <c r="AC668">
        <v>1</v>
      </c>
      <c r="AD668" t="s">
        <v>32</v>
      </c>
      <c r="AE668" t="s">
        <v>62</v>
      </c>
      <c r="AF668" t="s">
        <v>43</v>
      </c>
      <c r="AG668">
        <f>IF(HR_Data[[#This Row],[Attrition]]="Yes",1,0)</f>
        <v>0</v>
      </c>
      <c r="AH668" t="str">
        <f>IF(HR_Data[Date_of_termination]="","Active","Left")</f>
        <v>Active</v>
      </c>
      <c r="AI668" t="str">
        <f>IF(HR_Data[YearsAtCompany]&lt;=2,"Fresher", IF(HR_Data[YearsAtCompany]&lt;=5,"Junior", IF(HR_Data[YearsAtCompany]&lt;=10, "Mid","Senior")))</f>
        <v>Junior</v>
      </c>
      <c r="AJ668" s="2" t="str">
        <f>IF(HR_Data[MonthlyIncome]&lt;=300,"Low", IF(HR_Data[MonthlyIncome]&lt;=7000,"Medium", "High"))</f>
        <v>Medium</v>
      </c>
      <c r="AK668" s="2" t="str">
        <f>VLOOKUP(HR_Data[JobRole], JobRole_Map[], 2, FALSE)</f>
        <v>Sales</v>
      </c>
    </row>
    <row r="669" spans="1:37" x14ac:dyDescent="0.25">
      <c r="A669" s="2">
        <v>43</v>
      </c>
      <c r="B669" t="s">
        <v>41</v>
      </c>
      <c r="C669" t="s">
        <v>61</v>
      </c>
      <c r="D669" t="s">
        <v>34</v>
      </c>
      <c r="E669">
        <v>1</v>
      </c>
      <c r="F669" t="s">
        <v>58</v>
      </c>
      <c r="G669">
        <v>3</v>
      </c>
      <c r="H669">
        <v>2</v>
      </c>
      <c r="I669" t="s">
        <v>69</v>
      </c>
      <c r="J669">
        <v>4</v>
      </c>
      <c r="K669" t="s">
        <v>50</v>
      </c>
      <c r="L669">
        <v>5562</v>
      </c>
      <c r="M669">
        <v>4</v>
      </c>
      <c r="N669" t="s">
        <v>41</v>
      </c>
      <c r="O669">
        <v>13</v>
      </c>
      <c r="P669">
        <v>3</v>
      </c>
      <c r="Q669">
        <v>1</v>
      </c>
      <c r="R669">
        <v>12</v>
      </c>
      <c r="S669">
        <v>2</v>
      </c>
      <c r="T669">
        <v>5</v>
      </c>
      <c r="U669">
        <v>2</v>
      </c>
      <c r="V669">
        <v>2</v>
      </c>
      <c r="W669" t="s">
        <v>65</v>
      </c>
      <c r="X669" s="1" t="d">
        <v>2016-04-19</v>
      </c>
      <c r="Z669" t="s">
        <v>52</v>
      </c>
      <c r="AA669" t="s">
        <v>46</v>
      </c>
      <c r="AB669">
        <v>3</v>
      </c>
      <c r="AC669">
        <v>0</v>
      </c>
      <c r="AD669" t="s">
        <v>41</v>
      </c>
      <c r="AE669" t="s">
        <v>42</v>
      </c>
      <c r="AF669" t="s">
        <v>43</v>
      </c>
      <c r="AG669">
        <f>IF(HR_Data[[#This Row],[Attrition]]="Yes",1,0)</f>
        <v>0</v>
      </c>
      <c r="AH669" t="str">
        <f>IF(HR_Data[Date_of_termination]="","Active","Left")</f>
        <v>Active</v>
      </c>
      <c r="AI669" t="str">
        <f>IF(HR_Data[YearsAtCompany]&lt;=2,"Fresher", IF(HR_Data[YearsAtCompany]&lt;=5,"Junior", IF(HR_Data[YearsAtCompany]&lt;=10, "Mid","Senior")))</f>
        <v>Junior</v>
      </c>
      <c r="AJ669" s="2" t="str">
        <f>IF(HR_Data[MonthlyIncome]&lt;=300,"Low", IF(HR_Data[MonthlyIncome]&lt;=7000,"Medium", "High"))</f>
        <v>Medium</v>
      </c>
      <c r="AK669" s="2" t="str">
        <f>VLOOKUP(HR_Data[JobRole], JobRole_Map[], 2, FALSE)</f>
        <v>Operations</v>
      </c>
    </row>
    <row r="670" spans="1:37" x14ac:dyDescent="0.25">
      <c r="A670" s="2">
        <v>39</v>
      </c>
      <c r="B670" t="s">
        <v>41</v>
      </c>
      <c r="C670" t="s">
        <v>33</v>
      </c>
      <c r="D670" t="s">
        <v>70</v>
      </c>
      <c r="E670">
        <v>2</v>
      </c>
      <c r="F670" t="s">
        <v>58</v>
      </c>
      <c r="G670">
        <v>2</v>
      </c>
      <c r="H670">
        <v>2</v>
      </c>
      <c r="I670" t="s">
        <v>70</v>
      </c>
      <c r="J670">
        <v>4</v>
      </c>
      <c r="K670" t="s">
        <v>50</v>
      </c>
      <c r="L670">
        <v>5204</v>
      </c>
      <c r="M670">
        <v>8</v>
      </c>
      <c r="N670" t="s">
        <v>41</v>
      </c>
      <c r="O670">
        <v>11</v>
      </c>
      <c r="P670">
        <v>3</v>
      </c>
      <c r="Q670">
        <v>2</v>
      </c>
      <c r="R670">
        <v>13</v>
      </c>
      <c r="S670">
        <v>2</v>
      </c>
      <c r="T670">
        <v>5</v>
      </c>
      <c r="U670">
        <v>0</v>
      </c>
      <c r="V670">
        <v>4</v>
      </c>
      <c r="W670" t="s">
        <v>51</v>
      </c>
      <c r="X670" s="1" t="d">
        <v>2016-01-21</v>
      </c>
      <c r="Z670" t="s">
        <v>63</v>
      </c>
      <c r="AA670" t="s">
        <v>40</v>
      </c>
      <c r="AB670">
        <v>4</v>
      </c>
      <c r="AC670">
        <v>0</v>
      </c>
      <c r="AD670" t="s">
        <v>41</v>
      </c>
      <c r="AE670" t="s">
        <v>60</v>
      </c>
      <c r="AF670" t="s">
        <v>43</v>
      </c>
      <c r="AG670">
        <f>IF(HR_Data[[#This Row],[Attrition]]="Yes",1,0)</f>
        <v>0</v>
      </c>
      <c r="AH670" t="str">
        <f>IF(HR_Data[Date_of_termination]="","Active","Left")</f>
        <v>Active</v>
      </c>
      <c r="AI670" t="str">
        <f>IF(HR_Data[YearsAtCompany]&lt;=2,"Fresher", IF(HR_Data[YearsAtCompany]&lt;=5,"Junior", IF(HR_Data[YearsAtCompany]&lt;=10, "Mid","Senior")))</f>
        <v>Junior</v>
      </c>
      <c r="AJ670" s="2" t="str">
        <f>IF(HR_Data[MonthlyIncome]&lt;=300,"Low", IF(HR_Data[MonthlyIncome]&lt;=7000,"Medium", "High"))</f>
        <v>Medium</v>
      </c>
      <c r="AK670" s="2" t="str">
        <f>VLOOKUP(HR_Data[JobRole], JobRole_Map[], 2, FALSE)</f>
        <v>HR</v>
      </c>
    </row>
    <row r="671" spans="1:37" x14ac:dyDescent="0.25">
      <c r="A671" s="2">
        <v>42</v>
      </c>
      <c r="B671" t="s">
        <v>41</v>
      </c>
      <c r="C671" t="s">
        <v>33</v>
      </c>
      <c r="D671" t="s">
        <v>53</v>
      </c>
      <c r="E671">
        <v>14</v>
      </c>
      <c r="F671" t="s">
        <v>58</v>
      </c>
      <c r="G671">
        <v>2</v>
      </c>
      <c r="H671">
        <v>2</v>
      </c>
      <c r="I671" t="s">
        <v>64</v>
      </c>
      <c r="J671">
        <v>3</v>
      </c>
      <c r="K671" t="s">
        <v>37</v>
      </c>
      <c r="L671">
        <v>6244</v>
      </c>
      <c r="M671">
        <v>7</v>
      </c>
      <c r="N671" t="s">
        <v>41</v>
      </c>
      <c r="O671">
        <v>17</v>
      </c>
      <c r="P671">
        <v>3</v>
      </c>
      <c r="Q671">
        <v>0</v>
      </c>
      <c r="R671">
        <v>10</v>
      </c>
      <c r="S671">
        <v>6</v>
      </c>
      <c r="T671">
        <v>5</v>
      </c>
      <c r="U671">
        <v>0</v>
      </c>
      <c r="V671">
        <v>3</v>
      </c>
      <c r="W671" t="s">
        <v>65</v>
      </c>
      <c r="X671" s="1" t="d">
        <v>2016-06-24</v>
      </c>
      <c r="Z671" t="s">
        <v>39</v>
      </c>
      <c r="AA671" t="s">
        <v>40</v>
      </c>
      <c r="AB671">
        <v>5</v>
      </c>
      <c r="AC671">
        <v>3</v>
      </c>
      <c r="AD671" t="s">
        <v>41</v>
      </c>
      <c r="AE671" t="s">
        <v>62</v>
      </c>
      <c r="AF671" t="s">
        <v>57</v>
      </c>
      <c r="AG671">
        <f>IF(HR_Data[[#This Row],[Attrition]]="Yes",1,0)</f>
        <v>0</v>
      </c>
      <c r="AH671" t="str">
        <f>IF(HR_Data[Date_of_termination]="","Active","Left")</f>
        <v>Active</v>
      </c>
      <c r="AI671" t="str">
        <f>IF(HR_Data[YearsAtCompany]&lt;=2,"Fresher", IF(HR_Data[YearsAtCompany]&lt;=5,"Junior", IF(HR_Data[YearsAtCompany]&lt;=10, "Mid","Senior")))</f>
        <v>Junior</v>
      </c>
      <c r="AJ671" s="2" t="str">
        <f>IF(HR_Data[MonthlyIncome]&lt;=300,"Low", IF(HR_Data[MonthlyIncome]&lt;=7000,"Medium", "High"))</f>
        <v>Medium</v>
      </c>
      <c r="AK671" s="2" t="str">
        <f>VLOOKUP(HR_Data[JobRole], JobRole_Map[], 2, FALSE)</f>
        <v>Sales</v>
      </c>
    </row>
    <row r="672" spans="1:37" x14ac:dyDescent="0.25">
      <c r="A672" s="2">
        <v>33</v>
      </c>
      <c r="B672" t="s">
        <v>41</v>
      </c>
      <c r="C672" t="s">
        <v>33</v>
      </c>
      <c r="D672" t="s">
        <v>34</v>
      </c>
      <c r="E672">
        <v>1</v>
      </c>
      <c r="F672" t="s">
        <v>58</v>
      </c>
      <c r="G672">
        <v>2</v>
      </c>
      <c r="H672">
        <v>2</v>
      </c>
      <c r="I672" t="s">
        <v>69</v>
      </c>
      <c r="J672">
        <v>4</v>
      </c>
      <c r="K672" t="s">
        <v>37</v>
      </c>
      <c r="L672">
        <v>6949</v>
      </c>
      <c r="M672">
        <v>0</v>
      </c>
      <c r="N672" t="s">
        <v>41</v>
      </c>
      <c r="O672">
        <v>14</v>
      </c>
      <c r="P672">
        <v>3</v>
      </c>
      <c r="Q672">
        <v>0</v>
      </c>
      <c r="R672">
        <v>6</v>
      </c>
      <c r="S672">
        <v>3</v>
      </c>
      <c r="T672">
        <v>5</v>
      </c>
      <c r="U672">
        <v>1</v>
      </c>
      <c r="V672">
        <v>4</v>
      </c>
      <c r="W672" t="s">
        <v>38</v>
      </c>
      <c r="X672" s="1" t="d">
        <v>2016-03-04</v>
      </c>
      <c r="Z672" t="s">
        <v>39</v>
      </c>
      <c r="AA672" t="s">
        <v>40</v>
      </c>
      <c r="AB672">
        <v>3</v>
      </c>
      <c r="AC672">
        <v>0</v>
      </c>
      <c r="AD672" t="s">
        <v>32</v>
      </c>
      <c r="AE672" t="s">
        <v>42</v>
      </c>
      <c r="AF672" t="s">
        <v>48</v>
      </c>
      <c r="AG672">
        <f>IF(HR_Data[[#This Row],[Attrition]]="Yes",1,0)</f>
        <v>0</v>
      </c>
      <c r="AH672" t="str">
        <f>IF(HR_Data[Date_of_termination]="","Active","Left")</f>
        <v>Active</v>
      </c>
      <c r="AI672" t="str">
        <f>IF(HR_Data[YearsAtCompany]&lt;=2,"Fresher", IF(HR_Data[YearsAtCompany]&lt;=5,"Junior", IF(HR_Data[YearsAtCompany]&lt;=10, "Mid","Senior")))</f>
        <v>Junior</v>
      </c>
      <c r="AJ672" s="2" t="str">
        <f>IF(HR_Data[MonthlyIncome]&lt;=300,"Low", IF(HR_Data[MonthlyIncome]&lt;=7000,"Medium", "High"))</f>
        <v>Medium</v>
      </c>
      <c r="AK672" s="2" t="str">
        <f>VLOOKUP(HR_Data[JobRole], JobRole_Map[], 2, FALSE)</f>
        <v>Operations</v>
      </c>
    </row>
    <row r="673" spans="1:37" x14ac:dyDescent="0.25">
      <c r="A673" s="2">
        <v>35</v>
      </c>
      <c r="B673" t="s">
        <v>41</v>
      </c>
      <c r="C673" t="s">
        <v>33</v>
      </c>
      <c r="D673" t="s">
        <v>53</v>
      </c>
      <c r="E673">
        <v>18</v>
      </c>
      <c r="F673" t="s">
        <v>58</v>
      </c>
      <c r="G673">
        <v>3</v>
      </c>
      <c r="H673">
        <v>2</v>
      </c>
      <c r="I673" t="s">
        <v>64</v>
      </c>
      <c r="J673">
        <v>3</v>
      </c>
      <c r="K673" t="s">
        <v>50</v>
      </c>
      <c r="L673">
        <v>4601</v>
      </c>
      <c r="M673">
        <v>1</v>
      </c>
      <c r="N673" t="s">
        <v>41</v>
      </c>
      <c r="O673">
        <v>16</v>
      </c>
      <c r="P673">
        <v>3</v>
      </c>
      <c r="Q673">
        <v>0</v>
      </c>
      <c r="R673">
        <v>5</v>
      </c>
      <c r="S673">
        <v>3</v>
      </c>
      <c r="T673">
        <v>5</v>
      </c>
      <c r="U673">
        <v>1</v>
      </c>
      <c r="V673">
        <v>0</v>
      </c>
      <c r="W673" t="s">
        <v>51</v>
      </c>
      <c r="X673" s="1" t="d">
        <v>2016-05-28</v>
      </c>
      <c r="Z673" t="s">
        <v>45</v>
      </c>
      <c r="AA673" t="s">
        <v>46</v>
      </c>
      <c r="AB673">
        <v>3</v>
      </c>
      <c r="AC673">
        <v>3</v>
      </c>
      <c r="AD673" t="s">
        <v>41</v>
      </c>
      <c r="AE673" t="s">
        <v>60</v>
      </c>
      <c r="AF673" t="s">
        <v>57</v>
      </c>
      <c r="AG673">
        <f>IF(HR_Data[[#This Row],[Attrition]]="Yes",1,0)</f>
        <v>0</v>
      </c>
      <c r="AH673" t="str">
        <f>IF(HR_Data[Date_of_termination]="","Active","Left")</f>
        <v>Active</v>
      </c>
      <c r="AI673" t="str">
        <f>IF(HR_Data[YearsAtCompany]&lt;=2,"Fresher", IF(HR_Data[YearsAtCompany]&lt;=5,"Junior", IF(HR_Data[YearsAtCompany]&lt;=10, "Mid","Senior")))</f>
        <v>Junior</v>
      </c>
      <c r="AJ673" s="2" t="str">
        <f>IF(HR_Data[MonthlyIncome]&lt;=300,"Low", IF(HR_Data[MonthlyIncome]&lt;=7000,"Medium", "High"))</f>
        <v>Medium</v>
      </c>
      <c r="AK673" s="2" t="str">
        <f>VLOOKUP(HR_Data[JobRole], JobRole_Map[], 2, FALSE)</f>
        <v>Sales</v>
      </c>
    </row>
    <row r="674" spans="1:37" x14ac:dyDescent="0.25">
      <c r="A674" s="2">
        <v>38</v>
      </c>
      <c r="B674" t="s">
        <v>41</v>
      </c>
      <c r="C674" t="s">
        <v>68</v>
      </c>
      <c r="D674" t="s">
        <v>53</v>
      </c>
      <c r="E674">
        <v>10</v>
      </c>
      <c r="F674" t="s">
        <v>58</v>
      </c>
      <c r="G674">
        <v>3</v>
      </c>
      <c r="H674">
        <v>2</v>
      </c>
      <c r="I674" t="s">
        <v>64</v>
      </c>
      <c r="J674">
        <v>4</v>
      </c>
      <c r="K674" t="s">
        <v>37</v>
      </c>
      <c r="L674">
        <v>5666</v>
      </c>
      <c r="M674">
        <v>1</v>
      </c>
      <c r="N674" t="s">
        <v>32</v>
      </c>
      <c r="O674">
        <v>13</v>
      </c>
      <c r="P674">
        <v>3</v>
      </c>
      <c r="Q674">
        <v>0</v>
      </c>
      <c r="R674">
        <v>6</v>
      </c>
      <c r="S674">
        <v>1</v>
      </c>
      <c r="T674">
        <v>5</v>
      </c>
      <c r="U674">
        <v>1</v>
      </c>
      <c r="V674">
        <v>3</v>
      </c>
      <c r="W674" t="s">
        <v>51</v>
      </c>
      <c r="X674" s="1" t="d">
        <v>2016-02-17</v>
      </c>
      <c r="Z674" t="s">
        <v>39</v>
      </c>
      <c r="AA674" t="s">
        <v>40</v>
      </c>
      <c r="AB674">
        <v>2</v>
      </c>
      <c r="AC674">
        <v>0</v>
      </c>
      <c r="AD674" t="s">
        <v>41</v>
      </c>
      <c r="AE674" t="s">
        <v>62</v>
      </c>
      <c r="AF674" t="s">
        <v>57</v>
      </c>
      <c r="AG674">
        <f>IF(HR_Data[[#This Row],[Attrition]]="Yes",1,0)</f>
        <v>0</v>
      </c>
      <c r="AH674" t="str">
        <f>IF(HR_Data[Date_of_termination]="","Active","Left")</f>
        <v>Active</v>
      </c>
      <c r="AI674" t="str">
        <f>IF(HR_Data[YearsAtCompany]&lt;=2,"Fresher", IF(HR_Data[YearsAtCompany]&lt;=5,"Junior", IF(HR_Data[YearsAtCompany]&lt;=10, "Mid","Senior")))</f>
        <v>Junior</v>
      </c>
      <c r="AJ674" s="2" t="str">
        <f>IF(HR_Data[MonthlyIncome]&lt;=300,"Low", IF(HR_Data[MonthlyIncome]&lt;=7000,"Medium", "High"))</f>
        <v>Medium</v>
      </c>
      <c r="AK674" s="2" t="str">
        <f>VLOOKUP(HR_Data[JobRole], JobRole_Map[], 2, FALSE)</f>
        <v>Sales</v>
      </c>
    </row>
    <row r="675" spans="1:37" x14ac:dyDescent="0.25">
      <c r="A675" s="2">
        <v>45</v>
      </c>
      <c r="B675" t="s">
        <v>41</v>
      </c>
      <c r="C675" t="s">
        <v>33</v>
      </c>
      <c r="D675" t="s">
        <v>34</v>
      </c>
      <c r="E675">
        <v>1</v>
      </c>
      <c r="F675" t="s">
        <v>58</v>
      </c>
      <c r="G675">
        <v>3</v>
      </c>
      <c r="H675">
        <v>1</v>
      </c>
      <c r="I675" t="s">
        <v>36</v>
      </c>
      <c r="J675">
        <v>4</v>
      </c>
      <c r="K675" t="s">
        <v>55</v>
      </c>
      <c r="L675">
        <v>2270</v>
      </c>
      <c r="M675">
        <v>3</v>
      </c>
      <c r="N675" t="s">
        <v>41</v>
      </c>
      <c r="O675">
        <v>14</v>
      </c>
      <c r="P675">
        <v>3</v>
      </c>
      <c r="Q675">
        <v>2</v>
      </c>
      <c r="R675">
        <v>8</v>
      </c>
      <c r="S675">
        <v>2</v>
      </c>
      <c r="T675">
        <v>5</v>
      </c>
      <c r="U675">
        <v>0</v>
      </c>
      <c r="V675">
        <v>2</v>
      </c>
      <c r="W675" t="s">
        <v>65</v>
      </c>
      <c r="X675" s="1" t="d">
        <v>2016-05-22</v>
      </c>
      <c r="Z675" t="s">
        <v>39</v>
      </c>
      <c r="AA675" t="s">
        <v>40</v>
      </c>
      <c r="AB675">
        <v>1</v>
      </c>
      <c r="AC675">
        <v>3</v>
      </c>
      <c r="AD675" t="s">
        <v>41</v>
      </c>
      <c r="AE675" t="s">
        <v>62</v>
      </c>
      <c r="AF675" t="s">
        <v>48</v>
      </c>
      <c r="AG675">
        <f>IF(HR_Data[[#This Row],[Attrition]]="Yes",1,0)</f>
        <v>0</v>
      </c>
      <c r="AH675" t="str">
        <f>IF(HR_Data[Date_of_termination]="","Active","Left")</f>
        <v>Active</v>
      </c>
      <c r="AI675" t="str">
        <f>IF(HR_Data[YearsAtCompany]&lt;=2,"Fresher", IF(HR_Data[YearsAtCompany]&lt;=5,"Junior", IF(HR_Data[YearsAtCompany]&lt;=10, "Mid","Senior")))</f>
        <v>Junior</v>
      </c>
      <c r="AJ675" s="2" t="str">
        <f>IF(HR_Data[MonthlyIncome]&lt;=300,"Low", IF(HR_Data[MonthlyIncome]&lt;=7000,"Medium", "High"))</f>
        <v>Medium</v>
      </c>
      <c r="AK675" s="2" t="str">
        <f>VLOOKUP(HR_Data[JobRole], JobRole_Map[], 2, FALSE)</f>
        <v>Technical</v>
      </c>
    </row>
    <row r="676" spans="1:37" x14ac:dyDescent="0.25">
      <c r="A676" s="2">
        <v>50</v>
      </c>
      <c r="B676" t="s">
        <v>41</v>
      </c>
      <c r="C676" t="s">
        <v>33</v>
      </c>
      <c r="D676" t="s">
        <v>34</v>
      </c>
      <c r="E676">
        <v>1</v>
      </c>
      <c r="F676" t="s">
        <v>35</v>
      </c>
      <c r="G676">
        <v>3</v>
      </c>
      <c r="H676">
        <v>4</v>
      </c>
      <c r="I676" t="s">
        <v>49</v>
      </c>
      <c r="J676">
        <v>4</v>
      </c>
      <c r="K676" t="s">
        <v>55</v>
      </c>
      <c r="L676">
        <v>17399</v>
      </c>
      <c r="M676">
        <v>9</v>
      </c>
      <c r="N676" t="s">
        <v>41</v>
      </c>
      <c r="O676">
        <v>22</v>
      </c>
      <c r="P676">
        <v>4</v>
      </c>
      <c r="Q676">
        <v>1</v>
      </c>
      <c r="R676">
        <v>32</v>
      </c>
      <c r="S676">
        <v>1</v>
      </c>
      <c r="T676">
        <v>5</v>
      </c>
      <c r="U676">
        <v>1</v>
      </c>
      <c r="V676">
        <v>3</v>
      </c>
      <c r="W676" t="s">
        <v>56</v>
      </c>
      <c r="X676" s="1" t="d">
        <v>2016-05-31</v>
      </c>
      <c r="Z676" t="s">
        <v>59</v>
      </c>
      <c r="AA676" t="s">
        <v>46</v>
      </c>
      <c r="AB676">
        <v>2</v>
      </c>
      <c r="AC676">
        <v>1</v>
      </c>
      <c r="AD676" t="s">
        <v>41</v>
      </c>
      <c r="AE676" t="s">
        <v>42</v>
      </c>
      <c r="AF676" t="s">
        <v>48</v>
      </c>
      <c r="AG676">
        <f>IF(HR_Data[[#This Row],[Attrition]]="Yes",1,0)</f>
        <v>0</v>
      </c>
      <c r="AH676" t="str">
        <f>IF(HR_Data[Date_of_termination]="","Active","Left")</f>
        <v>Active</v>
      </c>
      <c r="AI676" t="str">
        <f>IF(HR_Data[YearsAtCompany]&lt;=2,"Fresher", IF(HR_Data[YearsAtCompany]&lt;=5,"Junior", IF(HR_Data[YearsAtCompany]&lt;=10, "Mid","Senior")))</f>
        <v>Junior</v>
      </c>
      <c r="AJ676" s="2" t="str">
        <f>IF(HR_Data[MonthlyIncome]&lt;=300,"Low", IF(HR_Data[MonthlyIncome]&lt;=7000,"Medium", "High"))</f>
        <v>High</v>
      </c>
      <c r="AK676" s="2" t="str">
        <f>VLOOKUP(HR_Data[JobRole], JobRole_Map[], 2, FALSE)</f>
        <v>Management</v>
      </c>
    </row>
    <row r="677" spans="1:37" x14ac:dyDescent="0.25">
      <c r="A677" s="2">
        <v>30</v>
      </c>
      <c r="B677" t="s">
        <v>32</v>
      </c>
      <c r="C677" t="s">
        <v>33</v>
      </c>
      <c r="D677" t="s">
        <v>34</v>
      </c>
      <c r="E677">
        <v>22</v>
      </c>
      <c r="F677" t="s">
        <v>58</v>
      </c>
      <c r="G677">
        <v>3</v>
      </c>
      <c r="H677">
        <v>1</v>
      </c>
      <c r="I677" t="s">
        <v>44</v>
      </c>
      <c r="J677">
        <v>3</v>
      </c>
      <c r="K677" t="s">
        <v>50</v>
      </c>
      <c r="L677">
        <v>2132</v>
      </c>
      <c r="M677">
        <v>4</v>
      </c>
      <c r="N677" t="s">
        <v>32</v>
      </c>
      <c r="O677">
        <v>11</v>
      </c>
      <c r="P677">
        <v>3</v>
      </c>
      <c r="Q677">
        <v>0</v>
      </c>
      <c r="R677">
        <v>7</v>
      </c>
      <c r="S677">
        <v>2</v>
      </c>
      <c r="T677">
        <v>5</v>
      </c>
      <c r="U677">
        <v>0</v>
      </c>
      <c r="V677">
        <v>1</v>
      </c>
      <c r="W677" t="s">
        <v>38</v>
      </c>
      <c r="X677" s="1" t="d">
        <v>2016-04-08</v>
      </c>
      <c r="Z677" t="s">
        <v>45</v>
      </c>
      <c r="AA677" t="s">
        <v>40</v>
      </c>
      <c r="AB677">
        <v>3</v>
      </c>
      <c r="AC677">
        <v>0</v>
      </c>
      <c r="AD677" t="s">
        <v>41</v>
      </c>
      <c r="AE677" t="s">
        <v>62</v>
      </c>
      <c r="AF677" t="s">
        <v>43</v>
      </c>
      <c r="AG677">
        <f>IF(HR_Data[[#This Row],[Attrition]]="Yes",1,0)</f>
        <v>1</v>
      </c>
      <c r="AH677" t="str">
        <f>IF(HR_Data[Date_of_termination]="","Active","Left")</f>
        <v>Active</v>
      </c>
      <c r="AI677" t="str">
        <f>IF(HR_Data[YearsAtCompany]&lt;=2,"Fresher", IF(HR_Data[YearsAtCompany]&lt;=5,"Junior", IF(HR_Data[YearsAtCompany]&lt;=10, "Mid","Senior")))</f>
        <v>Junior</v>
      </c>
      <c r="AJ677" s="2" t="str">
        <f>IF(HR_Data[MonthlyIncome]&lt;=300,"Low", IF(HR_Data[MonthlyIncome]&lt;=7000,"Medium", "High"))</f>
        <v>Medium</v>
      </c>
      <c r="AK677" s="2" t="str">
        <f>VLOOKUP(HR_Data[JobRole], JobRole_Map[], 2, FALSE)</f>
        <v>Technical</v>
      </c>
    </row>
    <row r="678" spans="1:37" x14ac:dyDescent="0.25">
      <c r="A678" s="2">
        <v>59</v>
      </c>
      <c r="B678" t="s">
        <v>41</v>
      </c>
      <c r="C678" t="s">
        <v>33</v>
      </c>
      <c r="D678" t="s">
        <v>34</v>
      </c>
      <c r="E678">
        <v>2</v>
      </c>
      <c r="F678" t="s">
        <v>58</v>
      </c>
      <c r="G678">
        <v>2</v>
      </c>
      <c r="H678">
        <v>4</v>
      </c>
      <c r="I678" t="s">
        <v>67</v>
      </c>
      <c r="J678">
        <v>4</v>
      </c>
      <c r="K678" t="s">
        <v>37</v>
      </c>
      <c r="L678">
        <v>13726</v>
      </c>
      <c r="M678">
        <v>3</v>
      </c>
      <c r="N678" t="s">
        <v>32</v>
      </c>
      <c r="O678">
        <v>13</v>
      </c>
      <c r="P678">
        <v>3</v>
      </c>
      <c r="Q678">
        <v>0</v>
      </c>
      <c r="R678">
        <v>30</v>
      </c>
      <c r="S678">
        <v>4</v>
      </c>
      <c r="T678">
        <v>5</v>
      </c>
      <c r="U678">
        <v>4</v>
      </c>
      <c r="V678">
        <v>3</v>
      </c>
      <c r="W678" t="s">
        <v>65</v>
      </c>
      <c r="X678" s="1" t="d">
        <v>2016-02-29</v>
      </c>
      <c r="Z678" t="s">
        <v>39</v>
      </c>
      <c r="AA678" t="s">
        <v>46</v>
      </c>
      <c r="AB678">
        <v>5</v>
      </c>
      <c r="AC678">
        <v>1</v>
      </c>
      <c r="AD678" t="s">
        <v>32</v>
      </c>
      <c r="AE678" t="s">
        <v>42</v>
      </c>
      <c r="AF678" t="s">
        <v>48</v>
      </c>
      <c r="AG678">
        <f>IF(HR_Data[[#This Row],[Attrition]]="Yes",1,0)</f>
        <v>0</v>
      </c>
      <c r="AH678" t="str">
        <f>IF(HR_Data[Date_of_termination]="","Active","Left")</f>
        <v>Active</v>
      </c>
      <c r="AI678" t="str">
        <f>IF(HR_Data[YearsAtCompany]&lt;=2,"Fresher", IF(HR_Data[YearsAtCompany]&lt;=5,"Junior", IF(HR_Data[YearsAtCompany]&lt;=10, "Mid","Senior")))</f>
        <v>Junior</v>
      </c>
      <c r="AJ678" s="2" t="str">
        <f>IF(HR_Data[MonthlyIncome]&lt;=300,"Low", IF(HR_Data[MonthlyIncome]&lt;=7000,"Medium", "High"))</f>
        <v>High</v>
      </c>
      <c r="AK678" s="2" t="str">
        <f>VLOOKUP(HR_Data[JobRole], JobRole_Map[], 2, FALSE)</f>
        <v>Operations</v>
      </c>
    </row>
    <row r="679" spans="1:37" x14ac:dyDescent="0.25">
      <c r="A679" s="2">
        <v>26</v>
      </c>
      <c r="B679" t="s">
        <v>41</v>
      </c>
      <c r="C679" t="s">
        <v>61</v>
      </c>
      <c r="D679" t="s">
        <v>34</v>
      </c>
      <c r="E679">
        <v>1</v>
      </c>
      <c r="F679" t="s">
        <v>58</v>
      </c>
      <c r="G679">
        <v>2</v>
      </c>
      <c r="H679">
        <v>1</v>
      </c>
      <c r="I679" t="s">
        <v>44</v>
      </c>
      <c r="J679">
        <v>3</v>
      </c>
      <c r="K679" t="s">
        <v>55</v>
      </c>
      <c r="L679">
        <v>2007</v>
      </c>
      <c r="M679">
        <v>1</v>
      </c>
      <c r="N679" t="s">
        <v>41</v>
      </c>
      <c r="O679">
        <v>13</v>
      </c>
      <c r="P679">
        <v>3</v>
      </c>
      <c r="Q679">
        <v>2</v>
      </c>
      <c r="R679">
        <v>5</v>
      </c>
      <c r="S679">
        <v>5</v>
      </c>
      <c r="T679">
        <v>5</v>
      </c>
      <c r="U679">
        <v>1</v>
      </c>
      <c r="V679">
        <v>3</v>
      </c>
      <c r="W679" t="s">
        <v>65</v>
      </c>
      <c r="X679" s="1" t="d">
        <v>2016-03-31</v>
      </c>
      <c r="Z679" t="s">
        <v>59</v>
      </c>
      <c r="AA679" t="s">
        <v>40</v>
      </c>
      <c r="AB679">
        <v>1</v>
      </c>
      <c r="AC679">
        <v>0</v>
      </c>
      <c r="AD679" t="s">
        <v>32</v>
      </c>
      <c r="AE679" t="s">
        <v>62</v>
      </c>
      <c r="AF679" t="s">
        <v>43</v>
      </c>
      <c r="AG679">
        <f>IF(HR_Data[[#This Row],[Attrition]]="Yes",1,0)</f>
        <v>0</v>
      </c>
      <c r="AH679" t="str">
        <f>IF(HR_Data[Date_of_termination]="","Active","Left")</f>
        <v>Active</v>
      </c>
      <c r="AI679" t="str">
        <f>IF(HR_Data[YearsAtCompany]&lt;=2,"Fresher", IF(HR_Data[YearsAtCompany]&lt;=5,"Junior", IF(HR_Data[YearsAtCompany]&lt;=10, "Mid","Senior")))</f>
        <v>Junior</v>
      </c>
      <c r="AJ679" s="2" t="str">
        <f>IF(HR_Data[MonthlyIncome]&lt;=300,"Low", IF(HR_Data[MonthlyIncome]&lt;=7000,"Medium", "High"))</f>
        <v>Medium</v>
      </c>
      <c r="AK679" s="2" t="str">
        <f>VLOOKUP(HR_Data[JobRole], JobRole_Map[], 2, FALSE)</f>
        <v>Technical</v>
      </c>
    </row>
    <row r="680" spans="1:37" x14ac:dyDescent="0.25">
      <c r="A680" s="2">
        <v>56</v>
      </c>
      <c r="B680" t="s">
        <v>41</v>
      </c>
      <c r="C680" t="s">
        <v>61</v>
      </c>
      <c r="D680" t="s">
        <v>34</v>
      </c>
      <c r="E680">
        <v>9</v>
      </c>
      <c r="F680" t="s">
        <v>58</v>
      </c>
      <c r="G680">
        <v>3</v>
      </c>
      <c r="H680">
        <v>1</v>
      </c>
      <c r="I680" t="s">
        <v>44</v>
      </c>
      <c r="J680">
        <v>3</v>
      </c>
      <c r="K680" t="s">
        <v>50</v>
      </c>
      <c r="L680">
        <v>2942</v>
      </c>
      <c r="M680">
        <v>2</v>
      </c>
      <c r="N680" t="s">
        <v>41</v>
      </c>
      <c r="O680">
        <v>19</v>
      </c>
      <c r="P680">
        <v>3</v>
      </c>
      <c r="Q680">
        <v>1</v>
      </c>
      <c r="R680">
        <v>18</v>
      </c>
      <c r="S680">
        <v>4</v>
      </c>
      <c r="T680">
        <v>5</v>
      </c>
      <c r="U680">
        <v>0</v>
      </c>
      <c r="V680">
        <v>3</v>
      </c>
      <c r="W680" t="s">
        <v>51</v>
      </c>
      <c r="X680" s="1" t="d">
        <v>2016-05-29</v>
      </c>
      <c r="Z680" t="s">
        <v>59</v>
      </c>
      <c r="AA680" t="s">
        <v>46</v>
      </c>
      <c r="AB680">
        <v>3</v>
      </c>
      <c r="AC680">
        <v>1</v>
      </c>
      <c r="AD680" t="s">
        <v>32</v>
      </c>
      <c r="AE680" t="s">
        <v>60</v>
      </c>
      <c r="AF680" t="s">
        <v>43</v>
      </c>
      <c r="AG680">
        <f>IF(HR_Data[[#This Row],[Attrition]]="Yes",1,0)</f>
        <v>0</v>
      </c>
      <c r="AH680" t="str">
        <f>IF(HR_Data[Date_of_termination]="","Active","Left")</f>
        <v>Active</v>
      </c>
      <c r="AI680" t="str">
        <f>IF(HR_Data[YearsAtCompany]&lt;=2,"Fresher", IF(HR_Data[YearsAtCompany]&lt;=5,"Junior", IF(HR_Data[YearsAtCompany]&lt;=10, "Mid","Senior")))</f>
        <v>Junior</v>
      </c>
      <c r="AJ680" s="2" t="str">
        <f>IF(HR_Data[MonthlyIncome]&lt;=300,"Low", IF(HR_Data[MonthlyIncome]&lt;=7000,"Medium", "High"))</f>
        <v>Medium</v>
      </c>
      <c r="AK680" s="2" t="str">
        <f>VLOOKUP(HR_Data[JobRole], JobRole_Map[], 2, FALSE)</f>
        <v>Technical</v>
      </c>
    </row>
    <row r="681" spans="1:37" x14ac:dyDescent="0.25">
      <c r="A681" s="2">
        <v>26</v>
      </c>
      <c r="B681" t="s">
        <v>41</v>
      </c>
      <c r="C681" t="s">
        <v>33</v>
      </c>
      <c r="D681" t="s">
        <v>34</v>
      </c>
      <c r="E681">
        <v>1</v>
      </c>
      <c r="F681" t="s">
        <v>35</v>
      </c>
      <c r="G681">
        <v>2</v>
      </c>
      <c r="H681">
        <v>1</v>
      </c>
      <c r="I681" t="s">
        <v>36</v>
      </c>
      <c r="J681">
        <v>1</v>
      </c>
      <c r="K681" t="s">
        <v>50</v>
      </c>
      <c r="L681">
        <v>3955</v>
      </c>
      <c r="M681">
        <v>1</v>
      </c>
      <c r="N681" t="s">
        <v>41</v>
      </c>
      <c r="O681">
        <v>16</v>
      </c>
      <c r="P681">
        <v>3</v>
      </c>
      <c r="Q681">
        <v>2</v>
      </c>
      <c r="R681">
        <v>6</v>
      </c>
      <c r="S681">
        <v>2</v>
      </c>
      <c r="T681">
        <v>5</v>
      </c>
      <c r="U681">
        <v>1</v>
      </c>
      <c r="V681">
        <v>3</v>
      </c>
      <c r="W681" t="s">
        <v>65</v>
      </c>
      <c r="X681" s="1" t="d">
        <v>2016-05-04</v>
      </c>
      <c r="Z681" t="s">
        <v>63</v>
      </c>
      <c r="AA681" t="s">
        <v>40</v>
      </c>
      <c r="AB681">
        <v>5</v>
      </c>
      <c r="AC681">
        <v>3</v>
      </c>
      <c r="AD681" t="s">
        <v>32</v>
      </c>
      <c r="AE681" t="s">
        <v>60</v>
      </c>
      <c r="AF681" t="s">
        <v>57</v>
      </c>
      <c r="AG681">
        <f>IF(HR_Data[[#This Row],[Attrition]]="Yes",1,0)</f>
        <v>0</v>
      </c>
      <c r="AH681" t="str">
        <f>IF(HR_Data[Date_of_termination]="","Active","Left")</f>
        <v>Active</v>
      </c>
      <c r="AI681" t="str">
        <f>IF(HR_Data[YearsAtCompany]&lt;=2,"Fresher", IF(HR_Data[YearsAtCompany]&lt;=5,"Junior", IF(HR_Data[YearsAtCompany]&lt;=10, "Mid","Senior")))</f>
        <v>Junior</v>
      </c>
      <c r="AJ681" s="2" t="str">
        <f>IF(HR_Data[MonthlyIncome]&lt;=300,"Low", IF(HR_Data[MonthlyIncome]&lt;=7000,"Medium", "High"))</f>
        <v>Medium</v>
      </c>
      <c r="AK681" s="2" t="str">
        <f>VLOOKUP(HR_Data[JobRole], JobRole_Map[], 2, FALSE)</f>
        <v>Technical</v>
      </c>
    </row>
    <row r="682" spans="1:37" x14ac:dyDescent="0.25">
      <c r="A682" s="2">
        <v>48</v>
      </c>
      <c r="B682" t="s">
        <v>41</v>
      </c>
      <c r="C682" t="s">
        <v>68</v>
      </c>
      <c r="D682" t="s">
        <v>34</v>
      </c>
      <c r="E682">
        <v>1</v>
      </c>
      <c r="F682" t="s">
        <v>35</v>
      </c>
      <c r="G682">
        <v>4</v>
      </c>
      <c r="H682">
        <v>4</v>
      </c>
      <c r="I682" t="s">
        <v>66</v>
      </c>
      <c r="J682">
        <v>4</v>
      </c>
      <c r="K682" t="s">
        <v>37</v>
      </c>
      <c r="L682">
        <v>16885</v>
      </c>
      <c r="M682">
        <v>2</v>
      </c>
      <c r="N682" t="s">
        <v>41</v>
      </c>
      <c r="O682">
        <v>22</v>
      </c>
      <c r="P682">
        <v>4</v>
      </c>
      <c r="Q682">
        <v>0</v>
      </c>
      <c r="R682">
        <v>27</v>
      </c>
      <c r="S682">
        <v>3</v>
      </c>
      <c r="T682">
        <v>5</v>
      </c>
      <c r="U682">
        <v>2</v>
      </c>
      <c r="V682">
        <v>1</v>
      </c>
      <c r="W682" t="s">
        <v>56</v>
      </c>
      <c r="X682" s="1" t="d">
        <v>2016-04-08</v>
      </c>
      <c r="Z682" t="s">
        <v>39</v>
      </c>
      <c r="AA682" t="s">
        <v>46</v>
      </c>
      <c r="AB682">
        <v>1</v>
      </c>
      <c r="AC682">
        <v>2</v>
      </c>
      <c r="AD682" t="s">
        <v>41</v>
      </c>
      <c r="AE682" t="s">
        <v>62</v>
      </c>
      <c r="AF682" t="s">
        <v>48</v>
      </c>
      <c r="AG682">
        <f>IF(HR_Data[[#This Row],[Attrition]]="Yes",1,0)</f>
        <v>0</v>
      </c>
      <c r="AH682" t="str">
        <f>IF(HR_Data[Date_of_termination]="","Active","Left")</f>
        <v>Active</v>
      </c>
      <c r="AI682" t="str">
        <f>IF(HR_Data[YearsAtCompany]&lt;=2,"Fresher", IF(HR_Data[YearsAtCompany]&lt;=5,"Junior", IF(HR_Data[YearsAtCompany]&lt;=10, "Mid","Senior")))</f>
        <v>Junior</v>
      </c>
      <c r="AJ682" s="2" t="str">
        <f>IF(HR_Data[MonthlyIncome]&lt;=300,"Low", IF(HR_Data[MonthlyIncome]&lt;=7000,"Medium", "High"))</f>
        <v>High</v>
      </c>
      <c r="AK682" s="2" t="str">
        <f>VLOOKUP(HR_Data[JobRole], JobRole_Map[], 2, FALSE)</f>
        <v>Management</v>
      </c>
    </row>
    <row r="683" spans="1:37" x14ac:dyDescent="0.25">
      <c r="A683" s="2">
        <v>39</v>
      </c>
      <c r="B683" t="s">
        <v>41</v>
      </c>
      <c r="C683" t="s">
        <v>68</v>
      </c>
      <c r="D683" t="s">
        <v>34</v>
      </c>
      <c r="E683">
        <v>9</v>
      </c>
      <c r="F683" t="s">
        <v>35</v>
      </c>
      <c r="G683">
        <v>3</v>
      </c>
      <c r="H683">
        <v>2</v>
      </c>
      <c r="I683" t="s">
        <v>36</v>
      </c>
      <c r="J683">
        <v>2</v>
      </c>
      <c r="K683" t="s">
        <v>37</v>
      </c>
      <c r="L683">
        <v>6782</v>
      </c>
      <c r="M683">
        <v>9</v>
      </c>
      <c r="N683" t="s">
        <v>41</v>
      </c>
      <c r="O683">
        <v>15</v>
      </c>
      <c r="P683">
        <v>3</v>
      </c>
      <c r="Q683">
        <v>0</v>
      </c>
      <c r="R683">
        <v>9</v>
      </c>
      <c r="S683">
        <v>2</v>
      </c>
      <c r="T683">
        <v>5</v>
      </c>
      <c r="U683">
        <v>0</v>
      </c>
      <c r="V683">
        <v>3</v>
      </c>
      <c r="W683" t="s">
        <v>56</v>
      </c>
      <c r="X683" s="1" t="d">
        <v>2016-04-10</v>
      </c>
      <c r="Z683" t="s">
        <v>52</v>
      </c>
      <c r="AA683" t="s">
        <v>40</v>
      </c>
      <c r="AB683">
        <v>1</v>
      </c>
      <c r="AC683">
        <v>3</v>
      </c>
      <c r="AD683" t="s">
        <v>41</v>
      </c>
      <c r="AE683" t="s">
        <v>60</v>
      </c>
      <c r="AF683" t="s">
        <v>57</v>
      </c>
      <c r="AG683">
        <f>IF(HR_Data[[#This Row],[Attrition]]="Yes",1,0)</f>
        <v>0</v>
      </c>
      <c r="AH683" t="str">
        <f>IF(HR_Data[Date_of_termination]="","Active","Left")</f>
        <v>Active</v>
      </c>
      <c r="AI683" t="str">
        <f>IF(HR_Data[YearsAtCompany]&lt;=2,"Fresher", IF(HR_Data[YearsAtCompany]&lt;=5,"Junior", IF(HR_Data[YearsAtCompany]&lt;=10, "Mid","Senior")))</f>
        <v>Junior</v>
      </c>
      <c r="AJ683" s="2" t="str">
        <f>IF(HR_Data[MonthlyIncome]&lt;=300,"Low", IF(HR_Data[MonthlyIncome]&lt;=7000,"Medium", "High"))</f>
        <v>Medium</v>
      </c>
      <c r="AK683" s="2" t="str">
        <f>VLOOKUP(HR_Data[JobRole], JobRole_Map[], 2, FALSE)</f>
        <v>Technical</v>
      </c>
    </row>
    <row r="684" spans="1:37" x14ac:dyDescent="0.25">
      <c r="A684" s="2">
        <v>28</v>
      </c>
      <c r="B684" t="s">
        <v>41</v>
      </c>
      <c r="C684" t="s">
        <v>33</v>
      </c>
      <c r="D684" t="s">
        <v>34</v>
      </c>
      <c r="E684">
        <v>2</v>
      </c>
      <c r="F684" t="s">
        <v>35</v>
      </c>
      <c r="G684">
        <v>2</v>
      </c>
      <c r="H684">
        <v>1</v>
      </c>
      <c r="I684" t="s">
        <v>44</v>
      </c>
      <c r="J684">
        <v>2</v>
      </c>
      <c r="K684" t="s">
        <v>50</v>
      </c>
      <c r="L684">
        <v>3201</v>
      </c>
      <c r="M684">
        <v>0</v>
      </c>
      <c r="N684" t="s">
        <v>41</v>
      </c>
      <c r="O684">
        <v>17</v>
      </c>
      <c r="P684">
        <v>3</v>
      </c>
      <c r="Q684">
        <v>0</v>
      </c>
      <c r="R684">
        <v>6</v>
      </c>
      <c r="S684">
        <v>2</v>
      </c>
      <c r="T684">
        <v>5</v>
      </c>
      <c r="U684">
        <v>0</v>
      </c>
      <c r="V684">
        <v>4</v>
      </c>
      <c r="W684" t="s">
        <v>51</v>
      </c>
      <c r="X684" s="1" t="d">
        <v>2016-06-02</v>
      </c>
      <c r="Z684" t="s">
        <v>45</v>
      </c>
      <c r="AA684" t="s">
        <v>40</v>
      </c>
      <c r="AB684">
        <v>3</v>
      </c>
      <c r="AC684">
        <v>0</v>
      </c>
      <c r="AD684" t="s">
        <v>32</v>
      </c>
      <c r="AE684" t="s">
        <v>42</v>
      </c>
      <c r="AF684" t="s">
        <v>43</v>
      </c>
      <c r="AG684">
        <f>IF(HR_Data[[#This Row],[Attrition]]="Yes",1,0)</f>
        <v>0</v>
      </c>
      <c r="AH684" t="str">
        <f>IF(HR_Data[Date_of_termination]="","Active","Left")</f>
        <v>Active</v>
      </c>
      <c r="AI684" t="str">
        <f>IF(HR_Data[YearsAtCompany]&lt;=2,"Fresher", IF(HR_Data[YearsAtCompany]&lt;=5,"Junior", IF(HR_Data[YearsAtCompany]&lt;=10, "Mid","Senior")))</f>
        <v>Junior</v>
      </c>
      <c r="AJ684" s="2" t="str">
        <f>IF(HR_Data[MonthlyIncome]&lt;=300,"Low", IF(HR_Data[MonthlyIncome]&lt;=7000,"Medium", "High"))</f>
        <v>Medium</v>
      </c>
      <c r="AK684" s="2" t="str">
        <f>VLOOKUP(HR_Data[JobRole], JobRole_Map[], 2, FALSE)</f>
        <v>Technical</v>
      </c>
    </row>
    <row r="685" spans="1:37" x14ac:dyDescent="0.25">
      <c r="A685" s="2">
        <v>35</v>
      </c>
      <c r="B685" t="s">
        <v>41</v>
      </c>
      <c r="C685" t="s">
        <v>61</v>
      </c>
      <c r="D685" t="s">
        <v>53</v>
      </c>
      <c r="E685">
        <v>11</v>
      </c>
      <c r="F685" t="s">
        <v>35</v>
      </c>
      <c r="G685">
        <v>3</v>
      </c>
      <c r="H685">
        <v>2</v>
      </c>
      <c r="I685" t="s">
        <v>64</v>
      </c>
      <c r="J685">
        <v>4</v>
      </c>
      <c r="K685" t="s">
        <v>55</v>
      </c>
      <c r="L685">
        <v>4968</v>
      </c>
      <c r="M685">
        <v>1</v>
      </c>
      <c r="N685" t="s">
        <v>41</v>
      </c>
      <c r="O685">
        <v>11</v>
      </c>
      <c r="P685">
        <v>3</v>
      </c>
      <c r="Q685">
        <v>1</v>
      </c>
      <c r="R685">
        <v>5</v>
      </c>
      <c r="S685">
        <v>3</v>
      </c>
      <c r="T685">
        <v>5</v>
      </c>
      <c r="U685">
        <v>0</v>
      </c>
      <c r="V685">
        <v>2</v>
      </c>
      <c r="W685" t="s">
        <v>56</v>
      </c>
      <c r="X685" s="1" t="d">
        <v>2016-04-05</v>
      </c>
      <c r="Z685" t="s">
        <v>59</v>
      </c>
      <c r="AA685" t="s">
        <v>40</v>
      </c>
      <c r="AB685">
        <v>4</v>
      </c>
      <c r="AC685">
        <v>3</v>
      </c>
      <c r="AD685" t="s">
        <v>32</v>
      </c>
      <c r="AE685" t="s">
        <v>60</v>
      </c>
      <c r="AF685" t="s">
        <v>57</v>
      </c>
      <c r="AG685">
        <f>IF(HR_Data[[#This Row],[Attrition]]="Yes",1,0)</f>
        <v>0</v>
      </c>
      <c r="AH685" t="str">
        <f>IF(HR_Data[Date_of_termination]="","Active","Left")</f>
        <v>Active</v>
      </c>
      <c r="AI685" t="str">
        <f>IF(HR_Data[YearsAtCompany]&lt;=2,"Fresher", IF(HR_Data[YearsAtCompany]&lt;=5,"Junior", IF(HR_Data[YearsAtCompany]&lt;=10, "Mid","Senior")))</f>
        <v>Junior</v>
      </c>
      <c r="AJ685" s="2" t="str">
        <f>IF(HR_Data[MonthlyIncome]&lt;=300,"Low", IF(HR_Data[MonthlyIncome]&lt;=7000,"Medium", "High"))</f>
        <v>Medium</v>
      </c>
      <c r="AK685" s="2" t="str">
        <f>VLOOKUP(HR_Data[JobRole], JobRole_Map[], 2, FALSE)</f>
        <v>Sales</v>
      </c>
    </row>
    <row r="686" spans="1:37" x14ac:dyDescent="0.25">
      <c r="A686" s="2">
        <v>33</v>
      </c>
      <c r="B686" t="s">
        <v>32</v>
      </c>
      <c r="C686" t="s">
        <v>33</v>
      </c>
      <c r="D686" t="s">
        <v>53</v>
      </c>
      <c r="E686">
        <v>9</v>
      </c>
      <c r="F686" t="s">
        <v>58</v>
      </c>
      <c r="G686">
        <v>3</v>
      </c>
      <c r="H686">
        <v>2</v>
      </c>
      <c r="I686" t="s">
        <v>64</v>
      </c>
      <c r="J686">
        <v>1</v>
      </c>
      <c r="K686" t="s">
        <v>37</v>
      </c>
      <c r="L686">
        <v>8224</v>
      </c>
      <c r="M686">
        <v>0</v>
      </c>
      <c r="N686" t="s">
        <v>32</v>
      </c>
      <c r="O686">
        <v>17</v>
      </c>
      <c r="P686">
        <v>3</v>
      </c>
      <c r="Q686">
        <v>0</v>
      </c>
      <c r="R686">
        <v>6</v>
      </c>
      <c r="S686">
        <v>3</v>
      </c>
      <c r="T686">
        <v>5</v>
      </c>
      <c r="U686">
        <v>0</v>
      </c>
      <c r="V686">
        <v>3</v>
      </c>
      <c r="W686" t="s">
        <v>56</v>
      </c>
      <c r="X686" s="1" t="d">
        <v>2016-05-01</v>
      </c>
      <c r="Z686" t="s">
        <v>59</v>
      </c>
      <c r="AA686" t="s">
        <v>46</v>
      </c>
      <c r="AB686">
        <v>2</v>
      </c>
      <c r="AC686">
        <v>2</v>
      </c>
      <c r="AD686" t="s">
        <v>32</v>
      </c>
      <c r="AE686" t="s">
        <v>42</v>
      </c>
      <c r="AF686" t="s">
        <v>57</v>
      </c>
      <c r="AG686">
        <f>IF(HR_Data[[#This Row],[Attrition]]="Yes",1,0)</f>
        <v>1</v>
      </c>
      <c r="AH686" t="str">
        <f>IF(HR_Data[Date_of_termination]="","Active","Left")</f>
        <v>Active</v>
      </c>
      <c r="AI686" t="str">
        <f>IF(HR_Data[YearsAtCompany]&lt;=2,"Fresher", IF(HR_Data[YearsAtCompany]&lt;=5,"Junior", IF(HR_Data[YearsAtCompany]&lt;=10, "Mid","Senior")))</f>
        <v>Junior</v>
      </c>
      <c r="AJ686" s="2" t="str">
        <f>IF(HR_Data[MonthlyIncome]&lt;=300,"Low", IF(HR_Data[MonthlyIncome]&lt;=7000,"Medium", "High"))</f>
        <v>High</v>
      </c>
      <c r="AK686" s="2" t="str">
        <f>VLOOKUP(HR_Data[JobRole], JobRole_Map[], 2, FALSE)</f>
        <v>Sales</v>
      </c>
    </row>
    <row r="687" spans="1:37" x14ac:dyDescent="0.25">
      <c r="A687" s="2">
        <v>35</v>
      </c>
      <c r="B687" t="s">
        <v>41</v>
      </c>
      <c r="C687" t="s">
        <v>33</v>
      </c>
      <c r="D687" t="s">
        <v>70</v>
      </c>
      <c r="E687">
        <v>8</v>
      </c>
      <c r="F687" t="s">
        <v>35</v>
      </c>
      <c r="G687">
        <v>3</v>
      </c>
      <c r="H687">
        <v>1</v>
      </c>
      <c r="I687" t="s">
        <v>70</v>
      </c>
      <c r="J687">
        <v>3</v>
      </c>
      <c r="K687" t="s">
        <v>37</v>
      </c>
      <c r="L687">
        <v>4323</v>
      </c>
      <c r="M687">
        <v>1</v>
      </c>
      <c r="N687" t="s">
        <v>41</v>
      </c>
      <c r="O687">
        <v>17</v>
      </c>
      <c r="P687">
        <v>3</v>
      </c>
      <c r="Q687">
        <v>0</v>
      </c>
      <c r="R687">
        <v>6</v>
      </c>
      <c r="S687">
        <v>2</v>
      </c>
      <c r="T687">
        <v>5</v>
      </c>
      <c r="U687">
        <v>1</v>
      </c>
      <c r="V687">
        <v>4</v>
      </c>
      <c r="W687" t="s">
        <v>51</v>
      </c>
      <c r="X687" s="1" t="d">
        <v>2016-04-04</v>
      </c>
      <c r="Z687" t="s">
        <v>45</v>
      </c>
      <c r="AA687" t="s">
        <v>40</v>
      </c>
      <c r="AB687">
        <v>2</v>
      </c>
      <c r="AC687">
        <v>1</v>
      </c>
      <c r="AD687" t="s">
        <v>32</v>
      </c>
      <c r="AE687" t="s">
        <v>62</v>
      </c>
      <c r="AF687" t="s">
        <v>57</v>
      </c>
      <c r="AG687">
        <f>IF(HR_Data[[#This Row],[Attrition]]="Yes",1,0)</f>
        <v>0</v>
      </c>
      <c r="AH687" t="str">
        <f>IF(HR_Data[Date_of_termination]="","Active","Left")</f>
        <v>Active</v>
      </c>
      <c r="AI687" t="str">
        <f>IF(HR_Data[YearsAtCompany]&lt;=2,"Fresher", IF(HR_Data[YearsAtCompany]&lt;=5,"Junior", IF(HR_Data[YearsAtCompany]&lt;=10, "Mid","Senior")))</f>
        <v>Junior</v>
      </c>
      <c r="AJ687" s="2" t="str">
        <f>IF(HR_Data[MonthlyIncome]&lt;=300,"Low", IF(HR_Data[MonthlyIncome]&lt;=7000,"Medium", "High"))</f>
        <v>Medium</v>
      </c>
      <c r="AK687" s="2" t="str">
        <f>VLOOKUP(HR_Data[JobRole], JobRole_Map[], 2, FALSE)</f>
        <v>HR</v>
      </c>
    </row>
    <row r="688" spans="1:37" x14ac:dyDescent="0.25">
      <c r="A688" s="2">
        <v>56</v>
      </c>
      <c r="B688" t="s">
        <v>41</v>
      </c>
      <c r="C688" t="s">
        <v>33</v>
      </c>
      <c r="D688" t="s">
        <v>34</v>
      </c>
      <c r="E688">
        <v>4</v>
      </c>
      <c r="F688" t="s">
        <v>58</v>
      </c>
      <c r="G688">
        <v>3</v>
      </c>
      <c r="H688">
        <v>5</v>
      </c>
      <c r="I688" t="s">
        <v>66</v>
      </c>
      <c r="J688">
        <v>1</v>
      </c>
      <c r="K688" t="s">
        <v>55</v>
      </c>
      <c r="L688">
        <v>19943</v>
      </c>
      <c r="M688">
        <v>4</v>
      </c>
      <c r="N688" t="s">
        <v>41</v>
      </c>
      <c r="O688">
        <v>13</v>
      </c>
      <c r="P688">
        <v>3</v>
      </c>
      <c r="Q688">
        <v>1</v>
      </c>
      <c r="R688">
        <v>28</v>
      </c>
      <c r="S688">
        <v>2</v>
      </c>
      <c r="T688">
        <v>5</v>
      </c>
      <c r="U688">
        <v>4</v>
      </c>
      <c r="V688">
        <v>2</v>
      </c>
      <c r="W688" t="s">
        <v>51</v>
      </c>
      <c r="X688" s="1" t="d">
        <v>2016-05-30</v>
      </c>
      <c r="Z688" t="s">
        <v>45</v>
      </c>
      <c r="AA688" t="s">
        <v>40</v>
      </c>
      <c r="AB688">
        <v>4</v>
      </c>
      <c r="AC688">
        <v>1</v>
      </c>
      <c r="AD688" t="s">
        <v>41</v>
      </c>
      <c r="AE688" t="s">
        <v>60</v>
      </c>
      <c r="AF688" t="s">
        <v>57</v>
      </c>
      <c r="AG688">
        <f>IF(HR_Data[[#This Row],[Attrition]]="Yes",1,0)</f>
        <v>0</v>
      </c>
      <c r="AH688" t="str">
        <f>IF(HR_Data[Date_of_termination]="","Active","Left")</f>
        <v>Active</v>
      </c>
      <c r="AI688" t="str">
        <f>IF(HR_Data[YearsAtCompany]&lt;=2,"Fresher", IF(HR_Data[YearsAtCompany]&lt;=5,"Junior", IF(HR_Data[YearsAtCompany]&lt;=10, "Mid","Senior")))</f>
        <v>Junior</v>
      </c>
      <c r="AJ688" s="2" t="str">
        <f>IF(HR_Data[MonthlyIncome]&lt;=300,"Low", IF(HR_Data[MonthlyIncome]&lt;=7000,"Medium", "High"))</f>
        <v>High</v>
      </c>
      <c r="AK688" s="2" t="str">
        <f>VLOOKUP(HR_Data[JobRole], JobRole_Map[], 2, FALSE)</f>
        <v>Management</v>
      </c>
    </row>
    <row r="689" spans="1:37" x14ac:dyDescent="0.25">
      <c r="A689" s="2">
        <v>29</v>
      </c>
      <c r="B689" t="s">
        <v>41</v>
      </c>
      <c r="C689" t="s">
        <v>33</v>
      </c>
      <c r="D689" t="s">
        <v>34</v>
      </c>
      <c r="E689">
        <v>15</v>
      </c>
      <c r="F689" t="s">
        <v>58</v>
      </c>
      <c r="G689">
        <v>1</v>
      </c>
      <c r="H689">
        <v>1</v>
      </c>
      <c r="I689" t="s">
        <v>44</v>
      </c>
      <c r="J689">
        <v>4</v>
      </c>
      <c r="K689" t="s">
        <v>50</v>
      </c>
      <c r="L689">
        <v>2168</v>
      </c>
      <c r="M689">
        <v>0</v>
      </c>
      <c r="N689" t="s">
        <v>32</v>
      </c>
      <c r="O689">
        <v>18</v>
      </c>
      <c r="P689">
        <v>3</v>
      </c>
      <c r="Q689">
        <v>1</v>
      </c>
      <c r="R689">
        <v>6</v>
      </c>
      <c r="S689">
        <v>2</v>
      </c>
      <c r="T689">
        <v>5</v>
      </c>
      <c r="U689">
        <v>1</v>
      </c>
      <c r="V689">
        <v>3</v>
      </c>
      <c r="W689" t="s">
        <v>65</v>
      </c>
      <c r="X689" s="1" t="d">
        <v>2016-04-06</v>
      </c>
      <c r="Z689" t="s">
        <v>59</v>
      </c>
      <c r="AA689" t="s">
        <v>46</v>
      </c>
      <c r="AB689">
        <v>3</v>
      </c>
      <c r="AC689">
        <v>0</v>
      </c>
      <c r="AD689" t="s">
        <v>41</v>
      </c>
      <c r="AE689" t="s">
        <v>47</v>
      </c>
      <c r="AF689" t="s">
        <v>43</v>
      </c>
      <c r="AG689">
        <f>IF(HR_Data[[#This Row],[Attrition]]="Yes",1,0)</f>
        <v>0</v>
      </c>
      <c r="AH689" t="str">
        <f>IF(HR_Data[Date_of_termination]="","Active","Left")</f>
        <v>Active</v>
      </c>
      <c r="AI689" t="str">
        <f>IF(HR_Data[YearsAtCompany]&lt;=2,"Fresher", IF(HR_Data[YearsAtCompany]&lt;=5,"Junior", IF(HR_Data[YearsAtCompany]&lt;=10, "Mid","Senior")))</f>
        <v>Junior</v>
      </c>
      <c r="AJ689" s="2" t="str">
        <f>IF(HR_Data[MonthlyIncome]&lt;=300,"Low", IF(HR_Data[MonthlyIncome]&lt;=7000,"Medium", "High"))</f>
        <v>Medium</v>
      </c>
      <c r="AK689" s="2" t="str">
        <f>VLOOKUP(HR_Data[JobRole], JobRole_Map[], 2, FALSE)</f>
        <v>Technical</v>
      </c>
    </row>
    <row r="690" spans="1:37" x14ac:dyDescent="0.25">
      <c r="A690" s="2">
        <v>33</v>
      </c>
      <c r="B690" t="s">
        <v>41</v>
      </c>
      <c r="C690" t="s">
        <v>33</v>
      </c>
      <c r="D690" t="s">
        <v>70</v>
      </c>
      <c r="E690">
        <v>2</v>
      </c>
      <c r="F690" t="s">
        <v>35</v>
      </c>
      <c r="G690">
        <v>3</v>
      </c>
      <c r="H690">
        <v>1</v>
      </c>
      <c r="I690" t="s">
        <v>70</v>
      </c>
      <c r="J690">
        <v>3</v>
      </c>
      <c r="K690" t="s">
        <v>50</v>
      </c>
      <c r="L690">
        <v>3600</v>
      </c>
      <c r="M690">
        <v>1</v>
      </c>
      <c r="N690" t="s">
        <v>41</v>
      </c>
      <c r="O690">
        <v>13</v>
      </c>
      <c r="P690">
        <v>3</v>
      </c>
      <c r="Q690">
        <v>1</v>
      </c>
      <c r="R690">
        <v>5</v>
      </c>
      <c r="S690">
        <v>2</v>
      </c>
      <c r="T690">
        <v>5</v>
      </c>
      <c r="U690">
        <v>1</v>
      </c>
      <c r="V690">
        <v>4</v>
      </c>
      <c r="W690" t="s">
        <v>56</v>
      </c>
      <c r="X690" s="1" t="d">
        <v>2016-05-09</v>
      </c>
      <c r="Z690" t="s">
        <v>59</v>
      </c>
      <c r="AA690" t="s">
        <v>46</v>
      </c>
      <c r="AB690">
        <v>3</v>
      </c>
      <c r="AC690">
        <v>2</v>
      </c>
      <c r="AD690" t="s">
        <v>41</v>
      </c>
      <c r="AE690" t="s">
        <v>60</v>
      </c>
      <c r="AF690" t="s">
        <v>43</v>
      </c>
      <c r="AG690">
        <f>IF(HR_Data[[#This Row],[Attrition]]="Yes",1,0)</f>
        <v>0</v>
      </c>
      <c r="AH690" t="str">
        <f>IF(HR_Data[Date_of_termination]="","Active","Left")</f>
        <v>Active</v>
      </c>
      <c r="AI690" t="str">
        <f>IF(HR_Data[YearsAtCompany]&lt;=2,"Fresher", IF(HR_Data[YearsAtCompany]&lt;=5,"Junior", IF(HR_Data[YearsAtCompany]&lt;=10, "Mid","Senior")))</f>
        <v>Junior</v>
      </c>
      <c r="AJ690" s="2" t="str">
        <f>IF(HR_Data[MonthlyIncome]&lt;=300,"Low", IF(HR_Data[MonthlyIncome]&lt;=7000,"Medium", "High"))</f>
        <v>Medium</v>
      </c>
      <c r="AK690" s="2" t="str">
        <f>VLOOKUP(HR_Data[JobRole], JobRole_Map[], 2, FALSE)</f>
        <v>HR</v>
      </c>
    </row>
    <row r="691" spans="1:37" x14ac:dyDescent="0.25">
      <c r="A691" s="2">
        <v>40</v>
      </c>
      <c r="B691" t="s">
        <v>41</v>
      </c>
      <c r="C691" t="s">
        <v>33</v>
      </c>
      <c r="D691" t="s">
        <v>53</v>
      </c>
      <c r="E691">
        <v>10</v>
      </c>
      <c r="F691" t="s">
        <v>58</v>
      </c>
      <c r="G691">
        <v>2</v>
      </c>
      <c r="H691">
        <v>2</v>
      </c>
      <c r="I691" t="s">
        <v>64</v>
      </c>
      <c r="J691">
        <v>2</v>
      </c>
      <c r="K691" t="s">
        <v>55</v>
      </c>
      <c r="L691">
        <v>6852</v>
      </c>
      <c r="M691">
        <v>7</v>
      </c>
      <c r="N691" t="s">
        <v>41</v>
      </c>
      <c r="O691">
        <v>12</v>
      </c>
      <c r="P691">
        <v>3</v>
      </c>
      <c r="Q691">
        <v>1</v>
      </c>
      <c r="R691">
        <v>7</v>
      </c>
      <c r="S691">
        <v>2</v>
      </c>
      <c r="T691">
        <v>5</v>
      </c>
      <c r="U691">
        <v>1</v>
      </c>
      <c r="V691">
        <v>3</v>
      </c>
      <c r="W691" t="s">
        <v>51</v>
      </c>
      <c r="X691" s="1" t="d">
        <v>2016-04-29</v>
      </c>
      <c r="Z691" t="s">
        <v>52</v>
      </c>
      <c r="AA691" t="s">
        <v>40</v>
      </c>
      <c r="AB691">
        <v>2</v>
      </c>
      <c r="AC691">
        <v>3</v>
      </c>
      <c r="AD691" t="s">
        <v>32</v>
      </c>
      <c r="AE691" t="s">
        <v>60</v>
      </c>
      <c r="AF691" t="s">
        <v>48</v>
      </c>
      <c r="AG691">
        <f>IF(HR_Data[[#This Row],[Attrition]]="Yes",1,0)</f>
        <v>0</v>
      </c>
      <c r="AH691" t="str">
        <f>IF(HR_Data[Date_of_termination]="","Active","Left")</f>
        <v>Active</v>
      </c>
      <c r="AI691" t="str">
        <f>IF(HR_Data[YearsAtCompany]&lt;=2,"Fresher", IF(HR_Data[YearsAtCompany]&lt;=5,"Junior", IF(HR_Data[YearsAtCompany]&lt;=10, "Mid","Senior")))</f>
        <v>Junior</v>
      </c>
      <c r="AJ691" s="2" t="str">
        <f>IF(HR_Data[MonthlyIncome]&lt;=300,"Low", IF(HR_Data[MonthlyIncome]&lt;=7000,"Medium", "High"))</f>
        <v>Medium</v>
      </c>
      <c r="AK691" s="2" t="str">
        <f>VLOOKUP(HR_Data[JobRole], JobRole_Map[], 2, FALSE)</f>
        <v>Sales</v>
      </c>
    </row>
    <row r="692" spans="1:37" x14ac:dyDescent="0.25">
      <c r="A692" s="2">
        <v>54</v>
      </c>
      <c r="B692" t="s">
        <v>41</v>
      </c>
      <c r="C692" t="s">
        <v>61</v>
      </c>
      <c r="D692" t="s">
        <v>34</v>
      </c>
      <c r="E692">
        <v>1</v>
      </c>
      <c r="F692" t="s">
        <v>58</v>
      </c>
      <c r="G692">
        <v>3</v>
      </c>
      <c r="H692">
        <v>3</v>
      </c>
      <c r="I692" t="s">
        <v>67</v>
      </c>
      <c r="J692">
        <v>3</v>
      </c>
      <c r="K692" t="s">
        <v>55</v>
      </c>
      <c r="L692">
        <v>10502</v>
      </c>
      <c r="M692">
        <v>7</v>
      </c>
      <c r="N692" t="s">
        <v>41</v>
      </c>
      <c r="O692">
        <v>17</v>
      </c>
      <c r="P692">
        <v>3</v>
      </c>
      <c r="Q692">
        <v>1</v>
      </c>
      <c r="R692">
        <v>33</v>
      </c>
      <c r="S692">
        <v>2</v>
      </c>
      <c r="T692">
        <v>5</v>
      </c>
      <c r="U692">
        <v>1</v>
      </c>
      <c r="V692">
        <v>4</v>
      </c>
      <c r="W692" t="s">
        <v>51</v>
      </c>
      <c r="X692" s="1" t="d">
        <v>2016-03-22</v>
      </c>
      <c r="Z692" t="s">
        <v>63</v>
      </c>
      <c r="AA692" t="s">
        <v>46</v>
      </c>
      <c r="AB692">
        <v>3</v>
      </c>
      <c r="AC692">
        <v>1</v>
      </c>
      <c r="AD692" t="s">
        <v>41</v>
      </c>
      <c r="AE692" t="s">
        <v>60</v>
      </c>
      <c r="AF692" t="s">
        <v>43</v>
      </c>
      <c r="AG692">
        <f>IF(HR_Data[[#This Row],[Attrition]]="Yes",1,0)</f>
        <v>0</v>
      </c>
      <c r="AH692" t="str">
        <f>IF(HR_Data[Date_of_termination]="","Active","Left")</f>
        <v>Active</v>
      </c>
      <c r="AI692" t="str">
        <f>IF(HR_Data[YearsAtCompany]&lt;=2,"Fresher", IF(HR_Data[YearsAtCompany]&lt;=5,"Junior", IF(HR_Data[YearsAtCompany]&lt;=10, "Mid","Senior")))</f>
        <v>Junior</v>
      </c>
      <c r="AJ692" s="2" t="str">
        <f>IF(HR_Data[MonthlyIncome]&lt;=300,"Low", IF(HR_Data[MonthlyIncome]&lt;=7000,"Medium", "High"))</f>
        <v>High</v>
      </c>
      <c r="AK692" s="2" t="str">
        <f>VLOOKUP(HR_Data[JobRole], JobRole_Map[], 2, FALSE)</f>
        <v>Operations</v>
      </c>
    </row>
    <row r="693" spans="1:37" x14ac:dyDescent="0.25">
      <c r="A693" s="2">
        <v>27</v>
      </c>
      <c r="B693" t="s">
        <v>41</v>
      </c>
      <c r="C693" t="s">
        <v>33</v>
      </c>
      <c r="D693" t="s">
        <v>34</v>
      </c>
      <c r="E693">
        <v>4</v>
      </c>
      <c r="F693" t="s">
        <v>35</v>
      </c>
      <c r="G693">
        <v>3</v>
      </c>
      <c r="H693">
        <v>1</v>
      </c>
      <c r="I693" t="s">
        <v>44</v>
      </c>
      <c r="J693">
        <v>3</v>
      </c>
      <c r="K693" t="s">
        <v>55</v>
      </c>
      <c r="L693">
        <v>2517</v>
      </c>
      <c r="M693">
        <v>1</v>
      </c>
      <c r="N693" t="s">
        <v>41</v>
      </c>
      <c r="O693">
        <v>11</v>
      </c>
      <c r="P693">
        <v>3</v>
      </c>
      <c r="Q693">
        <v>3</v>
      </c>
      <c r="R693">
        <v>5</v>
      </c>
      <c r="S693">
        <v>2</v>
      </c>
      <c r="T693">
        <v>5</v>
      </c>
      <c r="U693">
        <v>0</v>
      </c>
      <c r="V693">
        <v>3</v>
      </c>
      <c r="W693" t="s">
        <v>51</v>
      </c>
      <c r="X693" s="1" t="d">
        <v>2016-01-17</v>
      </c>
      <c r="Z693" t="s">
        <v>39</v>
      </c>
      <c r="AA693" t="s">
        <v>40</v>
      </c>
      <c r="AB693">
        <v>0</v>
      </c>
      <c r="AC693">
        <v>3</v>
      </c>
      <c r="AD693" t="s">
        <v>41</v>
      </c>
      <c r="AE693" t="s">
        <v>60</v>
      </c>
      <c r="AF693" t="s">
        <v>57</v>
      </c>
      <c r="AG693">
        <f>IF(HR_Data[[#This Row],[Attrition]]="Yes",1,0)</f>
        <v>0</v>
      </c>
      <c r="AH693" t="str">
        <f>IF(HR_Data[Date_of_termination]="","Active","Left")</f>
        <v>Active</v>
      </c>
      <c r="AI693" t="str">
        <f>IF(HR_Data[YearsAtCompany]&lt;=2,"Fresher", IF(HR_Data[YearsAtCompany]&lt;=5,"Junior", IF(HR_Data[YearsAtCompany]&lt;=10, "Mid","Senior")))</f>
        <v>Junior</v>
      </c>
      <c r="AJ693" s="2" t="str">
        <f>IF(HR_Data[MonthlyIncome]&lt;=300,"Low", IF(HR_Data[MonthlyIncome]&lt;=7000,"Medium", "High"))</f>
        <v>Medium</v>
      </c>
      <c r="AK693" s="2" t="str">
        <f>VLOOKUP(HR_Data[JobRole], JobRole_Map[], 2, FALSE)</f>
        <v>Technical</v>
      </c>
    </row>
    <row r="694" spans="1:37" x14ac:dyDescent="0.25">
      <c r="A694" s="2">
        <v>39</v>
      </c>
      <c r="B694" t="s">
        <v>32</v>
      </c>
      <c r="C694" t="s">
        <v>33</v>
      </c>
      <c r="D694" t="s">
        <v>34</v>
      </c>
      <c r="E694">
        <v>23</v>
      </c>
      <c r="F694" t="s">
        <v>35</v>
      </c>
      <c r="G694">
        <v>3</v>
      </c>
      <c r="H694">
        <v>1</v>
      </c>
      <c r="I694" t="s">
        <v>44</v>
      </c>
      <c r="J694">
        <v>1</v>
      </c>
      <c r="K694" t="s">
        <v>37</v>
      </c>
      <c r="L694">
        <v>3904</v>
      </c>
      <c r="M694">
        <v>0</v>
      </c>
      <c r="N694" t="s">
        <v>41</v>
      </c>
      <c r="O694">
        <v>13</v>
      </c>
      <c r="P694">
        <v>3</v>
      </c>
      <c r="Q694">
        <v>0</v>
      </c>
      <c r="R694">
        <v>6</v>
      </c>
      <c r="S694">
        <v>2</v>
      </c>
      <c r="T694">
        <v>5</v>
      </c>
      <c r="U694">
        <v>0</v>
      </c>
      <c r="V694">
        <v>3</v>
      </c>
      <c r="W694" t="s">
        <v>56</v>
      </c>
      <c r="X694" s="1" t="d">
        <v>2016-03-30</v>
      </c>
      <c r="Z694" t="s">
        <v>45</v>
      </c>
      <c r="AA694" t="s">
        <v>40</v>
      </c>
      <c r="AB694">
        <v>5</v>
      </c>
      <c r="AC694">
        <v>1</v>
      </c>
      <c r="AD694" t="s">
        <v>41</v>
      </c>
      <c r="AE694" t="s">
        <v>60</v>
      </c>
      <c r="AF694" t="s">
        <v>43</v>
      </c>
      <c r="AG694">
        <f>IF(HR_Data[[#This Row],[Attrition]]="Yes",1,0)</f>
        <v>1</v>
      </c>
      <c r="AH694" t="str">
        <f>IF(HR_Data[Date_of_termination]="","Active","Left")</f>
        <v>Active</v>
      </c>
      <c r="AI694" t="str">
        <f>IF(HR_Data[YearsAtCompany]&lt;=2,"Fresher", IF(HR_Data[YearsAtCompany]&lt;=5,"Junior", IF(HR_Data[YearsAtCompany]&lt;=10, "Mid","Senior")))</f>
        <v>Junior</v>
      </c>
      <c r="AJ694" s="2" t="str">
        <f>IF(HR_Data[MonthlyIncome]&lt;=300,"Low", IF(HR_Data[MonthlyIncome]&lt;=7000,"Medium", "High"))</f>
        <v>Medium</v>
      </c>
      <c r="AK694" s="2" t="str">
        <f>VLOOKUP(HR_Data[JobRole], JobRole_Map[], 2, FALSE)</f>
        <v>Technical</v>
      </c>
    </row>
    <row r="695" spans="1:37" x14ac:dyDescent="0.25">
      <c r="A695" s="2">
        <v>40</v>
      </c>
      <c r="B695" t="s">
        <v>32</v>
      </c>
      <c r="C695" t="s">
        <v>33</v>
      </c>
      <c r="D695" t="s">
        <v>53</v>
      </c>
      <c r="E695">
        <v>25</v>
      </c>
      <c r="F695" t="s">
        <v>35</v>
      </c>
      <c r="G695">
        <v>2</v>
      </c>
      <c r="H695">
        <v>3</v>
      </c>
      <c r="I695" t="s">
        <v>64</v>
      </c>
      <c r="J695">
        <v>2</v>
      </c>
      <c r="K695" t="s">
        <v>37</v>
      </c>
      <c r="L695">
        <v>9094</v>
      </c>
      <c r="M695">
        <v>2</v>
      </c>
      <c r="N695" t="s">
        <v>32</v>
      </c>
      <c r="O695">
        <v>12</v>
      </c>
      <c r="P695">
        <v>3</v>
      </c>
      <c r="Q695">
        <v>0</v>
      </c>
      <c r="R695">
        <v>9</v>
      </c>
      <c r="S695">
        <v>2</v>
      </c>
      <c r="T695">
        <v>5</v>
      </c>
      <c r="U695">
        <v>1</v>
      </c>
      <c r="V695">
        <v>0</v>
      </c>
      <c r="W695" t="s">
        <v>65</v>
      </c>
      <c r="X695" s="1" t="d">
        <v>2016-01-01</v>
      </c>
      <c r="Z695" t="s">
        <v>45</v>
      </c>
      <c r="AA695" t="s">
        <v>46</v>
      </c>
      <c r="AB695">
        <v>1</v>
      </c>
      <c r="AC695">
        <v>0</v>
      </c>
      <c r="AD695" t="s">
        <v>41</v>
      </c>
      <c r="AE695" t="s">
        <v>42</v>
      </c>
      <c r="AF695" t="s">
        <v>48</v>
      </c>
      <c r="AG695">
        <f>IF(HR_Data[[#This Row],[Attrition]]="Yes",1,0)</f>
        <v>1</v>
      </c>
      <c r="AH695" t="str">
        <f>IF(HR_Data[Date_of_termination]="","Active","Left")</f>
        <v>Active</v>
      </c>
      <c r="AI695" t="str">
        <f>IF(HR_Data[YearsAtCompany]&lt;=2,"Fresher", IF(HR_Data[YearsAtCompany]&lt;=5,"Junior", IF(HR_Data[YearsAtCompany]&lt;=10, "Mid","Senior")))</f>
        <v>Junior</v>
      </c>
      <c r="AJ695" s="2" t="str">
        <f>IF(HR_Data[MonthlyIncome]&lt;=300,"Low", IF(HR_Data[MonthlyIncome]&lt;=7000,"Medium", "High"))</f>
        <v>High</v>
      </c>
      <c r="AK695" s="2" t="str">
        <f>VLOOKUP(HR_Data[JobRole], JobRole_Map[], 2, FALSE)</f>
        <v>Sales</v>
      </c>
    </row>
    <row r="696" spans="1:37" x14ac:dyDescent="0.25">
      <c r="A696" s="2">
        <v>51</v>
      </c>
      <c r="B696" t="s">
        <v>41</v>
      </c>
      <c r="C696" t="s">
        <v>33</v>
      </c>
      <c r="D696" t="s">
        <v>34</v>
      </c>
      <c r="E696">
        <v>11</v>
      </c>
      <c r="F696" t="s">
        <v>58</v>
      </c>
      <c r="G696">
        <v>2</v>
      </c>
      <c r="H696">
        <v>4</v>
      </c>
      <c r="I696" t="s">
        <v>67</v>
      </c>
      <c r="J696">
        <v>2</v>
      </c>
      <c r="K696" t="s">
        <v>37</v>
      </c>
      <c r="L696">
        <v>13142</v>
      </c>
      <c r="M696">
        <v>3</v>
      </c>
      <c r="N696" t="s">
        <v>41</v>
      </c>
      <c r="O696">
        <v>16</v>
      </c>
      <c r="P696">
        <v>3</v>
      </c>
      <c r="Q696">
        <v>0</v>
      </c>
      <c r="R696">
        <v>29</v>
      </c>
      <c r="S696">
        <v>1</v>
      </c>
      <c r="T696">
        <v>5</v>
      </c>
      <c r="U696">
        <v>0</v>
      </c>
      <c r="V696">
        <v>3</v>
      </c>
      <c r="W696" t="s">
        <v>65</v>
      </c>
      <c r="X696" s="1" t="d">
        <v>2016-05-05</v>
      </c>
      <c r="Z696" t="s">
        <v>52</v>
      </c>
      <c r="AA696" t="s">
        <v>46</v>
      </c>
      <c r="AB696">
        <v>1</v>
      </c>
      <c r="AC696">
        <v>1</v>
      </c>
      <c r="AD696" t="s">
        <v>41</v>
      </c>
      <c r="AE696" t="s">
        <v>47</v>
      </c>
      <c r="AF696" t="s">
        <v>57</v>
      </c>
      <c r="AG696">
        <f>IF(HR_Data[[#This Row],[Attrition]]="Yes",1,0)</f>
        <v>0</v>
      </c>
      <c r="AH696" t="str">
        <f>IF(HR_Data[Date_of_termination]="","Active","Left")</f>
        <v>Active</v>
      </c>
      <c r="AI696" t="str">
        <f>IF(HR_Data[YearsAtCompany]&lt;=2,"Fresher", IF(HR_Data[YearsAtCompany]&lt;=5,"Junior", IF(HR_Data[YearsAtCompany]&lt;=10, "Mid","Senior")))</f>
        <v>Junior</v>
      </c>
      <c r="AJ696" s="2" t="str">
        <f>IF(HR_Data[MonthlyIncome]&lt;=300,"Low", IF(HR_Data[MonthlyIncome]&lt;=7000,"Medium", "High"))</f>
        <v>High</v>
      </c>
      <c r="AK696" s="2" t="str">
        <f>VLOOKUP(HR_Data[JobRole], JobRole_Map[], 2, FALSE)</f>
        <v>Operations</v>
      </c>
    </row>
    <row r="697" spans="1:37" x14ac:dyDescent="0.25">
      <c r="A697" s="2">
        <v>34</v>
      </c>
      <c r="B697" t="s">
        <v>41</v>
      </c>
      <c r="C697" t="s">
        <v>68</v>
      </c>
      <c r="D697" t="s">
        <v>34</v>
      </c>
      <c r="E697">
        <v>26</v>
      </c>
      <c r="F697" t="s">
        <v>58</v>
      </c>
      <c r="G697">
        <v>2</v>
      </c>
      <c r="H697">
        <v>1</v>
      </c>
      <c r="I697" t="s">
        <v>44</v>
      </c>
      <c r="J697">
        <v>3</v>
      </c>
      <c r="K697" t="s">
        <v>55</v>
      </c>
      <c r="L697">
        <v>2029</v>
      </c>
      <c r="M697">
        <v>1</v>
      </c>
      <c r="N697" t="s">
        <v>41</v>
      </c>
      <c r="O697">
        <v>20</v>
      </c>
      <c r="P697">
        <v>4</v>
      </c>
      <c r="Q697">
        <v>3</v>
      </c>
      <c r="R697">
        <v>5</v>
      </c>
      <c r="S697">
        <v>2</v>
      </c>
      <c r="T697">
        <v>5</v>
      </c>
      <c r="U697">
        <v>0</v>
      </c>
      <c r="V697">
        <v>0</v>
      </c>
      <c r="W697" t="s">
        <v>56</v>
      </c>
      <c r="X697" s="1" t="d">
        <v>2016-03-26</v>
      </c>
      <c r="Z697" t="s">
        <v>52</v>
      </c>
      <c r="AA697" t="s">
        <v>40</v>
      </c>
      <c r="AB697">
        <v>2</v>
      </c>
      <c r="AC697">
        <v>0</v>
      </c>
      <c r="AD697" t="s">
        <v>41</v>
      </c>
      <c r="AE697" t="s">
        <v>47</v>
      </c>
      <c r="AF697" t="s">
        <v>48</v>
      </c>
      <c r="AG697">
        <f>IF(HR_Data[[#This Row],[Attrition]]="Yes",1,0)</f>
        <v>0</v>
      </c>
      <c r="AH697" t="str">
        <f>IF(HR_Data[Date_of_termination]="","Active","Left")</f>
        <v>Active</v>
      </c>
      <c r="AI697" t="str">
        <f>IF(HR_Data[YearsAtCompany]&lt;=2,"Fresher", IF(HR_Data[YearsAtCompany]&lt;=5,"Junior", IF(HR_Data[YearsAtCompany]&lt;=10, "Mid","Senior")))</f>
        <v>Junior</v>
      </c>
      <c r="AJ697" s="2" t="str">
        <f>IF(HR_Data[MonthlyIncome]&lt;=300,"Low", IF(HR_Data[MonthlyIncome]&lt;=7000,"Medium", "High"))</f>
        <v>Medium</v>
      </c>
      <c r="AK697" s="2" t="str">
        <f>VLOOKUP(HR_Data[JobRole], JobRole_Map[], 2, FALSE)</f>
        <v>Technical</v>
      </c>
    </row>
    <row r="698" spans="1:37" x14ac:dyDescent="0.25">
      <c r="A698" s="2">
        <v>28</v>
      </c>
      <c r="B698" t="s">
        <v>41</v>
      </c>
      <c r="C698" t="s">
        <v>33</v>
      </c>
      <c r="D698" t="s">
        <v>53</v>
      </c>
      <c r="E698">
        <v>26</v>
      </c>
      <c r="F698" t="s">
        <v>35</v>
      </c>
      <c r="G698">
        <v>2</v>
      </c>
      <c r="H698">
        <v>2</v>
      </c>
      <c r="I698" t="s">
        <v>64</v>
      </c>
      <c r="J698">
        <v>1</v>
      </c>
      <c r="K698" t="s">
        <v>50</v>
      </c>
      <c r="L698">
        <v>4724</v>
      </c>
      <c r="M698">
        <v>1</v>
      </c>
      <c r="N698" t="s">
        <v>41</v>
      </c>
      <c r="O698">
        <v>11</v>
      </c>
      <c r="P698">
        <v>3</v>
      </c>
      <c r="Q698">
        <v>1</v>
      </c>
      <c r="R698">
        <v>5</v>
      </c>
      <c r="S698">
        <v>0</v>
      </c>
      <c r="T698">
        <v>5</v>
      </c>
      <c r="U698">
        <v>0</v>
      </c>
      <c r="V698">
        <v>4</v>
      </c>
      <c r="W698" t="s">
        <v>56</v>
      </c>
      <c r="X698" s="1" t="d">
        <v>2016-02-15</v>
      </c>
      <c r="Z698" t="s">
        <v>45</v>
      </c>
      <c r="AA698" t="s">
        <v>40</v>
      </c>
      <c r="AB698">
        <v>0</v>
      </c>
      <c r="AC698">
        <v>3</v>
      </c>
      <c r="AD698" t="s">
        <v>32</v>
      </c>
      <c r="AE698" t="s">
        <v>47</v>
      </c>
      <c r="AF698" t="s">
        <v>48</v>
      </c>
      <c r="AG698">
        <f>IF(HR_Data[[#This Row],[Attrition]]="Yes",1,0)</f>
        <v>0</v>
      </c>
      <c r="AH698" t="str">
        <f>IF(HR_Data[Date_of_termination]="","Active","Left")</f>
        <v>Active</v>
      </c>
      <c r="AI698" t="str">
        <f>IF(HR_Data[YearsAtCompany]&lt;=2,"Fresher", IF(HR_Data[YearsAtCompany]&lt;=5,"Junior", IF(HR_Data[YearsAtCompany]&lt;=10, "Mid","Senior")))</f>
        <v>Junior</v>
      </c>
      <c r="AJ698" s="2" t="str">
        <f>IF(HR_Data[MonthlyIncome]&lt;=300,"Low", IF(HR_Data[MonthlyIncome]&lt;=7000,"Medium", "High"))</f>
        <v>Medium</v>
      </c>
      <c r="AK698" s="2" t="str">
        <f>VLOOKUP(HR_Data[JobRole], JobRole_Map[], 2, FALSE)</f>
        <v>Sales</v>
      </c>
    </row>
    <row r="699" spans="1:37" x14ac:dyDescent="0.25">
      <c r="A699" s="2">
        <v>39</v>
      </c>
      <c r="B699" t="s">
        <v>41</v>
      </c>
      <c r="C699" t="s">
        <v>33</v>
      </c>
      <c r="D699" t="s">
        <v>53</v>
      </c>
      <c r="E699">
        <v>21</v>
      </c>
      <c r="F699" t="s">
        <v>35</v>
      </c>
      <c r="G699">
        <v>2</v>
      </c>
      <c r="H699">
        <v>2</v>
      </c>
      <c r="I699" t="s">
        <v>64</v>
      </c>
      <c r="J699">
        <v>4</v>
      </c>
      <c r="K699" t="s">
        <v>50</v>
      </c>
      <c r="L699">
        <v>6120</v>
      </c>
      <c r="M699">
        <v>3</v>
      </c>
      <c r="N699" t="s">
        <v>32</v>
      </c>
      <c r="O699">
        <v>12</v>
      </c>
      <c r="P699">
        <v>3</v>
      </c>
      <c r="Q699">
        <v>2</v>
      </c>
      <c r="R699">
        <v>8</v>
      </c>
      <c r="S699">
        <v>2</v>
      </c>
      <c r="T699">
        <v>5</v>
      </c>
      <c r="U699">
        <v>1</v>
      </c>
      <c r="V699">
        <v>4</v>
      </c>
      <c r="W699" t="s">
        <v>56</v>
      </c>
      <c r="X699" s="1" t="d">
        <v>2016-03-04</v>
      </c>
      <c r="Z699" t="s">
        <v>45</v>
      </c>
      <c r="AA699" t="s">
        <v>46</v>
      </c>
      <c r="AB699">
        <v>4</v>
      </c>
      <c r="AC699">
        <v>2</v>
      </c>
      <c r="AD699" t="s">
        <v>32</v>
      </c>
      <c r="AE699" t="s">
        <v>42</v>
      </c>
      <c r="AF699" t="s">
        <v>57</v>
      </c>
      <c r="AG699">
        <f>IF(HR_Data[[#This Row],[Attrition]]="Yes",1,0)</f>
        <v>0</v>
      </c>
      <c r="AH699" t="str">
        <f>IF(HR_Data[Date_of_termination]="","Active","Left")</f>
        <v>Active</v>
      </c>
      <c r="AI699" t="str">
        <f>IF(HR_Data[YearsAtCompany]&lt;=2,"Fresher", IF(HR_Data[YearsAtCompany]&lt;=5,"Junior", IF(HR_Data[YearsAtCompany]&lt;=10, "Mid","Senior")))</f>
        <v>Junior</v>
      </c>
      <c r="AJ699" s="2" t="str">
        <f>IF(HR_Data[MonthlyIncome]&lt;=300,"Low", IF(HR_Data[MonthlyIncome]&lt;=7000,"Medium", "High"))</f>
        <v>Medium</v>
      </c>
      <c r="AK699" s="2" t="str">
        <f>VLOOKUP(HR_Data[JobRole], JobRole_Map[], 2, FALSE)</f>
        <v>Sales</v>
      </c>
    </row>
    <row r="700" spans="1:37" x14ac:dyDescent="0.25">
      <c r="A700" s="2">
        <v>33</v>
      </c>
      <c r="B700" t="s">
        <v>41</v>
      </c>
      <c r="C700" t="s">
        <v>61</v>
      </c>
      <c r="D700" t="s">
        <v>53</v>
      </c>
      <c r="E700">
        <v>5</v>
      </c>
      <c r="F700" t="s">
        <v>35</v>
      </c>
      <c r="G700">
        <v>3</v>
      </c>
      <c r="H700">
        <v>2</v>
      </c>
      <c r="I700" t="s">
        <v>64</v>
      </c>
      <c r="J700">
        <v>4</v>
      </c>
      <c r="K700" t="s">
        <v>50</v>
      </c>
      <c r="L700">
        <v>9998</v>
      </c>
      <c r="M700">
        <v>6</v>
      </c>
      <c r="N700" t="s">
        <v>41</v>
      </c>
      <c r="O700">
        <v>13</v>
      </c>
      <c r="P700">
        <v>3</v>
      </c>
      <c r="Q700">
        <v>0</v>
      </c>
      <c r="R700">
        <v>8</v>
      </c>
      <c r="S700">
        <v>2</v>
      </c>
      <c r="T700">
        <v>5</v>
      </c>
      <c r="U700">
        <v>1</v>
      </c>
      <c r="V700">
        <v>2</v>
      </c>
      <c r="W700" t="s">
        <v>38</v>
      </c>
      <c r="X700" s="1" t="d">
        <v>2016-02-16</v>
      </c>
      <c r="Z700" t="s">
        <v>59</v>
      </c>
      <c r="AA700" t="s">
        <v>40</v>
      </c>
      <c r="AB700">
        <v>3</v>
      </c>
      <c r="AC700">
        <v>1</v>
      </c>
      <c r="AD700" t="s">
        <v>32</v>
      </c>
      <c r="AE700" t="s">
        <v>60</v>
      </c>
      <c r="AF700" t="s">
        <v>48</v>
      </c>
      <c r="AG700">
        <f>IF(HR_Data[[#This Row],[Attrition]]="Yes",1,0)</f>
        <v>0</v>
      </c>
      <c r="AH700" t="str">
        <f>IF(HR_Data[Date_of_termination]="","Active","Left")</f>
        <v>Active</v>
      </c>
      <c r="AI700" t="str">
        <f>IF(HR_Data[YearsAtCompany]&lt;=2,"Fresher", IF(HR_Data[YearsAtCompany]&lt;=5,"Junior", IF(HR_Data[YearsAtCompany]&lt;=10, "Mid","Senior")))</f>
        <v>Junior</v>
      </c>
      <c r="AJ700" s="2" t="str">
        <f>IF(HR_Data[MonthlyIncome]&lt;=300,"Low", IF(HR_Data[MonthlyIncome]&lt;=7000,"Medium", "High"))</f>
        <v>High</v>
      </c>
      <c r="AK700" s="2" t="str">
        <f>VLOOKUP(HR_Data[JobRole], JobRole_Map[], 2, FALSE)</f>
        <v>Sales</v>
      </c>
    </row>
    <row r="701" spans="1:37" x14ac:dyDescent="0.25">
      <c r="A701" s="2">
        <v>52</v>
      </c>
      <c r="B701" t="s">
        <v>41</v>
      </c>
      <c r="C701" t="s">
        <v>61</v>
      </c>
      <c r="D701" t="s">
        <v>34</v>
      </c>
      <c r="E701">
        <v>28</v>
      </c>
      <c r="F701" t="s">
        <v>58</v>
      </c>
      <c r="G701">
        <v>4</v>
      </c>
      <c r="H701">
        <v>4</v>
      </c>
      <c r="I701" t="s">
        <v>67</v>
      </c>
      <c r="J701">
        <v>3</v>
      </c>
      <c r="K701" t="s">
        <v>50</v>
      </c>
      <c r="L701">
        <v>13247</v>
      </c>
      <c r="M701">
        <v>2</v>
      </c>
      <c r="N701" t="s">
        <v>32</v>
      </c>
      <c r="O701">
        <v>11</v>
      </c>
      <c r="P701">
        <v>3</v>
      </c>
      <c r="Q701">
        <v>1</v>
      </c>
      <c r="R701">
        <v>24</v>
      </c>
      <c r="S701">
        <v>3</v>
      </c>
      <c r="T701">
        <v>5</v>
      </c>
      <c r="U701">
        <v>0</v>
      </c>
      <c r="V701">
        <v>2</v>
      </c>
      <c r="W701" t="s">
        <v>38</v>
      </c>
      <c r="X701" s="1" t="d">
        <v>2016-02-22</v>
      </c>
      <c r="Z701" t="s">
        <v>59</v>
      </c>
      <c r="AA701" t="s">
        <v>40</v>
      </c>
      <c r="AB701">
        <v>3</v>
      </c>
      <c r="AC701">
        <v>3</v>
      </c>
      <c r="AD701" t="s">
        <v>32</v>
      </c>
      <c r="AE701" t="s">
        <v>42</v>
      </c>
      <c r="AF701" t="s">
        <v>57</v>
      </c>
      <c r="AG701">
        <f>IF(HR_Data[[#This Row],[Attrition]]="Yes",1,0)</f>
        <v>0</v>
      </c>
      <c r="AH701" t="str">
        <f>IF(HR_Data[Date_of_termination]="","Active","Left")</f>
        <v>Active</v>
      </c>
      <c r="AI701" t="str">
        <f>IF(HR_Data[YearsAtCompany]&lt;=2,"Fresher", IF(HR_Data[YearsAtCompany]&lt;=5,"Junior", IF(HR_Data[YearsAtCompany]&lt;=10, "Mid","Senior")))</f>
        <v>Junior</v>
      </c>
      <c r="AJ701" s="2" t="str">
        <f>IF(HR_Data[MonthlyIncome]&lt;=300,"Low", IF(HR_Data[MonthlyIncome]&lt;=7000,"Medium", "High"))</f>
        <v>High</v>
      </c>
      <c r="AK701" s="2" t="str">
        <f>VLOOKUP(HR_Data[JobRole], JobRole_Map[], 2, FALSE)</f>
        <v>Operations</v>
      </c>
    </row>
    <row r="702" spans="1:37" x14ac:dyDescent="0.25">
      <c r="A702" s="2">
        <v>52</v>
      </c>
      <c r="B702" t="s">
        <v>41</v>
      </c>
      <c r="C702" t="s">
        <v>33</v>
      </c>
      <c r="D702" t="s">
        <v>34</v>
      </c>
      <c r="E702">
        <v>8</v>
      </c>
      <c r="F702" t="s">
        <v>58</v>
      </c>
      <c r="G702">
        <v>3</v>
      </c>
      <c r="H702">
        <v>1</v>
      </c>
      <c r="I702" t="s">
        <v>36</v>
      </c>
      <c r="J702">
        <v>1</v>
      </c>
      <c r="K702" t="s">
        <v>50</v>
      </c>
      <c r="L702">
        <v>2950</v>
      </c>
      <c r="M702">
        <v>9</v>
      </c>
      <c r="N702" t="s">
        <v>41</v>
      </c>
      <c r="O702">
        <v>13</v>
      </c>
      <c r="P702">
        <v>3</v>
      </c>
      <c r="Q702">
        <v>0</v>
      </c>
      <c r="R702">
        <v>12</v>
      </c>
      <c r="S702">
        <v>2</v>
      </c>
      <c r="T702">
        <v>5</v>
      </c>
      <c r="U702">
        <v>0</v>
      </c>
      <c r="V702">
        <v>4</v>
      </c>
      <c r="W702" t="s">
        <v>51</v>
      </c>
      <c r="X702" s="1" t="d">
        <v>2016-06-01</v>
      </c>
      <c r="Z702" t="s">
        <v>63</v>
      </c>
      <c r="AA702" t="s">
        <v>40</v>
      </c>
      <c r="AB702">
        <v>2</v>
      </c>
      <c r="AC702">
        <v>3</v>
      </c>
      <c r="AD702" t="s">
        <v>32</v>
      </c>
      <c r="AE702" t="s">
        <v>47</v>
      </c>
      <c r="AF702" t="s">
        <v>57</v>
      </c>
      <c r="AG702">
        <f>IF(HR_Data[[#This Row],[Attrition]]="Yes",1,0)</f>
        <v>0</v>
      </c>
      <c r="AH702" t="str">
        <f>IF(HR_Data[Date_of_termination]="","Active","Left")</f>
        <v>Active</v>
      </c>
      <c r="AI702" t="str">
        <f>IF(HR_Data[YearsAtCompany]&lt;=2,"Fresher", IF(HR_Data[YearsAtCompany]&lt;=5,"Junior", IF(HR_Data[YearsAtCompany]&lt;=10, "Mid","Senior")))</f>
        <v>Junior</v>
      </c>
      <c r="AJ702" s="2" t="str">
        <f>IF(HR_Data[MonthlyIncome]&lt;=300,"Low", IF(HR_Data[MonthlyIncome]&lt;=7000,"Medium", "High"))</f>
        <v>Medium</v>
      </c>
      <c r="AK702" s="2" t="str">
        <f>VLOOKUP(HR_Data[JobRole], JobRole_Map[], 2, FALSE)</f>
        <v>Technical</v>
      </c>
    </row>
    <row r="703" spans="1:37" x14ac:dyDescent="0.25">
      <c r="A703" s="2">
        <v>36</v>
      </c>
      <c r="B703" t="s">
        <v>41</v>
      </c>
      <c r="C703" t="s">
        <v>33</v>
      </c>
      <c r="D703" t="s">
        <v>53</v>
      </c>
      <c r="E703">
        <v>3</v>
      </c>
      <c r="F703" t="s">
        <v>58</v>
      </c>
      <c r="G703">
        <v>3</v>
      </c>
      <c r="H703">
        <v>2</v>
      </c>
      <c r="I703" t="s">
        <v>64</v>
      </c>
      <c r="J703">
        <v>2</v>
      </c>
      <c r="K703" t="s">
        <v>37</v>
      </c>
      <c r="L703">
        <v>9278</v>
      </c>
      <c r="M703">
        <v>3</v>
      </c>
      <c r="N703" t="s">
        <v>32</v>
      </c>
      <c r="O703">
        <v>16</v>
      </c>
      <c r="P703">
        <v>3</v>
      </c>
      <c r="Q703">
        <v>0</v>
      </c>
      <c r="R703">
        <v>15</v>
      </c>
      <c r="S703">
        <v>3</v>
      </c>
      <c r="T703">
        <v>5</v>
      </c>
      <c r="U703">
        <v>0</v>
      </c>
      <c r="V703">
        <v>1</v>
      </c>
      <c r="W703" t="s">
        <v>38</v>
      </c>
      <c r="X703" s="1" t="d">
        <v>2016-01-01</v>
      </c>
      <c r="Z703" t="s">
        <v>45</v>
      </c>
      <c r="AA703" t="s">
        <v>46</v>
      </c>
      <c r="AB703">
        <v>0</v>
      </c>
      <c r="AC703">
        <v>2</v>
      </c>
      <c r="AD703" t="s">
        <v>41</v>
      </c>
      <c r="AE703" t="s">
        <v>42</v>
      </c>
      <c r="AF703" t="s">
        <v>57</v>
      </c>
      <c r="AG703">
        <f>IF(HR_Data[[#This Row],[Attrition]]="Yes",1,0)</f>
        <v>0</v>
      </c>
      <c r="AH703" t="str">
        <f>IF(HR_Data[Date_of_termination]="","Active","Left")</f>
        <v>Active</v>
      </c>
      <c r="AI703" t="str">
        <f>IF(HR_Data[YearsAtCompany]&lt;=2,"Fresher", IF(HR_Data[YearsAtCompany]&lt;=5,"Junior", IF(HR_Data[YearsAtCompany]&lt;=10, "Mid","Senior")))</f>
        <v>Junior</v>
      </c>
      <c r="AJ703" s="2" t="str">
        <f>IF(HR_Data[MonthlyIncome]&lt;=300,"Low", IF(HR_Data[MonthlyIncome]&lt;=7000,"Medium", "High"))</f>
        <v>High</v>
      </c>
      <c r="AK703" s="2" t="str">
        <f>VLOOKUP(HR_Data[JobRole], JobRole_Map[], 2, FALSE)</f>
        <v>Sales</v>
      </c>
    </row>
    <row r="704" spans="1:37" x14ac:dyDescent="0.25">
      <c r="A704" s="2">
        <v>27</v>
      </c>
      <c r="B704" t="s">
        <v>41</v>
      </c>
      <c r="C704" t="s">
        <v>33</v>
      </c>
      <c r="D704" t="s">
        <v>34</v>
      </c>
      <c r="E704">
        <v>11</v>
      </c>
      <c r="F704" t="s">
        <v>35</v>
      </c>
      <c r="G704">
        <v>3</v>
      </c>
      <c r="H704">
        <v>1</v>
      </c>
      <c r="I704" t="s">
        <v>36</v>
      </c>
      <c r="J704">
        <v>1</v>
      </c>
      <c r="K704" t="s">
        <v>50</v>
      </c>
      <c r="L704">
        <v>2099</v>
      </c>
      <c r="M704">
        <v>0</v>
      </c>
      <c r="N704" t="s">
        <v>41</v>
      </c>
      <c r="O704">
        <v>14</v>
      </c>
      <c r="P704">
        <v>3</v>
      </c>
      <c r="Q704">
        <v>0</v>
      </c>
      <c r="R704">
        <v>6</v>
      </c>
      <c r="S704">
        <v>3</v>
      </c>
      <c r="T704">
        <v>5</v>
      </c>
      <c r="U704">
        <v>1</v>
      </c>
      <c r="V704">
        <v>4</v>
      </c>
      <c r="W704" t="s">
        <v>38</v>
      </c>
      <c r="X704" s="1" t="d">
        <v>2016-04-23</v>
      </c>
      <c r="Z704" t="s">
        <v>52</v>
      </c>
      <c r="AA704" t="s">
        <v>40</v>
      </c>
      <c r="AB704">
        <v>2</v>
      </c>
      <c r="AC704">
        <v>0</v>
      </c>
      <c r="AD704" t="s">
        <v>41</v>
      </c>
      <c r="AE704" t="s">
        <v>62</v>
      </c>
      <c r="AF704" t="s">
        <v>43</v>
      </c>
      <c r="AG704">
        <f>IF(HR_Data[[#This Row],[Attrition]]="Yes",1,0)</f>
        <v>0</v>
      </c>
      <c r="AH704" t="str">
        <f>IF(HR_Data[Date_of_termination]="","Active","Left")</f>
        <v>Active</v>
      </c>
      <c r="AI704" t="str">
        <f>IF(HR_Data[YearsAtCompany]&lt;=2,"Fresher", IF(HR_Data[YearsAtCompany]&lt;=5,"Junior", IF(HR_Data[YearsAtCompany]&lt;=10, "Mid","Senior")))</f>
        <v>Junior</v>
      </c>
      <c r="AJ704" s="2" t="str">
        <f>IF(HR_Data[MonthlyIncome]&lt;=300,"Low", IF(HR_Data[MonthlyIncome]&lt;=7000,"Medium", "High"))</f>
        <v>Medium</v>
      </c>
      <c r="AK704" s="2" t="str">
        <f>VLOOKUP(HR_Data[JobRole], JobRole_Map[], 2, FALSE)</f>
        <v>Technical</v>
      </c>
    </row>
    <row r="705" spans="1:37" x14ac:dyDescent="0.25">
      <c r="A705" s="2">
        <v>24</v>
      </c>
      <c r="B705" t="s">
        <v>41</v>
      </c>
      <c r="C705" t="s">
        <v>33</v>
      </c>
      <c r="D705" t="s">
        <v>53</v>
      </c>
      <c r="E705">
        <v>4</v>
      </c>
      <c r="F705" t="s">
        <v>58</v>
      </c>
      <c r="G705">
        <v>3</v>
      </c>
      <c r="H705">
        <v>2</v>
      </c>
      <c r="I705" t="s">
        <v>64</v>
      </c>
      <c r="J705">
        <v>3</v>
      </c>
      <c r="K705" t="s">
        <v>50</v>
      </c>
      <c r="L705">
        <v>4162</v>
      </c>
      <c r="M705">
        <v>1</v>
      </c>
      <c r="N705" t="s">
        <v>32</v>
      </c>
      <c r="O705">
        <v>12</v>
      </c>
      <c r="P705">
        <v>3</v>
      </c>
      <c r="Q705">
        <v>2</v>
      </c>
      <c r="R705">
        <v>5</v>
      </c>
      <c r="S705">
        <v>3</v>
      </c>
      <c r="T705">
        <v>5</v>
      </c>
      <c r="U705">
        <v>0</v>
      </c>
      <c r="V705">
        <v>3</v>
      </c>
      <c r="W705" t="s">
        <v>56</v>
      </c>
      <c r="X705" s="1" t="d">
        <v>2016-04-10</v>
      </c>
      <c r="Z705" t="s">
        <v>45</v>
      </c>
      <c r="AA705" t="s">
        <v>40</v>
      </c>
      <c r="AB705">
        <v>4</v>
      </c>
      <c r="AC705">
        <v>1</v>
      </c>
      <c r="AD705" t="s">
        <v>32</v>
      </c>
      <c r="AE705" t="s">
        <v>60</v>
      </c>
      <c r="AF705" t="s">
        <v>48</v>
      </c>
      <c r="AG705">
        <f>IF(HR_Data[[#This Row],[Attrition]]="Yes",1,0)</f>
        <v>0</v>
      </c>
      <c r="AH705" t="str">
        <f>IF(HR_Data[Date_of_termination]="","Active","Left")</f>
        <v>Active</v>
      </c>
      <c r="AI705" t="str">
        <f>IF(HR_Data[YearsAtCompany]&lt;=2,"Fresher", IF(HR_Data[YearsAtCompany]&lt;=5,"Junior", IF(HR_Data[YearsAtCompany]&lt;=10, "Mid","Senior")))</f>
        <v>Junior</v>
      </c>
      <c r="AJ705" s="2" t="str">
        <f>IF(HR_Data[MonthlyIncome]&lt;=300,"Low", IF(HR_Data[MonthlyIncome]&lt;=7000,"Medium", "High"))</f>
        <v>Medium</v>
      </c>
      <c r="AK705" s="2" t="str">
        <f>VLOOKUP(HR_Data[JobRole], JobRole_Map[], 2, FALSE)</f>
        <v>Sales</v>
      </c>
    </row>
    <row r="706" spans="1:37" x14ac:dyDescent="0.25">
      <c r="A706" s="2">
        <v>34</v>
      </c>
      <c r="B706" t="s">
        <v>41</v>
      </c>
      <c r="C706" t="s">
        <v>33</v>
      </c>
      <c r="D706" t="s">
        <v>34</v>
      </c>
      <c r="E706">
        <v>1</v>
      </c>
      <c r="F706" t="s">
        <v>58</v>
      </c>
      <c r="G706">
        <v>2</v>
      </c>
      <c r="H706">
        <v>1</v>
      </c>
      <c r="I706" t="s">
        <v>36</v>
      </c>
      <c r="J706">
        <v>2</v>
      </c>
      <c r="K706" t="s">
        <v>50</v>
      </c>
      <c r="L706">
        <v>3294</v>
      </c>
      <c r="M706">
        <v>5</v>
      </c>
      <c r="N706" t="s">
        <v>41</v>
      </c>
      <c r="O706">
        <v>17</v>
      </c>
      <c r="P706">
        <v>3</v>
      </c>
      <c r="Q706">
        <v>1</v>
      </c>
      <c r="R706">
        <v>7</v>
      </c>
      <c r="S706">
        <v>2</v>
      </c>
      <c r="T706">
        <v>5</v>
      </c>
      <c r="U706">
        <v>0</v>
      </c>
      <c r="V706">
        <v>2</v>
      </c>
      <c r="W706" t="s">
        <v>51</v>
      </c>
      <c r="X706" s="1" t="d">
        <v>2016-01-06</v>
      </c>
      <c r="Z706" t="s">
        <v>45</v>
      </c>
      <c r="AA706" t="s">
        <v>40</v>
      </c>
      <c r="AB706">
        <v>5</v>
      </c>
      <c r="AC706">
        <v>0</v>
      </c>
      <c r="AD706" t="s">
        <v>32</v>
      </c>
      <c r="AE706" t="s">
        <v>60</v>
      </c>
      <c r="AF706" t="s">
        <v>48</v>
      </c>
      <c r="AG706">
        <f>IF(HR_Data[[#This Row],[Attrition]]="Yes",1,0)</f>
        <v>0</v>
      </c>
      <c r="AH706" t="str">
        <f>IF(HR_Data[Date_of_termination]="","Active","Left")</f>
        <v>Active</v>
      </c>
      <c r="AI706" t="str">
        <f>IF(HR_Data[YearsAtCompany]&lt;=2,"Fresher", IF(HR_Data[YearsAtCompany]&lt;=5,"Junior", IF(HR_Data[YearsAtCompany]&lt;=10, "Mid","Senior")))</f>
        <v>Junior</v>
      </c>
      <c r="AJ706" s="2" t="str">
        <f>IF(HR_Data[MonthlyIncome]&lt;=300,"Low", IF(HR_Data[MonthlyIncome]&lt;=7000,"Medium", "High"))</f>
        <v>Medium</v>
      </c>
      <c r="AK706" s="2" t="str">
        <f>VLOOKUP(HR_Data[JobRole], JobRole_Map[], 2, FALSE)</f>
        <v>Technical</v>
      </c>
    </row>
    <row r="707" spans="1:37" x14ac:dyDescent="0.25">
      <c r="A707" s="2">
        <v>28</v>
      </c>
      <c r="B707" t="s">
        <v>41</v>
      </c>
      <c r="C707" t="s">
        <v>33</v>
      </c>
      <c r="D707" t="s">
        <v>53</v>
      </c>
      <c r="E707">
        <v>5</v>
      </c>
      <c r="F707" t="s">
        <v>35</v>
      </c>
      <c r="G707">
        <v>3</v>
      </c>
      <c r="H707">
        <v>2</v>
      </c>
      <c r="I707" t="s">
        <v>64</v>
      </c>
      <c r="J707">
        <v>1</v>
      </c>
      <c r="K707" t="s">
        <v>37</v>
      </c>
      <c r="L707">
        <v>8463</v>
      </c>
      <c r="M707">
        <v>0</v>
      </c>
      <c r="N707" t="s">
        <v>41</v>
      </c>
      <c r="O707">
        <v>18</v>
      </c>
      <c r="P707">
        <v>3</v>
      </c>
      <c r="Q707">
        <v>0</v>
      </c>
      <c r="R707">
        <v>6</v>
      </c>
      <c r="S707">
        <v>4</v>
      </c>
      <c r="T707">
        <v>5</v>
      </c>
      <c r="U707">
        <v>1</v>
      </c>
      <c r="V707">
        <v>3</v>
      </c>
      <c r="W707" t="s">
        <v>38</v>
      </c>
      <c r="X707" s="1" t="d">
        <v>2016-03-05</v>
      </c>
      <c r="Z707" t="s">
        <v>59</v>
      </c>
      <c r="AA707" t="s">
        <v>46</v>
      </c>
      <c r="AB707">
        <v>3</v>
      </c>
      <c r="AC707">
        <v>1</v>
      </c>
      <c r="AD707" t="s">
        <v>41</v>
      </c>
      <c r="AE707" t="s">
        <v>42</v>
      </c>
      <c r="AF707" t="s">
        <v>57</v>
      </c>
      <c r="AG707">
        <f>IF(HR_Data[[#This Row],[Attrition]]="Yes",1,0)</f>
        <v>0</v>
      </c>
      <c r="AH707" t="str">
        <f>IF(HR_Data[Date_of_termination]="","Active","Left")</f>
        <v>Active</v>
      </c>
      <c r="AI707" t="str">
        <f>IF(HR_Data[YearsAtCompany]&lt;=2,"Fresher", IF(HR_Data[YearsAtCompany]&lt;=5,"Junior", IF(HR_Data[YearsAtCompany]&lt;=10, "Mid","Senior")))</f>
        <v>Junior</v>
      </c>
      <c r="AJ707" s="2" t="str">
        <f>IF(HR_Data[MonthlyIncome]&lt;=300,"Low", IF(HR_Data[MonthlyIncome]&lt;=7000,"Medium", "High"))</f>
        <v>High</v>
      </c>
      <c r="AK707" s="2" t="str">
        <f>VLOOKUP(HR_Data[JobRole], JobRole_Map[], 2, FALSE)</f>
        <v>Sales</v>
      </c>
    </row>
    <row r="708" spans="1:37" x14ac:dyDescent="0.25">
      <c r="A708" s="2">
        <v>44</v>
      </c>
      <c r="B708" t="s">
        <v>41</v>
      </c>
      <c r="C708" t="s">
        <v>68</v>
      </c>
      <c r="D708" t="s">
        <v>34</v>
      </c>
      <c r="E708">
        <v>5</v>
      </c>
      <c r="F708" t="s">
        <v>35</v>
      </c>
      <c r="G708">
        <v>2</v>
      </c>
      <c r="H708">
        <v>1</v>
      </c>
      <c r="I708" t="s">
        <v>36</v>
      </c>
      <c r="J708">
        <v>3</v>
      </c>
      <c r="K708" t="s">
        <v>37</v>
      </c>
      <c r="L708">
        <v>3162</v>
      </c>
      <c r="M708">
        <v>3</v>
      </c>
      <c r="N708" t="s">
        <v>41</v>
      </c>
      <c r="O708">
        <v>14</v>
      </c>
      <c r="P708">
        <v>3</v>
      </c>
      <c r="Q708">
        <v>0</v>
      </c>
      <c r="R708">
        <v>7</v>
      </c>
      <c r="S708">
        <v>5</v>
      </c>
      <c r="T708">
        <v>5</v>
      </c>
      <c r="U708">
        <v>0</v>
      </c>
      <c r="V708">
        <v>3</v>
      </c>
      <c r="W708" t="s">
        <v>65</v>
      </c>
      <c r="X708" s="1" t="d">
        <v>2016-01-11</v>
      </c>
      <c r="Z708" t="s">
        <v>39</v>
      </c>
      <c r="AA708" t="s">
        <v>46</v>
      </c>
      <c r="AB708">
        <v>3</v>
      </c>
      <c r="AC708">
        <v>3</v>
      </c>
      <c r="AD708" t="s">
        <v>32</v>
      </c>
      <c r="AE708" t="s">
        <v>62</v>
      </c>
      <c r="AF708" t="s">
        <v>48</v>
      </c>
      <c r="AG708">
        <f>IF(HR_Data[[#This Row],[Attrition]]="Yes",1,0)</f>
        <v>0</v>
      </c>
      <c r="AH708" t="str">
        <f>IF(HR_Data[Date_of_termination]="","Active","Left")</f>
        <v>Active</v>
      </c>
      <c r="AI708" t="str">
        <f>IF(HR_Data[YearsAtCompany]&lt;=2,"Fresher", IF(HR_Data[YearsAtCompany]&lt;=5,"Junior", IF(HR_Data[YearsAtCompany]&lt;=10, "Mid","Senior")))</f>
        <v>Junior</v>
      </c>
      <c r="AJ708" s="2" t="str">
        <f>IF(HR_Data[MonthlyIncome]&lt;=300,"Low", IF(HR_Data[MonthlyIncome]&lt;=7000,"Medium", "High"))</f>
        <v>Medium</v>
      </c>
      <c r="AK708" s="2" t="str">
        <f>VLOOKUP(HR_Data[JobRole], JobRole_Map[], 2, FALSE)</f>
        <v>Technical</v>
      </c>
    </row>
    <row r="709" spans="1:37" x14ac:dyDescent="0.25">
      <c r="A709" s="2">
        <v>44</v>
      </c>
      <c r="B709" t="s">
        <v>41</v>
      </c>
      <c r="C709" t="s">
        <v>33</v>
      </c>
      <c r="D709" t="s">
        <v>34</v>
      </c>
      <c r="E709">
        <v>20</v>
      </c>
      <c r="F709" t="s">
        <v>35</v>
      </c>
      <c r="G709">
        <v>3</v>
      </c>
      <c r="H709">
        <v>1</v>
      </c>
      <c r="I709" t="s">
        <v>44</v>
      </c>
      <c r="J709">
        <v>2</v>
      </c>
      <c r="K709" t="s">
        <v>37</v>
      </c>
      <c r="L709">
        <v>3420</v>
      </c>
      <c r="M709">
        <v>1</v>
      </c>
      <c r="N709" t="s">
        <v>41</v>
      </c>
      <c r="O709">
        <v>13</v>
      </c>
      <c r="P709">
        <v>3</v>
      </c>
      <c r="Q709">
        <v>0</v>
      </c>
      <c r="R709">
        <v>6</v>
      </c>
      <c r="S709">
        <v>3</v>
      </c>
      <c r="T709">
        <v>5</v>
      </c>
      <c r="U709">
        <v>1</v>
      </c>
      <c r="V709">
        <v>3</v>
      </c>
      <c r="W709" t="s">
        <v>38</v>
      </c>
      <c r="X709" s="1" t="d">
        <v>2016-02-22</v>
      </c>
      <c r="Z709" t="s">
        <v>45</v>
      </c>
      <c r="AA709" t="s">
        <v>40</v>
      </c>
      <c r="AB709">
        <v>1</v>
      </c>
      <c r="AC709">
        <v>0</v>
      </c>
      <c r="AD709" t="s">
        <v>32</v>
      </c>
      <c r="AE709" t="s">
        <v>47</v>
      </c>
      <c r="AF709" t="s">
        <v>57</v>
      </c>
      <c r="AG709">
        <f>IF(HR_Data[[#This Row],[Attrition]]="Yes",1,0)</f>
        <v>0</v>
      </c>
      <c r="AH709" t="str">
        <f>IF(HR_Data[Date_of_termination]="","Active","Left")</f>
        <v>Active</v>
      </c>
      <c r="AI709" t="str">
        <f>IF(HR_Data[YearsAtCompany]&lt;=2,"Fresher", IF(HR_Data[YearsAtCompany]&lt;=5,"Junior", IF(HR_Data[YearsAtCompany]&lt;=10, "Mid","Senior")))</f>
        <v>Junior</v>
      </c>
      <c r="AJ709" s="2" t="str">
        <f>IF(HR_Data[MonthlyIncome]&lt;=300,"Low", IF(HR_Data[MonthlyIncome]&lt;=7000,"Medium", "High"))</f>
        <v>Medium</v>
      </c>
      <c r="AK709" s="2" t="str">
        <f>VLOOKUP(HR_Data[JobRole], JobRole_Map[], 2, FALSE)</f>
        <v>Technical</v>
      </c>
    </row>
    <row r="710" spans="1:37" x14ac:dyDescent="0.25">
      <c r="A710" s="2">
        <v>29</v>
      </c>
      <c r="B710" t="s">
        <v>32</v>
      </c>
      <c r="C710" t="s">
        <v>61</v>
      </c>
      <c r="D710" t="s">
        <v>53</v>
      </c>
      <c r="E710">
        <v>13</v>
      </c>
      <c r="F710" t="s">
        <v>58</v>
      </c>
      <c r="G710">
        <v>3</v>
      </c>
      <c r="H710">
        <v>2</v>
      </c>
      <c r="I710" t="s">
        <v>64</v>
      </c>
      <c r="J710">
        <v>2</v>
      </c>
      <c r="K710" t="s">
        <v>37</v>
      </c>
      <c r="L710">
        <v>5765</v>
      </c>
      <c r="M710">
        <v>5</v>
      </c>
      <c r="N710" t="s">
        <v>41</v>
      </c>
      <c r="O710">
        <v>11</v>
      </c>
      <c r="P710">
        <v>3</v>
      </c>
      <c r="Q710">
        <v>0</v>
      </c>
      <c r="R710">
        <v>7</v>
      </c>
      <c r="S710">
        <v>4</v>
      </c>
      <c r="T710">
        <v>5</v>
      </c>
      <c r="U710">
        <v>0</v>
      </c>
      <c r="V710">
        <v>0</v>
      </c>
      <c r="W710" t="s">
        <v>56</v>
      </c>
      <c r="X710" s="1" t="d">
        <v>2016-03-28</v>
      </c>
      <c r="Z710" t="s">
        <v>45</v>
      </c>
      <c r="AA710" t="s">
        <v>46</v>
      </c>
      <c r="AB710">
        <v>4</v>
      </c>
      <c r="AC710">
        <v>2</v>
      </c>
      <c r="AD710" t="s">
        <v>41</v>
      </c>
      <c r="AE710" t="s">
        <v>62</v>
      </c>
      <c r="AF710" t="s">
        <v>43</v>
      </c>
      <c r="AG710">
        <f>IF(HR_Data[[#This Row],[Attrition]]="Yes",1,0)</f>
        <v>1</v>
      </c>
      <c r="AH710" t="str">
        <f>IF(HR_Data[Date_of_termination]="","Active","Left")</f>
        <v>Active</v>
      </c>
      <c r="AI710" t="str">
        <f>IF(HR_Data[YearsAtCompany]&lt;=2,"Fresher", IF(HR_Data[YearsAtCompany]&lt;=5,"Junior", IF(HR_Data[YearsAtCompany]&lt;=10, "Mid","Senior")))</f>
        <v>Junior</v>
      </c>
      <c r="AJ710" s="2" t="str">
        <f>IF(HR_Data[MonthlyIncome]&lt;=300,"Low", IF(HR_Data[MonthlyIncome]&lt;=7000,"Medium", "High"))</f>
        <v>Medium</v>
      </c>
      <c r="AK710" s="2" t="str">
        <f>VLOOKUP(HR_Data[JobRole], JobRole_Map[], 2, FALSE)</f>
        <v>Sales</v>
      </c>
    </row>
    <row r="711" spans="1:37" x14ac:dyDescent="0.25">
      <c r="A711" s="2">
        <v>30</v>
      </c>
      <c r="B711" t="s">
        <v>41</v>
      </c>
      <c r="C711" t="s">
        <v>33</v>
      </c>
      <c r="D711" t="s">
        <v>70</v>
      </c>
      <c r="E711">
        <v>1</v>
      </c>
      <c r="F711" t="s">
        <v>35</v>
      </c>
      <c r="G711">
        <v>3</v>
      </c>
      <c r="H711">
        <v>1</v>
      </c>
      <c r="I711" t="s">
        <v>70</v>
      </c>
      <c r="J711">
        <v>3</v>
      </c>
      <c r="K711" t="s">
        <v>55</v>
      </c>
      <c r="L711">
        <v>2064</v>
      </c>
      <c r="M711">
        <v>0</v>
      </c>
      <c r="N711" t="s">
        <v>41</v>
      </c>
      <c r="O711">
        <v>21</v>
      </c>
      <c r="P711">
        <v>4</v>
      </c>
      <c r="Q711">
        <v>1</v>
      </c>
      <c r="R711">
        <v>6</v>
      </c>
      <c r="S711">
        <v>3</v>
      </c>
      <c r="T711">
        <v>5</v>
      </c>
      <c r="U711">
        <v>1</v>
      </c>
      <c r="V711">
        <v>3</v>
      </c>
      <c r="W711" t="s">
        <v>65</v>
      </c>
      <c r="X711" s="1" t="d">
        <v>2016-02-18</v>
      </c>
      <c r="Z711" t="s">
        <v>45</v>
      </c>
      <c r="AA711" t="s">
        <v>40</v>
      </c>
      <c r="AB711">
        <v>2</v>
      </c>
      <c r="AC711">
        <v>0</v>
      </c>
      <c r="AD711" t="s">
        <v>32</v>
      </c>
      <c r="AE711" t="s">
        <v>47</v>
      </c>
      <c r="AF711" t="s">
        <v>48</v>
      </c>
      <c r="AG711">
        <f>IF(HR_Data[[#This Row],[Attrition]]="Yes",1,0)</f>
        <v>0</v>
      </c>
      <c r="AH711" t="str">
        <f>IF(HR_Data[Date_of_termination]="","Active","Left")</f>
        <v>Active</v>
      </c>
      <c r="AI711" t="str">
        <f>IF(HR_Data[YearsAtCompany]&lt;=2,"Fresher", IF(HR_Data[YearsAtCompany]&lt;=5,"Junior", IF(HR_Data[YearsAtCompany]&lt;=10, "Mid","Senior")))</f>
        <v>Junior</v>
      </c>
      <c r="AJ711" s="2" t="str">
        <f>IF(HR_Data[MonthlyIncome]&lt;=300,"Low", IF(HR_Data[MonthlyIncome]&lt;=7000,"Medium", "High"))</f>
        <v>Medium</v>
      </c>
      <c r="AK711" s="2" t="str">
        <f>VLOOKUP(HR_Data[JobRole], JobRole_Map[], 2, FALSE)</f>
        <v>HR</v>
      </c>
    </row>
    <row r="712" spans="1:37" x14ac:dyDescent="0.25">
      <c r="A712" s="2">
        <v>33</v>
      </c>
      <c r="B712" t="s">
        <v>41</v>
      </c>
      <c r="C712" t="s">
        <v>33</v>
      </c>
      <c r="D712" t="s">
        <v>34</v>
      </c>
      <c r="E712">
        <v>4</v>
      </c>
      <c r="F712" t="s">
        <v>58</v>
      </c>
      <c r="G712">
        <v>2</v>
      </c>
      <c r="H712">
        <v>1</v>
      </c>
      <c r="I712" t="s">
        <v>36</v>
      </c>
      <c r="J712">
        <v>2</v>
      </c>
      <c r="K712" t="s">
        <v>50</v>
      </c>
      <c r="L712">
        <v>3838</v>
      </c>
      <c r="M712">
        <v>8</v>
      </c>
      <c r="N712" t="s">
        <v>41</v>
      </c>
      <c r="O712">
        <v>11</v>
      </c>
      <c r="P712">
        <v>3</v>
      </c>
      <c r="Q712">
        <v>0</v>
      </c>
      <c r="R712">
        <v>8</v>
      </c>
      <c r="S712">
        <v>5</v>
      </c>
      <c r="T712">
        <v>5</v>
      </c>
      <c r="U712">
        <v>0</v>
      </c>
      <c r="V712">
        <v>2</v>
      </c>
      <c r="W712" t="s">
        <v>38</v>
      </c>
      <c r="X712" s="1" t="d">
        <v>2016-02-28</v>
      </c>
      <c r="Z712" t="s">
        <v>63</v>
      </c>
      <c r="AA712" t="s">
        <v>46</v>
      </c>
      <c r="AB712">
        <v>0</v>
      </c>
      <c r="AC712">
        <v>1</v>
      </c>
      <c r="AD712" t="s">
        <v>32</v>
      </c>
      <c r="AE712" t="s">
        <v>60</v>
      </c>
      <c r="AF712" t="s">
        <v>48</v>
      </c>
      <c r="AG712">
        <f>IF(HR_Data[[#This Row],[Attrition]]="Yes",1,0)</f>
        <v>0</v>
      </c>
      <c r="AH712" t="str">
        <f>IF(HR_Data[Date_of_termination]="","Active","Left")</f>
        <v>Active</v>
      </c>
      <c r="AI712" t="str">
        <f>IF(HR_Data[YearsAtCompany]&lt;=2,"Fresher", IF(HR_Data[YearsAtCompany]&lt;=5,"Junior", IF(HR_Data[YearsAtCompany]&lt;=10, "Mid","Senior")))</f>
        <v>Junior</v>
      </c>
      <c r="AJ712" s="2" t="str">
        <f>IF(HR_Data[MonthlyIncome]&lt;=300,"Low", IF(HR_Data[MonthlyIncome]&lt;=7000,"Medium", "High"))</f>
        <v>Medium</v>
      </c>
      <c r="AK712" s="2" t="str">
        <f>VLOOKUP(HR_Data[JobRole], JobRole_Map[], 2, FALSE)</f>
        <v>Technical</v>
      </c>
    </row>
    <row r="713" spans="1:37" x14ac:dyDescent="0.25">
      <c r="A713" s="2">
        <v>47</v>
      </c>
      <c r="B713" t="s">
        <v>41</v>
      </c>
      <c r="C713" t="s">
        <v>33</v>
      </c>
      <c r="D713" t="s">
        <v>53</v>
      </c>
      <c r="E713">
        <v>14</v>
      </c>
      <c r="F713" t="s">
        <v>58</v>
      </c>
      <c r="G713">
        <v>3</v>
      </c>
      <c r="H713">
        <v>2</v>
      </c>
      <c r="I713" t="s">
        <v>64</v>
      </c>
      <c r="J713">
        <v>3</v>
      </c>
      <c r="K713" t="s">
        <v>50</v>
      </c>
      <c r="L713">
        <v>4591</v>
      </c>
      <c r="M713">
        <v>3</v>
      </c>
      <c r="N713" t="s">
        <v>32</v>
      </c>
      <c r="O713">
        <v>17</v>
      </c>
      <c r="P713">
        <v>3</v>
      </c>
      <c r="Q713">
        <v>1</v>
      </c>
      <c r="R713">
        <v>11</v>
      </c>
      <c r="S713">
        <v>4</v>
      </c>
      <c r="T713">
        <v>5</v>
      </c>
      <c r="U713">
        <v>1</v>
      </c>
      <c r="V713">
        <v>2</v>
      </c>
      <c r="W713" t="s">
        <v>56</v>
      </c>
      <c r="X713" s="1" t="d">
        <v>2016-03-27</v>
      </c>
      <c r="Z713" t="s">
        <v>45</v>
      </c>
      <c r="AA713" t="s">
        <v>46</v>
      </c>
      <c r="AB713">
        <v>4</v>
      </c>
      <c r="AC713">
        <v>1</v>
      </c>
      <c r="AD713" t="s">
        <v>32</v>
      </c>
      <c r="AE713" t="s">
        <v>42</v>
      </c>
      <c r="AF713" t="s">
        <v>48</v>
      </c>
      <c r="AG713">
        <f>IF(HR_Data[[#This Row],[Attrition]]="Yes",1,0)</f>
        <v>0</v>
      </c>
      <c r="AH713" t="str">
        <f>IF(HR_Data[Date_of_termination]="","Active","Left")</f>
        <v>Active</v>
      </c>
      <c r="AI713" t="str">
        <f>IF(HR_Data[YearsAtCompany]&lt;=2,"Fresher", IF(HR_Data[YearsAtCompany]&lt;=5,"Junior", IF(HR_Data[YearsAtCompany]&lt;=10, "Mid","Senior")))</f>
        <v>Junior</v>
      </c>
      <c r="AJ713" s="2" t="str">
        <f>IF(HR_Data[MonthlyIncome]&lt;=300,"Low", IF(HR_Data[MonthlyIncome]&lt;=7000,"Medium", "High"))</f>
        <v>Medium</v>
      </c>
      <c r="AK713" s="2" t="str">
        <f>VLOOKUP(HR_Data[JobRole], JobRole_Map[], 2, FALSE)</f>
        <v>Sales</v>
      </c>
    </row>
    <row r="714" spans="1:37" x14ac:dyDescent="0.25">
      <c r="A714" s="2">
        <v>32</v>
      </c>
      <c r="B714" t="s">
        <v>41</v>
      </c>
      <c r="C714" t="s">
        <v>33</v>
      </c>
      <c r="D714" t="s">
        <v>34</v>
      </c>
      <c r="E714">
        <v>10</v>
      </c>
      <c r="F714" t="s">
        <v>35</v>
      </c>
      <c r="G714">
        <v>3</v>
      </c>
      <c r="H714">
        <v>3</v>
      </c>
      <c r="I714" t="s">
        <v>66</v>
      </c>
      <c r="J714">
        <v>4</v>
      </c>
      <c r="K714" t="s">
        <v>37</v>
      </c>
      <c r="L714">
        <v>11244</v>
      </c>
      <c r="M714">
        <v>2</v>
      </c>
      <c r="N714" t="s">
        <v>41</v>
      </c>
      <c r="O714">
        <v>25</v>
      </c>
      <c r="P714">
        <v>4</v>
      </c>
      <c r="Q714">
        <v>0</v>
      </c>
      <c r="R714">
        <v>10</v>
      </c>
      <c r="S714">
        <v>5</v>
      </c>
      <c r="T714">
        <v>5</v>
      </c>
      <c r="U714">
        <v>0</v>
      </c>
      <c r="V714">
        <v>0</v>
      </c>
      <c r="W714" t="s">
        <v>56</v>
      </c>
      <c r="X714" s="1" t="d">
        <v>2016-01-29</v>
      </c>
      <c r="Z714" t="s">
        <v>59</v>
      </c>
      <c r="AA714" t="s">
        <v>40</v>
      </c>
      <c r="AB714">
        <v>0</v>
      </c>
      <c r="AC714">
        <v>2</v>
      </c>
      <c r="AD714" t="s">
        <v>41</v>
      </c>
      <c r="AE714" t="s">
        <v>42</v>
      </c>
      <c r="AF714" t="s">
        <v>57</v>
      </c>
      <c r="AG714">
        <f>IF(HR_Data[[#This Row],[Attrition]]="Yes",1,0)</f>
        <v>0</v>
      </c>
      <c r="AH714" t="str">
        <f>IF(HR_Data[Date_of_termination]="","Active","Left")</f>
        <v>Active</v>
      </c>
      <c r="AI714" t="str">
        <f>IF(HR_Data[YearsAtCompany]&lt;=2,"Fresher", IF(HR_Data[YearsAtCompany]&lt;=5,"Junior", IF(HR_Data[YearsAtCompany]&lt;=10, "Mid","Senior")))</f>
        <v>Junior</v>
      </c>
      <c r="AJ714" s="2" t="str">
        <f>IF(HR_Data[MonthlyIncome]&lt;=300,"Low", IF(HR_Data[MonthlyIncome]&lt;=7000,"Medium", "High"))</f>
        <v>High</v>
      </c>
      <c r="AK714" s="2" t="str">
        <f>VLOOKUP(HR_Data[JobRole], JobRole_Map[], 2, FALSE)</f>
        <v>Management</v>
      </c>
    </row>
    <row r="715" spans="1:37" x14ac:dyDescent="0.25">
      <c r="A715" s="2">
        <v>40</v>
      </c>
      <c r="B715" t="s">
        <v>32</v>
      </c>
      <c r="C715" t="s">
        <v>33</v>
      </c>
      <c r="D715" t="s">
        <v>34</v>
      </c>
      <c r="E715">
        <v>9</v>
      </c>
      <c r="F715" t="s">
        <v>35</v>
      </c>
      <c r="G715">
        <v>3</v>
      </c>
      <c r="H715">
        <v>1</v>
      </c>
      <c r="I715" t="s">
        <v>36</v>
      </c>
      <c r="J715">
        <v>1</v>
      </c>
      <c r="K715" t="s">
        <v>37</v>
      </c>
      <c r="L715">
        <v>2018</v>
      </c>
      <c r="M715">
        <v>3</v>
      </c>
      <c r="N715" t="s">
        <v>41</v>
      </c>
      <c r="O715">
        <v>14</v>
      </c>
      <c r="P715">
        <v>3</v>
      </c>
      <c r="Q715">
        <v>0</v>
      </c>
      <c r="R715">
        <v>15</v>
      </c>
      <c r="S715">
        <v>3</v>
      </c>
      <c r="T715">
        <v>5</v>
      </c>
      <c r="U715">
        <v>1</v>
      </c>
      <c r="V715">
        <v>0</v>
      </c>
      <c r="W715" t="s">
        <v>51</v>
      </c>
      <c r="X715" s="1" t="d">
        <v>2016-03-08</v>
      </c>
      <c r="Z715" t="s">
        <v>63</v>
      </c>
      <c r="AA715" t="s">
        <v>46</v>
      </c>
      <c r="AB715">
        <v>2</v>
      </c>
      <c r="AC715">
        <v>0</v>
      </c>
      <c r="AD715" t="s">
        <v>32</v>
      </c>
      <c r="AE715" t="s">
        <v>42</v>
      </c>
      <c r="AF715" t="s">
        <v>43</v>
      </c>
      <c r="AG715">
        <f>IF(HR_Data[[#This Row],[Attrition]]="Yes",1,0)</f>
        <v>1</v>
      </c>
      <c r="AH715" t="str">
        <f>IF(HR_Data[Date_of_termination]="","Active","Left")</f>
        <v>Active</v>
      </c>
      <c r="AI715" t="str">
        <f>IF(HR_Data[YearsAtCompany]&lt;=2,"Fresher", IF(HR_Data[YearsAtCompany]&lt;=5,"Junior", IF(HR_Data[YearsAtCompany]&lt;=10, "Mid","Senior")))</f>
        <v>Junior</v>
      </c>
      <c r="AJ715" s="2" t="str">
        <f>IF(HR_Data[MonthlyIncome]&lt;=300,"Low", IF(HR_Data[MonthlyIncome]&lt;=7000,"Medium", "High"))</f>
        <v>Medium</v>
      </c>
      <c r="AK715" s="2" t="str">
        <f>VLOOKUP(HR_Data[JobRole], JobRole_Map[], 2, FALSE)</f>
        <v>Technical</v>
      </c>
    </row>
    <row r="716" spans="1:37" x14ac:dyDescent="0.25">
      <c r="A716" s="2">
        <v>33</v>
      </c>
      <c r="B716" t="s">
        <v>41</v>
      </c>
      <c r="C716" t="s">
        <v>33</v>
      </c>
      <c r="D716" t="s">
        <v>34</v>
      </c>
      <c r="E716">
        <v>25</v>
      </c>
      <c r="F716" t="s">
        <v>35</v>
      </c>
      <c r="G716">
        <v>2</v>
      </c>
      <c r="H716">
        <v>2</v>
      </c>
      <c r="I716" t="s">
        <v>67</v>
      </c>
      <c r="J716">
        <v>2</v>
      </c>
      <c r="K716" t="s">
        <v>37</v>
      </c>
      <c r="L716">
        <v>4320</v>
      </c>
      <c r="M716">
        <v>1</v>
      </c>
      <c r="N716" t="s">
        <v>41</v>
      </c>
      <c r="O716">
        <v>13</v>
      </c>
      <c r="P716">
        <v>3</v>
      </c>
      <c r="Q716">
        <v>0</v>
      </c>
      <c r="R716">
        <v>5</v>
      </c>
      <c r="S716">
        <v>2</v>
      </c>
      <c r="T716">
        <v>5</v>
      </c>
      <c r="U716">
        <v>0</v>
      </c>
      <c r="V716">
        <v>2</v>
      </c>
      <c r="W716" t="s">
        <v>65</v>
      </c>
      <c r="X716" s="1" t="d">
        <v>2016-04-14</v>
      </c>
      <c r="Z716" t="s">
        <v>39</v>
      </c>
      <c r="AA716" t="s">
        <v>46</v>
      </c>
      <c r="AB716">
        <v>0</v>
      </c>
      <c r="AC716">
        <v>3</v>
      </c>
      <c r="AD716" t="s">
        <v>32</v>
      </c>
      <c r="AE716" t="s">
        <v>42</v>
      </c>
      <c r="AF716" t="s">
        <v>57</v>
      </c>
      <c r="AG716">
        <f>IF(HR_Data[[#This Row],[Attrition]]="Yes",1,0)</f>
        <v>0</v>
      </c>
      <c r="AH716" t="str">
        <f>IF(HR_Data[Date_of_termination]="","Active","Left")</f>
        <v>Active</v>
      </c>
      <c r="AI716" t="str">
        <f>IF(HR_Data[YearsAtCompany]&lt;=2,"Fresher", IF(HR_Data[YearsAtCompany]&lt;=5,"Junior", IF(HR_Data[YearsAtCompany]&lt;=10, "Mid","Senior")))</f>
        <v>Junior</v>
      </c>
      <c r="AJ716" s="2" t="str">
        <f>IF(HR_Data[MonthlyIncome]&lt;=300,"Low", IF(HR_Data[MonthlyIncome]&lt;=7000,"Medium", "High"))</f>
        <v>Medium</v>
      </c>
      <c r="AK716" s="2" t="str">
        <f>VLOOKUP(HR_Data[JobRole], JobRole_Map[], 2, FALSE)</f>
        <v>Operations</v>
      </c>
    </row>
    <row r="717" spans="1:37" x14ac:dyDescent="0.25">
      <c r="A717" s="2">
        <v>45</v>
      </c>
      <c r="B717" t="s">
        <v>41</v>
      </c>
      <c r="C717" t="s">
        <v>33</v>
      </c>
      <c r="D717" t="s">
        <v>34</v>
      </c>
      <c r="E717">
        <v>28</v>
      </c>
      <c r="F717" t="s">
        <v>35</v>
      </c>
      <c r="G717">
        <v>3</v>
      </c>
      <c r="H717">
        <v>1</v>
      </c>
      <c r="I717" t="s">
        <v>44</v>
      </c>
      <c r="J717">
        <v>4</v>
      </c>
      <c r="K717" t="s">
        <v>50</v>
      </c>
      <c r="L717">
        <v>2132</v>
      </c>
      <c r="M717">
        <v>4</v>
      </c>
      <c r="N717" t="s">
        <v>41</v>
      </c>
      <c r="O717">
        <v>20</v>
      </c>
      <c r="P717">
        <v>4</v>
      </c>
      <c r="Q717">
        <v>1</v>
      </c>
      <c r="R717">
        <v>8</v>
      </c>
      <c r="S717">
        <v>3</v>
      </c>
      <c r="T717">
        <v>5</v>
      </c>
      <c r="U717">
        <v>0</v>
      </c>
      <c r="V717">
        <v>3</v>
      </c>
      <c r="W717" t="s">
        <v>38</v>
      </c>
      <c r="X717" s="1" t="d">
        <v>2016-02-01</v>
      </c>
      <c r="Z717" t="s">
        <v>59</v>
      </c>
      <c r="AA717" t="s">
        <v>40</v>
      </c>
      <c r="AB717">
        <v>3</v>
      </c>
      <c r="AC717">
        <v>3</v>
      </c>
      <c r="AD717" t="s">
        <v>32</v>
      </c>
      <c r="AE717" t="s">
        <v>62</v>
      </c>
      <c r="AF717" t="s">
        <v>48</v>
      </c>
      <c r="AG717">
        <f>IF(HR_Data[[#This Row],[Attrition]]="Yes",1,0)</f>
        <v>0</v>
      </c>
      <c r="AH717" t="str">
        <f>IF(HR_Data[Date_of_termination]="","Active","Left")</f>
        <v>Active</v>
      </c>
      <c r="AI717" t="str">
        <f>IF(HR_Data[YearsAtCompany]&lt;=2,"Fresher", IF(HR_Data[YearsAtCompany]&lt;=5,"Junior", IF(HR_Data[YearsAtCompany]&lt;=10, "Mid","Senior")))</f>
        <v>Junior</v>
      </c>
      <c r="AJ717" s="2" t="str">
        <f>IF(HR_Data[MonthlyIncome]&lt;=300,"Low", IF(HR_Data[MonthlyIncome]&lt;=7000,"Medium", "High"))</f>
        <v>Medium</v>
      </c>
      <c r="AK717" s="2" t="str">
        <f>VLOOKUP(HR_Data[JobRole], JobRole_Map[], 2, FALSE)</f>
        <v>Technical</v>
      </c>
    </row>
    <row r="718" spans="1:37" x14ac:dyDescent="0.25">
      <c r="A718" s="2">
        <v>35</v>
      </c>
      <c r="B718" t="s">
        <v>41</v>
      </c>
      <c r="C718" t="s">
        <v>33</v>
      </c>
      <c r="D718" t="s">
        <v>53</v>
      </c>
      <c r="E718">
        <v>28</v>
      </c>
      <c r="F718" t="s">
        <v>58</v>
      </c>
      <c r="G718">
        <v>2</v>
      </c>
      <c r="H718">
        <v>1</v>
      </c>
      <c r="I718" t="s">
        <v>54</v>
      </c>
      <c r="J718">
        <v>3</v>
      </c>
      <c r="K718" t="s">
        <v>50</v>
      </c>
      <c r="L718">
        <v>2430</v>
      </c>
      <c r="M718">
        <v>0</v>
      </c>
      <c r="N718" t="s">
        <v>41</v>
      </c>
      <c r="O718">
        <v>23</v>
      </c>
      <c r="P718">
        <v>4</v>
      </c>
      <c r="Q718">
        <v>2</v>
      </c>
      <c r="R718">
        <v>6</v>
      </c>
      <c r="S718">
        <v>5</v>
      </c>
      <c r="T718">
        <v>5</v>
      </c>
      <c r="U718">
        <v>4</v>
      </c>
      <c r="V718">
        <v>2</v>
      </c>
      <c r="W718" t="s">
        <v>65</v>
      </c>
      <c r="X718" s="1" t="d">
        <v>2016-03-14</v>
      </c>
      <c r="Z718" t="s">
        <v>63</v>
      </c>
      <c r="AA718" t="s">
        <v>40</v>
      </c>
      <c r="AB718">
        <v>4</v>
      </c>
      <c r="AC718">
        <v>3</v>
      </c>
      <c r="AD718" t="s">
        <v>41</v>
      </c>
      <c r="AE718" t="s">
        <v>60</v>
      </c>
      <c r="AF718" t="s">
        <v>43</v>
      </c>
      <c r="AG718">
        <f>IF(HR_Data[[#This Row],[Attrition]]="Yes",1,0)</f>
        <v>0</v>
      </c>
      <c r="AH718" t="str">
        <f>IF(HR_Data[Date_of_termination]="","Active","Left")</f>
        <v>Active</v>
      </c>
      <c r="AI718" t="str">
        <f>IF(HR_Data[YearsAtCompany]&lt;=2,"Fresher", IF(HR_Data[YearsAtCompany]&lt;=5,"Junior", IF(HR_Data[YearsAtCompany]&lt;=10, "Mid","Senior")))</f>
        <v>Junior</v>
      </c>
      <c r="AJ718" s="2" t="str">
        <f>IF(HR_Data[MonthlyIncome]&lt;=300,"Low", IF(HR_Data[MonthlyIncome]&lt;=7000,"Medium", "High"))</f>
        <v>Medium</v>
      </c>
      <c r="AK718" s="2" t="str">
        <f>VLOOKUP(HR_Data[JobRole], JobRole_Map[], 2, FALSE)</f>
        <v>Sales</v>
      </c>
    </row>
    <row r="719" spans="1:37" x14ac:dyDescent="0.25">
      <c r="A719" s="2">
        <v>38</v>
      </c>
      <c r="B719" t="s">
        <v>32</v>
      </c>
      <c r="C719" t="s">
        <v>33</v>
      </c>
      <c r="D719" t="s">
        <v>34</v>
      </c>
      <c r="E719">
        <v>2</v>
      </c>
      <c r="F719" t="s">
        <v>35</v>
      </c>
      <c r="G719">
        <v>3</v>
      </c>
      <c r="H719">
        <v>2</v>
      </c>
      <c r="I719" t="s">
        <v>67</v>
      </c>
      <c r="J719">
        <v>2</v>
      </c>
      <c r="K719" t="s">
        <v>50</v>
      </c>
      <c r="L719">
        <v>4855</v>
      </c>
      <c r="M719">
        <v>4</v>
      </c>
      <c r="N719" t="s">
        <v>41</v>
      </c>
      <c r="O719">
        <v>11</v>
      </c>
      <c r="P719">
        <v>3</v>
      </c>
      <c r="Q719">
        <v>2</v>
      </c>
      <c r="R719">
        <v>7</v>
      </c>
      <c r="S719">
        <v>2</v>
      </c>
      <c r="T719">
        <v>5</v>
      </c>
      <c r="U719">
        <v>1</v>
      </c>
      <c r="V719">
        <v>4</v>
      </c>
      <c r="W719" t="s">
        <v>38</v>
      </c>
      <c r="X719" s="1" t="d">
        <v>2016-02-16</v>
      </c>
      <c r="Z719" t="s">
        <v>59</v>
      </c>
      <c r="AA719" t="s">
        <v>40</v>
      </c>
      <c r="AB719">
        <v>4</v>
      </c>
      <c r="AC719">
        <v>1</v>
      </c>
      <c r="AD719" t="s">
        <v>32</v>
      </c>
      <c r="AE719" t="s">
        <v>62</v>
      </c>
      <c r="AF719" t="s">
        <v>57</v>
      </c>
      <c r="AG719">
        <f>IF(HR_Data[[#This Row],[Attrition]]="Yes",1,0)</f>
        <v>1</v>
      </c>
      <c r="AH719" t="str">
        <f>IF(HR_Data[Date_of_termination]="","Active","Left")</f>
        <v>Active</v>
      </c>
      <c r="AI719" t="str">
        <f>IF(HR_Data[YearsAtCompany]&lt;=2,"Fresher", IF(HR_Data[YearsAtCompany]&lt;=5,"Junior", IF(HR_Data[YearsAtCompany]&lt;=10, "Mid","Senior")))</f>
        <v>Junior</v>
      </c>
      <c r="AJ719" s="2" t="str">
        <f>IF(HR_Data[MonthlyIncome]&lt;=300,"Low", IF(HR_Data[MonthlyIncome]&lt;=7000,"Medium", "High"))</f>
        <v>Medium</v>
      </c>
      <c r="AK719" s="2" t="str">
        <f>VLOOKUP(HR_Data[JobRole], JobRole_Map[], 2, FALSE)</f>
        <v>Operations</v>
      </c>
    </row>
    <row r="720" spans="1:37" x14ac:dyDescent="0.25">
      <c r="A720" s="2">
        <v>35</v>
      </c>
      <c r="B720" t="s">
        <v>41</v>
      </c>
      <c r="C720" t="s">
        <v>33</v>
      </c>
      <c r="D720" t="s">
        <v>34</v>
      </c>
      <c r="E720">
        <v>10</v>
      </c>
      <c r="F720" t="s">
        <v>58</v>
      </c>
      <c r="G720">
        <v>3</v>
      </c>
      <c r="H720">
        <v>2</v>
      </c>
      <c r="I720" t="s">
        <v>69</v>
      </c>
      <c r="J720">
        <v>3</v>
      </c>
      <c r="K720" t="s">
        <v>37</v>
      </c>
      <c r="L720">
        <v>6142</v>
      </c>
      <c r="M720">
        <v>3</v>
      </c>
      <c r="N720" t="s">
        <v>32</v>
      </c>
      <c r="O720">
        <v>16</v>
      </c>
      <c r="P720">
        <v>3</v>
      </c>
      <c r="Q720">
        <v>0</v>
      </c>
      <c r="R720">
        <v>10</v>
      </c>
      <c r="S720">
        <v>4</v>
      </c>
      <c r="T720">
        <v>5</v>
      </c>
      <c r="U720">
        <v>0</v>
      </c>
      <c r="V720">
        <v>4</v>
      </c>
      <c r="W720" t="s">
        <v>65</v>
      </c>
      <c r="X720" s="1" t="d">
        <v>2016-01-12</v>
      </c>
      <c r="Z720" t="s">
        <v>59</v>
      </c>
      <c r="AA720" t="s">
        <v>40</v>
      </c>
      <c r="AB720">
        <v>0</v>
      </c>
      <c r="AC720">
        <v>3</v>
      </c>
      <c r="AD720" t="s">
        <v>32</v>
      </c>
      <c r="AE720" t="s">
        <v>47</v>
      </c>
      <c r="AF720" t="s">
        <v>48</v>
      </c>
      <c r="AG720">
        <f>IF(HR_Data[[#This Row],[Attrition]]="Yes",1,0)</f>
        <v>0</v>
      </c>
      <c r="AH720" t="str">
        <f>IF(HR_Data[Date_of_termination]="","Active","Left")</f>
        <v>Active</v>
      </c>
      <c r="AI720" t="str">
        <f>IF(HR_Data[YearsAtCompany]&lt;=2,"Fresher", IF(HR_Data[YearsAtCompany]&lt;=5,"Junior", IF(HR_Data[YearsAtCompany]&lt;=10, "Mid","Senior")))</f>
        <v>Junior</v>
      </c>
      <c r="AJ720" s="2" t="str">
        <f>IF(HR_Data[MonthlyIncome]&lt;=300,"Low", IF(HR_Data[MonthlyIncome]&lt;=7000,"Medium", "High"))</f>
        <v>Medium</v>
      </c>
      <c r="AK720" s="2" t="str">
        <f>VLOOKUP(HR_Data[JobRole], JobRole_Map[], 2, FALSE)</f>
        <v>Operations</v>
      </c>
    </row>
    <row r="721" spans="1:37" x14ac:dyDescent="0.25">
      <c r="A721" s="2">
        <v>40</v>
      </c>
      <c r="B721" t="s">
        <v>41</v>
      </c>
      <c r="C721" t="s">
        <v>33</v>
      </c>
      <c r="D721" t="s">
        <v>53</v>
      </c>
      <c r="E721">
        <v>14</v>
      </c>
      <c r="F721" t="s">
        <v>58</v>
      </c>
      <c r="G721">
        <v>3</v>
      </c>
      <c r="H721">
        <v>2</v>
      </c>
      <c r="I721" t="s">
        <v>64</v>
      </c>
      <c r="J721">
        <v>1</v>
      </c>
      <c r="K721" t="s">
        <v>50</v>
      </c>
      <c r="L721">
        <v>4639</v>
      </c>
      <c r="M721">
        <v>1</v>
      </c>
      <c r="N721" t="s">
        <v>41</v>
      </c>
      <c r="O721">
        <v>15</v>
      </c>
      <c r="P721">
        <v>3</v>
      </c>
      <c r="Q721">
        <v>1</v>
      </c>
      <c r="R721">
        <v>5</v>
      </c>
      <c r="S721">
        <v>2</v>
      </c>
      <c r="T721">
        <v>5</v>
      </c>
      <c r="U721">
        <v>1</v>
      </c>
      <c r="V721">
        <v>2</v>
      </c>
      <c r="W721" t="s">
        <v>38</v>
      </c>
      <c r="X721" s="1" t="d">
        <v>2016-03-14</v>
      </c>
      <c r="Z721" t="s">
        <v>63</v>
      </c>
      <c r="AA721" t="s">
        <v>40</v>
      </c>
      <c r="AB721">
        <v>0</v>
      </c>
      <c r="AC721">
        <v>2</v>
      </c>
      <c r="AD721" t="s">
        <v>41</v>
      </c>
      <c r="AE721" t="s">
        <v>47</v>
      </c>
      <c r="AF721" t="s">
        <v>57</v>
      </c>
      <c r="AG721">
        <f>IF(HR_Data[[#This Row],[Attrition]]="Yes",1,0)</f>
        <v>0</v>
      </c>
      <c r="AH721" t="str">
        <f>IF(HR_Data[Date_of_termination]="","Active","Left")</f>
        <v>Active</v>
      </c>
      <c r="AI721" t="str">
        <f>IF(HR_Data[YearsAtCompany]&lt;=2,"Fresher", IF(HR_Data[YearsAtCompany]&lt;=5,"Junior", IF(HR_Data[YearsAtCompany]&lt;=10, "Mid","Senior")))</f>
        <v>Junior</v>
      </c>
      <c r="AJ721" s="2" t="str">
        <f>IF(HR_Data[MonthlyIncome]&lt;=300,"Low", IF(HR_Data[MonthlyIncome]&lt;=7000,"Medium", "High"))</f>
        <v>Medium</v>
      </c>
      <c r="AK721" s="2" t="str">
        <f>VLOOKUP(HR_Data[JobRole], JobRole_Map[], 2, FALSE)</f>
        <v>Sales</v>
      </c>
    </row>
    <row r="722" spans="1:37" x14ac:dyDescent="0.25">
      <c r="A722" s="2">
        <v>31</v>
      </c>
      <c r="B722" t="s">
        <v>41</v>
      </c>
      <c r="C722" t="s">
        <v>61</v>
      </c>
      <c r="D722" t="s">
        <v>53</v>
      </c>
      <c r="E722">
        <v>2</v>
      </c>
      <c r="F722" t="s">
        <v>35</v>
      </c>
      <c r="G722">
        <v>3</v>
      </c>
      <c r="H722">
        <v>2</v>
      </c>
      <c r="I722" t="s">
        <v>64</v>
      </c>
      <c r="J722">
        <v>1</v>
      </c>
      <c r="K722" t="s">
        <v>37</v>
      </c>
      <c r="L722">
        <v>5332</v>
      </c>
      <c r="M722">
        <v>7</v>
      </c>
      <c r="N722" t="s">
        <v>41</v>
      </c>
      <c r="O722">
        <v>13</v>
      </c>
      <c r="P722">
        <v>3</v>
      </c>
      <c r="Q722">
        <v>0</v>
      </c>
      <c r="R722">
        <v>10</v>
      </c>
      <c r="S722">
        <v>3</v>
      </c>
      <c r="T722">
        <v>5</v>
      </c>
      <c r="U722">
        <v>0</v>
      </c>
      <c r="V722">
        <v>3</v>
      </c>
      <c r="W722" t="s">
        <v>65</v>
      </c>
      <c r="X722" s="1" t="d">
        <v>2016-06-05</v>
      </c>
      <c r="Z722" t="s">
        <v>45</v>
      </c>
      <c r="AA722" t="s">
        <v>40</v>
      </c>
      <c r="AB722">
        <v>0</v>
      </c>
      <c r="AC722">
        <v>0</v>
      </c>
      <c r="AD722" t="s">
        <v>41</v>
      </c>
      <c r="AE722" t="s">
        <v>62</v>
      </c>
      <c r="AF722" t="s">
        <v>57</v>
      </c>
      <c r="AG722">
        <f>IF(HR_Data[[#This Row],[Attrition]]="Yes",1,0)</f>
        <v>0</v>
      </c>
      <c r="AH722" t="str">
        <f>IF(HR_Data[Date_of_termination]="","Active","Left")</f>
        <v>Active</v>
      </c>
      <c r="AI722" t="str">
        <f>IF(HR_Data[YearsAtCompany]&lt;=2,"Fresher", IF(HR_Data[YearsAtCompany]&lt;=5,"Junior", IF(HR_Data[YearsAtCompany]&lt;=10, "Mid","Senior")))</f>
        <v>Junior</v>
      </c>
      <c r="AJ722" s="2" t="str">
        <f>IF(HR_Data[MonthlyIncome]&lt;=300,"Low", IF(HR_Data[MonthlyIncome]&lt;=7000,"Medium", "High"))</f>
        <v>Medium</v>
      </c>
      <c r="AK722" s="2" t="str">
        <f>VLOOKUP(HR_Data[JobRole], JobRole_Map[], 2, FALSE)</f>
        <v>Sales</v>
      </c>
    </row>
    <row r="723" spans="1:37" x14ac:dyDescent="0.25">
      <c r="A723" s="2">
        <v>28</v>
      </c>
      <c r="B723" t="s">
        <v>41</v>
      </c>
      <c r="C723" t="s">
        <v>33</v>
      </c>
      <c r="D723" t="s">
        <v>34</v>
      </c>
      <c r="E723">
        <v>27</v>
      </c>
      <c r="F723" t="s">
        <v>58</v>
      </c>
      <c r="G723">
        <v>1</v>
      </c>
      <c r="H723">
        <v>2</v>
      </c>
      <c r="I723" t="s">
        <v>67</v>
      </c>
      <c r="J723">
        <v>1</v>
      </c>
      <c r="K723" t="s">
        <v>55</v>
      </c>
      <c r="L723">
        <v>4877</v>
      </c>
      <c r="M723">
        <v>0</v>
      </c>
      <c r="N723" t="s">
        <v>41</v>
      </c>
      <c r="O723">
        <v>21</v>
      </c>
      <c r="P723">
        <v>4</v>
      </c>
      <c r="Q723">
        <v>1</v>
      </c>
      <c r="R723">
        <v>6</v>
      </c>
      <c r="S723">
        <v>5</v>
      </c>
      <c r="T723">
        <v>5</v>
      </c>
      <c r="U723">
        <v>0</v>
      </c>
      <c r="V723">
        <v>0</v>
      </c>
      <c r="W723" t="s">
        <v>65</v>
      </c>
      <c r="X723" s="1" t="d">
        <v>2016-03-03</v>
      </c>
      <c r="Z723" t="s">
        <v>52</v>
      </c>
      <c r="AA723" t="s">
        <v>40</v>
      </c>
      <c r="AB723">
        <v>0</v>
      </c>
      <c r="AC723">
        <v>1</v>
      </c>
      <c r="AD723" t="s">
        <v>41</v>
      </c>
      <c r="AE723" t="s">
        <v>47</v>
      </c>
      <c r="AF723" t="s">
        <v>43</v>
      </c>
      <c r="AG723">
        <f>IF(HR_Data[[#This Row],[Attrition]]="Yes",1,0)</f>
        <v>0</v>
      </c>
      <c r="AH723" t="str">
        <f>IF(HR_Data[Date_of_termination]="","Active","Left")</f>
        <v>Active</v>
      </c>
      <c r="AI723" t="str">
        <f>IF(HR_Data[YearsAtCompany]&lt;=2,"Fresher", IF(HR_Data[YearsAtCompany]&lt;=5,"Junior", IF(HR_Data[YearsAtCompany]&lt;=10, "Mid","Senior")))</f>
        <v>Junior</v>
      </c>
      <c r="AJ723" s="2" t="str">
        <f>IF(HR_Data[MonthlyIncome]&lt;=300,"Low", IF(HR_Data[MonthlyIncome]&lt;=7000,"Medium", "High"))</f>
        <v>Medium</v>
      </c>
      <c r="AK723" s="2" t="str">
        <f>VLOOKUP(HR_Data[JobRole], JobRole_Map[], 2, FALSE)</f>
        <v>Operations</v>
      </c>
    </row>
    <row r="724" spans="1:37" x14ac:dyDescent="0.25">
      <c r="A724" s="2">
        <v>47</v>
      </c>
      <c r="B724" t="s">
        <v>41</v>
      </c>
      <c r="C724" t="s">
        <v>33</v>
      </c>
      <c r="D724" t="s">
        <v>70</v>
      </c>
      <c r="E724">
        <v>26</v>
      </c>
      <c r="F724" t="s">
        <v>58</v>
      </c>
      <c r="G724">
        <v>3</v>
      </c>
      <c r="H724">
        <v>5</v>
      </c>
      <c r="I724" t="s">
        <v>66</v>
      </c>
      <c r="J724">
        <v>3</v>
      </c>
      <c r="K724" t="s">
        <v>50</v>
      </c>
      <c r="L724">
        <v>19658</v>
      </c>
      <c r="M724">
        <v>3</v>
      </c>
      <c r="N724" t="s">
        <v>41</v>
      </c>
      <c r="O724">
        <v>11</v>
      </c>
      <c r="P724">
        <v>3</v>
      </c>
      <c r="Q724">
        <v>1</v>
      </c>
      <c r="R724">
        <v>27</v>
      </c>
      <c r="S724">
        <v>2</v>
      </c>
      <c r="T724">
        <v>5</v>
      </c>
      <c r="U724">
        <v>1</v>
      </c>
      <c r="V724">
        <v>0</v>
      </c>
      <c r="W724" t="s">
        <v>38</v>
      </c>
      <c r="X724" s="1" t="d">
        <v>2016-05-26</v>
      </c>
      <c r="Z724" t="s">
        <v>63</v>
      </c>
      <c r="AA724" t="s">
        <v>46</v>
      </c>
      <c r="AB724">
        <v>5</v>
      </c>
      <c r="AC724">
        <v>1</v>
      </c>
      <c r="AD724" t="s">
        <v>41</v>
      </c>
      <c r="AE724" t="s">
        <v>47</v>
      </c>
      <c r="AF724" t="s">
        <v>48</v>
      </c>
      <c r="AG724">
        <f>IF(HR_Data[[#This Row],[Attrition]]="Yes",1,0)</f>
        <v>0</v>
      </c>
      <c r="AH724" t="str">
        <f>IF(HR_Data[Date_of_termination]="","Active","Left")</f>
        <v>Active</v>
      </c>
      <c r="AI724" t="str">
        <f>IF(HR_Data[YearsAtCompany]&lt;=2,"Fresher", IF(HR_Data[YearsAtCompany]&lt;=5,"Junior", IF(HR_Data[YearsAtCompany]&lt;=10, "Mid","Senior")))</f>
        <v>Junior</v>
      </c>
      <c r="AJ724" s="2" t="str">
        <f>IF(HR_Data[MonthlyIncome]&lt;=300,"Low", IF(HR_Data[MonthlyIncome]&lt;=7000,"Medium", "High"))</f>
        <v>High</v>
      </c>
      <c r="AK724" s="2" t="str">
        <f>VLOOKUP(HR_Data[JobRole], JobRole_Map[], 2, FALSE)</f>
        <v>Management</v>
      </c>
    </row>
    <row r="725" spans="1:37" x14ac:dyDescent="0.25">
      <c r="A725" s="2">
        <v>38</v>
      </c>
      <c r="B725" t="s">
        <v>41</v>
      </c>
      <c r="C725" t="s">
        <v>33</v>
      </c>
      <c r="D725" t="s">
        <v>34</v>
      </c>
      <c r="E725">
        <v>2</v>
      </c>
      <c r="F725" t="s">
        <v>58</v>
      </c>
      <c r="G725">
        <v>2</v>
      </c>
      <c r="H725">
        <v>3</v>
      </c>
      <c r="I725" t="s">
        <v>67</v>
      </c>
      <c r="J725">
        <v>3</v>
      </c>
      <c r="K725" t="s">
        <v>50</v>
      </c>
      <c r="L725">
        <v>7756</v>
      </c>
      <c r="M725">
        <v>3</v>
      </c>
      <c r="N725" t="s">
        <v>32</v>
      </c>
      <c r="O725">
        <v>19</v>
      </c>
      <c r="P725">
        <v>3</v>
      </c>
      <c r="Q725">
        <v>1</v>
      </c>
      <c r="R725">
        <v>10</v>
      </c>
      <c r="S725">
        <v>6</v>
      </c>
      <c r="T725">
        <v>5</v>
      </c>
      <c r="U725">
        <v>0</v>
      </c>
      <c r="V725">
        <v>2</v>
      </c>
      <c r="W725" t="s">
        <v>38</v>
      </c>
      <c r="X725" s="1" t="d">
        <v>2016-01-13</v>
      </c>
      <c r="Z725" t="s">
        <v>63</v>
      </c>
      <c r="AA725" t="s">
        <v>40</v>
      </c>
      <c r="AB725">
        <v>4</v>
      </c>
      <c r="AC725">
        <v>3</v>
      </c>
      <c r="AD725" t="s">
        <v>32</v>
      </c>
      <c r="AE725" t="s">
        <v>47</v>
      </c>
      <c r="AF725" t="s">
        <v>48</v>
      </c>
      <c r="AG725">
        <f>IF(HR_Data[[#This Row],[Attrition]]="Yes",1,0)</f>
        <v>0</v>
      </c>
      <c r="AH725" t="str">
        <f>IF(HR_Data[Date_of_termination]="","Active","Left")</f>
        <v>Active</v>
      </c>
      <c r="AI725" t="str">
        <f>IF(HR_Data[YearsAtCompany]&lt;=2,"Fresher", IF(HR_Data[YearsAtCompany]&lt;=5,"Junior", IF(HR_Data[YearsAtCompany]&lt;=10, "Mid","Senior")))</f>
        <v>Junior</v>
      </c>
      <c r="AJ725" s="2" t="str">
        <f>IF(HR_Data[MonthlyIncome]&lt;=300,"Low", IF(HR_Data[MonthlyIncome]&lt;=7000,"Medium", "High"))</f>
        <v>High</v>
      </c>
      <c r="AK725" s="2" t="str">
        <f>VLOOKUP(HR_Data[JobRole], JobRole_Map[], 2, FALSE)</f>
        <v>Operations</v>
      </c>
    </row>
    <row r="726" spans="1:37" x14ac:dyDescent="0.25">
      <c r="A726" s="2">
        <v>29</v>
      </c>
      <c r="B726" t="s">
        <v>41</v>
      </c>
      <c r="C726" t="s">
        <v>33</v>
      </c>
      <c r="D726" t="s">
        <v>53</v>
      </c>
      <c r="E726">
        <v>10</v>
      </c>
      <c r="F726" t="s">
        <v>35</v>
      </c>
      <c r="G726">
        <v>2</v>
      </c>
      <c r="H726">
        <v>2</v>
      </c>
      <c r="I726" t="s">
        <v>64</v>
      </c>
      <c r="J726">
        <v>3</v>
      </c>
      <c r="K726" t="s">
        <v>37</v>
      </c>
      <c r="L726">
        <v>5869</v>
      </c>
      <c r="M726">
        <v>9</v>
      </c>
      <c r="N726" t="s">
        <v>41</v>
      </c>
      <c r="O726">
        <v>11</v>
      </c>
      <c r="P726">
        <v>3</v>
      </c>
      <c r="Q726">
        <v>0</v>
      </c>
      <c r="R726">
        <v>8</v>
      </c>
      <c r="S726">
        <v>2</v>
      </c>
      <c r="T726">
        <v>5</v>
      </c>
      <c r="U726">
        <v>1</v>
      </c>
      <c r="V726">
        <v>4</v>
      </c>
      <c r="W726" t="s">
        <v>65</v>
      </c>
      <c r="X726" s="1" t="d">
        <v>2016-01-10</v>
      </c>
      <c r="Z726" t="s">
        <v>63</v>
      </c>
      <c r="AA726" t="s">
        <v>46</v>
      </c>
      <c r="AB726">
        <v>1</v>
      </c>
      <c r="AC726">
        <v>1</v>
      </c>
      <c r="AD726" t="s">
        <v>41</v>
      </c>
      <c r="AE726" t="s">
        <v>60</v>
      </c>
      <c r="AF726" t="s">
        <v>57</v>
      </c>
      <c r="AG726">
        <f>IF(HR_Data[[#This Row],[Attrition]]="Yes",1,0)</f>
        <v>0</v>
      </c>
      <c r="AH726" t="str">
        <f>IF(HR_Data[Date_of_termination]="","Active","Left")</f>
        <v>Active</v>
      </c>
      <c r="AI726" t="str">
        <f>IF(HR_Data[YearsAtCompany]&lt;=2,"Fresher", IF(HR_Data[YearsAtCompany]&lt;=5,"Junior", IF(HR_Data[YearsAtCompany]&lt;=10, "Mid","Senior")))</f>
        <v>Junior</v>
      </c>
      <c r="AJ726" s="2" t="str">
        <f>IF(HR_Data[MonthlyIncome]&lt;=300,"Low", IF(HR_Data[MonthlyIncome]&lt;=7000,"Medium", "High"))</f>
        <v>Medium</v>
      </c>
      <c r="AK726" s="2" t="str">
        <f>VLOOKUP(HR_Data[JobRole], JobRole_Map[], 2, FALSE)</f>
        <v>Sales</v>
      </c>
    </row>
    <row r="727" spans="1:37" x14ac:dyDescent="0.25">
      <c r="A727" s="2">
        <v>39</v>
      </c>
      <c r="B727" t="s">
        <v>41</v>
      </c>
      <c r="C727" t="s">
        <v>33</v>
      </c>
      <c r="D727" t="s">
        <v>34</v>
      </c>
      <c r="E727">
        <v>12</v>
      </c>
      <c r="F727" t="s">
        <v>35</v>
      </c>
      <c r="G727">
        <v>3</v>
      </c>
      <c r="H727">
        <v>2</v>
      </c>
      <c r="I727" t="s">
        <v>67</v>
      </c>
      <c r="J727">
        <v>2</v>
      </c>
      <c r="K727" t="s">
        <v>50</v>
      </c>
      <c r="L727">
        <v>5295</v>
      </c>
      <c r="M727">
        <v>4</v>
      </c>
      <c r="N727" t="s">
        <v>41</v>
      </c>
      <c r="O727">
        <v>21</v>
      </c>
      <c r="P727">
        <v>4</v>
      </c>
      <c r="Q727">
        <v>0</v>
      </c>
      <c r="R727">
        <v>7</v>
      </c>
      <c r="S727">
        <v>3</v>
      </c>
      <c r="T727">
        <v>5</v>
      </c>
      <c r="U727">
        <v>1</v>
      </c>
      <c r="V727">
        <v>0</v>
      </c>
      <c r="W727" t="s">
        <v>38</v>
      </c>
      <c r="X727" s="1" t="d">
        <v>2016-01-10</v>
      </c>
      <c r="Z727" t="s">
        <v>59</v>
      </c>
      <c r="AA727" t="s">
        <v>40</v>
      </c>
      <c r="AB727">
        <v>0</v>
      </c>
      <c r="AC727">
        <v>2</v>
      </c>
      <c r="AD727" t="s">
        <v>41</v>
      </c>
      <c r="AE727" t="s">
        <v>47</v>
      </c>
      <c r="AF727" t="s">
        <v>43</v>
      </c>
      <c r="AG727">
        <f>IF(HR_Data[[#This Row],[Attrition]]="Yes",1,0)</f>
        <v>0</v>
      </c>
      <c r="AH727" t="str">
        <f>IF(HR_Data[Date_of_termination]="","Active","Left")</f>
        <v>Active</v>
      </c>
      <c r="AI727" t="str">
        <f>IF(HR_Data[YearsAtCompany]&lt;=2,"Fresher", IF(HR_Data[YearsAtCompany]&lt;=5,"Junior", IF(HR_Data[YearsAtCompany]&lt;=10, "Mid","Senior")))</f>
        <v>Junior</v>
      </c>
      <c r="AJ727" s="2" t="str">
        <f>IF(HR_Data[MonthlyIncome]&lt;=300,"Low", IF(HR_Data[MonthlyIncome]&lt;=7000,"Medium", "High"))</f>
        <v>Medium</v>
      </c>
      <c r="AK727" s="2" t="str">
        <f>VLOOKUP(HR_Data[JobRole], JobRole_Map[], 2, FALSE)</f>
        <v>Operations</v>
      </c>
    </row>
    <row r="728" spans="1:37" x14ac:dyDescent="0.25">
      <c r="A728" s="2">
        <v>36</v>
      </c>
      <c r="B728" t="s">
        <v>41</v>
      </c>
      <c r="C728" t="s">
        <v>33</v>
      </c>
      <c r="D728" t="s">
        <v>34</v>
      </c>
      <c r="E728">
        <v>3</v>
      </c>
      <c r="F728" t="s">
        <v>35</v>
      </c>
      <c r="G728">
        <v>4</v>
      </c>
      <c r="H728">
        <v>2</v>
      </c>
      <c r="I728" t="s">
        <v>69</v>
      </c>
      <c r="J728">
        <v>1</v>
      </c>
      <c r="K728" t="s">
        <v>55</v>
      </c>
      <c r="L728">
        <v>6842</v>
      </c>
      <c r="M728">
        <v>6</v>
      </c>
      <c r="N728" t="s">
        <v>41</v>
      </c>
      <c r="O728">
        <v>20</v>
      </c>
      <c r="P728">
        <v>4</v>
      </c>
      <c r="Q728">
        <v>1</v>
      </c>
      <c r="R728">
        <v>13</v>
      </c>
      <c r="S728">
        <v>3</v>
      </c>
      <c r="T728">
        <v>5</v>
      </c>
      <c r="U728">
        <v>0</v>
      </c>
      <c r="V728">
        <v>4</v>
      </c>
      <c r="W728" t="s">
        <v>38</v>
      </c>
      <c r="X728" s="1" t="d">
        <v>2016-05-14</v>
      </c>
      <c r="Z728" t="s">
        <v>52</v>
      </c>
      <c r="AA728" t="s">
        <v>46</v>
      </c>
      <c r="AB728">
        <v>2</v>
      </c>
      <c r="AC728">
        <v>2</v>
      </c>
      <c r="AD728" t="s">
        <v>41</v>
      </c>
      <c r="AE728" t="s">
        <v>47</v>
      </c>
      <c r="AF728" t="s">
        <v>57</v>
      </c>
      <c r="AG728">
        <f>IF(HR_Data[[#This Row],[Attrition]]="Yes",1,0)</f>
        <v>0</v>
      </c>
      <c r="AH728" t="str">
        <f>IF(HR_Data[Date_of_termination]="","Active","Left")</f>
        <v>Active</v>
      </c>
      <c r="AI728" t="str">
        <f>IF(HR_Data[YearsAtCompany]&lt;=2,"Fresher", IF(HR_Data[YearsAtCompany]&lt;=5,"Junior", IF(HR_Data[YearsAtCompany]&lt;=10, "Mid","Senior")))</f>
        <v>Junior</v>
      </c>
      <c r="AJ728" s="2" t="str">
        <f>IF(HR_Data[MonthlyIncome]&lt;=300,"Low", IF(HR_Data[MonthlyIncome]&lt;=7000,"Medium", "High"))</f>
        <v>Medium</v>
      </c>
      <c r="AK728" s="2" t="str">
        <f>VLOOKUP(HR_Data[JobRole], JobRole_Map[], 2, FALSE)</f>
        <v>Operations</v>
      </c>
    </row>
    <row r="729" spans="1:37" x14ac:dyDescent="0.25">
      <c r="A729" s="2">
        <v>23</v>
      </c>
      <c r="B729" t="s">
        <v>32</v>
      </c>
      <c r="C729" t="s">
        <v>33</v>
      </c>
      <c r="D729" t="s">
        <v>34</v>
      </c>
      <c r="E729">
        <v>8</v>
      </c>
      <c r="F729" t="s">
        <v>35</v>
      </c>
      <c r="G729">
        <v>2</v>
      </c>
      <c r="H729">
        <v>1</v>
      </c>
      <c r="I729" t="s">
        <v>36</v>
      </c>
      <c r="J729">
        <v>3</v>
      </c>
      <c r="K729" t="s">
        <v>37</v>
      </c>
      <c r="L729">
        <v>3989</v>
      </c>
      <c r="M729">
        <v>1</v>
      </c>
      <c r="N729" t="s">
        <v>32</v>
      </c>
      <c r="O729">
        <v>11</v>
      </c>
      <c r="P729">
        <v>3</v>
      </c>
      <c r="Q729">
        <v>0</v>
      </c>
      <c r="R729">
        <v>5</v>
      </c>
      <c r="S729">
        <v>2</v>
      </c>
      <c r="T729">
        <v>5</v>
      </c>
      <c r="U729">
        <v>1</v>
      </c>
      <c r="V729">
        <v>2</v>
      </c>
      <c r="W729" t="s">
        <v>38</v>
      </c>
      <c r="X729" s="1" t="d">
        <v>2016-06-03</v>
      </c>
      <c r="Z729" t="s">
        <v>39</v>
      </c>
      <c r="AA729" t="s">
        <v>40</v>
      </c>
      <c r="AB729">
        <v>1</v>
      </c>
      <c r="AC729">
        <v>2</v>
      </c>
      <c r="AD729" t="s">
        <v>41</v>
      </c>
      <c r="AE729" t="s">
        <v>60</v>
      </c>
      <c r="AF729" t="s">
        <v>48</v>
      </c>
      <c r="AG729">
        <f>IF(HR_Data[[#This Row],[Attrition]]="Yes",1,0)</f>
        <v>1</v>
      </c>
      <c r="AH729" t="str">
        <f>IF(HR_Data[Date_of_termination]="","Active","Left")</f>
        <v>Active</v>
      </c>
      <c r="AI729" t="str">
        <f>IF(HR_Data[YearsAtCompany]&lt;=2,"Fresher", IF(HR_Data[YearsAtCompany]&lt;=5,"Junior", IF(HR_Data[YearsAtCompany]&lt;=10, "Mid","Senior")))</f>
        <v>Junior</v>
      </c>
      <c r="AJ729" s="2" t="str">
        <f>IF(HR_Data[MonthlyIncome]&lt;=300,"Low", IF(HR_Data[MonthlyIncome]&lt;=7000,"Medium", "High"))</f>
        <v>Medium</v>
      </c>
      <c r="AK729" s="2" t="str">
        <f>VLOOKUP(HR_Data[JobRole], JobRole_Map[], 2, FALSE)</f>
        <v>Technical</v>
      </c>
    </row>
    <row r="730" spans="1:37" x14ac:dyDescent="0.25">
      <c r="A730" s="2">
        <v>35</v>
      </c>
      <c r="B730" t="s">
        <v>41</v>
      </c>
      <c r="C730" t="s">
        <v>61</v>
      </c>
      <c r="D730" t="s">
        <v>34</v>
      </c>
      <c r="E730">
        <v>2</v>
      </c>
      <c r="F730" t="s">
        <v>35</v>
      </c>
      <c r="G730">
        <v>2</v>
      </c>
      <c r="H730">
        <v>1</v>
      </c>
      <c r="I730" t="s">
        <v>44</v>
      </c>
      <c r="J730">
        <v>4</v>
      </c>
      <c r="K730" t="s">
        <v>37</v>
      </c>
      <c r="L730">
        <v>4930</v>
      </c>
      <c r="M730">
        <v>0</v>
      </c>
      <c r="N730" t="s">
        <v>32</v>
      </c>
      <c r="O730">
        <v>14</v>
      </c>
      <c r="P730">
        <v>3</v>
      </c>
      <c r="Q730">
        <v>0</v>
      </c>
      <c r="R730">
        <v>6</v>
      </c>
      <c r="S730">
        <v>2</v>
      </c>
      <c r="T730">
        <v>5</v>
      </c>
      <c r="U730">
        <v>1</v>
      </c>
      <c r="V730">
        <v>4</v>
      </c>
      <c r="W730" t="s">
        <v>38</v>
      </c>
      <c r="X730" s="1" t="d">
        <v>2016-05-19</v>
      </c>
      <c r="Z730" t="s">
        <v>63</v>
      </c>
      <c r="AA730" t="s">
        <v>40</v>
      </c>
      <c r="AB730">
        <v>4</v>
      </c>
      <c r="AC730">
        <v>1</v>
      </c>
      <c r="AD730" t="s">
        <v>41</v>
      </c>
      <c r="AE730" t="s">
        <v>47</v>
      </c>
      <c r="AF730" t="s">
        <v>57</v>
      </c>
      <c r="AG730">
        <f>IF(HR_Data[[#This Row],[Attrition]]="Yes",1,0)</f>
        <v>0</v>
      </c>
      <c r="AH730" t="str">
        <f>IF(HR_Data[Date_of_termination]="","Active","Left")</f>
        <v>Active</v>
      </c>
      <c r="AI730" t="str">
        <f>IF(HR_Data[YearsAtCompany]&lt;=2,"Fresher", IF(HR_Data[YearsAtCompany]&lt;=5,"Junior", IF(HR_Data[YearsAtCompany]&lt;=10, "Mid","Senior")))</f>
        <v>Junior</v>
      </c>
      <c r="AJ730" s="2" t="str">
        <f>IF(HR_Data[MonthlyIncome]&lt;=300,"Low", IF(HR_Data[MonthlyIncome]&lt;=7000,"Medium", "High"))</f>
        <v>Medium</v>
      </c>
      <c r="AK730" s="2" t="str">
        <f>VLOOKUP(HR_Data[JobRole], JobRole_Map[], 2, FALSE)</f>
        <v>Technical</v>
      </c>
    </row>
    <row r="731" spans="1:37" x14ac:dyDescent="0.25">
      <c r="A731" s="2">
        <v>24</v>
      </c>
      <c r="B731" t="s">
        <v>41</v>
      </c>
      <c r="C731" t="s">
        <v>33</v>
      </c>
      <c r="D731" t="s">
        <v>34</v>
      </c>
      <c r="E731">
        <v>9</v>
      </c>
      <c r="F731" t="s">
        <v>35</v>
      </c>
      <c r="G731">
        <v>4</v>
      </c>
      <c r="H731">
        <v>1</v>
      </c>
      <c r="I731" t="s">
        <v>44</v>
      </c>
      <c r="J731">
        <v>3</v>
      </c>
      <c r="K731" t="s">
        <v>50</v>
      </c>
      <c r="L731">
        <v>4401</v>
      </c>
      <c r="M731">
        <v>1</v>
      </c>
      <c r="N731" t="s">
        <v>41</v>
      </c>
      <c r="O731">
        <v>16</v>
      </c>
      <c r="P731">
        <v>3</v>
      </c>
      <c r="Q731">
        <v>1</v>
      </c>
      <c r="R731">
        <v>5</v>
      </c>
      <c r="S731">
        <v>1</v>
      </c>
      <c r="T731">
        <v>5</v>
      </c>
      <c r="U731">
        <v>0</v>
      </c>
      <c r="V731">
        <v>4</v>
      </c>
      <c r="W731" t="s">
        <v>56</v>
      </c>
      <c r="X731" s="1" t="d">
        <v>2016-04-26</v>
      </c>
      <c r="Z731" t="s">
        <v>45</v>
      </c>
      <c r="AA731" t="s">
        <v>40</v>
      </c>
      <c r="AB731">
        <v>0</v>
      </c>
      <c r="AC731">
        <v>3</v>
      </c>
      <c r="AD731" t="s">
        <v>41</v>
      </c>
      <c r="AE731" t="s">
        <v>60</v>
      </c>
      <c r="AF731" t="s">
        <v>48</v>
      </c>
      <c r="AG731">
        <f>IF(HR_Data[[#This Row],[Attrition]]="Yes",1,0)</f>
        <v>0</v>
      </c>
      <c r="AH731" t="str">
        <f>IF(HR_Data[Date_of_termination]="","Active","Left")</f>
        <v>Active</v>
      </c>
      <c r="AI731" t="str">
        <f>IF(HR_Data[YearsAtCompany]&lt;=2,"Fresher", IF(HR_Data[YearsAtCompany]&lt;=5,"Junior", IF(HR_Data[YearsAtCompany]&lt;=10, "Mid","Senior")))</f>
        <v>Junior</v>
      </c>
      <c r="AJ731" s="2" t="str">
        <f>IF(HR_Data[MonthlyIncome]&lt;=300,"Low", IF(HR_Data[MonthlyIncome]&lt;=7000,"Medium", "High"))</f>
        <v>Medium</v>
      </c>
      <c r="AK731" s="2" t="str">
        <f>VLOOKUP(HR_Data[JobRole], JobRole_Map[], 2, FALSE)</f>
        <v>Technical</v>
      </c>
    </row>
    <row r="732" spans="1:37" x14ac:dyDescent="0.25">
      <c r="A732" s="2">
        <v>29</v>
      </c>
      <c r="B732" t="s">
        <v>41</v>
      </c>
      <c r="C732" t="s">
        <v>33</v>
      </c>
      <c r="D732" t="s">
        <v>34</v>
      </c>
      <c r="E732">
        <v>9</v>
      </c>
      <c r="F732" t="s">
        <v>58</v>
      </c>
      <c r="G732">
        <v>3</v>
      </c>
      <c r="H732">
        <v>1</v>
      </c>
      <c r="I732" t="s">
        <v>36</v>
      </c>
      <c r="J732">
        <v>3</v>
      </c>
      <c r="K732" t="s">
        <v>50</v>
      </c>
      <c r="L732">
        <v>2974</v>
      </c>
      <c r="M732">
        <v>9</v>
      </c>
      <c r="N732" t="s">
        <v>41</v>
      </c>
      <c r="O732">
        <v>17</v>
      </c>
      <c r="P732">
        <v>3</v>
      </c>
      <c r="Q732">
        <v>1</v>
      </c>
      <c r="R732">
        <v>9</v>
      </c>
      <c r="S732">
        <v>2</v>
      </c>
      <c r="T732">
        <v>5</v>
      </c>
      <c r="U732">
        <v>1</v>
      </c>
      <c r="V732">
        <v>2</v>
      </c>
      <c r="W732" t="s">
        <v>56</v>
      </c>
      <c r="X732" s="1" t="d">
        <v>2016-05-17</v>
      </c>
      <c r="Z732" t="s">
        <v>52</v>
      </c>
      <c r="AA732" t="s">
        <v>40</v>
      </c>
      <c r="AB732">
        <v>5</v>
      </c>
      <c r="AC732">
        <v>0</v>
      </c>
      <c r="AD732" t="s">
        <v>32</v>
      </c>
      <c r="AE732" t="s">
        <v>60</v>
      </c>
      <c r="AF732" t="s">
        <v>57</v>
      </c>
      <c r="AG732">
        <f>IF(HR_Data[[#This Row],[Attrition]]="Yes",1,0)</f>
        <v>0</v>
      </c>
      <c r="AH732" t="str">
        <f>IF(HR_Data[Date_of_termination]="","Active","Left")</f>
        <v>Active</v>
      </c>
      <c r="AI732" t="str">
        <f>IF(HR_Data[YearsAtCompany]&lt;=2,"Fresher", IF(HR_Data[YearsAtCompany]&lt;=5,"Junior", IF(HR_Data[YearsAtCompany]&lt;=10, "Mid","Senior")))</f>
        <v>Junior</v>
      </c>
      <c r="AJ732" s="2" t="str">
        <f>IF(HR_Data[MonthlyIncome]&lt;=300,"Low", IF(HR_Data[MonthlyIncome]&lt;=7000,"Medium", "High"))</f>
        <v>Medium</v>
      </c>
      <c r="AK732" s="2" t="str">
        <f>VLOOKUP(HR_Data[JobRole], JobRole_Map[], 2, FALSE)</f>
        <v>Technical</v>
      </c>
    </row>
    <row r="733" spans="1:37" x14ac:dyDescent="0.25">
      <c r="A733" s="2">
        <v>32</v>
      </c>
      <c r="B733" t="s">
        <v>41</v>
      </c>
      <c r="C733" t="s">
        <v>61</v>
      </c>
      <c r="D733" t="s">
        <v>34</v>
      </c>
      <c r="E733">
        <v>10</v>
      </c>
      <c r="F733" t="s">
        <v>35</v>
      </c>
      <c r="G733">
        <v>3</v>
      </c>
      <c r="H733">
        <v>1</v>
      </c>
      <c r="I733" t="s">
        <v>44</v>
      </c>
      <c r="J733">
        <v>3</v>
      </c>
      <c r="K733" t="s">
        <v>50</v>
      </c>
      <c r="L733">
        <v>3433</v>
      </c>
      <c r="M733">
        <v>6</v>
      </c>
      <c r="N733" t="s">
        <v>41</v>
      </c>
      <c r="O733">
        <v>13</v>
      </c>
      <c r="P733">
        <v>3</v>
      </c>
      <c r="Q733">
        <v>1</v>
      </c>
      <c r="R733">
        <v>10</v>
      </c>
      <c r="S733">
        <v>3</v>
      </c>
      <c r="T733">
        <v>5</v>
      </c>
      <c r="U733">
        <v>1</v>
      </c>
      <c r="V733">
        <v>3</v>
      </c>
      <c r="W733" t="s">
        <v>56</v>
      </c>
      <c r="X733" s="1" t="d">
        <v>2016-04-05</v>
      </c>
      <c r="Z733" t="s">
        <v>59</v>
      </c>
      <c r="AA733" t="s">
        <v>46</v>
      </c>
      <c r="AB733">
        <v>1</v>
      </c>
      <c r="AC733">
        <v>3</v>
      </c>
      <c r="AD733" t="s">
        <v>41</v>
      </c>
      <c r="AE733" t="s">
        <v>60</v>
      </c>
      <c r="AF733" t="s">
        <v>43</v>
      </c>
      <c r="AG733">
        <f>IF(HR_Data[[#This Row],[Attrition]]="Yes",1,0)</f>
        <v>0</v>
      </c>
      <c r="AH733" t="str">
        <f>IF(HR_Data[Date_of_termination]="","Active","Left")</f>
        <v>Active</v>
      </c>
      <c r="AI733" t="str">
        <f>IF(HR_Data[YearsAtCompany]&lt;=2,"Fresher", IF(HR_Data[YearsAtCompany]&lt;=5,"Junior", IF(HR_Data[YearsAtCompany]&lt;=10, "Mid","Senior")))</f>
        <v>Junior</v>
      </c>
      <c r="AJ733" s="2" t="str">
        <f>IF(HR_Data[MonthlyIncome]&lt;=300,"Low", IF(HR_Data[MonthlyIncome]&lt;=7000,"Medium", "High"))</f>
        <v>Medium</v>
      </c>
      <c r="AK733" s="2" t="str">
        <f>VLOOKUP(HR_Data[JobRole], JobRole_Map[], 2, FALSE)</f>
        <v>Technical</v>
      </c>
    </row>
    <row r="734" spans="1:37" x14ac:dyDescent="0.25">
      <c r="A734" s="2">
        <v>31</v>
      </c>
      <c r="B734" t="s">
        <v>41</v>
      </c>
      <c r="C734" t="s">
        <v>33</v>
      </c>
      <c r="D734" t="s">
        <v>34</v>
      </c>
      <c r="E734">
        <v>2</v>
      </c>
      <c r="F734" t="s">
        <v>35</v>
      </c>
      <c r="G734">
        <v>3</v>
      </c>
      <c r="H734">
        <v>1</v>
      </c>
      <c r="I734" t="s">
        <v>36</v>
      </c>
      <c r="J734">
        <v>3</v>
      </c>
      <c r="K734" t="s">
        <v>50</v>
      </c>
      <c r="L734">
        <v>3477</v>
      </c>
      <c r="M734">
        <v>1</v>
      </c>
      <c r="N734" t="s">
        <v>41</v>
      </c>
      <c r="O734">
        <v>14</v>
      </c>
      <c r="P734">
        <v>3</v>
      </c>
      <c r="Q734">
        <v>1</v>
      </c>
      <c r="R734">
        <v>6</v>
      </c>
      <c r="S734">
        <v>2</v>
      </c>
      <c r="T734">
        <v>5</v>
      </c>
      <c r="U734">
        <v>0</v>
      </c>
      <c r="V734">
        <v>3</v>
      </c>
      <c r="W734" t="s">
        <v>51</v>
      </c>
      <c r="X734" s="1" t="d">
        <v>2016-01-28</v>
      </c>
      <c r="Z734" t="s">
        <v>52</v>
      </c>
      <c r="AA734" t="s">
        <v>40</v>
      </c>
      <c r="AB734">
        <v>3</v>
      </c>
      <c r="AC734">
        <v>3</v>
      </c>
      <c r="AD734" t="s">
        <v>32</v>
      </c>
      <c r="AE734" t="s">
        <v>42</v>
      </c>
      <c r="AF734" t="s">
        <v>57</v>
      </c>
      <c r="AG734">
        <f>IF(HR_Data[[#This Row],[Attrition]]="Yes",1,0)</f>
        <v>0</v>
      </c>
      <c r="AH734" t="str">
        <f>IF(HR_Data[Date_of_termination]="","Active","Left")</f>
        <v>Active</v>
      </c>
      <c r="AI734" t="str">
        <f>IF(HR_Data[YearsAtCompany]&lt;=2,"Fresher", IF(HR_Data[YearsAtCompany]&lt;=5,"Junior", IF(HR_Data[YearsAtCompany]&lt;=10, "Mid","Senior")))</f>
        <v>Junior</v>
      </c>
      <c r="AJ734" s="2" t="str">
        <f>IF(HR_Data[MonthlyIncome]&lt;=300,"Low", IF(HR_Data[MonthlyIncome]&lt;=7000,"Medium", "High"))</f>
        <v>Medium</v>
      </c>
      <c r="AK734" s="2" t="str">
        <f>VLOOKUP(HR_Data[JobRole], JobRole_Map[], 2, FALSE)</f>
        <v>Technical</v>
      </c>
    </row>
    <row r="735" spans="1:37" x14ac:dyDescent="0.25">
      <c r="A735" s="2">
        <v>31</v>
      </c>
      <c r="B735" t="s">
        <v>41</v>
      </c>
      <c r="C735" t="s">
        <v>61</v>
      </c>
      <c r="D735" t="s">
        <v>34</v>
      </c>
      <c r="E735">
        <v>24</v>
      </c>
      <c r="F735" t="s">
        <v>58</v>
      </c>
      <c r="G735">
        <v>3</v>
      </c>
      <c r="H735">
        <v>2</v>
      </c>
      <c r="I735" t="s">
        <v>67</v>
      </c>
      <c r="J735">
        <v>4</v>
      </c>
      <c r="K735" t="s">
        <v>37</v>
      </c>
      <c r="L735">
        <v>5238</v>
      </c>
      <c r="M735">
        <v>2</v>
      </c>
      <c r="N735" t="s">
        <v>41</v>
      </c>
      <c r="O735">
        <v>20</v>
      </c>
      <c r="P735">
        <v>4</v>
      </c>
      <c r="Q735">
        <v>0</v>
      </c>
      <c r="R735">
        <v>9</v>
      </c>
      <c r="S735">
        <v>3</v>
      </c>
      <c r="T735">
        <v>5</v>
      </c>
      <c r="U735">
        <v>1</v>
      </c>
      <c r="V735">
        <v>4</v>
      </c>
      <c r="W735" t="s">
        <v>56</v>
      </c>
      <c r="X735" s="1" t="d">
        <v>2016-04-14</v>
      </c>
      <c r="Z735" t="s">
        <v>63</v>
      </c>
      <c r="AA735" t="s">
        <v>46</v>
      </c>
      <c r="AB735">
        <v>2</v>
      </c>
      <c r="AC735">
        <v>0</v>
      </c>
      <c r="AD735" t="s">
        <v>41</v>
      </c>
      <c r="AE735" t="s">
        <v>42</v>
      </c>
      <c r="AF735" t="s">
        <v>43</v>
      </c>
      <c r="AG735">
        <f>IF(HR_Data[[#This Row],[Attrition]]="Yes",1,0)</f>
        <v>0</v>
      </c>
      <c r="AH735" t="str">
        <f>IF(HR_Data[Date_of_termination]="","Active","Left")</f>
        <v>Active</v>
      </c>
      <c r="AI735" t="str">
        <f>IF(HR_Data[YearsAtCompany]&lt;=2,"Fresher", IF(HR_Data[YearsAtCompany]&lt;=5,"Junior", IF(HR_Data[YearsAtCompany]&lt;=10, "Mid","Senior")))</f>
        <v>Junior</v>
      </c>
      <c r="AJ735" s="2" t="str">
        <f>IF(HR_Data[MonthlyIncome]&lt;=300,"Low", IF(HR_Data[MonthlyIncome]&lt;=7000,"Medium", "High"))</f>
        <v>Medium</v>
      </c>
      <c r="AK735" s="2" t="str">
        <f>VLOOKUP(HR_Data[JobRole], JobRole_Map[], 2, FALSE)</f>
        <v>Operations</v>
      </c>
    </row>
    <row r="736" spans="1:37" x14ac:dyDescent="0.25">
      <c r="A736" s="2">
        <v>45</v>
      </c>
      <c r="B736" t="s">
        <v>41</v>
      </c>
      <c r="C736" t="s">
        <v>33</v>
      </c>
      <c r="D736" t="s">
        <v>70</v>
      </c>
      <c r="E736">
        <v>4</v>
      </c>
      <c r="F736" t="s">
        <v>58</v>
      </c>
      <c r="G736">
        <v>1</v>
      </c>
      <c r="H736">
        <v>3</v>
      </c>
      <c r="I736" t="s">
        <v>70</v>
      </c>
      <c r="J736">
        <v>3</v>
      </c>
      <c r="K736" t="s">
        <v>50</v>
      </c>
      <c r="L736">
        <v>9756</v>
      </c>
      <c r="M736">
        <v>4</v>
      </c>
      <c r="N736" t="s">
        <v>41</v>
      </c>
      <c r="O736">
        <v>21</v>
      </c>
      <c r="P736">
        <v>4</v>
      </c>
      <c r="Q736">
        <v>2</v>
      </c>
      <c r="R736">
        <v>9</v>
      </c>
      <c r="S736">
        <v>2</v>
      </c>
      <c r="T736">
        <v>5</v>
      </c>
      <c r="U736">
        <v>0</v>
      </c>
      <c r="V736">
        <v>3</v>
      </c>
      <c r="W736" t="s">
        <v>38</v>
      </c>
      <c r="X736" s="1" t="d">
        <v>2016-05-12</v>
      </c>
      <c r="Z736" t="s">
        <v>59</v>
      </c>
      <c r="AA736" t="s">
        <v>46</v>
      </c>
      <c r="AB736">
        <v>1</v>
      </c>
      <c r="AC736">
        <v>0</v>
      </c>
      <c r="AD736" t="s">
        <v>41</v>
      </c>
      <c r="AE736" t="s">
        <v>62</v>
      </c>
      <c r="AF736" t="s">
        <v>57</v>
      </c>
      <c r="AG736">
        <f>IF(HR_Data[[#This Row],[Attrition]]="Yes",1,0)</f>
        <v>0</v>
      </c>
      <c r="AH736" t="str">
        <f>IF(HR_Data[Date_of_termination]="","Active","Left")</f>
        <v>Active</v>
      </c>
      <c r="AI736" t="str">
        <f>IF(HR_Data[YearsAtCompany]&lt;=2,"Fresher", IF(HR_Data[YearsAtCompany]&lt;=5,"Junior", IF(HR_Data[YearsAtCompany]&lt;=10, "Mid","Senior")))</f>
        <v>Junior</v>
      </c>
      <c r="AJ736" s="2" t="str">
        <f>IF(HR_Data[MonthlyIncome]&lt;=300,"Low", IF(HR_Data[MonthlyIncome]&lt;=7000,"Medium", "High"))</f>
        <v>High</v>
      </c>
      <c r="AK736" s="2" t="str">
        <f>VLOOKUP(HR_Data[JobRole], JobRole_Map[], 2, FALSE)</f>
        <v>HR</v>
      </c>
    </row>
    <row r="737" spans="1:37" x14ac:dyDescent="0.25">
      <c r="A737" s="2">
        <v>31</v>
      </c>
      <c r="B737" t="s">
        <v>41</v>
      </c>
      <c r="C737" t="s">
        <v>33</v>
      </c>
      <c r="D737" t="s">
        <v>53</v>
      </c>
      <c r="E737">
        <v>5</v>
      </c>
      <c r="F737" t="s">
        <v>35</v>
      </c>
      <c r="G737">
        <v>3</v>
      </c>
      <c r="H737">
        <v>2</v>
      </c>
      <c r="I737" t="s">
        <v>64</v>
      </c>
      <c r="J737">
        <v>3</v>
      </c>
      <c r="K737" t="s">
        <v>50</v>
      </c>
      <c r="L737">
        <v>8346</v>
      </c>
      <c r="M737">
        <v>1</v>
      </c>
      <c r="N737" t="s">
        <v>41</v>
      </c>
      <c r="O737">
        <v>19</v>
      </c>
      <c r="P737">
        <v>3</v>
      </c>
      <c r="Q737">
        <v>1</v>
      </c>
      <c r="R737">
        <v>6</v>
      </c>
      <c r="S737">
        <v>3</v>
      </c>
      <c r="T737">
        <v>5</v>
      </c>
      <c r="U737">
        <v>0</v>
      </c>
      <c r="V737">
        <v>2</v>
      </c>
      <c r="W737" t="s">
        <v>38</v>
      </c>
      <c r="X737" s="1" t="d">
        <v>2016-01-24</v>
      </c>
      <c r="Z737" t="s">
        <v>63</v>
      </c>
      <c r="AA737" t="s">
        <v>40</v>
      </c>
      <c r="AB737">
        <v>4</v>
      </c>
      <c r="AC737">
        <v>1</v>
      </c>
      <c r="AD737" t="s">
        <v>32</v>
      </c>
      <c r="AE737" t="s">
        <v>60</v>
      </c>
      <c r="AF737" t="s">
        <v>48</v>
      </c>
      <c r="AG737">
        <f>IF(HR_Data[[#This Row],[Attrition]]="Yes",1,0)</f>
        <v>0</v>
      </c>
      <c r="AH737" t="str">
        <f>IF(HR_Data[Date_of_termination]="","Active","Left")</f>
        <v>Active</v>
      </c>
      <c r="AI737" t="str">
        <f>IF(HR_Data[YearsAtCompany]&lt;=2,"Fresher", IF(HR_Data[YearsAtCompany]&lt;=5,"Junior", IF(HR_Data[YearsAtCompany]&lt;=10, "Mid","Senior")))</f>
        <v>Junior</v>
      </c>
      <c r="AJ737" s="2" t="str">
        <f>IF(HR_Data[MonthlyIncome]&lt;=300,"Low", IF(HR_Data[MonthlyIncome]&lt;=7000,"Medium", "High"))</f>
        <v>High</v>
      </c>
      <c r="AK737" s="2" t="str">
        <f>VLOOKUP(HR_Data[JobRole], JobRole_Map[], 2, FALSE)</f>
        <v>Sales</v>
      </c>
    </row>
    <row r="738" spans="1:37" x14ac:dyDescent="0.25">
      <c r="A738" s="2">
        <v>34</v>
      </c>
      <c r="B738" t="s">
        <v>41</v>
      </c>
      <c r="C738" t="s">
        <v>33</v>
      </c>
      <c r="D738" t="s">
        <v>34</v>
      </c>
      <c r="E738">
        <v>2</v>
      </c>
      <c r="F738" t="s">
        <v>35</v>
      </c>
      <c r="G738">
        <v>4</v>
      </c>
      <c r="H738">
        <v>1</v>
      </c>
      <c r="I738" t="s">
        <v>44</v>
      </c>
      <c r="J738">
        <v>4</v>
      </c>
      <c r="K738" t="s">
        <v>50</v>
      </c>
      <c r="L738">
        <v>2932</v>
      </c>
      <c r="M738">
        <v>0</v>
      </c>
      <c r="N738" t="s">
        <v>32</v>
      </c>
      <c r="O738">
        <v>14</v>
      </c>
      <c r="P738">
        <v>3</v>
      </c>
      <c r="Q738">
        <v>3</v>
      </c>
      <c r="R738">
        <v>6</v>
      </c>
      <c r="S738">
        <v>3</v>
      </c>
      <c r="T738">
        <v>5</v>
      </c>
      <c r="U738">
        <v>1</v>
      </c>
      <c r="V738">
        <v>2</v>
      </c>
      <c r="W738" t="s">
        <v>51</v>
      </c>
      <c r="X738" s="1" t="d">
        <v>2016-03-01</v>
      </c>
      <c r="Z738" t="s">
        <v>63</v>
      </c>
      <c r="AA738" t="s">
        <v>40</v>
      </c>
      <c r="AB738">
        <v>0</v>
      </c>
      <c r="AC738">
        <v>0</v>
      </c>
      <c r="AD738" t="s">
        <v>41</v>
      </c>
      <c r="AE738" t="s">
        <v>47</v>
      </c>
      <c r="AF738" t="s">
        <v>57</v>
      </c>
      <c r="AG738">
        <f>IF(HR_Data[[#This Row],[Attrition]]="Yes",1,0)</f>
        <v>0</v>
      </c>
      <c r="AH738" t="str">
        <f>IF(HR_Data[Date_of_termination]="","Active","Left")</f>
        <v>Active</v>
      </c>
      <c r="AI738" t="str">
        <f>IF(HR_Data[YearsAtCompany]&lt;=2,"Fresher", IF(HR_Data[YearsAtCompany]&lt;=5,"Junior", IF(HR_Data[YearsAtCompany]&lt;=10, "Mid","Senior")))</f>
        <v>Junior</v>
      </c>
      <c r="AJ738" s="2" t="str">
        <f>IF(HR_Data[MonthlyIncome]&lt;=300,"Low", IF(HR_Data[MonthlyIncome]&lt;=7000,"Medium", "High"))</f>
        <v>Medium</v>
      </c>
      <c r="AK738" s="2" t="str">
        <f>VLOOKUP(HR_Data[JobRole], JobRole_Map[], 2, FALSE)</f>
        <v>Technical</v>
      </c>
    </row>
    <row r="739" spans="1:37" x14ac:dyDescent="0.25">
      <c r="A739" s="2">
        <v>49</v>
      </c>
      <c r="B739" t="s">
        <v>41</v>
      </c>
      <c r="C739" t="s">
        <v>33</v>
      </c>
      <c r="D739" t="s">
        <v>53</v>
      </c>
      <c r="E739">
        <v>11</v>
      </c>
      <c r="F739" t="s">
        <v>58</v>
      </c>
      <c r="G739">
        <v>3</v>
      </c>
      <c r="H739">
        <v>2</v>
      </c>
      <c r="I739" t="s">
        <v>64</v>
      </c>
      <c r="J739">
        <v>4</v>
      </c>
      <c r="K739" t="s">
        <v>37</v>
      </c>
      <c r="L739">
        <v>4507</v>
      </c>
      <c r="M739">
        <v>3</v>
      </c>
      <c r="N739" t="s">
        <v>41</v>
      </c>
      <c r="O739">
        <v>12</v>
      </c>
      <c r="P739">
        <v>3</v>
      </c>
      <c r="Q739">
        <v>0</v>
      </c>
      <c r="R739">
        <v>8</v>
      </c>
      <c r="S739">
        <v>1</v>
      </c>
      <c r="T739">
        <v>5</v>
      </c>
      <c r="U739">
        <v>0</v>
      </c>
      <c r="V739">
        <v>4</v>
      </c>
      <c r="W739" t="s">
        <v>51</v>
      </c>
      <c r="X739" s="1" t="d">
        <v>2016-03-09</v>
      </c>
      <c r="Z739" t="s">
        <v>59</v>
      </c>
      <c r="AA739" t="s">
        <v>46</v>
      </c>
      <c r="AB739">
        <v>2</v>
      </c>
      <c r="AC739">
        <v>3</v>
      </c>
      <c r="AD739" t="s">
        <v>32</v>
      </c>
      <c r="AE739" t="s">
        <v>60</v>
      </c>
      <c r="AF739" t="s">
        <v>57</v>
      </c>
      <c r="AG739">
        <f>IF(HR_Data[[#This Row],[Attrition]]="Yes",1,0)</f>
        <v>0</v>
      </c>
      <c r="AH739" t="str">
        <f>IF(HR_Data[Date_of_termination]="","Active","Left")</f>
        <v>Active</v>
      </c>
      <c r="AI739" t="str">
        <f>IF(HR_Data[YearsAtCompany]&lt;=2,"Fresher", IF(HR_Data[YearsAtCompany]&lt;=5,"Junior", IF(HR_Data[YearsAtCompany]&lt;=10, "Mid","Senior")))</f>
        <v>Junior</v>
      </c>
      <c r="AJ739" s="2" t="str">
        <f>IF(HR_Data[MonthlyIncome]&lt;=300,"Low", IF(HR_Data[MonthlyIncome]&lt;=7000,"Medium", "High"))</f>
        <v>Medium</v>
      </c>
      <c r="AK739" s="2" t="str">
        <f>VLOOKUP(HR_Data[JobRole], JobRole_Map[], 2, FALSE)</f>
        <v>Sales</v>
      </c>
    </row>
    <row r="740" spans="1:37" x14ac:dyDescent="0.25">
      <c r="A740" s="2">
        <v>42</v>
      </c>
      <c r="B740" t="s">
        <v>41</v>
      </c>
      <c r="C740" t="s">
        <v>33</v>
      </c>
      <c r="D740" t="s">
        <v>34</v>
      </c>
      <c r="E740">
        <v>12</v>
      </c>
      <c r="F740" t="s">
        <v>35</v>
      </c>
      <c r="G740">
        <v>3</v>
      </c>
      <c r="H740">
        <v>1</v>
      </c>
      <c r="I740" t="s">
        <v>36</v>
      </c>
      <c r="J740">
        <v>2</v>
      </c>
      <c r="K740" t="s">
        <v>55</v>
      </c>
      <c r="L740">
        <v>2766</v>
      </c>
      <c r="M740">
        <v>8</v>
      </c>
      <c r="N740" t="s">
        <v>41</v>
      </c>
      <c r="O740">
        <v>22</v>
      </c>
      <c r="P740">
        <v>4</v>
      </c>
      <c r="Q740">
        <v>3</v>
      </c>
      <c r="R740">
        <v>7</v>
      </c>
      <c r="S740">
        <v>6</v>
      </c>
      <c r="T740">
        <v>5</v>
      </c>
      <c r="U740">
        <v>0</v>
      </c>
      <c r="V740">
        <v>4</v>
      </c>
      <c r="W740" t="s">
        <v>56</v>
      </c>
      <c r="X740" s="1" t="d">
        <v>2016-05-13</v>
      </c>
      <c r="Z740" t="s">
        <v>45</v>
      </c>
      <c r="AA740" t="s">
        <v>40</v>
      </c>
      <c r="AB740">
        <v>5</v>
      </c>
      <c r="AC740">
        <v>1</v>
      </c>
      <c r="AD740" t="s">
        <v>32</v>
      </c>
      <c r="AE740" t="s">
        <v>42</v>
      </c>
      <c r="AF740" t="s">
        <v>57</v>
      </c>
      <c r="AG740">
        <f>IF(HR_Data[[#This Row],[Attrition]]="Yes",1,0)</f>
        <v>0</v>
      </c>
      <c r="AH740" t="str">
        <f>IF(HR_Data[Date_of_termination]="","Active","Left")</f>
        <v>Active</v>
      </c>
      <c r="AI740" t="str">
        <f>IF(HR_Data[YearsAtCompany]&lt;=2,"Fresher", IF(HR_Data[YearsAtCompany]&lt;=5,"Junior", IF(HR_Data[YearsAtCompany]&lt;=10, "Mid","Senior")))</f>
        <v>Junior</v>
      </c>
      <c r="AJ740" s="2" t="str">
        <f>IF(HR_Data[MonthlyIncome]&lt;=300,"Low", IF(HR_Data[MonthlyIncome]&lt;=7000,"Medium", "High"))</f>
        <v>Medium</v>
      </c>
      <c r="AK740" s="2" t="str">
        <f>VLOOKUP(HR_Data[JobRole], JobRole_Map[], 2, FALSE)</f>
        <v>Technical</v>
      </c>
    </row>
    <row r="741" spans="1:37" x14ac:dyDescent="0.25">
      <c r="A741" s="2">
        <v>41</v>
      </c>
      <c r="B741" t="s">
        <v>41</v>
      </c>
      <c r="C741" t="s">
        <v>33</v>
      </c>
      <c r="D741" t="s">
        <v>34</v>
      </c>
      <c r="E741">
        <v>9</v>
      </c>
      <c r="F741" t="s">
        <v>35</v>
      </c>
      <c r="G741">
        <v>3</v>
      </c>
      <c r="H741">
        <v>1</v>
      </c>
      <c r="I741" t="s">
        <v>36</v>
      </c>
      <c r="J741">
        <v>1</v>
      </c>
      <c r="K741" t="s">
        <v>55</v>
      </c>
      <c r="L741">
        <v>2289</v>
      </c>
      <c r="M741">
        <v>1</v>
      </c>
      <c r="N741" t="s">
        <v>41</v>
      </c>
      <c r="O741">
        <v>20</v>
      </c>
      <c r="P741">
        <v>4</v>
      </c>
      <c r="Q741">
        <v>2</v>
      </c>
      <c r="R741">
        <v>5</v>
      </c>
      <c r="S741">
        <v>2</v>
      </c>
      <c r="T741">
        <v>5</v>
      </c>
      <c r="U741">
        <v>0</v>
      </c>
      <c r="V741">
        <v>4</v>
      </c>
      <c r="W741" t="s">
        <v>51</v>
      </c>
      <c r="X741" s="1" t="d">
        <v>2016-05-25</v>
      </c>
      <c r="Z741" t="s">
        <v>63</v>
      </c>
      <c r="AA741" t="s">
        <v>40</v>
      </c>
      <c r="AB741">
        <v>4</v>
      </c>
      <c r="AC741">
        <v>0</v>
      </c>
      <c r="AD741" t="s">
        <v>41</v>
      </c>
      <c r="AE741" t="s">
        <v>62</v>
      </c>
      <c r="AF741" t="s">
        <v>57</v>
      </c>
      <c r="AG741">
        <f>IF(HR_Data[[#This Row],[Attrition]]="Yes",1,0)</f>
        <v>0</v>
      </c>
      <c r="AH741" t="str">
        <f>IF(HR_Data[Date_of_termination]="","Active","Left")</f>
        <v>Active</v>
      </c>
      <c r="AI741" t="str">
        <f>IF(HR_Data[YearsAtCompany]&lt;=2,"Fresher", IF(HR_Data[YearsAtCompany]&lt;=5,"Junior", IF(HR_Data[YearsAtCompany]&lt;=10, "Mid","Senior")))</f>
        <v>Junior</v>
      </c>
      <c r="AJ741" s="2" t="str">
        <f>IF(HR_Data[MonthlyIncome]&lt;=300,"Low", IF(HR_Data[MonthlyIncome]&lt;=7000,"Medium", "High"))</f>
        <v>Medium</v>
      </c>
      <c r="AK741" s="2" t="str">
        <f>VLOOKUP(HR_Data[JobRole], JobRole_Map[], 2, FALSE)</f>
        <v>Technical</v>
      </c>
    </row>
    <row r="742" spans="1:37" x14ac:dyDescent="0.25">
      <c r="A742" s="2">
        <v>38</v>
      </c>
      <c r="B742" t="s">
        <v>41</v>
      </c>
      <c r="C742" t="s">
        <v>33</v>
      </c>
      <c r="D742" t="s">
        <v>34</v>
      </c>
      <c r="E742">
        <v>6</v>
      </c>
      <c r="F742" t="s">
        <v>58</v>
      </c>
      <c r="G742">
        <v>2</v>
      </c>
      <c r="H742">
        <v>1</v>
      </c>
      <c r="I742" t="s">
        <v>36</v>
      </c>
      <c r="J742">
        <v>3</v>
      </c>
      <c r="K742" t="s">
        <v>50</v>
      </c>
      <c r="L742">
        <v>3702</v>
      </c>
      <c r="M742">
        <v>1</v>
      </c>
      <c r="N742" t="s">
        <v>41</v>
      </c>
      <c r="O742">
        <v>11</v>
      </c>
      <c r="P742">
        <v>3</v>
      </c>
      <c r="Q742">
        <v>1</v>
      </c>
      <c r="R742">
        <v>5</v>
      </c>
      <c r="S742">
        <v>3</v>
      </c>
      <c r="T742">
        <v>5</v>
      </c>
      <c r="U742">
        <v>0</v>
      </c>
      <c r="V742">
        <v>4</v>
      </c>
      <c r="W742" t="s">
        <v>65</v>
      </c>
      <c r="X742" s="1" t="d">
        <v>2016-05-07</v>
      </c>
      <c r="Z742" t="s">
        <v>59</v>
      </c>
      <c r="AA742" t="s">
        <v>46</v>
      </c>
      <c r="AB742">
        <v>3</v>
      </c>
      <c r="AC742">
        <v>2</v>
      </c>
      <c r="AD742" t="s">
        <v>41</v>
      </c>
      <c r="AE742" t="s">
        <v>60</v>
      </c>
      <c r="AF742" t="s">
        <v>48</v>
      </c>
      <c r="AG742">
        <f>IF(HR_Data[[#This Row],[Attrition]]="Yes",1,0)</f>
        <v>0</v>
      </c>
      <c r="AH742" t="str">
        <f>IF(HR_Data[Date_of_termination]="","Active","Left")</f>
        <v>Active</v>
      </c>
      <c r="AI742" t="str">
        <f>IF(HR_Data[YearsAtCompany]&lt;=2,"Fresher", IF(HR_Data[YearsAtCompany]&lt;=5,"Junior", IF(HR_Data[YearsAtCompany]&lt;=10, "Mid","Senior")))</f>
        <v>Junior</v>
      </c>
      <c r="AJ742" s="2" t="str">
        <f>IF(HR_Data[MonthlyIncome]&lt;=300,"Low", IF(HR_Data[MonthlyIncome]&lt;=7000,"Medium", "High"))</f>
        <v>Medium</v>
      </c>
      <c r="AK742" s="2" t="str">
        <f>VLOOKUP(HR_Data[JobRole], JobRole_Map[], 2, FALSE)</f>
        <v>Technical</v>
      </c>
    </row>
    <row r="743" spans="1:37" x14ac:dyDescent="0.25">
      <c r="A743" s="2">
        <v>37</v>
      </c>
      <c r="B743" t="s">
        <v>41</v>
      </c>
      <c r="C743" t="s">
        <v>33</v>
      </c>
      <c r="D743" t="s">
        <v>53</v>
      </c>
      <c r="E743">
        <v>9</v>
      </c>
      <c r="F743" t="s">
        <v>35</v>
      </c>
      <c r="G743">
        <v>2</v>
      </c>
      <c r="H743">
        <v>2</v>
      </c>
      <c r="I743" t="s">
        <v>64</v>
      </c>
      <c r="J743">
        <v>2</v>
      </c>
      <c r="K743" t="s">
        <v>50</v>
      </c>
      <c r="L743">
        <v>4189</v>
      </c>
      <c r="M743">
        <v>1</v>
      </c>
      <c r="N743" t="s">
        <v>41</v>
      </c>
      <c r="O743">
        <v>14</v>
      </c>
      <c r="P743">
        <v>3</v>
      </c>
      <c r="Q743">
        <v>2</v>
      </c>
      <c r="R743">
        <v>5</v>
      </c>
      <c r="S743">
        <v>2</v>
      </c>
      <c r="T743">
        <v>5</v>
      </c>
      <c r="U743">
        <v>0</v>
      </c>
      <c r="V743">
        <v>3</v>
      </c>
      <c r="W743" t="s">
        <v>51</v>
      </c>
      <c r="X743" s="1" t="d">
        <v>2016-02-17</v>
      </c>
      <c r="Z743" t="s">
        <v>59</v>
      </c>
      <c r="AA743" t="s">
        <v>46</v>
      </c>
      <c r="AB743">
        <v>2</v>
      </c>
      <c r="AC743">
        <v>1</v>
      </c>
      <c r="AD743" t="s">
        <v>32</v>
      </c>
      <c r="AE743" t="s">
        <v>47</v>
      </c>
      <c r="AF743" t="s">
        <v>48</v>
      </c>
      <c r="AG743">
        <f>IF(HR_Data[[#This Row],[Attrition]]="Yes",1,0)</f>
        <v>0</v>
      </c>
      <c r="AH743" t="str">
        <f>IF(HR_Data[Date_of_termination]="","Active","Left")</f>
        <v>Active</v>
      </c>
      <c r="AI743" t="str">
        <f>IF(HR_Data[YearsAtCompany]&lt;=2,"Fresher", IF(HR_Data[YearsAtCompany]&lt;=5,"Junior", IF(HR_Data[YearsAtCompany]&lt;=10, "Mid","Senior")))</f>
        <v>Junior</v>
      </c>
      <c r="AJ743" s="2" t="str">
        <f>IF(HR_Data[MonthlyIncome]&lt;=300,"Low", IF(HR_Data[MonthlyIncome]&lt;=7000,"Medium", "High"))</f>
        <v>Medium</v>
      </c>
      <c r="AK743" s="2" t="str">
        <f>VLOOKUP(HR_Data[JobRole], JobRole_Map[], 2, FALSE)</f>
        <v>Sales</v>
      </c>
    </row>
    <row r="744" spans="1:37" x14ac:dyDescent="0.25">
      <c r="A744" s="2">
        <v>44</v>
      </c>
      <c r="B744" t="s">
        <v>32</v>
      </c>
      <c r="C744" t="s">
        <v>61</v>
      </c>
      <c r="D744" t="s">
        <v>34</v>
      </c>
      <c r="E744">
        <v>1</v>
      </c>
      <c r="F744" t="s">
        <v>35</v>
      </c>
      <c r="G744">
        <v>3</v>
      </c>
      <c r="H744">
        <v>1</v>
      </c>
      <c r="I744" t="s">
        <v>44</v>
      </c>
      <c r="J744">
        <v>2</v>
      </c>
      <c r="K744" t="s">
        <v>55</v>
      </c>
      <c r="L744">
        <v>2342</v>
      </c>
      <c r="M744">
        <v>1</v>
      </c>
      <c r="N744" t="s">
        <v>32</v>
      </c>
      <c r="O744">
        <v>12</v>
      </c>
      <c r="P744">
        <v>3</v>
      </c>
      <c r="Q744">
        <v>3</v>
      </c>
      <c r="R744">
        <v>6</v>
      </c>
      <c r="S744">
        <v>2</v>
      </c>
      <c r="T744">
        <v>5</v>
      </c>
      <c r="U744">
        <v>2</v>
      </c>
      <c r="V744">
        <v>3</v>
      </c>
      <c r="W744" t="s">
        <v>56</v>
      </c>
      <c r="X744" s="1" t="d">
        <v>2016-06-03</v>
      </c>
      <c r="Z744" t="s">
        <v>63</v>
      </c>
      <c r="AA744" t="s">
        <v>40</v>
      </c>
      <c r="AB744">
        <v>3</v>
      </c>
      <c r="AC744">
        <v>1</v>
      </c>
      <c r="AD744" t="s">
        <v>41</v>
      </c>
      <c r="AE744" t="s">
        <v>60</v>
      </c>
      <c r="AF744" t="s">
        <v>43</v>
      </c>
      <c r="AG744">
        <f>IF(HR_Data[[#This Row],[Attrition]]="Yes",1,0)</f>
        <v>1</v>
      </c>
      <c r="AH744" t="str">
        <f>IF(HR_Data[Date_of_termination]="","Active","Left")</f>
        <v>Active</v>
      </c>
      <c r="AI744" t="str">
        <f>IF(HR_Data[YearsAtCompany]&lt;=2,"Fresher", IF(HR_Data[YearsAtCompany]&lt;=5,"Junior", IF(HR_Data[YearsAtCompany]&lt;=10, "Mid","Senior")))</f>
        <v>Junior</v>
      </c>
      <c r="AJ744" s="2" t="str">
        <f>IF(HR_Data[MonthlyIncome]&lt;=300,"Low", IF(HR_Data[MonthlyIncome]&lt;=7000,"Medium", "High"))</f>
        <v>Medium</v>
      </c>
      <c r="AK744" s="2" t="str">
        <f>VLOOKUP(HR_Data[JobRole], JobRole_Map[], 2, FALSE)</f>
        <v>Technical</v>
      </c>
    </row>
    <row r="745" spans="1:37" x14ac:dyDescent="0.25">
      <c r="A745" s="2">
        <v>28</v>
      </c>
      <c r="B745" t="s">
        <v>41</v>
      </c>
      <c r="C745" t="s">
        <v>33</v>
      </c>
      <c r="D745" t="s">
        <v>34</v>
      </c>
      <c r="E745">
        <v>1</v>
      </c>
      <c r="F745" t="s">
        <v>35</v>
      </c>
      <c r="G745">
        <v>3</v>
      </c>
      <c r="H745">
        <v>1</v>
      </c>
      <c r="I745" t="s">
        <v>44</v>
      </c>
      <c r="J745">
        <v>4</v>
      </c>
      <c r="K745" t="s">
        <v>50</v>
      </c>
      <c r="L745">
        <v>2044</v>
      </c>
      <c r="M745">
        <v>1</v>
      </c>
      <c r="N745" t="s">
        <v>41</v>
      </c>
      <c r="O745">
        <v>11</v>
      </c>
      <c r="P745">
        <v>3</v>
      </c>
      <c r="Q745">
        <v>1</v>
      </c>
      <c r="R745">
        <v>5</v>
      </c>
      <c r="S745">
        <v>6</v>
      </c>
      <c r="T745">
        <v>5</v>
      </c>
      <c r="U745">
        <v>0</v>
      </c>
      <c r="V745">
        <v>3</v>
      </c>
      <c r="W745" t="s">
        <v>51</v>
      </c>
      <c r="X745" s="1" t="d">
        <v>2016-06-22</v>
      </c>
      <c r="Z745" t="s">
        <v>52</v>
      </c>
      <c r="AA745" t="s">
        <v>46</v>
      </c>
      <c r="AB745">
        <v>3</v>
      </c>
      <c r="AC745">
        <v>1</v>
      </c>
      <c r="AD745" t="s">
        <v>41</v>
      </c>
      <c r="AE745" t="s">
        <v>62</v>
      </c>
      <c r="AF745" t="s">
        <v>43</v>
      </c>
      <c r="AG745">
        <f>IF(HR_Data[[#This Row],[Attrition]]="Yes",1,0)</f>
        <v>0</v>
      </c>
      <c r="AH745" t="str">
        <f>IF(HR_Data[Date_of_termination]="","Active","Left")</f>
        <v>Active</v>
      </c>
      <c r="AI745" t="str">
        <f>IF(HR_Data[YearsAtCompany]&lt;=2,"Fresher", IF(HR_Data[YearsAtCompany]&lt;=5,"Junior", IF(HR_Data[YearsAtCompany]&lt;=10, "Mid","Senior")))</f>
        <v>Junior</v>
      </c>
      <c r="AJ745" s="2" t="str">
        <f>IF(HR_Data[MonthlyIncome]&lt;=300,"Low", IF(HR_Data[MonthlyIncome]&lt;=7000,"Medium", "High"))</f>
        <v>Medium</v>
      </c>
      <c r="AK745" s="2" t="str">
        <f>VLOOKUP(HR_Data[JobRole], JobRole_Map[], 2, FALSE)</f>
        <v>Technical</v>
      </c>
    </row>
    <row r="746" spans="1:37" x14ac:dyDescent="0.25">
      <c r="A746" s="2">
        <v>26</v>
      </c>
      <c r="B746" t="s">
        <v>32</v>
      </c>
      <c r="C746" t="s">
        <v>33</v>
      </c>
      <c r="D746" t="s">
        <v>70</v>
      </c>
      <c r="E746">
        <v>20</v>
      </c>
      <c r="F746" t="s">
        <v>58</v>
      </c>
      <c r="G746">
        <v>3</v>
      </c>
      <c r="H746">
        <v>1</v>
      </c>
      <c r="I746" t="s">
        <v>70</v>
      </c>
      <c r="J746">
        <v>2</v>
      </c>
      <c r="K746" t="s">
        <v>50</v>
      </c>
      <c r="L746">
        <v>2148</v>
      </c>
      <c r="M746">
        <v>0</v>
      </c>
      <c r="N746" t="s">
        <v>32</v>
      </c>
      <c r="O746">
        <v>11</v>
      </c>
      <c r="P746">
        <v>3</v>
      </c>
      <c r="Q746">
        <v>0</v>
      </c>
      <c r="R746">
        <v>6</v>
      </c>
      <c r="S746">
        <v>3</v>
      </c>
      <c r="T746">
        <v>5</v>
      </c>
      <c r="U746">
        <v>1</v>
      </c>
      <c r="V746">
        <v>4</v>
      </c>
      <c r="W746" t="s">
        <v>65</v>
      </c>
      <c r="X746" s="1" t="d">
        <v>2016-01-09</v>
      </c>
      <c r="Z746" t="s">
        <v>39</v>
      </c>
      <c r="AA746" t="s">
        <v>46</v>
      </c>
      <c r="AB746">
        <v>1</v>
      </c>
      <c r="AC746">
        <v>1</v>
      </c>
      <c r="AD746" t="s">
        <v>41</v>
      </c>
      <c r="AE746" t="s">
        <v>60</v>
      </c>
      <c r="AF746" t="s">
        <v>57</v>
      </c>
      <c r="AG746">
        <f>IF(HR_Data[[#This Row],[Attrition]]="Yes",1,0)</f>
        <v>1</v>
      </c>
      <c r="AH746" t="str">
        <f>IF(HR_Data[Date_of_termination]="","Active","Left")</f>
        <v>Active</v>
      </c>
      <c r="AI746" t="str">
        <f>IF(HR_Data[YearsAtCompany]&lt;=2,"Fresher", IF(HR_Data[YearsAtCompany]&lt;=5,"Junior", IF(HR_Data[YearsAtCompany]&lt;=10, "Mid","Senior")))</f>
        <v>Junior</v>
      </c>
      <c r="AJ746" s="2" t="str">
        <f>IF(HR_Data[MonthlyIncome]&lt;=300,"Low", IF(HR_Data[MonthlyIncome]&lt;=7000,"Medium", "High"))</f>
        <v>Medium</v>
      </c>
      <c r="AK746" s="2" t="str">
        <f>VLOOKUP(HR_Data[JobRole], JobRole_Map[], 2, FALSE)</f>
        <v>HR</v>
      </c>
    </row>
    <row r="747" spans="1:37" x14ac:dyDescent="0.25">
      <c r="A747" s="2">
        <v>40</v>
      </c>
      <c r="B747" t="s">
        <v>41</v>
      </c>
      <c r="C747" t="s">
        <v>33</v>
      </c>
      <c r="D747" t="s">
        <v>34</v>
      </c>
      <c r="E747">
        <v>1</v>
      </c>
      <c r="F747" t="s">
        <v>58</v>
      </c>
      <c r="G747">
        <v>3</v>
      </c>
      <c r="H747">
        <v>2</v>
      </c>
      <c r="I747" t="s">
        <v>69</v>
      </c>
      <c r="J747">
        <v>4</v>
      </c>
      <c r="K747" t="s">
        <v>55</v>
      </c>
      <c r="L747">
        <v>6513</v>
      </c>
      <c r="M747">
        <v>4</v>
      </c>
      <c r="N747" t="s">
        <v>41</v>
      </c>
      <c r="O747">
        <v>17</v>
      </c>
      <c r="P747">
        <v>3</v>
      </c>
      <c r="Q747">
        <v>1</v>
      </c>
      <c r="R747">
        <v>12</v>
      </c>
      <c r="S747">
        <v>3</v>
      </c>
      <c r="T747">
        <v>5</v>
      </c>
      <c r="U747">
        <v>0</v>
      </c>
      <c r="V747">
        <v>3</v>
      </c>
      <c r="W747" t="s">
        <v>65</v>
      </c>
      <c r="X747" s="1" t="d">
        <v>2016-03-09</v>
      </c>
      <c r="Z747" t="s">
        <v>52</v>
      </c>
      <c r="AA747" t="s">
        <v>46</v>
      </c>
      <c r="AB747">
        <v>4</v>
      </c>
      <c r="AC747">
        <v>2</v>
      </c>
      <c r="AD747" t="s">
        <v>32</v>
      </c>
      <c r="AE747" t="s">
        <v>47</v>
      </c>
      <c r="AF747" t="s">
        <v>43</v>
      </c>
      <c r="AG747">
        <f>IF(HR_Data[[#This Row],[Attrition]]="Yes",1,0)</f>
        <v>0</v>
      </c>
      <c r="AH747" t="str">
        <f>IF(HR_Data[Date_of_termination]="","Active","Left")</f>
        <v>Active</v>
      </c>
      <c r="AI747" t="str">
        <f>IF(HR_Data[YearsAtCompany]&lt;=2,"Fresher", IF(HR_Data[YearsAtCompany]&lt;=5,"Junior", IF(HR_Data[YearsAtCompany]&lt;=10, "Mid","Senior")))</f>
        <v>Junior</v>
      </c>
      <c r="AJ747" s="2" t="str">
        <f>IF(HR_Data[MonthlyIncome]&lt;=300,"Low", IF(HR_Data[MonthlyIncome]&lt;=7000,"Medium", "High"))</f>
        <v>Medium</v>
      </c>
      <c r="AK747" s="2" t="str">
        <f>VLOOKUP(HR_Data[JobRole], JobRole_Map[], 2, FALSE)</f>
        <v>Operations</v>
      </c>
    </row>
    <row r="748" spans="1:37" x14ac:dyDescent="0.25">
      <c r="A748" s="2">
        <v>35</v>
      </c>
      <c r="B748" t="s">
        <v>41</v>
      </c>
      <c r="C748" t="s">
        <v>33</v>
      </c>
      <c r="D748" t="s">
        <v>34</v>
      </c>
      <c r="E748">
        <v>23</v>
      </c>
      <c r="F748" t="s">
        <v>35</v>
      </c>
      <c r="G748">
        <v>1</v>
      </c>
      <c r="H748">
        <v>1</v>
      </c>
      <c r="I748" t="s">
        <v>36</v>
      </c>
      <c r="J748">
        <v>3</v>
      </c>
      <c r="K748" t="s">
        <v>50</v>
      </c>
      <c r="L748">
        <v>2705</v>
      </c>
      <c r="M748">
        <v>0</v>
      </c>
      <c r="N748" t="s">
        <v>41</v>
      </c>
      <c r="O748">
        <v>16</v>
      </c>
      <c r="P748">
        <v>3</v>
      </c>
      <c r="Q748">
        <v>1</v>
      </c>
      <c r="R748">
        <v>6</v>
      </c>
      <c r="S748">
        <v>2</v>
      </c>
      <c r="T748">
        <v>5</v>
      </c>
      <c r="U748">
        <v>0</v>
      </c>
      <c r="V748">
        <v>3</v>
      </c>
      <c r="W748" t="s">
        <v>38</v>
      </c>
      <c r="X748" s="1" t="d">
        <v>2016-01-03</v>
      </c>
      <c r="Z748" t="s">
        <v>63</v>
      </c>
      <c r="AA748" t="s">
        <v>40</v>
      </c>
      <c r="AB748">
        <v>3</v>
      </c>
      <c r="AC748">
        <v>2</v>
      </c>
      <c r="AD748" t="s">
        <v>32</v>
      </c>
      <c r="AE748" t="s">
        <v>62</v>
      </c>
      <c r="AF748" t="s">
        <v>57</v>
      </c>
      <c r="AG748">
        <f>IF(HR_Data[[#This Row],[Attrition]]="Yes",1,0)</f>
        <v>0</v>
      </c>
      <c r="AH748" t="str">
        <f>IF(HR_Data[Date_of_termination]="","Active","Left")</f>
        <v>Active</v>
      </c>
      <c r="AI748" t="str">
        <f>IF(HR_Data[YearsAtCompany]&lt;=2,"Fresher", IF(HR_Data[YearsAtCompany]&lt;=5,"Junior", IF(HR_Data[YearsAtCompany]&lt;=10, "Mid","Senior")))</f>
        <v>Junior</v>
      </c>
      <c r="AJ748" s="2" t="str">
        <f>IF(HR_Data[MonthlyIncome]&lt;=300,"Low", IF(HR_Data[MonthlyIncome]&lt;=7000,"Medium", "High"))</f>
        <v>Medium</v>
      </c>
      <c r="AK748" s="2" t="str">
        <f>VLOOKUP(HR_Data[JobRole], JobRole_Map[], 2, FALSE)</f>
        <v>Technical</v>
      </c>
    </row>
    <row r="749" spans="1:37" x14ac:dyDescent="0.25">
      <c r="A749" s="2">
        <v>26</v>
      </c>
      <c r="B749" t="s">
        <v>41</v>
      </c>
      <c r="C749" t="s">
        <v>33</v>
      </c>
      <c r="D749" t="s">
        <v>53</v>
      </c>
      <c r="E749">
        <v>10</v>
      </c>
      <c r="F749" t="s">
        <v>35</v>
      </c>
      <c r="G749">
        <v>3</v>
      </c>
      <c r="H749">
        <v>2</v>
      </c>
      <c r="I749" t="s">
        <v>64</v>
      </c>
      <c r="J749">
        <v>4</v>
      </c>
      <c r="K749" t="s">
        <v>37</v>
      </c>
      <c r="L749">
        <v>4684</v>
      </c>
      <c r="M749">
        <v>1</v>
      </c>
      <c r="N749" t="s">
        <v>41</v>
      </c>
      <c r="O749">
        <v>13</v>
      </c>
      <c r="P749">
        <v>3</v>
      </c>
      <c r="Q749">
        <v>0</v>
      </c>
      <c r="R749">
        <v>5</v>
      </c>
      <c r="S749">
        <v>4</v>
      </c>
      <c r="T749">
        <v>5</v>
      </c>
      <c r="U749">
        <v>1</v>
      </c>
      <c r="V749">
        <v>2</v>
      </c>
      <c r="W749" t="s">
        <v>38</v>
      </c>
      <c r="X749" s="1" t="d">
        <v>2016-05-24</v>
      </c>
      <c r="Z749" t="s">
        <v>59</v>
      </c>
      <c r="AA749" t="s">
        <v>46</v>
      </c>
      <c r="AB749">
        <v>2</v>
      </c>
      <c r="AC749">
        <v>3</v>
      </c>
      <c r="AD749" t="s">
        <v>41</v>
      </c>
      <c r="AE749" t="s">
        <v>42</v>
      </c>
      <c r="AF749" t="s">
        <v>57</v>
      </c>
      <c r="AG749">
        <f>IF(HR_Data[[#This Row],[Attrition]]="Yes",1,0)</f>
        <v>0</v>
      </c>
      <c r="AH749" t="str">
        <f>IF(HR_Data[Date_of_termination]="","Active","Left")</f>
        <v>Active</v>
      </c>
      <c r="AI749" t="str">
        <f>IF(HR_Data[YearsAtCompany]&lt;=2,"Fresher", IF(HR_Data[YearsAtCompany]&lt;=5,"Junior", IF(HR_Data[YearsAtCompany]&lt;=10, "Mid","Senior")))</f>
        <v>Junior</v>
      </c>
      <c r="AJ749" s="2" t="str">
        <f>IF(HR_Data[MonthlyIncome]&lt;=300,"Low", IF(HR_Data[MonthlyIncome]&lt;=7000,"Medium", "High"))</f>
        <v>Medium</v>
      </c>
      <c r="AK749" s="2" t="str">
        <f>VLOOKUP(HR_Data[JobRole], JobRole_Map[], 2, FALSE)</f>
        <v>Sales</v>
      </c>
    </row>
    <row r="750" spans="1:37" x14ac:dyDescent="0.25">
      <c r="A750" s="2">
        <v>27</v>
      </c>
      <c r="B750" t="s">
        <v>41</v>
      </c>
      <c r="C750" t="s">
        <v>61</v>
      </c>
      <c r="D750" t="s">
        <v>34</v>
      </c>
      <c r="E750">
        <v>5</v>
      </c>
      <c r="F750" t="s">
        <v>58</v>
      </c>
      <c r="G750">
        <v>3</v>
      </c>
      <c r="H750">
        <v>1</v>
      </c>
      <c r="I750" t="s">
        <v>36</v>
      </c>
      <c r="J750">
        <v>4</v>
      </c>
      <c r="K750" t="s">
        <v>37</v>
      </c>
      <c r="L750">
        <v>2379</v>
      </c>
      <c r="M750">
        <v>0</v>
      </c>
      <c r="N750" t="s">
        <v>32</v>
      </c>
      <c r="O750">
        <v>14</v>
      </c>
      <c r="P750">
        <v>3</v>
      </c>
      <c r="Q750">
        <v>0</v>
      </c>
      <c r="R750">
        <v>6</v>
      </c>
      <c r="S750">
        <v>3</v>
      </c>
      <c r="T750">
        <v>5</v>
      </c>
      <c r="U750">
        <v>0</v>
      </c>
      <c r="V750">
        <v>2</v>
      </c>
      <c r="W750" t="s">
        <v>51</v>
      </c>
      <c r="X750" s="1" t="d">
        <v>2016-02-26</v>
      </c>
      <c r="Z750" t="s">
        <v>39</v>
      </c>
      <c r="AA750" t="s">
        <v>46</v>
      </c>
      <c r="AB750">
        <v>1</v>
      </c>
      <c r="AC750">
        <v>2</v>
      </c>
      <c r="AD750" t="s">
        <v>32</v>
      </c>
      <c r="AE750" t="s">
        <v>62</v>
      </c>
      <c r="AF750" t="s">
        <v>43</v>
      </c>
      <c r="AG750">
        <f>IF(HR_Data[[#This Row],[Attrition]]="Yes",1,0)</f>
        <v>0</v>
      </c>
      <c r="AH750" t="str">
        <f>IF(HR_Data[Date_of_termination]="","Active","Left")</f>
        <v>Active</v>
      </c>
      <c r="AI750" t="str">
        <f>IF(HR_Data[YearsAtCompany]&lt;=2,"Fresher", IF(HR_Data[YearsAtCompany]&lt;=5,"Junior", IF(HR_Data[YearsAtCompany]&lt;=10, "Mid","Senior")))</f>
        <v>Junior</v>
      </c>
      <c r="AJ750" s="2" t="str">
        <f>IF(HR_Data[MonthlyIncome]&lt;=300,"Low", IF(HR_Data[MonthlyIncome]&lt;=7000,"Medium", "High"))</f>
        <v>Medium</v>
      </c>
      <c r="AK750" s="2" t="str">
        <f>VLOOKUP(HR_Data[JobRole], JobRole_Map[], 2, FALSE)</f>
        <v>Technical</v>
      </c>
    </row>
    <row r="751" spans="1:37" x14ac:dyDescent="0.25">
      <c r="A751" s="2">
        <v>55</v>
      </c>
      <c r="B751" t="s">
        <v>41</v>
      </c>
      <c r="C751" t="s">
        <v>33</v>
      </c>
      <c r="D751" t="s">
        <v>34</v>
      </c>
      <c r="E751">
        <v>2</v>
      </c>
      <c r="F751" t="s">
        <v>35</v>
      </c>
      <c r="G751">
        <v>2</v>
      </c>
      <c r="H751">
        <v>1</v>
      </c>
      <c r="I751" t="s">
        <v>44</v>
      </c>
      <c r="J751">
        <v>4</v>
      </c>
      <c r="K751" t="s">
        <v>50</v>
      </c>
      <c r="L751">
        <v>2662</v>
      </c>
      <c r="M751">
        <v>8</v>
      </c>
      <c r="N751" t="s">
        <v>41</v>
      </c>
      <c r="O751">
        <v>20</v>
      </c>
      <c r="P751">
        <v>4</v>
      </c>
      <c r="Q751">
        <v>1</v>
      </c>
      <c r="R751">
        <v>19</v>
      </c>
      <c r="S751">
        <v>2</v>
      </c>
      <c r="T751">
        <v>5</v>
      </c>
      <c r="U751">
        <v>0</v>
      </c>
      <c r="V751">
        <v>4</v>
      </c>
      <c r="W751" t="s">
        <v>56</v>
      </c>
      <c r="X751" s="1" t="d">
        <v>2016-02-28</v>
      </c>
      <c r="Z751" t="s">
        <v>39</v>
      </c>
      <c r="AA751" t="s">
        <v>40</v>
      </c>
      <c r="AB751">
        <v>5</v>
      </c>
      <c r="AC751">
        <v>3</v>
      </c>
      <c r="AD751" t="s">
        <v>41</v>
      </c>
      <c r="AE751" t="s">
        <v>47</v>
      </c>
      <c r="AF751" t="s">
        <v>57</v>
      </c>
      <c r="AG751">
        <f>IF(HR_Data[[#This Row],[Attrition]]="Yes",1,0)</f>
        <v>0</v>
      </c>
      <c r="AH751" t="str">
        <f>IF(HR_Data[Date_of_termination]="","Active","Left")</f>
        <v>Active</v>
      </c>
      <c r="AI751" t="str">
        <f>IF(HR_Data[YearsAtCompany]&lt;=2,"Fresher", IF(HR_Data[YearsAtCompany]&lt;=5,"Junior", IF(HR_Data[YearsAtCompany]&lt;=10, "Mid","Senior")))</f>
        <v>Junior</v>
      </c>
      <c r="AJ751" s="2" t="str">
        <f>IF(HR_Data[MonthlyIncome]&lt;=300,"Low", IF(HR_Data[MonthlyIncome]&lt;=7000,"Medium", "High"))</f>
        <v>Medium</v>
      </c>
      <c r="AK751" s="2" t="str">
        <f>VLOOKUP(HR_Data[JobRole], JobRole_Map[], 2, FALSE)</f>
        <v>Technical</v>
      </c>
    </row>
    <row r="752" spans="1:37" x14ac:dyDescent="0.25">
      <c r="A752" s="2">
        <v>34</v>
      </c>
      <c r="B752" t="s">
        <v>41</v>
      </c>
      <c r="C752" t="s">
        <v>33</v>
      </c>
      <c r="D752" t="s">
        <v>53</v>
      </c>
      <c r="E752">
        <v>4</v>
      </c>
      <c r="F752" t="s">
        <v>35</v>
      </c>
      <c r="G752">
        <v>3</v>
      </c>
      <c r="H752">
        <v>3</v>
      </c>
      <c r="I752" t="s">
        <v>64</v>
      </c>
      <c r="J752">
        <v>4</v>
      </c>
      <c r="K752" t="s">
        <v>50</v>
      </c>
      <c r="L752">
        <v>9713</v>
      </c>
      <c r="M752">
        <v>2</v>
      </c>
      <c r="N752" t="s">
        <v>32</v>
      </c>
      <c r="O752">
        <v>13</v>
      </c>
      <c r="P752">
        <v>3</v>
      </c>
      <c r="Q752">
        <v>3</v>
      </c>
      <c r="R752">
        <v>9</v>
      </c>
      <c r="S752">
        <v>3</v>
      </c>
      <c r="T752">
        <v>5</v>
      </c>
      <c r="U752">
        <v>1</v>
      </c>
      <c r="V752">
        <v>0</v>
      </c>
      <c r="W752" t="s">
        <v>65</v>
      </c>
      <c r="X752" s="1" t="d">
        <v>2016-05-07</v>
      </c>
      <c r="Z752" t="s">
        <v>39</v>
      </c>
      <c r="AA752" t="s">
        <v>46</v>
      </c>
      <c r="AB752">
        <v>2</v>
      </c>
      <c r="AC752">
        <v>2</v>
      </c>
      <c r="AD752" t="s">
        <v>41</v>
      </c>
      <c r="AE752" t="s">
        <v>47</v>
      </c>
      <c r="AF752" t="s">
        <v>48</v>
      </c>
      <c r="AG752">
        <f>IF(HR_Data[[#This Row],[Attrition]]="Yes",1,0)</f>
        <v>0</v>
      </c>
      <c r="AH752" t="str">
        <f>IF(HR_Data[Date_of_termination]="","Active","Left")</f>
        <v>Active</v>
      </c>
      <c r="AI752" t="str">
        <f>IF(HR_Data[YearsAtCompany]&lt;=2,"Fresher", IF(HR_Data[YearsAtCompany]&lt;=5,"Junior", IF(HR_Data[YearsAtCompany]&lt;=10, "Mid","Senior")))</f>
        <v>Junior</v>
      </c>
      <c r="AJ752" s="2" t="str">
        <f>IF(HR_Data[MonthlyIncome]&lt;=300,"Low", IF(HR_Data[MonthlyIncome]&lt;=7000,"Medium", "High"))</f>
        <v>High</v>
      </c>
      <c r="AK752" s="2" t="str">
        <f>VLOOKUP(HR_Data[JobRole], JobRole_Map[], 2, FALSE)</f>
        <v>Sales</v>
      </c>
    </row>
    <row r="753" spans="1:37" x14ac:dyDescent="0.25">
      <c r="A753" s="2">
        <v>37</v>
      </c>
      <c r="B753" t="s">
        <v>41</v>
      </c>
      <c r="C753" t="s">
        <v>33</v>
      </c>
      <c r="D753" t="s">
        <v>34</v>
      </c>
      <c r="E753">
        <v>7</v>
      </c>
      <c r="F753" t="s">
        <v>35</v>
      </c>
      <c r="G753">
        <v>3</v>
      </c>
      <c r="H753">
        <v>2</v>
      </c>
      <c r="I753" t="s">
        <v>44</v>
      </c>
      <c r="J753">
        <v>1</v>
      </c>
      <c r="K753" t="s">
        <v>50</v>
      </c>
      <c r="L753">
        <v>4284</v>
      </c>
      <c r="M753">
        <v>5</v>
      </c>
      <c r="N753" t="s">
        <v>32</v>
      </c>
      <c r="O753">
        <v>22</v>
      </c>
      <c r="P753">
        <v>4</v>
      </c>
      <c r="Q753">
        <v>1</v>
      </c>
      <c r="R753">
        <v>16</v>
      </c>
      <c r="S753">
        <v>2</v>
      </c>
      <c r="T753">
        <v>5</v>
      </c>
      <c r="U753">
        <v>0</v>
      </c>
      <c r="V753">
        <v>4</v>
      </c>
      <c r="W753" t="s">
        <v>65</v>
      </c>
      <c r="X753" s="1" t="d">
        <v>2016-03-13</v>
      </c>
      <c r="Z753" t="s">
        <v>59</v>
      </c>
      <c r="AA753" t="s">
        <v>46</v>
      </c>
      <c r="AB753">
        <v>2</v>
      </c>
      <c r="AC753">
        <v>1</v>
      </c>
      <c r="AD753" t="s">
        <v>32</v>
      </c>
      <c r="AE753" t="s">
        <v>42</v>
      </c>
      <c r="AF753" t="s">
        <v>48</v>
      </c>
      <c r="AG753">
        <f>IF(HR_Data[[#This Row],[Attrition]]="Yes",1,0)</f>
        <v>0</v>
      </c>
      <c r="AH753" t="str">
        <f>IF(HR_Data[Date_of_termination]="","Active","Left")</f>
        <v>Active</v>
      </c>
      <c r="AI753" t="str">
        <f>IF(HR_Data[YearsAtCompany]&lt;=2,"Fresher", IF(HR_Data[YearsAtCompany]&lt;=5,"Junior", IF(HR_Data[YearsAtCompany]&lt;=10, "Mid","Senior")))</f>
        <v>Junior</v>
      </c>
      <c r="AJ753" s="2" t="str">
        <f>IF(HR_Data[MonthlyIncome]&lt;=300,"Low", IF(HR_Data[MonthlyIncome]&lt;=7000,"Medium", "High"))</f>
        <v>Medium</v>
      </c>
      <c r="AK753" s="2" t="str">
        <f>VLOOKUP(HR_Data[JobRole], JobRole_Map[], 2, FALSE)</f>
        <v>Technical</v>
      </c>
    </row>
    <row r="754" spans="1:37" x14ac:dyDescent="0.25">
      <c r="A754" s="2">
        <v>34</v>
      </c>
      <c r="B754" t="s">
        <v>32</v>
      </c>
      <c r="C754" t="s">
        <v>68</v>
      </c>
      <c r="D754" t="s">
        <v>34</v>
      </c>
      <c r="E754">
        <v>16</v>
      </c>
      <c r="F754" t="s">
        <v>35</v>
      </c>
      <c r="G754">
        <v>1</v>
      </c>
      <c r="H754">
        <v>1</v>
      </c>
      <c r="I754" t="s">
        <v>44</v>
      </c>
      <c r="J754">
        <v>1</v>
      </c>
      <c r="K754" t="s">
        <v>50</v>
      </c>
      <c r="L754">
        <v>2307</v>
      </c>
      <c r="M754">
        <v>1</v>
      </c>
      <c r="N754" t="s">
        <v>32</v>
      </c>
      <c r="O754">
        <v>23</v>
      </c>
      <c r="P754">
        <v>4</v>
      </c>
      <c r="Q754">
        <v>1</v>
      </c>
      <c r="R754">
        <v>5</v>
      </c>
      <c r="S754">
        <v>2</v>
      </c>
      <c r="T754">
        <v>5</v>
      </c>
      <c r="U754">
        <v>3</v>
      </c>
      <c r="V754">
        <v>0</v>
      </c>
      <c r="W754" t="s">
        <v>38</v>
      </c>
      <c r="X754" s="1" t="d">
        <v>2016-02-17</v>
      </c>
      <c r="Z754" t="s">
        <v>45</v>
      </c>
      <c r="AA754" t="s">
        <v>46</v>
      </c>
      <c r="AB754">
        <v>0</v>
      </c>
      <c r="AC754">
        <v>1</v>
      </c>
      <c r="AD754" t="s">
        <v>32</v>
      </c>
      <c r="AE754" t="s">
        <v>60</v>
      </c>
      <c r="AF754" t="s">
        <v>57</v>
      </c>
      <c r="AG754">
        <f>IF(HR_Data[[#This Row],[Attrition]]="Yes",1,0)</f>
        <v>1</v>
      </c>
      <c r="AH754" t="str">
        <f>IF(HR_Data[Date_of_termination]="","Active","Left")</f>
        <v>Active</v>
      </c>
      <c r="AI754" t="str">
        <f>IF(HR_Data[YearsAtCompany]&lt;=2,"Fresher", IF(HR_Data[YearsAtCompany]&lt;=5,"Junior", IF(HR_Data[YearsAtCompany]&lt;=10, "Mid","Senior")))</f>
        <v>Junior</v>
      </c>
      <c r="AJ754" s="2" t="str">
        <f>IF(HR_Data[MonthlyIncome]&lt;=300,"Low", IF(HR_Data[MonthlyIncome]&lt;=7000,"Medium", "High"))</f>
        <v>Medium</v>
      </c>
      <c r="AK754" s="2" t="str">
        <f>VLOOKUP(HR_Data[JobRole], JobRole_Map[], 2, FALSE)</f>
        <v>Technical</v>
      </c>
    </row>
    <row r="755" spans="1:37" x14ac:dyDescent="0.25">
      <c r="A755" s="2">
        <v>41</v>
      </c>
      <c r="B755" t="s">
        <v>41</v>
      </c>
      <c r="C755" t="s">
        <v>33</v>
      </c>
      <c r="D755" t="s">
        <v>53</v>
      </c>
      <c r="E755">
        <v>8</v>
      </c>
      <c r="F755" t="s">
        <v>58</v>
      </c>
      <c r="G755">
        <v>3</v>
      </c>
      <c r="H755">
        <v>2</v>
      </c>
      <c r="I755" t="s">
        <v>64</v>
      </c>
      <c r="J755">
        <v>2</v>
      </c>
      <c r="K755" t="s">
        <v>50</v>
      </c>
      <c r="L755">
        <v>4393</v>
      </c>
      <c r="M755">
        <v>5</v>
      </c>
      <c r="N755" t="s">
        <v>41</v>
      </c>
      <c r="O755">
        <v>21</v>
      </c>
      <c r="P755">
        <v>4</v>
      </c>
      <c r="Q755">
        <v>1</v>
      </c>
      <c r="R755">
        <v>14</v>
      </c>
      <c r="S755">
        <v>3</v>
      </c>
      <c r="T755">
        <v>5</v>
      </c>
      <c r="U755">
        <v>1</v>
      </c>
      <c r="V755">
        <v>4</v>
      </c>
      <c r="W755" t="s">
        <v>65</v>
      </c>
      <c r="X755" s="1" t="d">
        <v>2016-01-18</v>
      </c>
      <c r="Z755" t="s">
        <v>39</v>
      </c>
      <c r="AA755" t="s">
        <v>46</v>
      </c>
      <c r="AB755">
        <v>5</v>
      </c>
      <c r="AC755">
        <v>2</v>
      </c>
      <c r="AD755" t="s">
        <v>41</v>
      </c>
      <c r="AE755" t="s">
        <v>42</v>
      </c>
      <c r="AF755" t="s">
        <v>48</v>
      </c>
      <c r="AG755">
        <f>IF(HR_Data[[#This Row],[Attrition]]="Yes",1,0)</f>
        <v>0</v>
      </c>
      <c r="AH755" t="str">
        <f>IF(HR_Data[Date_of_termination]="","Active","Left")</f>
        <v>Active</v>
      </c>
      <c r="AI755" t="str">
        <f>IF(HR_Data[YearsAtCompany]&lt;=2,"Fresher", IF(HR_Data[YearsAtCompany]&lt;=5,"Junior", IF(HR_Data[YearsAtCompany]&lt;=10, "Mid","Senior")))</f>
        <v>Junior</v>
      </c>
      <c r="AJ755" s="2" t="str">
        <f>IF(HR_Data[MonthlyIncome]&lt;=300,"Low", IF(HR_Data[MonthlyIncome]&lt;=7000,"Medium", "High"))</f>
        <v>Medium</v>
      </c>
      <c r="AK755" s="2" t="str">
        <f>VLOOKUP(HR_Data[JobRole], JobRole_Map[], 2, FALSE)</f>
        <v>Sales</v>
      </c>
    </row>
    <row r="756" spans="1:37" x14ac:dyDescent="0.25">
      <c r="A756" s="2">
        <v>31</v>
      </c>
      <c r="B756" t="s">
        <v>41</v>
      </c>
      <c r="C756" t="s">
        <v>33</v>
      </c>
      <c r="D756" t="s">
        <v>53</v>
      </c>
      <c r="E756">
        <v>10</v>
      </c>
      <c r="F756" t="s">
        <v>58</v>
      </c>
      <c r="G756">
        <v>3</v>
      </c>
      <c r="H756">
        <v>2</v>
      </c>
      <c r="I756" t="s">
        <v>64</v>
      </c>
      <c r="J756">
        <v>4</v>
      </c>
      <c r="K756" t="s">
        <v>55</v>
      </c>
      <c r="L756">
        <v>6583</v>
      </c>
      <c r="M756">
        <v>2</v>
      </c>
      <c r="N756" t="s">
        <v>32</v>
      </c>
      <c r="O756">
        <v>11</v>
      </c>
      <c r="P756">
        <v>3</v>
      </c>
      <c r="Q756">
        <v>1</v>
      </c>
      <c r="R756">
        <v>8</v>
      </c>
      <c r="S756">
        <v>2</v>
      </c>
      <c r="T756">
        <v>5</v>
      </c>
      <c r="U756">
        <v>1</v>
      </c>
      <c r="V756">
        <v>4</v>
      </c>
      <c r="W756" t="s">
        <v>56</v>
      </c>
      <c r="X756" s="1" t="d">
        <v>2016-06-13</v>
      </c>
      <c r="Z756" t="s">
        <v>63</v>
      </c>
      <c r="AA756" t="s">
        <v>40</v>
      </c>
      <c r="AB756">
        <v>4</v>
      </c>
      <c r="AC756">
        <v>0</v>
      </c>
      <c r="AD756" t="s">
        <v>32</v>
      </c>
      <c r="AE756" t="s">
        <v>60</v>
      </c>
      <c r="AF756" t="s">
        <v>57</v>
      </c>
      <c r="AG756">
        <f>IF(HR_Data[[#This Row],[Attrition]]="Yes",1,0)</f>
        <v>0</v>
      </c>
      <c r="AH756" t="str">
        <f>IF(HR_Data[Date_of_termination]="","Active","Left")</f>
        <v>Active</v>
      </c>
      <c r="AI756" t="str">
        <f>IF(HR_Data[YearsAtCompany]&lt;=2,"Fresher", IF(HR_Data[YearsAtCompany]&lt;=5,"Junior", IF(HR_Data[YearsAtCompany]&lt;=10, "Mid","Senior")))</f>
        <v>Junior</v>
      </c>
      <c r="AJ756" s="2" t="str">
        <f>IF(HR_Data[MonthlyIncome]&lt;=300,"Low", IF(HR_Data[MonthlyIncome]&lt;=7000,"Medium", "High"))</f>
        <v>Medium</v>
      </c>
      <c r="AK756" s="2" t="str">
        <f>VLOOKUP(HR_Data[JobRole], JobRole_Map[], 2, FALSE)</f>
        <v>Sales</v>
      </c>
    </row>
    <row r="757" spans="1:37" x14ac:dyDescent="0.25">
      <c r="A757" s="2">
        <v>27</v>
      </c>
      <c r="B757" t="s">
        <v>41</v>
      </c>
      <c r="C757" t="s">
        <v>33</v>
      </c>
      <c r="D757" t="s">
        <v>34</v>
      </c>
      <c r="E757">
        <v>2</v>
      </c>
      <c r="F757" t="s">
        <v>35</v>
      </c>
      <c r="G757">
        <v>3</v>
      </c>
      <c r="H757">
        <v>1</v>
      </c>
      <c r="I757" t="s">
        <v>44</v>
      </c>
      <c r="J757">
        <v>2</v>
      </c>
      <c r="K757" t="s">
        <v>50</v>
      </c>
      <c r="L757">
        <v>2226</v>
      </c>
      <c r="M757">
        <v>1</v>
      </c>
      <c r="N757" t="s">
        <v>41</v>
      </c>
      <c r="O757">
        <v>11</v>
      </c>
      <c r="P757">
        <v>3</v>
      </c>
      <c r="Q757">
        <v>1</v>
      </c>
      <c r="R757">
        <v>6</v>
      </c>
      <c r="S757">
        <v>3</v>
      </c>
      <c r="T757">
        <v>5</v>
      </c>
      <c r="U757">
        <v>1</v>
      </c>
      <c r="V757">
        <v>2</v>
      </c>
      <c r="W757" t="s">
        <v>51</v>
      </c>
      <c r="X757" s="1" t="d">
        <v>2016-03-25</v>
      </c>
      <c r="Z757" t="s">
        <v>52</v>
      </c>
      <c r="AA757" t="s">
        <v>46</v>
      </c>
      <c r="AB757">
        <v>4</v>
      </c>
      <c r="AC757">
        <v>1</v>
      </c>
      <c r="AD757" t="s">
        <v>32</v>
      </c>
      <c r="AE757" t="s">
        <v>47</v>
      </c>
      <c r="AF757" t="s">
        <v>57</v>
      </c>
      <c r="AG757">
        <f>IF(HR_Data[[#This Row],[Attrition]]="Yes",1,0)</f>
        <v>0</v>
      </c>
      <c r="AH757" t="str">
        <f>IF(HR_Data[Date_of_termination]="","Active","Left")</f>
        <v>Active</v>
      </c>
      <c r="AI757" t="str">
        <f>IF(HR_Data[YearsAtCompany]&lt;=2,"Fresher", IF(HR_Data[YearsAtCompany]&lt;=5,"Junior", IF(HR_Data[YearsAtCompany]&lt;=10, "Mid","Senior")))</f>
        <v>Junior</v>
      </c>
      <c r="AJ757" s="2" t="str">
        <f>IF(HR_Data[MonthlyIncome]&lt;=300,"Low", IF(HR_Data[MonthlyIncome]&lt;=7000,"Medium", "High"))</f>
        <v>Medium</v>
      </c>
      <c r="AK757" s="2" t="str">
        <f>VLOOKUP(HR_Data[JobRole], JobRole_Map[], 2, FALSE)</f>
        <v>Technical</v>
      </c>
    </row>
    <row r="758" spans="1:37" x14ac:dyDescent="0.25">
      <c r="A758" s="2">
        <v>38</v>
      </c>
      <c r="B758" t="s">
        <v>41</v>
      </c>
      <c r="C758" t="s">
        <v>33</v>
      </c>
      <c r="D758" t="s">
        <v>34</v>
      </c>
      <c r="E758">
        <v>9</v>
      </c>
      <c r="F758" t="s">
        <v>35</v>
      </c>
      <c r="G758">
        <v>3</v>
      </c>
      <c r="H758">
        <v>1</v>
      </c>
      <c r="I758" t="s">
        <v>44</v>
      </c>
      <c r="J758">
        <v>4</v>
      </c>
      <c r="K758" t="s">
        <v>55</v>
      </c>
      <c r="L758">
        <v>4771</v>
      </c>
      <c r="M758">
        <v>2</v>
      </c>
      <c r="N758" t="s">
        <v>41</v>
      </c>
      <c r="O758">
        <v>19</v>
      </c>
      <c r="P758">
        <v>3</v>
      </c>
      <c r="Q758">
        <v>2</v>
      </c>
      <c r="R758">
        <v>10</v>
      </c>
      <c r="S758">
        <v>0</v>
      </c>
      <c r="T758">
        <v>5</v>
      </c>
      <c r="U758">
        <v>0</v>
      </c>
      <c r="V758">
        <v>3</v>
      </c>
      <c r="W758" t="s">
        <v>56</v>
      </c>
      <c r="X758" s="1" t="d">
        <v>2016-05-26</v>
      </c>
      <c r="Z758" t="s">
        <v>45</v>
      </c>
      <c r="AA758" t="s">
        <v>40</v>
      </c>
      <c r="AB758">
        <v>0</v>
      </c>
      <c r="AC758">
        <v>3</v>
      </c>
      <c r="AD758" t="s">
        <v>41</v>
      </c>
      <c r="AE758" t="s">
        <v>47</v>
      </c>
      <c r="AF758" t="s">
        <v>57</v>
      </c>
      <c r="AG758">
        <f>IF(HR_Data[[#This Row],[Attrition]]="Yes",1,0)</f>
        <v>0</v>
      </c>
      <c r="AH758" t="str">
        <f>IF(HR_Data[Date_of_termination]="","Active","Left")</f>
        <v>Active</v>
      </c>
      <c r="AI758" t="str">
        <f>IF(HR_Data[YearsAtCompany]&lt;=2,"Fresher", IF(HR_Data[YearsAtCompany]&lt;=5,"Junior", IF(HR_Data[YearsAtCompany]&lt;=10, "Mid","Senior")))</f>
        <v>Junior</v>
      </c>
      <c r="AJ758" s="2" t="str">
        <f>IF(HR_Data[MonthlyIncome]&lt;=300,"Low", IF(HR_Data[MonthlyIncome]&lt;=7000,"Medium", "High"))</f>
        <v>Medium</v>
      </c>
      <c r="AK758" s="2" t="str">
        <f>VLOOKUP(HR_Data[JobRole], JobRole_Map[], 2, FALSE)</f>
        <v>Technical</v>
      </c>
    </row>
    <row r="759" spans="1:37" x14ac:dyDescent="0.25">
      <c r="A759" s="2">
        <v>49</v>
      </c>
      <c r="B759" t="s">
        <v>41</v>
      </c>
      <c r="C759" t="s">
        <v>61</v>
      </c>
      <c r="D759" t="s">
        <v>34</v>
      </c>
      <c r="E759">
        <v>2</v>
      </c>
      <c r="F759" t="s">
        <v>35</v>
      </c>
      <c r="G759">
        <v>3</v>
      </c>
      <c r="H759">
        <v>5</v>
      </c>
      <c r="I759" t="s">
        <v>49</v>
      </c>
      <c r="J759">
        <v>4</v>
      </c>
      <c r="K759" t="s">
        <v>50</v>
      </c>
      <c r="L759">
        <v>19161</v>
      </c>
      <c r="M759">
        <v>3</v>
      </c>
      <c r="N759" t="s">
        <v>41</v>
      </c>
      <c r="O759">
        <v>15</v>
      </c>
      <c r="P759">
        <v>3</v>
      </c>
      <c r="Q759">
        <v>0</v>
      </c>
      <c r="R759">
        <v>28</v>
      </c>
      <c r="S759">
        <v>3</v>
      </c>
      <c r="T759">
        <v>5</v>
      </c>
      <c r="U759">
        <v>4</v>
      </c>
      <c r="V759">
        <v>3</v>
      </c>
      <c r="W759" t="s">
        <v>65</v>
      </c>
      <c r="X759" s="1" t="d">
        <v>2016-04-02</v>
      </c>
      <c r="Z759" t="s">
        <v>39</v>
      </c>
      <c r="AA759" t="s">
        <v>40</v>
      </c>
      <c r="AB759">
        <v>1</v>
      </c>
      <c r="AC759">
        <v>2</v>
      </c>
      <c r="AD759" t="s">
        <v>32</v>
      </c>
      <c r="AE759" t="s">
        <v>62</v>
      </c>
      <c r="AF759" t="s">
        <v>57</v>
      </c>
      <c r="AG759">
        <f>IF(HR_Data[[#This Row],[Attrition]]="Yes",1,0)</f>
        <v>0</v>
      </c>
      <c r="AH759" t="str">
        <f>IF(HR_Data[Date_of_termination]="","Active","Left")</f>
        <v>Active</v>
      </c>
      <c r="AI759" t="str">
        <f>IF(HR_Data[YearsAtCompany]&lt;=2,"Fresher", IF(HR_Data[YearsAtCompany]&lt;=5,"Junior", IF(HR_Data[YearsAtCompany]&lt;=10, "Mid","Senior")))</f>
        <v>Junior</v>
      </c>
      <c r="AJ759" s="2" t="str">
        <f>IF(HR_Data[MonthlyIncome]&lt;=300,"Low", IF(HR_Data[MonthlyIncome]&lt;=7000,"Medium", "High"))</f>
        <v>High</v>
      </c>
      <c r="AK759" s="2" t="str">
        <f>VLOOKUP(HR_Data[JobRole], JobRole_Map[], 2, FALSE)</f>
        <v>Management</v>
      </c>
    </row>
    <row r="760" spans="1:37" x14ac:dyDescent="0.25">
      <c r="A760" s="2">
        <v>35</v>
      </c>
      <c r="B760" t="s">
        <v>41</v>
      </c>
      <c r="C760" t="s">
        <v>33</v>
      </c>
      <c r="D760" t="s">
        <v>53</v>
      </c>
      <c r="E760">
        <v>18</v>
      </c>
      <c r="F760" t="s">
        <v>35</v>
      </c>
      <c r="G760">
        <v>3</v>
      </c>
      <c r="H760">
        <v>2</v>
      </c>
      <c r="I760" t="s">
        <v>64</v>
      </c>
      <c r="J760">
        <v>1</v>
      </c>
      <c r="K760" t="s">
        <v>50</v>
      </c>
      <c r="L760">
        <v>5561</v>
      </c>
      <c r="M760">
        <v>0</v>
      </c>
      <c r="N760" t="s">
        <v>41</v>
      </c>
      <c r="O760">
        <v>16</v>
      </c>
      <c r="P760">
        <v>3</v>
      </c>
      <c r="Q760">
        <v>1</v>
      </c>
      <c r="R760">
        <v>6</v>
      </c>
      <c r="S760">
        <v>2</v>
      </c>
      <c r="T760">
        <v>5</v>
      </c>
      <c r="U760">
        <v>0</v>
      </c>
      <c r="V760">
        <v>4</v>
      </c>
      <c r="W760" t="s">
        <v>38</v>
      </c>
      <c r="X760" s="1" t="d">
        <v>2016-03-31</v>
      </c>
      <c r="Z760" t="s">
        <v>63</v>
      </c>
      <c r="AA760" t="s">
        <v>40</v>
      </c>
      <c r="AB760">
        <v>4</v>
      </c>
      <c r="AC760">
        <v>2</v>
      </c>
      <c r="AD760" t="s">
        <v>41</v>
      </c>
      <c r="AE760" t="s">
        <v>62</v>
      </c>
      <c r="AF760" t="s">
        <v>48</v>
      </c>
      <c r="AG760">
        <f>IF(HR_Data[[#This Row],[Attrition]]="Yes",1,0)</f>
        <v>0</v>
      </c>
      <c r="AH760" t="str">
        <f>IF(HR_Data[Date_of_termination]="","Active","Left")</f>
        <v>Active</v>
      </c>
      <c r="AI760" t="str">
        <f>IF(HR_Data[YearsAtCompany]&lt;=2,"Fresher", IF(HR_Data[YearsAtCompany]&lt;=5,"Junior", IF(HR_Data[YearsAtCompany]&lt;=10, "Mid","Senior")))</f>
        <v>Junior</v>
      </c>
      <c r="AJ760" s="2" t="str">
        <f>IF(HR_Data[MonthlyIncome]&lt;=300,"Low", IF(HR_Data[MonthlyIncome]&lt;=7000,"Medium", "High"))</f>
        <v>Medium</v>
      </c>
      <c r="AK760" s="2" t="str">
        <f>VLOOKUP(HR_Data[JobRole], JobRole_Map[], 2, FALSE)</f>
        <v>Sales</v>
      </c>
    </row>
    <row r="761" spans="1:37" x14ac:dyDescent="0.25">
      <c r="A761" s="2">
        <v>28</v>
      </c>
      <c r="B761" t="s">
        <v>41</v>
      </c>
      <c r="C761" t="s">
        <v>68</v>
      </c>
      <c r="D761" t="s">
        <v>34</v>
      </c>
      <c r="E761">
        <v>16</v>
      </c>
      <c r="F761" t="s">
        <v>35</v>
      </c>
      <c r="G761">
        <v>3</v>
      </c>
      <c r="H761">
        <v>1</v>
      </c>
      <c r="I761" t="s">
        <v>44</v>
      </c>
      <c r="J761">
        <v>3</v>
      </c>
      <c r="K761" t="s">
        <v>37</v>
      </c>
      <c r="L761">
        <v>2144</v>
      </c>
      <c r="M761">
        <v>1</v>
      </c>
      <c r="N761" t="s">
        <v>41</v>
      </c>
      <c r="O761">
        <v>14</v>
      </c>
      <c r="P761">
        <v>3</v>
      </c>
      <c r="Q761">
        <v>0</v>
      </c>
      <c r="R761">
        <v>5</v>
      </c>
      <c r="S761">
        <v>3</v>
      </c>
      <c r="T761">
        <v>5</v>
      </c>
      <c r="U761">
        <v>1</v>
      </c>
      <c r="V761">
        <v>4</v>
      </c>
      <c r="W761" t="s">
        <v>51</v>
      </c>
      <c r="X761" s="1" t="d">
        <v>2016-05-30</v>
      </c>
      <c r="Z761" t="s">
        <v>39</v>
      </c>
      <c r="AA761" t="s">
        <v>46</v>
      </c>
      <c r="AB761">
        <v>1</v>
      </c>
      <c r="AC761">
        <v>3</v>
      </c>
      <c r="AD761" t="s">
        <v>32</v>
      </c>
      <c r="AE761" t="s">
        <v>42</v>
      </c>
      <c r="AF761" t="s">
        <v>43</v>
      </c>
      <c r="AG761">
        <f>IF(HR_Data[[#This Row],[Attrition]]="Yes",1,0)</f>
        <v>0</v>
      </c>
      <c r="AH761" t="str">
        <f>IF(HR_Data[Date_of_termination]="","Active","Left")</f>
        <v>Active</v>
      </c>
      <c r="AI761" t="str">
        <f>IF(HR_Data[YearsAtCompany]&lt;=2,"Fresher", IF(HR_Data[YearsAtCompany]&lt;=5,"Junior", IF(HR_Data[YearsAtCompany]&lt;=10, "Mid","Senior")))</f>
        <v>Junior</v>
      </c>
      <c r="AJ761" s="2" t="str">
        <f>IF(HR_Data[MonthlyIncome]&lt;=300,"Low", IF(HR_Data[MonthlyIncome]&lt;=7000,"Medium", "High"))</f>
        <v>Medium</v>
      </c>
      <c r="AK761" s="2" t="str">
        <f>VLOOKUP(HR_Data[JobRole], JobRole_Map[], 2, FALSE)</f>
        <v>Technical</v>
      </c>
    </row>
    <row r="762" spans="1:37" x14ac:dyDescent="0.25">
      <c r="A762" s="2">
        <v>36</v>
      </c>
      <c r="B762" t="s">
        <v>41</v>
      </c>
      <c r="C762" t="s">
        <v>68</v>
      </c>
      <c r="D762" t="s">
        <v>34</v>
      </c>
      <c r="E762">
        <v>9</v>
      </c>
      <c r="F762" t="s">
        <v>35</v>
      </c>
      <c r="G762">
        <v>4</v>
      </c>
      <c r="H762">
        <v>1</v>
      </c>
      <c r="I762" t="s">
        <v>36</v>
      </c>
      <c r="J762">
        <v>2</v>
      </c>
      <c r="K762" t="s">
        <v>50</v>
      </c>
      <c r="L762">
        <v>2810</v>
      </c>
      <c r="M762">
        <v>1</v>
      </c>
      <c r="N762" t="s">
        <v>41</v>
      </c>
      <c r="O762">
        <v>22</v>
      </c>
      <c r="P762">
        <v>4</v>
      </c>
      <c r="Q762">
        <v>0</v>
      </c>
      <c r="R762">
        <v>5</v>
      </c>
      <c r="S762">
        <v>3</v>
      </c>
      <c r="T762">
        <v>5</v>
      </c>
      <c r="U762">
        <v>0</v>
      </c>
      <c r="V762">
        <v>2</v>
      </c>
      <c r="W762" t="s">
        <v>51</v>
      </c>
      <c r="X762" s="1" t="d">
        <v>2016-04-04</v>
      </c>
      <c r="Z762" t="s">
        <v>52</v>
      </c>
      <c r="AA762" t="s">
        <v>40</v>
      </c>
      <c r="AB762">
        <v>0</v>
      </c>
      <c r="AC762">
        <v>0</v>
      </c>
      <c r="AD762" t="s">
        <v>41</v>
      </c>
      <c r="AE762" t="s">
        <v>60</v>
      </c>
      <c r="AF762" t="s">
        <v>57</v>
      </c>
      <c r="AG762">
        <f>IF(HR_Data[[#This Row],[Attrition]]="Yes",1,0)</f>
        <v>0</v>
      </c>
      <c r="AH762" t="str">
        <f>IF(HR_Data[Date_of_termination]="","Active","Left")</f>
        <v>Active</v>
      </c>
      <c r="AI762" t="str">
        <f>IF(HR_Data[YearsAtCompany]&lt;=2,"Fresher", IF(HR_Data[YearsAtCompany]&lt;=5,"Junior", IF(HR_Data[YearsAtCompany]&lt;=10, "Mid","Senior")))</f>
        <v>Junior</v>
      </c>
      <c r="AJ762" s="2" t="str">
        <f>IF(HR_Data[MonthlyIncome]&lt;=300,"Low", IF(HR_Data[MonthlyIncome]&lt;=7000,"Medium", "High"))</f>
        <v>Medium</v>
      </c>
      <c r="AK762" s="2" t="str">
        <f>VLOOKUP(HR_Data[JobRole], JobRole_Map[], 2, FALSE)</f>
        <v>Technical</v>
      </c>
    </row>
    <row r="763" spans="1:37" x14ac:dyDescent="0.25">
      <c r="A763" s="2">
        <v>29</v>
      </c>
      <c r="B763" t="s">
        <v>41</v>
      </c>
      <c r="C763" t="s">
        <v>33</v>
      </c>
      <c r="D763" t="s">
        <v>34</v>
      </c>
      <c r="E763">
        <v>1</v>
      </c>
      <c r="F763" t="s">
        <v>35</v>
      </c>
      <c r="G763">
        <v>3</v>
      </c>
      <c r="H763">
        <v>2</v>
      </c>
      <c r="I763" t="s">
        <v>69</v>
      </c>
      <c r="J763">
        <v>1</v>
      </c>
      <c r="K763" t="s">
        <v>50</v>
      </c>
      <c r="L763">
        <v>5373</v>
      </c>
      <c r="M763">
        <v>0</v>
      </c>
      <c r="N763" t="s">
        <v>41</v>
      </c>
      <c r="O763">
        <v>12</v>
      </c>
      <c r="P763">
        <v>3</v>
      </c>
      <c r="Q763">
        <v>1</v>
      </c>
      <c r="R763">
        <v>6</v>
      </c>
      <c r="S763">
        <v>5</v>
      </c>
      <c r="T763">
        <v>5</v>
      </c>
      <c r="U763">
        <v>0</v>
      </c>
      <c r="V763">
        <v>2</v>
      </c>
      <c r="W763" t="s">
        <v>56</v>
      </c>
      <c r="X763" s="1" t="d">
        <v>2016-02-17</v>
      </c>
      <c r="Z763" t="s">
        <v>63</v>
      </c>
      <c r="AA763" t="s">
        <v>46</v>
      </c>
      <c r="AB763">
        <v>3</v>
      </c>
      <c r="AC763">
        <v>3</v>
      </c>
      <c r="AD763" t="s">
        <v>32</v>
      </c>
      <c r="AE763" t="s">
        <v>42</v>
      </c>
      <c r="AF763" t="s">
        <v>43</v>
      </c>
      <c r="AG763">
        <f>IF(HR_Data[[#This Row],[Attrition]]="Yes",1,0)</f>
        <v>0</v>
      </c>
      <c r="AH763" t="str">
        <f>IF(HR_Data[Date_of_termination]="","Active","Left")</f>
        <v>Active</v>
      </c>
      <c r="AI763" t="str">
        <f>IF(HR_Data[YearsAtCompany]&lt;=2,"Fresher", IF(HR_Data[YearsAtCompany]&lt;=5,"Junior", IF(HR_Data[YearsAtCompany]&lt;=10, "Mid","Senior")))</f>
        <v>Junior</v>
      </c>
      <c r="AJ763" s="2" t="str">
        <f>IF(HR_Data[MonthlyIncome]&lt;=300,"Low", IF(HR_Data[MonthlyIncome]&lt;=7000,"Medium", "High"))</f>
        <v>Medium</v>
      </c>
      <c r="AK763" s="2" t="str">
        <f>VLOOKUP(HR_Data[JobRole], JobRole_Map[], 2, FALSE)</f>
        <v>Operations</v>
      </c>
    </row>
    <row r="764" spans="1:37" x14ac:dyDescent="0.25">
      <c r="A764" s="2">
        <v>32</v>
      </c>
      <c r="B764" t="s">
        <v>41</v>
      </c>
      <c r="C764" t="s">
        <v>68</v>
      </c>
      <c r="D764" t="s">
        <v>34</v>
      </c>
      <c r="E764">
        <v>15</v>
      </c>
      <c r="F764" t="s">
        <v>58</v>
      </c>
      <c r="G764">
        <v>3</v>
      </c>
      <c r="H764">
        <v>2</v>
      </c>
      <c r="I764" t="s">
        <v>69</v>
      </c>
      <c r="J764">
        <v>4</v>
      </c>
      <c r="K764" t="s">
        <v>55</v>
      </c>
      <c r="L764">
        <v>6667</v>
      </c>
      <c r="M764">
        <v>5</v>
      </c>
      <c r="N764" t="s">
        <v>41</v>
      </c>
      <c r="O764">
        <v>18</v>
      </c>
      <c r="P764">
        <v>3</v>
      </c>
      <c r="Q764">
        <v>1</v>
      </c>
      <c r="R764">
        <v>9</v>
      </c>
      <c r="S764">
        <v>6</v>
      </c>
      <c r="T764">
        <v>5</v>
      </c>
      <c r="U764">
        <v>1</v>
      </c>
      <c r="V764">
        <v>2</v>
      </c>
      <c r="W764" t="s">
        <v>65</v>
      </c>
      <c r="X764" s="1" t="d">
        <v>2016-03-05</v>
      </c>
      <c r="Z764" t="s">
        <v>63</v>
      </c>
      <c r="AA764" t="s">
        <v>40</v>
      </c>
      <c r="AB764">
        <v>1</v>
      </c>
      <c r="AC764">
        <v>0</v>
      </c>
      <c r="AD764" t="s">
        <v>32</v>
      </c>
      <c r="AE764" t="s">
        <v>60</v>
      </c>
      <c r="AF764" t="s">
        <v>43</v>
      </c>
      <c r="AG764">
        <f>IF(HR_Data[[#This Row],[Attrition]]="Yes",1,0)</f>
        <v>0</v>
      </c>
      <c r="AH764" t="str">
        <f>IF(HR_Data[Date_of_termination]="","Active","Left")</f>
        <v>Active</v>
      </c>
      <c r="AI764" t="str">
        <f>IF(HR_Data[YearsAtCompany]&lt;=2,"Fresher", IF(HR_Data[YearsAtCompany]&lt;=5,"Junior", IF(HR_Data[YearsAtCompany]&lt;=10, "Mid","Senior")))</f>
        <v>Junior</v>
      </c>
      <c r="AJ764" s="2" t="str">
        <f>IF(HR_Data[MonthlyIncome]&lt;=300,"Low", IF(HR_Data[MonthlyIncome]&lt;=7000,"Medium", "High"))</f>
        <v>Medium</v>
      </c>
      <c r="AK764" s="2" t="str">
        <f>VLOOKUP(HR_Data[JobRole], JobRole_Map[], 2, FALSE)</f>
        <v>Operations</v>
      </c>
    </row>
    <row r="765" spans="1:37" x14ac:dyDescent="0.25">
      <c r="A765" s="2">
        <v>54</v>
      </c>
      <c r="B765" t="s">
        <v>41</v>
      </c>
      <c r="C765" t="s">
        <v>33</v>
      </c>
      <c r="D765" t="s">
        <v>34</v>
      </c>
      <c r="E765">
        <v>10</v>
      </c>
      <c r="F765" t="s">
        <v>58</v>
      </c>
      <c r="G765">
        <v>3</v>
      </c>
      <c r="H765">
        <v>2</v>
      </c>
      <c r="I765" t="s">
        <v>67</v>
      </c>
      <c r="J765">
        <v>1</v>
      </c>
      <c r="K765" t="s">
        <v>37</v>
      </c>
      <c r="L765">
        <v>4440</v>
      </c>
      <c r="M765">
        <v>6</v>
      </c>
      <c r="N765" t="s">
        <v>32</v>
      </c>
      <c r="O765">
        <v>19</v>
      </c>
      <c r="P765">
        <v>3</v>
      </c>
      <c r="Q765">
        <v>0</v>
      </c>
      <c r="R765">
        <v>9</v>
      </c>
      <c r="S765">
        <v>3</v>
      </c>
      <c r="T765">
        <v>5</v>
      </c>
      <c r="U765">
        <v>1</v>
      </c>
      <c r="V765">
        <v>4</v>
      </c>
      <c r="W765" t="s">
        <v>51</v>
      </c>
      <c r="X765" s="1" t="d">
        <v>2016-01-13</v>
      </c>
      <c r="Z765" t="s">
        <v>59</v>
      </c>
      <c r="AA765" t="s">
        <v>46</v>
      </c>
      <c r="AB765">
        <v>1</v>
      </c>
      <c r="AC765">
        <v>0</v>
      </c>
      <c r="AD765" t="s">
        <v>41</v>
      </c>
      <c r="AE765" t="s">
        <v>42</v>
      </c>
      <c r="AF765" t="s">
        <v>57</v>
      </c>
      <c r="AG765">
        <f>IF(HR_Data[[#This Row],[Attrition]]="Yes",1,0)</f>
        <v>0</v>
      </c>
      <c r="AH765" t="str">
        <f>IF(HR_Data[Date_of_termination]="","Active","Left")</f>
        <v>Active</v>
      </c>
      <c r="AI765" t="str">
        <f>IF(HR_Data[YearsAtCompany]&lt;=2,"Fresher", IF(HR_Data[YearsAtCompany]&lt;=5,"Junior", IF(HR_Data[YearsAtCompany]&lt;=10, "Mid","Senior")))</f>
        <v>Junior</v>
      </c>
      <c r="AJ765" s="2" t="str">
        <f>IF(HR_Data[MonthlyIncome]&lt;=300,"Low", IF(HR_Data[MonthlyIncome]&lt;=7000,"Medium", "High"))</f>
        <v>Medium</v>
      </c>
      <c r="AK765" s="2" t="str">
        <f>VLOOKUP(HR_Data[JobRole], JobRole_Map[], 2, FALSE)</f>
        <v>Operations</v>
      </c>
    </row>
    <row r="766" spans="1:37" x14ac:dyDescent="0.25">
      <c r="A766" s="2">
        <v>23</v>
      </c>
      <c r="B766" t="s">
        <v>41</v>
      </c>
      <c r="C766" t="s">
        <v>33</v>
      </c>
      <c r="D766" t="s">
        <v>34</v>
      </c>
      <c r="E766">
        <v>12</v>
      </c>
      <c r="F766" t="s">
        <v>35</v>
      </c>
      <c r="G766">
        <v>3</v>
      </c>
      <c r="H766">
        <v>1</v>
      </c>
      <c r="I766" t="s">
        <v>36</v>
      </c>
      <c r="J766">
        <v>4</v>
      </c>
      <c r="K766" t="s">
        <v>37</v>
      </c>
      <c r="L766">
        <v>2647</v>
      </c>
      <c r="M766">
        <v>1</v>
      </c>
      <c r="N766" t="s">
        <v>41</v>
      </c>
      <c r="O766">
        <v>13</v>
      </c>
      <c r="P766">
        <v>3</v>
      </c>
      <c r="Q766">
        <v>0</v>
      </c>
      <c r="R766">
        <v>5</v>
      </c>
      <c r="S766">
        <v>6</v>
      </c>
      <c r="T766">
        <v>5</v>
      </c>
      <c r="U766">
        <v>1</v>
      </c>
      <c r="V766">
        <v>4</v>
      </c>
      <c r="W766" t="s">
        <v>65</v>
      </c>
      <c r="X766" s="1" t="d">
        <v>2016-04-15</v>
      </c>
      <c r="Z766" t="s">
        <v>59</v>
      </c>
      <c r="AA766" t="s">
        <v>40</v>
      </c>
      <c r="AB766">
        <v>5</v>
      </c>
      <c r="AC766">
        <v>2</v>
      </c>
      <c r="AD766" t="s">
        <v>32</v>
      </c>
      <c r="AE766" t="s">
        <v>42</v>
      </c>
      <c r="AF766" t="s">
        <v>48</v>
      </c>
      <c r="AG766">
        <f>IF(HR_Data[[#This Row],[Attrition]]="Yes",1,0)</f>
        <v>0</v>
      </c>
      <c r="AH766" t="str">
        <f>IF(HR_Data[Date_of_termination]="","Active","Left")</f>
        <v>Active</v>
      </c>
      <c r="AI766" t="str">
        <f>IF(HR_Data[YearsAtCompany]&lt;=2,"Fresher", IF(HR_Data[YearsAtCompany]&lt;=5,"Junior", IF(HR_Data[YearsAtCompany]&lt;=10, "Mid","Senior")))</f>
        <v>Junior</v>
      </c>
      <c r="AJ766" s="2" t="str">
        <f>IF(HR_Data[MonthlyIncome]&lt;=300,"Low", IF(HR_Data[MonthlyIncome]&lt;=7000,"Medium", "High"))</f>
        <v>Medium</v>
      </c>
      <c r="AK766" s="2" t="str">
        <f>VLOOKUP(HR_Data[JobRole], JobRole_Map[], 2, FALSE)</f>
        <v>Technical</v>
      </c>
    </row>
    <row r="767" spans="1:37" x14ac:dyDescent="0.25">
      <c r="A767" s="2">
        <v>41</v>
      </c>
      <c r="B767" t="s">
        <v>41</v>
      </c>
      <c r="C767" t="s">
        <v>33</v>
      </c>
      <c r="D767" t="s">
        <v>34</v>
      </c>
      <c r="E767">
        <v>1</v>
      </c>
      <c r="F767" t="s">
        <v>35</v>
      </c>
      <c r="G767">
        <v>3</v>
      </c>
      <c r="H767">
        <v>1</v>
      </c>
      <c r="I767" t="s">
        <v>44</v>
      </c>
      <c r="J767">
        <v>4</v>
      </c>
      <c r="K767" t="s">
        <v>50</v>
      </c>
      <c r="L767">
        <v>2782</v>
      </c>
      <c r="M767">
        <v>3</v>
      </c>
      <c r="N767" t="s">
        <v>41</v>
      </c>
      <c r="O767">
        <v>22</v>
      </c>
      <c r="P767">
        <v>4</v>
      </c>
      <c r="Q767">
        <v>1</v>
      </c>
      <c r="R767">
        <v>12</v>
      </c>
      <c r="S767">
        <v>3</v>
      </c>
      <c r="T767">
        <v>5</v>
      </c>
      <c r="U767">
        <v>1</v>
      </c>
      <c r="V767">
        <v>0</v>
      </c>
      <c r="W767" t="s">
        <v>65</v>
      </c>
      <c r="X767" s="1" t="d">
        <v>2016-03-14</v>
      </c>
      <c r="Z767" t="s">
        <v>63</v>
      </c>
      <c r="AA767" t="s">
        <v>46</v>
      </c>
      <c r="AB767">
        <v>1</v>
      </c>
      <c r="AC767">
        <v>3</v>
      </c>
      <c r="AD767" t="s">
        <v>32</v>
      </c>
      <c r="AE767" t="s">
        <v>42</v>
      </c>
      <c r="AF767" t="s">
        <v>57</v>
      </c>
      <c r="AG767">
        <f>IF(HR_Data[[#This Row],[Attrition]]="Yes",1,0)</f>
        <v>0</v>
      </c>
      <c r="AH767" t="str">
        <f>IF(HR_Data[Date_of_termination]="","Active","Left")</f>
        <v>Active</v>
      </c>
      <c r="AI767" t="str">
        <f>IF(HR_Data[YearsAtCompany]&lt;=2,"Fresher", IF(HR_Data[YearsAtCompany]&lt;=5,"Junior", IF(HR_Data[YearsAtCompany]&lt;=10, "Mid","Senior")))</f>
        <v>Junior</v>
      </c>
      <c r="AJ767" s="2" t="str">
        <f>IF(HR_Data[MonthlyIncome]&lt;=300,"Low", IF(HR_Data[MonthlyIncome]&lt;=7000,"Medium", "High"))</f>
        <v>Medium</v>
      </c>
      <c r="AK767" s="2" t="str">
        <f>VLOOKUP(HR_Data[JobRole], JobRole_Map[], 2, FALSE)</f>
        <v>Technical</v>
      </c>
    </row>
    <row r="768" spans="1:37" x14ac:dyDescent="0.25">
      <c r="A768" s="2">
        <v>25</v>
      </c>
      <c r="B768" t="s">
        <v>41</v>
      </c>
      <c r="C768" t="s">
        <v>33</v>
      </c>
      <c r="D768" t="s">
        <v>53</v>
      </c>
      <c r="E768">
        <v>8</v>
      </c>
      <c r="F768" t="s">
        <v>58</v>
      </c>
      <c r="G768">
        <v>3</v>
      </c>
      <c r="H768">
        <v>2</v>
      </c>
      <c r="I768" t="s">
        <v>64</v>
      </c>
      <c r="J768">
        <v>3</v>
      </c>
      <c r="K768" t="s">
        <v>55</v>
      </c>
      <c r="L768">
        <v>4907</v>
      </c>
      <c r="M768">
        <v>0</v>
      </c>
      <c r="N768" t="s">
        <v>32</v>
      </c>
      <c r="O768">
        <v>22</v>
      </c>
      <c r="P768">
        <v>4</v>
      </c>
      <c r="Q768">
        <v>1</v>
      </c>
      <c r="R768">
        <v>6</v>
      </c>
      <c r="S768">
        <v>3</v>
      </c>
      <c r="T768">
        <v>5</v>
      </c>
      <c r="U768">
        <v>0</v>
      </c>
      <c r="V768">
        <v>4</v>
      </c>
      <c r="W768" t="s">
        <v>51</v>
      </c>
      <c r="X768" s="1" t="d">
        <v>2016-01-07</v>
      </c>
      <c r="Z768" t="s">
        <v>45</v>
      </c>
      <c r="AA768" t="s">
        <v>46</v>
      </c>
      <c r="AB768">
        <v>5</v>
      </c>
      <c r="AC768">
        <v>0</v>
      </c>
      <c r="AD768" t="s">
        <v>32</v>
      </c>
      <c r="AE768" t="s">
        <v>62</v>
      </c>
      <c r="AF768" t="s">
        <v>48</v>
      </c>
      <c r="AG768">
        <f>IF(HR_Data[[#This Row],[Attrition]]="Yes",1,0)</f>
        <v>0</v>
      </c>
      <c r="AH768" t="str">
        <f>IF(HR_Data[Date_of_termination]="","Active","Left")</f>
        <v>Active</v>
      </c>
      <c r="AI768" t="str">
        <f>IF(HR_Data[YearsAtCompany]&lt;=2,"Fresher", IF(HR_Data[YearsAtCompany]&lt;=5,"Junior", IF(HR_Data[YearsAtCompany]&lt;=10, "Mid","Senior")))</f>
        <v>Junior</v>
      </c>
      <c r="AJ768" s="2" t="str">
        <f>IF(HR_Data[MonthlyIncome]&lt;=300,"Low", IF(HR_Data[MonthlyIncome]&lt;=7000,"Medium", "High"))</f>
        <v>Medium</v>
      </c>
      <c r="AK768" s="2" t="str">
        <f>VLOOKUP(HR_Data[JobRole], JobRole_Map[], 2, FALSE)</f>
        <v>Sales</v>
      </c>
    </row>
    <row r="769" spans="1:37" x14ac:dyDescent="0.25">
      <c r="A769" s="2">
        <v>41</v>
      </c>
      <c r="B769" t="s">
        <v>41</v>
      </c>
      <c r="C769" t="s">
        <v>33</v>
      </c>
      <c r="D769" t="s">
        <v>53</v>
      </c>
      <c r="E769">
        <v>3</v>
      </c>
      <c r="F769" t="s">
        <v>35</v>
      </c>
      <c r="G769">
        <v>2</v>
      </c>
      <c r="H769">
        <v>2</v>
      </c>
      <c r="I769" t="s">
        <v>64</v>
      </c>
      <c r="J769">
        <v>2</v>
      </c>
      <c r="K769" t="s">
        <v>55</v>
      </c>
      <c r="L769">
        <v>8938</v>
      </c>
      <c r="M769">
        <v>2</v>
      </c>
      <c r="N769" t="s">
        <v>41</v>
      </c>
      <c r="O769">
        <v>11</v>
      </c>
      <c r="P769">
        <v>3</v>
      </c>
      <c r="Q769">
        <v>1</v>
      </c>
      <c r="R769">
        <v>14</v>
      </c>
      <c r="S769">
        <v>5</v>
      </c>
      <c r="T769">
        <v>5</v>
      </c>
      <c r="U769">
        <v>0</v>
      </c>
      <c r="V769">
        <v>4</v>
      </c>
      <c r="W769" t="s">
        <v>56</v>
      </c>
      <c r="X769" s="1" t="d">
        <v>2016-06-13</v>
      </c>
      <c r="Z769" t="s">
        <v>52</v>
      </c>
      <c r="AA769" t="s">
        <v>46</v>
      </c>
      <c r="AB769">
        <v>4</v>
      </c>
      <c r="AC769">
        <v>3</v>
      </c>
      <c r="AD769" t="s">
        <v>41</v>
      </c>
      <c r="AE769" t="s">
        <v>42</v>
      </c>
      <c r="AF769" t="s">
        <v>48</v>
      </c>
      <c r="AG769">
        <f>IF(HR_Data[[#This Row],[Attrition]]="Yes",1,0)</f>
        <v>0</v>
      </c>
      <c r="AH769" t="str">
        <f>IF(HR_Data[Date_of_termination]="","Active","Left")</f>
        <v>Active</v>
      </c>
      <c r="AI769" t="str">
        <f>IF(HR_Data[YearsAtCompany]&lt;=2,"Fresher", IF(HR_Data[YearsAtCompany]&lt;=5,"Junior", IF(HR_Data[YearsAtCompany]&lt;=10, "Mid","Senior")))</f>
        <v>Junior</v>
      </c>
      <c r="AJ769" s="2" t="str">
        <f>IF(HR_Data[MonthlyIncome]&lt;=300,"Low", IF(HR_Data[MonthlyIncome]&lt;=7000,"Medium", "High"))</f>
        <v>High</v>
      </c>
      <c r="AK769" s="2" t="str">
        <f>VLOOKUP(HR_Data[JobRole], JobRole_Map[], 2, FALSE)</f>
        <v>Sales</v>
      </c>
    </row>
    <row r="770" spans="1:37" x14ac:dyDescent="0.25">
      <c r="A770" s="2">
        <v>45</v>
      </c>
      <c r="B770" t="s">
        <v>41</v>
      </c>
      <c r="C770" t="s">
        <v>33</v>
      </c>
      <c r="D770" t="s">
        <v>53</v>
      </c>
      <c r="E770">
        <v>20</v>
      </c>
      <c r="F770" t="s">
        <v>58</v>
      </c>
      <c r="G770">
        <v>3</v>
      </c>
      <c r="H770">
        <v>2</v>
      </c>
      <c r="I770" t="s">
        <v>64</v>
      </c>
      <c r="J770">
        <v>3</v>
      </c>
      <c r="K770" t="s">
        <v>37</v>
      </c>
      <c r="L770">
        <v>4850</v>
      </c>
      <c r="M770">
        <v>8</v>
      </c>
      <c r="N770" t="s">
        <v>41</v>
      </c>
      <c r="O770">
        <v>15</v>
      </c>
      <c r="P770">
        <v>3</v>
      </c>
      <c r="Q770">
        <v>0</v>
      </c>
      <c r="R770">
        <v>8</v>
      </c>
      <c r="S770">
        <v>3</v>
      </c>
      <c r="T770">
        <v>5</v>
      </c>
      <c r="U770">
        <v>0</v>
      </c>
      <c r="V770">
        <v>1</v>
      </c>
      <c r="W770" t="s">
        <v>56</v>
      </c>
      <c r="X770" s="1" t="d">
        <v>2016-03-30</v>
      </c>
      <c r="Z770" t="s">
        <v>45</v>
      </c>
      <c r="AA770" t="s">
        <v>40</v>
      </c>
      <c r="AB770">
        <v>4</v>
      </c>
      <c r="AC770">
        <v>1</v>
      </c>
      <c r="AD770" t="s">
        <v>41</v>
      </c>
      <c r="AE770" t="s">
        <v>60</v>
      </c>
      <c r="AF770" t="s">
        <v>43</v>
      </c>
      <c r="AG770">
        <f>IF(HR_Data[[#This Row],[Attrition]]="Yes",1,0)</f>
        <v>0</v>
      </c>
      <c r="AH770" t="str">
        <f>IF(HR_Data[Date_of_termination]="","Active","Left")</f>
        <v>Active</v>
      </c>
      <c r="AI770" t="str">
        <f>IF(HR_Data[YearsAtCompany]&lt;=2,"Fresher", IF(HR_Data[YearsAtCompany]&lt;=5,"Junior", IF(HR_Data[YearsAtCompany]&lt;=10, "Mid","Senior")))</f>
        <v>Junior</v>
      </c>
      <c r="AJ770" s="2" t="str">
        <f>IF(HR_Data[MonthlyIncome]&lt;=300,"Low", IF(HR_Data[MonthlyIncome]&lt;=7000,"Medium", "High"))</f>
        <v>Medium</v>
      </c>
      <c r="AK770" s="2" t="str">
        <f>VLOOKUP(HR_Data[JobRole], JobRole_Map[], 2, FALSE)</f>
        <v>Sales</v>
      </c>
    </row>
    <row r="771" spans="1:37" x14ac:dyDescent="0.25">
      <c r="A771" s="2">
        <v>40</v>
      </c>
      <c r="B771" t="s">
        <v>41</v>
      </c>
      <c r="C771" t="s">
        <v>33</v>
      </c>
      <c r="D771" t="s">
        <v>34</v>
      </c>
      <c r="E771">
        <v>2</v>
      </c>
      <c r="F771" t="s">
        <v>58</v>
      </c>
      <c r="G771">
        <v>3</v>
      </c>
      <c r="H771">
        <v>1</v>
      </c>
      <c r="I771" t="s">
        <v>44</v>
      </c>
      <c r="J771">
        <v>3</v>
      </c>
      <c r="K771" t="s">
        <v>50</v>
      </c>
      <c r="L771">
        <v>2001</v>
      </c>
      <c r="M771">
        <v>2</v>
      </c>
      <c r="N771" t="s">
        <v>41</v>
      </c>
      <c r="O771">
        <v>14</v>
      </c>
      <c r="P771">
        <v>3</v>
      </c>
      <c r="Q771">
        <v>3</v>
      </c>
      <c r="R771">
        <v>20</v>
      </c>
      <c r="S771">
        <v>2</v>
      </c>
      <c r="T771">
        <v>5</v>
      </c>
      <c r="U771">
        <v>0</v>
      </c>
      <c r="V771">
        <v>2</v>
      </c>
      <c r="W771" t="s">
        <v>65</v>
      </c>
      <c r="X771" s="1" t="d">
        <v>2016-04-10</v>
      </c>
      <c r="Z771" t="s">
        <v>39</v>
      </c>
      <c r="AA771" t="s">
        <v>40</v>
      </c>
      <c r="AB771">
        <v>0</v>
      </c>
      <c r="AC771">
        <v>0</v>
      </c>
      <c r="AD771" t="s">
        <v>41</v>
      </c>
      <c r="AE771" t="s">
        <v>42</v>
      </c>
      <c r="AF771" t="s">
        <v>57</v>
      </c>
      <c r="AG771">
        <f>IF(HR_Data[[#This Row],[Attrition]]="Yes",1,0)</f>
        <v>0</v>
      </c>
      <c r="AH771" t="str">
        <f>IF(HR_Data[Date_of_termination]="","Active","Left")</f>
        <v>Active</v>
      </c>
      <c r="AI771" t="str">
        <f>IF(HR_Data[YearsAtCompany]&lt;=2,"Fresher", IF(HR_Data[YearsAtCompany]&lt;=5,"Junior", IF(HR_Data[YearsAtCompany]&lt;=10, "Mid","Senior")))</f>
        <v>Junior</v>
      </c>
      <c r="AJ771" s="2" t="str">
        <f>IF(HR_Data[MonthlyIncome]&lt;=300,"Low", IF(HR_Data[MonthlyIncome]&lt;=7000,"Medium", "High"))</f>
        <v>Medium</v>
      </c>
      <c r="AK771" s="2" t="str">
        <f>VLOOKUP(HR_Data[JobRole], JobRole_Map[], 2, FALSE)</f>
        <v>Technical</v>
      </c>
    </row>
    <row r="772" spans="1:37" x14ac:dyDescent="0.25">
      <c r="A772" s="2">
        <v>29</v>
      </c>
      <c r="B772" t="s">
        <v>41</v>
      </c>
      <c r="C772" t="s">
        <v>33</v>
      </c>
      <c r="D772" t="s">
        <v>34</v>
      </c>
      <c r="E772">
        <v>28</v>
      </c>
      <c r="F772" t="s">
        <v>58</v>
      </c>
      <c r="G772">
        <v>2</v>
      </c>
      <c r="H772">
        <v>1</v>
      </c>
      <c r="I772" t="s">
        <v>44</v>
      </c>
      <c r="J772">
        <v>1</v>
      </c>
      <c r="K772" t="s">
        <v>37</v>
      </c>
      <c r="L772">
        <v>3785</v>
      </c>
      <c r="M772">
        <v>1</v>
      </c>
      <c r="N772" t="s">
        <v>41</v>
      </c>
      <c r="O772">
        <v>14</v>
      </c>
      <c r="P772">
        <v>3</v>
      </c>
      <c r="Q772">
        <v>0</v>
      </c>
      <c r="R772">
        <v>5</v>
      </c>
      <c r="S772">
        <v>3</v>
      </c>
      <c r="T772">
        <v>5</v>
      </c>
      <c r="U772">
        <v>0</v>
      </c>
      <c r="V772">
        <v>4</v>
      </c>
      <c r="W772" t="s">
        <v>51</v>
      </c>
      <c r="X772" s="1" t="d">
        <v>2016-01-27</v>
      </c>
      <c r="Z772" t="s">
        <v>39</v>
      </c>
      <c r="AA772" t="s">
        <v>46</v>
      </c>
      <c r="AB772">
        <v>4</v>
      </c>
      <c r="AC772">
        <v>3</v>
      </c>
      <c r="AD772" t="s">
        <v>41</v>
      </c>
      <c r="AE772" t="s">
        <v>62</v>
      </c>
      <c r="AF772" t="s">
        <v>48</v>
      </c>
      <c r="AG772">
        <f>IF(HR_Data[[#This Row],[Attrition]]="Yes",1,0)</f>
        <v>0</v>
      </c>
      <c r="AH772" t="str">
        <f>IF(HR_Data[Date_of_termination]="","Active","Left")</f>
        <v>Active</v>
      </c>
      <c r="AI772" t="str">
        <f>IF(HR_Data[YearsAtCompany]&lt;=2,"Fresher", IF(HR_Data[YearsAtCompany]&lt;=5,"Junior", IF(HR_Data[YearsAtCompany]&lt;=10, "Mid","Senior")))</f>
        <v>Junior</v>
      </c>
      <c r="AJ772" s="2" t="str">
        <f>IF(HR_Data[MonthlyIncome]&lt;=300,"Low", IF(HR_Data[MonthlyIncome]&lt;=7000,"Medium", "High"))</f>
        <v>Medium</v>
      </c>
      <c r="AK772" s="2" t="str">
        <f>VLOOKUP(HR_Data[JobRole], JobRole_Map[], 2, FALSE)</f>
        <v>Technical</v>
      </c>
    </row>
    <row r="773" spans="1:37" x14ac:dyDescent="0.25">
      <c r="A773" s="2">
        <v>36</v>
      </c>
      <c r="B773" t="s">
        <v>41</v>
      </c>
      <c r="C773" t="s">
        <v>61</v>
      </c>
      <c r="D773" t="s">
        <v>34</v>
      </c>
      <c r="E773">
        <v>23</v>
      </c>
      <c r="F773" t="s">
        <v>35</v>
      </c>
      <c r="G773">
        <v>4</v>
      </c>
      <c r="H773">
        <v>2</v>
      </c>
      <c r="I773" t="s">
        <v>36</v>
      </c>
      <c r="J773">
        <v>4</v>
      </c>
      <c r="K773" t="s">
        <v>50</v>
      </c>
      <c r="L773">
        <v>2571</v>
      </c>
      <c r="M773">
        <v>4</v>
      </c>
      <c r="N773" t="s">
        <v>41</v>
      </c>
      <c r="O773">
        <v>17</v>
      </c>
      <c r="P773">
        <v>3</v>
      </c>
      <c r="Q773">
        <v>1</v>
      </c>
      <c r="R773">
        <v>17</v>
      </c>
      <c r="S773">
        <v>3</v>
      </c>
      <c r="T773">
        <v>5</v>
      </c>
      <c r="U773">
        <v>0</v>
      </c>
      <c r="V773">
        <v>3</v>
      </c>
      <c r="W773" t="s">
        <v>65</v>
      </c>
      <c r="X773" s="1" t="d">
        <v>2016-04-07</v>
      </c>
      <c r="Z773" t="s">
        <v>63</v>
      </c>
      <c r="AA773" t="s">
        <v>46</v>
      </c>
      <c r="AB773">
        <v>0</v>
      </c>
      <c r="AC773">
        <v>1</v>
      </c>
      <c r="AD773" t="s">
        <v>41</v>
      </c>
      <c r="AE773" t="s">
        <v>42</v>
      </c>
      <c r="AF773" t="s">
        <v>43</v>
      </c>
      <c r="AG773">
        <f>IF(HR_Data[[#This Row],[Attrition]]="Yes",1,0)</f>
        <v>0</v>
      </c>
      <c r="AH773" t="str">
        <f>IF(HR_Data[Date_of_termination]="","Active","Left")</f>
        <v>Active</v>
      </c>
      <c r="AI773" t="str">
        <f>IF(HR_Data[YearsAtCompany]&lt;=2,"Fresher", IF(HR_Data[YearsAtCompany]&lt;=5,"Junior", IF(HR_Data[YearsAtCompany]&lt;=10, "Mid","Senior")))</f>
        <v>Junior</v>
      </c>
      <c r="AJ773" s="2" t="str">
        <f>IF(HR_Data[MonthlyIncome]&lt;=300,"Low", IF(HR_Data[MonthlyIncome]&lt;=7000,"Medium", "High"))</f>
        <v>Medium</v>
      </c>
      <c r="AK773" s="2" t="str">
        <f>VLOOKUP(HR_Data[JobRole], JobRole_Map[], 2, FALSE)</f>
        <v>Technical</v>
      </c>
    </row>
    <row r="774" spans="1:37" x14ac:dyDescent="0.25">
      <c r="A774" s="2">
        <v>41</v>
      </c>
      <c r="B774" t="s">
        <v>32</v>
      </c>
      <c r="C774" t="s">
        <v>33</v>
      </c>
      <c r="D774" t="s">
        <v>53</v>
      </c>
      <c r="E774">
        <v>1</v>
      </c>
      <c r="F774" t="s">
        <v>58</v>
      </c>
      <c r="G774">
        <v>3</v>
      </c>
      <c r="H774">
        <v>2</v>
      </c>
      <c r="I774" t="s">
        <v>64</v>
      </c>
      <c r="J774">
        <v>4</v>
      </c>
      <c r="K774" t="s">
        <v>37</v>
      </c>
      <c r="L774">
        <v>5993</v>
      </c>
      <c r="M774">
        <v>8</v>
      </c>
      <c r="N774" t="s">
        <v>32</v>
      </c>
      <c r="O774">
        <v>11</v>
      </c>
      <c r="P774">
        <v>3</v>
      </c>
      <c r="Q774">
        <v>0</v>
      </c>
      <c r="R774">
        <v>8</v>
      </c>
      <c r="S774">
        <v>0</v>
      </c>
      <c r="T774">
        <v>6</v>
      </c>
      <c r="U774">
        <v>0</v>
      </c>
      <c r="V774">
        <v>5</v>
      </c>
      <c r="W774" t="s">
        <v>51</v>
      </c>
      <c r="X774" s="1" t="d">
        <v>2015-05-24</v>
      </c>
      <c r="Z774" t="s">
        <v>39</v>
      </c>
      <c r="AA774" t="s">
        <v>46</v>
      </c>
      <c r="AB774">
        <v>0</v>
      </c>
      <c r="AC774">
        <v>0</v>
      </c>
      <c r="AD774" t="s">
        <v>41</v>
      </c>
      <c r="AE774" t="s">
        <v>60</v>
      </c>
      <c r="AF774" t="s">
        <v>43</v>
      </c>
      <c r="AG774">
        <f>IF(HR_Data[[#This Row],[Attrition]]="Yes",1,0)</f>
        <v>1</v>
      </c>
      <c r="AH774" t="str">
        <f>IF(HR_Data[Date_of_termination]="","Active","Left")</f>
        <v>Active</v>
      </c>
      <c r="AI774" t="str">
        <f>IF(HR_Data[YearsAtCompany]&lt;=2,"Fresher", IF(HR_Data[YearsAtCompany]&lt;=5,"Junior", IF(HR_Data[YearsAtCompany]&lt;=10, "Mid","Senior")))</f>
        <v>Mid</v>
      </c>
      <c r="AJ774" s="2" t="str">
        <f>IF(HR_Data[MonthlyIncome]&lt;=300,"Low", IF(HR_Data[MonthlyIncome]&lt;=7000,"Medium", "High"))</f>
        <v>Medium</v>
      </c>
      <c r="AK774" s="2" t="str">
        <f>VLOOKUP(HR_Data[JobRole], JobRole_Map[], 2, FALSE)</f>
        <v>Sales</v>
      </c>
    </row>
    <row r="775" spans="1:37" x14ac:dyDescent="0.25">
      <c r="A775" s="2">
        <v>32</v>
      </c>
      <c r="B775" t="s">
        <v>41</v>
      </c>
      <c r="C775" t="s">
        <v>33</v>
      </c>
      <c r="D775" t="s">
        <v>34</v>
      </c>
      <c r="E775">
        <v>5</v>
      </c>
      <c r="F775" t="s">
        <v>35</v>
      </c>
      <c r="G775">
        <v>4</v>
      </c>
      <c r="H775">
        <v>1</v>
      </c>
      <c r="I775" t="s">
        <v>44</v>
      </c>
      <c r="J775">
        <v>2</v>
      </c>
      <c r="K775" t="s">
        <v>55</v>
      </c>
      <c r="L775">
        <v>3298</v>
      </c>
      <c r="M775">
        <v>0</v>
      </c>
      <c r="N775" t="s">
        <v>32</v>
      </c>
      <c r="O775">
        <v>12</v>
      </c>
      <c r="P775">
        <v>3</v>
      </c>
      <c r="Q775">
        <v>2</v>
      </c>
      <c r="R775">
        <v>7</v>
      </c>
      <c r="S775">
        <v>5</v>
      </c>
      <c r="T775">
        <v>6</v>
      </c>
      <c r="U775">
        <v>0</v>
      </c>
      <c r="V775">
        <v>5</v>
      </c>
      <c r="W775" t="s">
        <v>51</v>
      </c>
      <c r="X775" s="1" t="d">
        <v>2015-01-29</v>
      </c>
      <c r="Z775" t="s">
        <v>59</v>
      </c>
      <c r="AA775" t="s">
        <v>46</v>
      </c>
      <c r="AB775">
        <v>5</v>
      </c>
      <c r="AC775">
        <v>1</v>
      </c>
      <c r="AD775" t="s">
        <v>32</v>
      </c>
      <c r="AE775" t="s">
        <v>47</v>
      </c>
      <c r="AF775" t="s">
        <v>48</v>
      </c>
      <c r="AG775">
        <f>IF(HR_Data[[#This Row],[Attrition]]="Yes",1,0)</f>
        <v>0</v>
      </c>
      <c r="AH775" t="str">
        <f>IF(HR_Data[Date_of_termination]="","Active","Left")</f>
        <v>Active</v>
      </c>
      <c r="AI775" t="str">
        <f>IF(HR_Data[YearsAtCompany]&lt;=2,"Fresher", IF(HR_Data[YearsAtCompany]&lt;=5,"Junior", IF(HR_Data[YearsAtCompany]&lt;=10, "Mid","Senior")))</f>
        <v>Mid</v>
      </c>
      <c r="AJ775" s="2" t="str">
        <f>IF(HR_Data[MonthlyIncome]&lt;=300,"Low", IF(HR_Data[MonthlyIncome]&lt;=7000,"Medium", "High"))</f>
        <v>Medium</v>
      </c>
      <c r="AK775" s="2" t="str">
        <f>VLOOKUP(HR_Data[JobRole], JobRole_Map[], 2, FALSE)</f>
        <v>Technical</v>
      </c>
    </row>
    <row r="776" spans="1:37" x14ac:dyDescent="0.25">
      <c r="A776" s="2">
        <v>36</v>
      </c>
      <c r="B776" t="s">
        <v>41</v>
      </c>
      <c r="C776" t="s">
        <v>61</v>
      </c>
      <c r="D776" t="s">
        <v>34</v>
      </c>
      <c r="E776">
        <v>11</v>
      </c>
      <c r="F776" t="s">
        <v>35</v>
      </c>
      <c r="G776">
        <v>2</v>
      </c>
      <c r="H776">
        <v>2</v>
      </c>
      <c r="I776" t="s">
        <v>67</v>
      </c>
      <c r="J776">
        <v>2</v>
      </c>
      <c r="K776" t="s">
        <v>37</v>
      </c>
      <c r="L776">
        <v>6499</v>
      </c>
      <c r="M776">
        <v>1</v>
      </c>
      <c r="N776" t="s">
        <v>41</v>
      </c>
      <c r="O776">
        <v>13</v>
      </c>
      <c r="P776">
        <v>3</v>
      </c>
      <c r="Q776">
        <v>0</v>
      </c>
      <c r="R776">
        <v>6</v>
      </c>
      <c r="S776">
        <v>3</v>
      </c>
      <c r="T776">
        <v>6</v>
      </c>
      <c r="U776">
        <v>0</v>
      </c>
      <c r="V776">
        <v>3</v>
      </c>
      <c r="W776" t="s">
        <v>56</v>
      </c>
      <c r="X776" s="1" t="d">
        <v>2015-03-20</v>
      </c>
      <c r="Z776" t="s">
        <v>63</v>
      </c>
      <c r="AA776" t="s">
        <v>40</v>
      </c>
      <c r="AB776">
        <v>2</v>
      </c>
      <c r="AC776">
        <v>1</v>
      </c>
      <c r="AD776" t="s">
        <v>41</v>
      </c>
      <c r="AE776" t="s">
        <v>47</v>
      </c>
      <c r="AF776" t="s">
        <v>43</v>
      </c>
      <c r="AG776">
        <f>IF(HR_Data[[#This Row],[Attrition]]="Yes",1,0)</f>
        <v>0</v>
      </c>
      <c r="AH776" t="str">
        <f>IF(HR_Data[Date_of_termination]="","Active","Left")</f>
        <v>Active</v>
      </c>
      <c r="AI776" t="str">
        <f>IF(HR_Data[YearsAtCompany]&lt;=2,"Fresher", IF(HR_Data[YearsAtCompany]&lt;=5,"Junior", IF(HR_Data[YearsAtCompany]&lt;=10, "Mid","Senior")))</f>
        <v>Mid</v>
      </c>
      <c r="AJ776" s="2" t="str">
        <f>IF(HR_Data[MonthlyIncome]&lt;=300,"Low", IF(HR_Data[MonthlyIncome]&lt;=7000,"Medium", "High"))</f>
        <v>Medium</v>
      </c>
      <c r="AK776" s="2" t="str">
        <f>VLOOKUP(HR_Data[JobRole], JobRole_Map[], 2, FALSE)</f>
        <v>Operations</v>
      </c>
    </row>
    <row r="777" spans="1:37" x14ac:dyDescent="0.25">
      <c r="A777" s="2">
        <v>35</v>
      </c>
      <c r="B777" t="s">
        <v>41</v>
      </c>
      <c r="C777" t="s">
        <v>33</v>
      </c>
      <c r="D777" t="s">
        <v>34</v>
      </c>
      <c r="E777">
        <v>1</v>
      </c>
      <c r="F777" t="s">
        <v>35</v>
      </c>
      <c r="G777">
        <v>2</v>
      </c>
      <c r="H777">
        <v>1</v>
      </c>
      <c r="I777" t="s">
        <v>44</v>
      </c>
      <c r="J777">
        <v>3</v>
      </c>
      <c r="K777" t="s">
        <v>37</v>
      </c>
      <c r="L777">
        <v>2859</v>
      </c>
      <c r="M777">
        <v>1</v>
      </c>
      <c r="N777" t="s">
        <v>41</v>
      </c>
      <c r="O777">
        <v>18</v>
      </c>
      <c r="P777">
        <v>3</v>
      </c>
      <c r="Q777">
        <v>0</v>
      </c>
      <c r="R777">
        <v>6</v>
      </c>
      <c r="S777">
        <v>3</v>
      </c>
      <c r="T777">
        <v>6</v>
      </c>
      <c r="U777">
        <v>0</v>
      </c>
      <c r="V777">
        <v>4</v>
      </c>
      <c r="W777" t="s">
        <v>56</v>
      </c>
      <c r="X777" s="1" t="d">
        <v>2015-05-19</v>
      </c>
      <c r="Z777" t="s">
        <v>39</v>
      </c>
      <c r="AA777" t="s">
        <v>46</v>
      </c>
      <c r="AB777">
        <v>2</v>
      </c>
      <c r="AC777">
        <v>3</v>
      </c>
      <c r="AD777" t="s">
        <v>41</v>
      </c>
      <c r="AE777" t="s">
        <v>60</v>
      </c>
      <c r="AF777" t="s">
        <v>43</v>
      </c>
      <c r="AG777">
        <f>IF(HR_Data[[#This Row],[Attrition]]="Yes",1,0)</f>
        <v>0</v>
      </c>
      <c r="AH777" t="str">
        <f>IF(HR_Data[Date_of_termination]="","Active","Left")</f>
        <v>Active</v>
      </c>
      <c r="AI777" t="str">
        <f>IF(HR_Data[YearsAtCompany]&lt;=2,"Fresher", IF(HR_Data[YearsAtCompany]&lt;=5,"Junior", IF(HR_Data[YearsAtCompany]&lt;=10, "Mid","Senior")))</f>
        <v>Mid</v>
      </c>
      <c r="AJ777" s="2" t="str">
        <f>IF(HR_Data[MonthlyIncome]&lt;=300,"Low", IF(HR_Data[MonthlyIncome]&lt;=7000,"Medium", "High"))</f>
        <v>Medium</v>
      </c>
      <c r="AK777" s="2" t="str">
        <f>VLOOKUP(HR_Data[JobRole], JobRole_Map[], 2, FALSE)</f>
        <v>Technical</v>
      </c>
    </row>
    <row r="778" spans="1:37" x14ac:dyDescent="0.25">
      <c r="A778" s="2">
        <v>56</v>
      </c>
      <c r="B778" t="s">
        <v>41</v>
      </c>
      <c r="C778" t="s">
        <v>33</v>
      </c>
      <c r="D778" t="s">
        <v>34</v>
      </c>
      <c r="E778">
        <v>7</v>
      </c>
      <c r="F778" t="s">
        <v>35</v>
      </c>
      <c r="G778">
        <v>1</v>
      </c>
      <c r="H778">
        <v>3</v>
      </c>
      <c r="I778" t="s">
        <v>67</v>
      </c>
      <c r="J778">
        <v>4</v>
      </c>
      <c r="K778" t="s">
        <v>37</v>
      </c>
      <c r="L778">
        <v>7260</v>
      </c>
      <c r="M778">
        <v>4</v>
      </c>
      <c r="N778" t="s">
        <v>41</v>
      </c>
      <c r="O778">
        <v>11</v>
      </c>
      <c r="P778">
        <v>3</v>
      </c>
      <c r="Q778">
        <v>0</v>
      </c>
      <c r="R778">
        <v>37</v>
      </c>
      <c r="S778">
        <v>3</v>
      </c>
      <c r="T778">
        <v>6</v>
      </c>
      <c r="U778">
        <v>0</v>
      </c>
      <c r="V778">
        <v>2</v>
      </c>
      <c r="W778" t="s">
        <v>38</v>
      </c>
      <c r="X778" s="1" t="d">
        <v>2015-03-28</v>
      </c>
      <c r="Z778" t="s">
        <v>45</v>
      </c>
      <c r="AA778" t="s">
        <v>46</v>
      </c>
      <c r="AB778">
        <v>1</v>
      </c>
      <c r="AC778">
        <v>0</v>
      </c>
      <c r="AD778" t="s">
        <v>41</v>
      </c>
      <c r="AE778" t="s">
        <v>62</v>
      </c>
      <c r="AF778" t="s">
        <v>48</v>
      </c>
      <c r="AG778">
        <f>IF(HR_Data[[#This Row],[Attrition]]="Yes",1,0)</f>
        <v>0</v>
      </c>
      <c r="AH778" t="str">
        <f>IF(HR_Data[Date_of_termination]="","Active","Left")</f>
        <v>Active</v>
      </c>
      <c r="AI778" t="str">
        <f>IF(HR_Data[YearsAtCompany]&lt;=2,"Fresher", IF(HR_Data[YearsAtCompany]&lt;=5,"Junior", IF(HR_Data[YearsAtCompany]&lt;=10, "Mid","Senior")))</f>
        <v>Mid</v>
      </c>
      <c r="AJ778" s="2" t="str">
        <f>IF(HR_Data[MonthlyIncome]&lt;=300,"Low", IF(HR_Data[MonthlyIncome]&lt;=7000,"Medium", "High"))</f>
        <v>High</v>
      </c>
      <c r="AK778" s="2" t="str">
        <f>VLOOKUP(HR_Data[JobRole], JobRole_Map[], 2, FALSE)</f>
        <v>Operations</v>
      </c>
    </row>
    <row r="779" spans="1:37" x14ac:dyDescent="0.25">
      <c r="A779" s="2">
        <v>25</v>
      </c>
      <c r="B779" t="s">
        <v>32</v>
      </c>
      <c r="C779" t="s">
        <v>33</v>
      </c>
      <c r="D779" t="s">
        <v>53</v>
      </c>
      <c r="E779">
        <v>5</v>
      </c>
      <c r="F779" t="s">
        <v>35</v>
      </c>
      <c r="G779">
        <v>2</v>
      </c>
      <c r="H779">
        <v>2</v>
      </c>
      <c r="I779" t="s">
        <v>64</v>
      </c>
      <c r="J779">
        <v>3</v>
      </c>
      <c r="K779" t="s">
        <v>37</v>
      </c>
      <c r="L779">
        <v>5744</v>
      </c>
      <c r="M779">
        <v>1</v>
      </c>
      <c r="N779" t="s">
        <v>32</v>
      </c>
      <c r="O779">
        <v>11</v>
      </c>
      <c r="P779">
        <v>3</v>
      </c>
      <c r="Q779">
        <v>0</v>
      </c>
      <c r="R779">
        <v>6</v>
      </c>
      <c r="S779">
        <v>1</v>
      </c>
      <c r="T779">
        <v>6</v>
      </c>
      <c r="U779">
        <v>0</v>
      </c>
      <c r="V779">
        <v>3</v>
      </c>
      <c r="W779" t="s">
        <v>38</v>
      </c>
      <c r="X779" s="1" t="d">
        <v>2015-04-27</v>
      </c>
      <c r="Z779" t="s">
        <v>59</v>
      </c>
      <c r="AA779" t="s">
        <v>40</v>
      </c>
      <c r="AB779">
        <v>4</v>
      </c>
      <c r="AC779">
        <v>0</v>
      </c>
      <c r="AD779" t="s">
        <v>41</v>
      </c>
      <c r="AE779" t="s">
        <v>42</v>
      </c>
      <c r="AF779" t="s">
        <v>48</v>
      </c>
      <c r="AG779">
        <f>IF(HR_Data[[#This Row],[Attrition]]="Yes",1,0)</f>
        <v>1</v>
      </c>
      <c r="AH779" t="str">
        <f>IF(HR_Data[Date_of_termination]="","Active","Left")</f>
        <v>Active</v>
      </c>
      <c r="AI779" t="str">
        <f>IF(HR_Data[YearsAtCompany]&lt;=2,"Fresher", IF(HR_Data[YearsAtCompany]&lt;=5,"Junior", IF(HR_Data[YearsAtCompany]&lt;=10, "Mid","Senior")))</f>
        <v>Mid</v>
      </c>
      <c r="AJ779" s="2" t="str">
        <f>IF(HR_Data[MonthlyIncome]&lt;=300,"Low", IF(HR_Data[MonthlyIncome]&lt;=7000,"Medium", "High"))</f>
        <v>Medium</v>
      </c>
      <c r="AK779" s="2" t="str">
        <f>VLOOKUP(HR_Data[JobRole], JobRole_Map[], 2, FALSE)</f>
        <v>Sales</v>
      </c>
    </row>
    <row r="780" spans="1:37" x14ac:dyDescent="0.25">
      <c r="A780" s="2">
        <v>45</v>
      </c>
      <c r="B780" t="s">
        <v>41</v>
      </c>
      <c r="C780" t="s">
        <v>33</v>
      </c>
      <c r="D780" t="s">
        <v>34</v>
      </c>
      <c r="E780">
        <v>29</v>
      </c>
      <c r="F780" t="s">
        <v>35</v>
      </c>
      <c r="G780">
        <v>3</v>
      </c>
      <c r="H780">
        <v>1</v>
      </c>
      <c r="I780" t="s">
        <v>44</v>
      </c>
      <c r="J780">
        <v>4</v>
      </c>
      <c r="K780" t="s">
        <v>37</v>
      </c>
      <c r="L780">
        <v>3452</v>
      </c>
      <c r="M780">
        <v>5</v>
      </c>
      <c r="N780" t="s">
        <v>41</v>
      </c>
      <c r="O780">
        <v>13</v>
      </c>
      <c r="P780">
        <v>3</v>
      </c>
      <c r="Q780">
        <v>0</v>
      </c>
      <c r="R780">
        <v>9</v>
      </c>
      <c r="S780">
        <v>2</v>
      </c>
      <c r="T780">
        <v>6</v>
      </c>
      <c r="U780">
        <v>0</v>
      </c>
      <c r="V780">
        <v>3</v>
      </c>
      <c r="W780" t="s">
        <v>56</v>
      </c>
      <c r="X780" s="1" t="d">
        <v>2015-02-06</v>
      </c>
      <c r="Z780" t="s">
        <v>63</v>
      </c>
      <c r="AA780" t="s">
        <v>40</v>
      </c>
      <c r="AB780">
        <v>2</v>
      </c>
      <c r="AC780">
        <v>0</v>
      </c>
      <c r="AD780" t="s">
        <v>32</v>
      </c>
      <c r="AE780" t="s">
        <v>60</v>
      </c>
      <c r="AF780" t="s">
        <v>43</v>
      </c>
      <c r="AG780">
        <f>IF(HR_Data[[#This Row],[Attrition]]="Yes",1,0)</f>
        <v>0</v>
      </c>
      <c r="AH780" t="str">
        <f>IF(HR_Data[Date_of_termination]="","Active","Left")</f>
        <v>Active</v>
      </c>
      <c r="AI780" t="str">
        <f>IF(HR_Data[YearsAtCompany]&lt;=2,"Fresher", IF(HR_Data[YearsAtCompany]&lt;=5,"Junior", IF(HR_Data[YearsAtCompany]&lt;=10, "Mid","Senior")))</f>
        <v>Mid</v>
      </c>
      <c r="AJ780" s="2" t="str">
        <f>IF(HR_Data[MonthlyIncome]&lt;=300,"Low", IF(HR_Data[MonthlyIncome]&lt;=7000,"Medium", "High"))</f>
        <v>Medium</v>
      </c>
      <c r="AK780" s="2" t="str">
        <f>VLOOKUP(HR_Data[JobRole], JobRole_Map[], 2, FALSE)</f>
        <v>Technical</v>
      </c>
    </row>
    <row r="781" spans="1:37" x14ac:dyDescent="0.25">
      <c r="A781" s="2">
        <v>35</v>
      </c>
      <c r="B781" t="s">
        <v>41</v>
      </c>
      <c r="C781" t="s">
        <v>61</v>
      </c>
      <c r="D781" t="s">
        <v>34</v>
      </c>
      <c r="E781">
        <v>2</v>
      </c>
      <c r="F781" t="s">
        <v>58</v>
      </c>
      <c r="G781">
        <v>3</v>
      </c>
      <c r="H781">
        <v>2</v>
      </c>
      <c r="I781" t="s">
        <v>36</v>
      </c>
      <c r="J781">
        <v>2</v>
      </c>
      <c r="K781" t="s">
        <v>37</v>
      </c>
      <c r="L781">
        <v>4425</v>
      </c>
      <c r="M781">
        <v>5</v>
      </c>
      <c r="N781" t="s">
        <v>41</v>
      </c>
      <c r="O781">
        <v>11</v>
      </c>
      <c r="P781">
        <v>3</v>
      </c>
      <c r="Q781">
        <v>0</v>
      </c>
      <c r="R781">
        <v>10</v>
      </c>
      <c r="S781">
        <v>5</v>
      </c>
      <c r="T781">
        <v>6</v>
      </c>
      <c r="U781">
        <v>1</v>
      </c>
      <c r="V781">
        <v>2</v>
      </c>
      <c r="W781" t="s">
        <v>51</v>
      </c>
      <c r="X781" s="1" t="d">
        <v>2015-01-26</v>
      </c>
      <c r="Z781" t="s">
        <v>52</v>
      </c>
      <c r="AA781" t="s">
        <v>40</v>
      </c>
      <c r="AB781">
        <v>1</v>
      </c>
      <c r="AC781">
        <v>1</v>
      </c>
      <c r="AD781" t="s">
        <v>41</v>
      </c>
      <c r="AE781" t="s">
        <v>62</v>
      </c>
      <c r="AF781" t="s">
        <v>57</v>
      </c>
      <c r="AG781">
        <f>IF(HR_Data[[#This Row],[Attrition]]="Yes",1,0)</f>
        <v>0</v>
      </c>
      <c r="AH781" t="str">
        <f>IF(HR_Data[Date_of_termination]="","Active","Left")</f>
        <v>Active</v>
      </c>
      <c r="AI781" t="str">
        <f>IF(HR_Data[YearsAtCompany]&lt;=2,"Fresher", IF(HR_Data[YearsAtCompany]&lt;=5,"Junior", IF(HR_Data[YearsAtCompany]&lt;=10, "Mid","Senior")))</f>
        <v>Mid</v>
      </c>
      <c r="AJ781" s="2" t="str">
        <f>IF(HR_Data[MonthlyIncome]&lt;=300,"Low", IF(HR_Data[MonthlyIncome]&lt;=7000,"Medium", "High"))</f>
        <v>Medium</v>
      </c>
      <c r="AK781" s="2" t="str">
        <f>VLOOKUP(HR_Data[JobRole], JobRole_Map[], 2, FALSE)</f>
        <v>Technical</v>
      </c>
    </row>
    <row r="782" spans="1:37" x14ac:dyDescent="0.25">
      <c r="A782" s="2">
        <v>30</v>
      </c>
      <c r="B782" t="s">
        <v>32</v>
      </c>
      <c r="C782" t="s">
        <v>61</v>
      </c>
      <c r="D782" t="s">
        <v>53</v>
      </c>
      <c r="E782">
        <v>26</v>
      </c>
      <c r="F782" t="s">
        <v>58</v>
      </c>
      <c r="G782">
        <v>2</v>
      </c>
      <c r="H782">
        <v>2</v>
      </c>
      <c r="I782" t="s">
        <v>64</v>
      </c>
      <c r="J782">
        <v>1</v>
      </c>
      <c r="K782" t="s">
        <v>37</v>
      </c>
      <c r="L782">
        <v>6696</v>
      </c>
      <c r="M782">
        <v>5</v>
      </c>
      <c r="N782" t="s">
        <v>41</v>
      </c>
      <c r="O782">
        <v>15</v>
      </c>
      <c r="P782">
        <v>3</v>
      </c>
      <c r="Q782">
        <v>0</v>
      </c>
      <c r="R782">
        <v>9</v>
      </c>
      <c r="S782">
        <v>5</v>
      </c>
      <c r="T782">
        <v>6</v>
      </c>
      <c r="U782">
        <v>0</v>
      </c>
      <c r="V782">
        <v>1</v>
      </c>
      <c r="W782" t="s">
        <v>65</v>
      </c>
      <c r="X782" s="1" t="d">
        <v>2015-05-09</v>
      </c>
      <c r="Z782" t="s">
        <v>45</v>
      </c>
      <c r="AA782" t="s">
        <v>40</v>
      </c>
      <c r="AB782">
        <v>5</v>
      </c>
      <c r="AC782">
        <v>3</v>
      </c>
      <c r="AD782" t="s">
        <v>32</v>
      </c>
      <c r="AE782" t="s">
        <v>60</v>
      </c>
      <c r="AF782" t="s">
        <v>57</v>
      </c>
      <c r="AG782">
        <f>IF(HR_Data[[#This Row],[Attrition]]="Yes",1,0)</f>
        <v>1</v>
      </c>
      <c r="AH782" t="str">
        <f>IF(HR_Data[Date_of_termination]="","Active","Left")</f>
        <v>Active</v>
      </c>
      <c r="AI782" t="str">
        <f>IF(HR_Data[YearsAtCompany]&lt;=2,"Fresher", IF(HR_Data[YearsAtCompany]&lt;=5,"Junior", IF(HR_Data[YearsAtCompany]&lt;=10, "Mid","Senior")))</f>
        <v>Mid</v>
      </c>
      <c r="AJ782" s="2" t="str">
        <f>IF(HR_Data[MonthlyIncome]&lt;=300,"Low", IF(HR_Data[MonthlyIncome]&lt;=7000,"Medium", "High"))</f>
        <v>Medium</v>
      </c>
      <c r="AK782" s="2" t="str">
        <f>VLOOKUP(HR_Data[JobRole], JobRole_Map[], 2, FALSE)</f>
        <v>Sales</v>
      </c>
    </row>
    <row r="783" spans="1:37" x14ac:dyDescent="0.25">
      <c r="A783" s="2">
        <v>29</v>
      </c>
      <c r="B783" t="s">
        <v>32</v>
      </c>
      <c r="C783" t="s">
        <v>33</v>
      </c>
      <c r="D783" t="s">
        <v>34</v>
      </c>
      <c r="E783">
        <v>1</v>
      </c>
      <c r="F783" t="s">
        <v>35</v>
      </c>
      <c r="G783">
        <v>3</v>
      </c>
      <c r="H783">
        <v>1</v>
      </c>
      <c r="I783" t="s">
        <v>44</v>
      </c>
      <c r="J783">
        <v>3</v>
      </c>
      <c r="K783" t="s">
        <v>37</v>
      </c>
      <c r="L783">
        <v>2058</v>
      </c>
      <c r="M783">
        <v>0</v>
      </c>
      <c r="N783" t="s">
        <v>41</v>
      </c>
      <c r="O783">
        <v>14</v>
      </c>
      <c r="P783">
        <v>3</v>
      </c>
      <c r="Q783">
        <v>0</v>
      </c>
      <c r="R783">
        <v>7</v>
      </c>
      <c r="S783">
        <v>1</v>
      </c>
      <c r="T783">
        <v>6</v>
      </c>
      <c r="U783">
        <v>1</v>
      </c>
      <c r="V783">
        <v>5</v>
      </c>
      <c r="W783" t="s">
        <v>56</v>
      </c>
      <c r="X783" s="1" t="d">
        <v>2015-01-19</v>
      </c>
      <c r="Z783" t="s">
        <v>59</v>
      </c>
      <c r="AA783" t="s">
        <v>46</v>
      </c>
      <c r="AB783">
        <v>0</v>
      </c>
      <c r="AC783">
        <v>0</v>
      </c>
      <c r="AD783" t="s">
        <v>41</v>
      </c>
      <c r="AE783" t="s">
        <v>47</v>
      </c>
      <c r="AF783" t="s">
        <v>43</v>
      </c>
      <c r="AG783">
        <f>IF(HR_Data[[#This Row],[Attrition]]="Yes",1,0)</f>
        <v>1</v>
      </c>
      <c r="AH783" t="str">
        <f>IF(HR_Data[Date_of_termination]="","Active","Left")</f>
        <v>Active</v>
      </c>
      <c r="AI783" t="str">
        <f>IF(HR_Data[YearsAtCompany]&lt;=2,"Fresher", IF(HR_Data[YearsAtCompany]&lt;=5,"Junior", IF(HR_Data[YearsAtCompany]&lt;=10, "Mid","Senior")))</f>
        <v>Mid</v>
      </c>
      <c r="AJ783" s="2" t="str">
        <f>IF(HR_Data[MonthlyIncome]&lt;=300,"Low", IF(HR_Data[MonthlyIncome]&lt;=7000,"Medium", "High"))</f>
        <v>Medium</v>
      </c>
      <c r="AK783" s="2" t="str">
        <f>VLOOKUP(HR_Data[JobRole], JobRole_Map[], 2, FALSE)</f>
        <v>Technical</v>
      </c>
    </row>
    <row r="784" spans="1:37" x14ac:dyDescent="0.25">
      <c r="A784" s="2">
        <v>54</v>
      </c>
      <c r="B784" t="s">
        <v>41</v>
      </c>
      <c r="C784" t="s">
        <v>33</v>
      </c>
      <c r="D784" t="s">
        <v>53</v>
      </c>
      <c r="E784">
        <v>3</v>
      </c>
      <c r="F784" t="s">
        <v>58</v>
      </c>
      <c r="G784">
        <v>3</v>
      </c>
      <c r="H784">
        <v>2</v>
      </c>
      <c r="I784" t="s">
        <v>64</v>
      </c>
      <c r="J784">
        <v>1</v>
      </c>
      <c r="K784" t="s">
        <v>50</v>
      </c>
      <c r="L784">
        <v>5940</v>
      </c>
      <c r="M784">
        <v>2</v>
      </c>
      <c r="N784" t="s">
        <v>41</v>
      </c>
      <c r="O784">
        <v>14</v>
      </c>
      <c r="P784">
        <v>3</v>
      </c>
      <c r="Q784">
        <v>1</v>
      </c>
      <c r="R784">
        <v>16</v>
      </c>
      <c r="S784">
        <v>4</v>
      </c>
      <c r="T784">
        <v>6</v>
      </c>
      <c r="U784">
        <v>0</v>
      </c>
      <c r="V784">
        <v>5</v>
      </c>
      <c r="W784" t="s">
        <v>38</v>
      </c>
      <c r="X784" s="1" t="d">
        <v>2015-05-27</v>
      </c>
      <c r="Z784" t="s">
        <v>52</v>
      </c>
      <c r="AA784" t="s">
        <v>46</v>
      </c>
      <c r="AB784">
        <v>4</v>
      </c>
      <c r="AC784">
        <v>3</v>
      </c>
      <c r="AD784" t="s">
        <v>41</v>
      </c>
      <c r="AE784" t="s">
        <v>42</v>
      </c>
      <c r="AF784" t="s">
        <v>48</v>
      </c>
      <c r="AG784">
        <f>IF(HR_Data[[#This Row],[Attrition]]="Yes",1,0)</f>
        <v>0</v>
      </c>
      <c r="AH784" t="str">
        <f>IF(HR_Data[Date_of_termination]="","Active","Left")</f>
        <v>Active</v>
      </c>
      <c r="AI784" t="str">
        <f>IF(HR_Data[YearsAtCompany]&lt;=2,"Fresher", IF(HR_Data[YearsAtCompany]&lt;=5,"Junior", IF(HR_Data[YearsAtCompany]&lt;=10, "Mid","Senior")))</f>
        <v>Mid</v>
      </c>
      <c r="AJ784" s="2" t="str">
        <f>IF(HR_Data[MonthlyIncome]&lt;=300,"Low", IF(HR_Data[MonthlyIncome]&lt;=7000,"Medium", "High"))</f>
        <v>Medium</v>
      </c>
      <c r="AK784" s="2" t="str">
        <f>VLOOKUP(HR_Data[JobRole], JobRole_Map[], 2, FALSE)</f>
        <v>Sales</v>
      </c>
    </row>
    <row r="785" spans="1:37" x14ac:dyDescent="0.25">
      <c r="A785" s="2">
        <v>29</v>
      </c>
      <c r="B785" t="s">
        <v>41</v>
      </c>
      <c r="C785" t="s">
        <v>33</v>
      </c>
      <c r="D785" t="s">
        <v>34</v>
      </c>
      <c r="E785">
        <v>15</v>
      </c>
      <c r="F785" t="s">
        <v>35</v>
      </c>
      <c r="G785">
        <v>3</v>
      </c>
      <c r="H785">
        <v>1</v>
      </c>
      <c r="I785" t="s">
        <v>44</v>
      </c>
      <c r="J785">
        <v>4</v>
      </c>
      <c r="K785" t="s">
        <v>37</v>
      </c>
      <c r="L785">
        <v>2340</v>
      </c>
      <c r="M785">
        <v>1</v>
      </c>
      <c r="N785" t="s">
        <v>41</v>
      </c>
      <c r="O785">
        <v>19</v>
      </c>
      <c r="P785">
        <v>3</v>
      </c>
      <c r="Q785">
        <v>0</v>
      </c>
      <c r="R785">
        <v>6</v>
      </c>
      <c r="S785">
        <v>1</v>
      </c>
      <c r="T785">
        <v>6</v>
      </c>
      <c r="U785">
        <v>1</v>
      </c>
      <c r="V785">
        <v>5</v>
      </c>
      <c r="W785" t="s">
        <v>38</v>
      </c>
      <c r="X785" s="1" t="d">
        <v>2015-04-20</v>
      </c>
      <c r="Z785" t="s">
        <v>63</v>
      </c>
      <c r="AA785" t="s">
        <v>40</v>
      </c>
      <c r="AB785">
        <v>5</v>
      </c>
      <c r="AC785">
        <v>3</v>
      </c>
      <c r="AD785" t="s">
        <v>41</v>
      </c>
      <c r="AE785" t="s">
        <v>60</v>
      </c>
      <c r="AF785" t="s">
        <v>43</v>
      </c>
      <c r="AG785">
        <f>IF(HR_Data[[#This Row],[Attrition]]="Yes",1,0)</f>
        <v>0</v>
      </c>
      <c r="AH785" t="str">
        <f>IF(HR_Data[Date_of_termination]="","Active","Left")</f>
        <v>Active</v>
      </c>
      <c r="AI785" t="str">
        <f>IF(HR_Data[YearsAtCompany]&lt;=2,"Fresher", IF(HR_Data[YearsAtCompany]&lt;=5,"Junior", IF(HR_Data[YearsAtCompany]&lt;=10, "Mid","Senior")))</f>
        <v>Mid</v>
      </c>
      <c r="AJ785" s="2" t="str">
        <f>IF(HR_Data[MonthlyIncome]&lt;=300,"Low", IF(HR_Data[MonthlyIncome]&lt;=7000,"Medium", "High"))</f>
        <v>Medium</v>
      </c>
      <c r="AK785" s="2" t="str">
        <f>VLOOKUP(HR_Data[JobRole], JobRole_Map[], 2, FALSE)</f>
        <v>Technical</v>
      </c>
    </row>
    <row r="786" spans="1:37" x14ac:dyDescent="0.25">
      <c r="A786" s="2">
        <v>32</v>
      </c>
      <c r="B786" t="s">
        <v>41</v>
      </c>
      <c r="C786" t="s">
        <v>33</v>
      </c>
      <c r="D786" t="s">
        <v>34</v>
      </c>
      <c r="E786">
        <v>2</v>
      </c>
      <c r="F786" t="s">
        <v>35</v>
      </c>
      <c r="G786">
        <v>2</v>
      </c>
      <c r="H786">
        <v>2</v>
      </c>
      <c r="I786" t="s">
        <v>36</v>
      </c>
      <c r="J786">
        <v>1</v>
      </c>
      <c r="K786" t="s">
        <v>37</v>
      </c>
      <c r="L786">
        <v>2176</v>
      </c>
      <c r="M786">
        <v>4</v>
      </c>
      <c r="N786" t="s">
        <v>41</v>
      </c>
      <c r="O786">
        <v>13</v>
      </c>
      <c r="P786">
        <v>3</v>
      </c>
      <c r="Q786">
        <v>0</v>
      </c>
      <c r="R786">
        <v>9</v>
      </c>
      <c r="S786">
        <v>5</v>
      </c>
      <c r="T786">
        <v>6</v>
      </c>
      <c r="U786">
        <v>0</v>
      </c>
      <c r="V786">
        <v>4</v>
      </c>
      <c r="W786" t="s">
        <v>56</v>
      </c>
      <c r="X786" s="1" t="d">
        <v>2015-04-12</v>
      </c>
      <c r="Z786" t="s">
        <v>59</v>
      </c>
      <c r="AA786" t="s">
        <v>40</v>
      </c>
      <c r="AB786">
        <v>4</v>
      </c>
      <c r="AC786">
        <v>3</v>
      </c>
      <c r="AD786" t="s">
        <v>41</v>
      </c>
      <c r="AE786" t="s">
        <v>42</v>
      </c>
      <c r="AF786" t="s">
        <v>48</v>
      </c>
      <c r="AG786">
        <f>IF(HR_Data[[#This Row],[Attrition]]="Yes",1,0)</f>
        <v>0</v>
      </c>
      <c r="AH786" t="str">
        <f>IF(HR_Data[Date_of_termination]="","Active","Left")</f>
        <v>Active</v>
      </c>
      <c r="AI786" t="str">
        <f>IF(HR_Data[YearsAtCompany]&lt;=2,"Fresher", IF(HR_Data[YearsAtCompany]&lt;=5,"Junior", IF(HR_Data[YearsAtCompany]&lt;=10, "Mid","Senior")))</f>
        <v>Mid</v>
      </c>
      <c r="AJ786" s="2" t="str">
        <f>IF(HR_Data[MonthlyIncome]&lt;=300,"Low", IF(HR_Data[MonthlyIncome]&lt;=7000,"Medium", "High"))</f>
        <v>Medium</v>
      </c>
      <c r="AK786" s="2" t="str">
        <f>VLOOKUP(HR_Data[JobRole], JobRole_Map[], 2, FALSE)</f>
        <v>Technical</v>
      </c>
    </row>
    <row r="787" spans="1:37" x14ac:dyDescent="0.25">
      <c r="A787" s="2">
        <v>25</v>
      </c>
      <c r="B787" t="s">
        <v>41</v>
      </c>
      <c r="C787" t="s">
        <v>68</v>
      </c>
      <c r="D787" t="s">
        <v>34</v>
      </c>
      <c r="E787">
        <v>5</v>
      </c>
      <c r="F787" t="s">
        <v>35</v>
      </c>
      <c r="G787">
        <v>4</v>
      </c>
      <c r="H787">
        <v>2</v>
      </c>
      <c r="I787" t="s">
        <v>69</v>
      </c>
      <c r="J787">
        <v>1</v>
      </c>
      <c r="K787" t="s">
        <v>55</v>
      </c>
      <c r="L787">
        <v>4000</v>
      </c>
      <c r="M787">
        <v>1</v>
      </c>
      <c r="N787" t="s">
        <v>41</v>
      </c>
      <c r="O787">
        <v>12</v>
      </c>
      <c r="P787">
        <v>3</v>
      </c>
      <c r="Q787">
        <v>2</v>
      </c>
      <c r="R787">
        <v>6</v>
      </c>
      <c r="S787">
        <v>2</v>
      </c>
      <c r="T787">
        <v>6</v>
      </c>
      <c r="U787">
        <v>1</v>
      </c>
      <c r="V787">
        <v>5</v>
      </c>
      <c r="W787" t="s">
        <v>65</v>
      </c>
      <c r="X787" s="1" t="d">
        <v>2015-04-04</v>
      </c>
      <c r="Z787" t="s">
        <v>63</v>
      </c>
      <c r="AA787" t="s">
        <v>46</v>
      </c>
      <c r="AB787">
        <v>3</v>
      </c>
      <c r="AC787">
        <v>1</v>
      </c>
      <c r="AD787" t="s">
        <v>32</v>
      </c>
      <c r="AE787" t="s">
        <v>42</v>
      </c>
      <c r="AF787" t="s">
        <v>57</v>
      </c>
      <c r="AG787">
        <f>IF(HR_Data[[#This Row],[Attrition]]="Yes",1,0)</f>
        <v>0</v>
      </c>
      <c r="AH787" t="str">
        <f>IF(HR_Data[Date_of_termination]="","Active","Left")</f>
        <v>Active</v>
      </c>
      <c r="AI787" t="str">
        <f>IF(HR_Data[YearsAtCompany]&lt;=2,"Fresher", IF(HR_Data[YearsAtCompany]&lt;=5,"Junior", IF(HR_Data[YearsAtCompany]&lt;=10, "Mid","Senior")))</f>
        <v>Mid</v>
      </c>
      <c r="AJ787" s="2" t="str">
        <f>IF(HR_Data[MonthlyIncome]&lt;=300,"Low", IF(HR_Data[MonthlyIncome]&lt;=7000,"Medium", "High"))</f>
        <v>Medium</v>
      </c>
      <c r="AK787" s="2" t="str">
        <f>VLOOKUP(HR_Data[JobRole], JobRole_Map[], 2, FALSE)</f>
        <v>Operations</v>
      </c>
    </row>
    <row r="788" spans="1:37" x14ac:dyDescent="0.25">
      <c r="A788" s="2">
        <v>26</v>
      </c>
      <c r="B788" t="s">
        <v>41</v>
      </c>
      <c r="C788" t="s">
        <v>61</v>
      </c>
      <c r="D788" t="s">
        <v>34</v>
      </c>
      <c r="E788">
        <v>1</v>
      </c>
      <c r="F788" t="s">
        <v>58</v>
      </c>
      <c r="G788">
        <v>3</v>
      </c>
      <c r="H788">
        <v>2</v>
      </c>
      <c r="I788" t="s">
        <v>67</v>
      </c>
      <c r="J788">
        <v>2</v>
      </c>
      <c r="K788" t="s">
        <v>55</v>
      </c>
      <c r="L788">
        <v>6397</v>
      </c>
      <c r="M788">
        <v>1</v>
      </c>
      <c r="N788" t="s">
        <v>41</v>
      </c>
      <c r="O788">
        <v>20</v>
      </c>
      <c r="P788">
        <v>4</v>
      </c>
      <c r="Q788">
        <v>1</v>
      </c>
      <c r="R788">
        <v>6</v>
      </c>
      <c r="S788">
        <v>6</v>
      </c>
      <c r="T788">
        <v>6</v>
      </c>
      <c r="U788">
        <v>1</v>
      </c>
      <c r="V788">
        <v>4</v>
      </c>
      <c r="W788" t="s">
        <v>56</v>
      </c>
      <c r="X788" s="1" t="d">
        <v>2015-01-18</v>
      </c>
      <c r="Z788" t="s">
        <v>59</v>
      </c>
      <c r="AA788" t="s">
        <v>40</v>
      </c>
      <c r="AB788">
        <v>3</v>
      </c>
      <c r="AC788">
        <v>1</v>
      </c>
      <c r="AD788" t="s">
        <v>41</v>
      </c>
      <c r="AE788" t="s">
        <v>47</v>
      </c>
      <c r="AF788" t="s">
        <v>57</v>
      </c>
      <c r="AG788">
        <f>IF(HR_Data[[#This Row],[Attrition]]="Yes",1,0)</f>
        <v>0</v>
      </c>
      <c r="AH788" t="str">
        <f>IF(HR_Data[Date_of_termination]="","Active","Left")</f>
        <v>Active</v>
      </c>
      <c r="AI788" t="str">
        <f>IF(HR_Data[YearsAtCompany]&lt;=2,"Fresher", IF(HR_Data[YearsAtCompany]&lt;=5,"Junior", IF(HR_Data[YearsAtCompany]&lt;=10, "Mid","Senior")))</f>
        <v>Mid</v>
      </c>
      <c r="AJ788" s="2" t="str">
        <f>IF(HR_Data[MonthlyIncome]&lt;=300,"Low", IF(HR_Data[MonthlyIncome]&lt;=7000,"Medium", "High"))</f>
        <v>Medium</v>
      </c>
      <c r="AK788" s="2" t="str">
        <f>VLOOKUP(HR_Data[JobRole], JobRole_Map[], 2, FALSE)</f>
        <v>Operations</v>
      </c>
    </row>
    <row r="789" spans="1:37" x14ac:dyDescent="0.25">
      <c r="A789" s="2">
        <v>37</v>
      </c>
      <c r="B789" t="s">
        <v>41</v>
      </c>
      <c r="C789" t="s">
        <v>33</v>
      </c>
      <c r="D789" t="s">
        <v>34</v>
      </c>
      <c r="E789">
        <v>5</v>
      </c>
      <c r="F789" t="s">
        <v>35</v>
      </c>
      <c r="G789">
        <v>3</v>
      </c>
      <c r="H789">
        <v>2</v>
      </c>
      <c r="I789" t="s">
        <v>67</v>
      </c>
      <c r="J789">
        <v>4</v>
      </c>
      <c r="K789" t="s">
        <v>55</v>
      </c>
      <c r="L789">
        <v>6347</v>
      </c>
      <c r="M789">
        <v>7</v>
      </c>
      <c r="N789" t="s">
        <v>41</v>
      </c>
      <c r="O789">
        <v>16</v>
      </c>
      <c r="P789">
        <v>3</v>
      </c>
      <c r="Q789">
        <v>2</v>
      </c>
      <c r="R789">
        <v>8</v>
      </c>
      <c r="S789">
        <v>2</v>
      </c>
      <c r="T789">
        <v>6</v>
      </c>
      <c r="U789">
        <v>0</v>
      </c>
      <c r="V789">
        <v>4</v>
      </c>
      <c r="W789" t="s">
        <v>38</v>
      </c>
      <c r="X789" s="1" t="d">
        <v>2015-03-17</v>
      </c>
      <c r="Z789" t="s">
        <v>52</v>
      </c>
      <c r="AA789" t="s">
        <v>40</v>
      </c>
      <c r="AB789">
        <v>4</v>
      </c>
      <c r="AC789">
        <v>3</v>
      </c>
      <c r="AD789" t="s">
        <v>32</v>
      </c>
      <c r="AE789" t="s">
        <v>47</v>
      </c>
      <c r="AF789" t="s">
        <v>57</v>
      </c>
      <c r="AG789">
        <f>IF(HR_Data[[#This Row],[Attrition]]="Yes",1,0)</f>
        <v>0</v>
      </c>
      <c r="AH789" t="str">
        <f>IF(HR_Data[Date_of_termination]="","Active","Left")</f>
        <v>Active</v>
      </c>
      <c r="AI789" t="str">
        <f>IF(HR_Data[YearsAtCompany]&lt;=2,"Fresher", IF(HR_Data[YearsAtCompany]&lt;=5,"Junior", IF(HR_Data[YearsAtCompany]&lt;=10, "Mid","Senior")))</f>
        <v>Mid</v>
      </c>
      <c r="AJ789" s="2" t="str">
        <f>IF(HR_Data[MonthlyIncome]&lt;=300,"Low", IF(HR_Data[MonthlyIncome]&lt;=7000,"Medium", "High"))</f>
        <v>Medium</v>
      </c>
      <c r="AK789" s="2" t="str">
        <f>VLOOKUP(HR_Data[JobRole], JobRole_Map[], 2, FALSE)</f>
        <v>Operations</v>
      </c>
    </row>
    <row r="790" spans="1:37" x14ac:dyDescent="0.25">
      <c r="A790" s="2">
        <v>40</v>
      </c>
      <c r="B790" t="s">
        <v>32</v>
      </c>
      <c r="C790" t="s">
        <v>33</v>
      </c>
      <c r="D790" t="s">
        <v>53</v>
      </c>
      <c r="E790">
        <v>22</v>
      </c>
      <c r="F790" t="s">
        <v>35</v>
      </c>
      <c r="G790">
        <v>2</v>
      </c>
      <c r="H790">
        <v>2</v>
      </c>
      <c r="I790" t="s">
        <v>64</v>
      </c>
      <c r="J790">
        <v>3</v>
      </c>
      <c r="K790" t="s">
        <v>50</v>
      </c>
      <c r="L790">
        <v>6380</v>
      </c>
      <c r="M790">
        <v>2</v>
      </c>
      <c r="N790" t="s">
        <v>32</v>
      </c>
      <c r="O790">
        <v>12</v>
      </c>
      <c r="P790">
        <v>3</v>
      </c>
      <c r="Q790">
        <v>2</v>
      </c>
      <c r="R790">
        <v>8</v>
      </c>
      <c r="S790">
        <v>6</v>
      </c>
      <c r="T790">
        <v>6</v>
      </c>
      <c r="U790">
        <v>1</v>
      </c>
      <c r="V790">
        <v>0</v>
      </c>
      <c r="W790" t="s">
        <v>56</v>
      </c>
      <c r="X790" s="1" t="d">
        <v>2015-05-12</v>
      </c>
      <c r="Z790" t="s">
        <v>39</v>
      </c>
      <c r="AA790" t="s">
        <v>46</v>
      </c>
      <c r="AB790">
        <v>4</v>
      </c>
      <c r="AC790">
        <v>3</v>
      </c>
      <c r="AD790" t="s">
        <v>32</v>
      </c>
      <c r="AE790" t="s">
        <v>42</v>
      </c>
      <c r="AF790" t="s">
        <v>43</v>
      </c>
      <c r="AG790">
        <f>IF(HR_Data[[#This Row],[Attrition]]="Yes",1,0)</f>
        <v>1</v>
      </c>
      <c r="AH790" t="str">
        <f>IF(HR_Data[Date_of_termination]="","Active","Left")</f>
        <v>Active</v>
      </c>
      <c r="AI790" t="str">
        <f>IF(HR_Data[YearsAtCompany]&lt;=2,"Fresher", IF(HR_Data[YearsAtCompany]&lt;=5,"Junior", IF(HR_Data[YearsAtCompany]&lt;=10, "Mid","Senior")))</f>
        <v>Mid</v>
      </c>
      <c r="AJ790" s="2" t="str">
        <f>IF(HR_Data[MonthlyIncome]&lt;=300,"Low", IF(HR_Data[MonthlyIncome]&lt;=7000,"Medium", "High"))</f>
        <v>Medium</v>
      </c>
      <c r="AK790" s="2" t="str">
        <f>VLOOKUP(HR_Data[JobRole], JobRole_Map[], 2, FALSE)</f>
        <v>Sales</v>
      </c>
    </row>
    <row r="791" spans="1:37" x14ac:dyDescent="0.25">
      <c r="A791" s="2">
        <v>26</v>
      </c>
      <c r="B791" t="s">
        <v>32</v>
      </c>
      <c r="C791" t="s">
        <v>61</v>
      </c>
      <c r="D791" t="s">
        <v>34</v>
      </c>
      <c r="E791">
        <v>3</v>
      </c>
      <c r="F791" t="s">
        <v>35</v>
      </c>
      <c r="G791">
        <v>3</v>
      </c>
      <c r="H791">
        <v>1</v>
      </c>
      <c r="I791" t="s">
        <v>44</v>
      </c>
      <c r="J791">
        <v>1</v>
      </c>
      <c r="K791" t="s">
        <v>37</v>
      </c>
      <c r="L791">
        <v>3102</v>
      </c>
      <c r="M791">
        <v>0</v>
      </c>
      <c r="N791" t="s">
        <v>41</v>
      </c>
      <c r="O791">
        <v>22</v>
      </c>
      <c r="P791">
        <v>4</v>
      </c>
      <c r="Q791">
        <v>0</v>
      </c>
      <c r="R791">
        <v>7</v>
      </c>
      <c r="S791">
        <v>2</v>
      </c>
      <c r="T791">
        <v>6</v>
      </c>
      <c r="U791">
        <v>0</v>
      </c>
      <c r="V791">
        <v>4</v>
      </c>
      <c r="W791" t="s">
        <v>51</v>
      </c>
      <c r="X791" s="1" t="d">
        <v>2015-04-23</v>
      </c>
      <c r="Z791" t="s">
        <v>52</v>
      </c>
      <c r="AA791" t="s">
        <v>46</v>
      </c>
      <c r="AB791">
        <v>5</v>
      </c>
      <c r="AC791">
        <v>0</v>
      </c>
      <c r="AD791" t="s">
        <v>41</v>
      </c>
      <c r="AE791" t="s">
        <v>62</v>
      </c>
      <c r="AF791" t="s">
        <v>43</v>
      </c>
      <c r="AG791">
        <f>IF(HR_Data[[#This Row],[Attrition]]="Yes",1,0)</f>
        <v>1</v>
      </c>
      <c r="AH791" t="str">
        <f>IF(HR_Data[Date_of_termination]="","Active","Left")</f>
        <v>Active</v>
      </c>
      <c r="AI791" t="str">
        <f>IF(HR_Data[YearsAtCompany]&lt;=2,"Fresher", IF(HR_Data[YearsAtCompany]&lt;=5,"Junior", IF(HR_Data[YearsAtCompany]&lt;=10, "Mid","Senior")))</f>
        <v>Mid</v>
      </c>
      <c r="AJ791" s="2" t="str">
        <f>IF(HR_Data[MonthlyIncome]&lt;=300,"Low", IF(HR_Data[MonthlyIncome]&lt;=7000,"Medium", "High"))</f>
        <v>Medium</v>
      </c>
      <c r="AK791" s="2" t="str">
        <f>VLOOKUP(HR_Data[JobRole], JobRole_Map[], 2, FALSE)</f>
        <v>Technical</v>
      </c>
    </row>
    <row r="792" spans="1:37" x14ac:dyDescent="0.25">
      <c r="A792" s="2">
        <v>42</v>
      </c>
      <c r="B792" t="s">
        <v>41</v>
      </c>
      <c r="C792" t="s">
        <v>61</v>
      </c>
      <c r="D792" t="s">
        <v>34</v>
      </c>
      <c r="E792">
        <v>28</v>
      </c>
      <c r="F792" t="s">
        <v>58</v>
      </c>
      <c r="G792">
        <v>2</v>
      </c>
      <c r="H792">
        <v>2</v>
      </c>
      <c r="I792" t="s">
        <v>69</v>
      </c>
      <c r="J792">
        <v>4</v>
      </c>
      <c r="K792" t="s">
        <v>50</v>
      </c>
      <c r="L792">
        <v>4523</v>
      </c>
      <c r="M792">
        <v>0</v>
      </c>
      <c r="N792" t="s">
        <v>41</v>
      </c>
      <c r="O792">
        <v>11</v>
      </c>
      <c r="P792">
        <v>3</v>
      </c>
      <c r="Q792">
        <v>3</v>
      </c>
      <c r="R792">
        <v>7</v>
      </c>
      <c r="S792">
        <v>4</v>
      </c>
      <c r="T792">
        <v>6</v>
      </c>
      <c r="U792">
        <v>0</v>
      </c>
      <c r="V792">
        <v>4</v>
      </c>
      <c r="W792" t="s">
        <v>38</v>
      </c>
      <c r="X792" s="1" t="d">
        <v>2015-01-20</v>
      </c>
      <c r="Z792" t="s">
        <v>59</v>
      </c>
      <c r="AA792" t="s">
        <v>40</v>
      </c>
      <c r="AB792">
        <v>4</v>
      </c>
      <c r="AC792">
        <v>3</v>
      </c>
      <c r="AD792" t="s">
        <v>41</v>
      </c>
      <c r="AE792" t="s">
        <v>42</v>
      </c>
      <c r="AF792" t="s">
        <v>57</v>
      </c>
      <c r="AG792">
        <f>IF(HR_Data[[#This Row],[Attrition]]="Yes",1,0)</f>
        <v>0</v>
      </c>
      <c r="AH792" t="str">
        <f>IF(HR_Data[Date_of_termination]="","Active","Left")</f>
        <v>Active</v>
      </c>
      <c r="AI792" t="str">
        <f>IF(HR_Data[YearsAtCompany]&lt;=2,"Fresher", IF(HR_Data[YearsAtCompany]&lt;=5,"Junior", IF(HR_Data[YearsAtCompany]&lt;=10, "Mid","Senior")))</f>
        <v>Mid</v>
      </c>
      <c r="AJ792" s="2" t="str">
        <f>IF(HR_Data[MonthlyIncome]&lt;=300,"Low", IF(HR_Data[MonthlyIncome]&lt;=7000,"Medium", "High"))</f>
        <v>Medium</v>
      </c>
      <c r="AK792" s="2" t="str">
        <f>VLOOKUP(HR_Data[JobRole], JobRole_Map[], 2, FALSE)</f>
        <v>Operations</v>
      </c>
    </row>
    <row r="793" spans="1:37" x14ac:dyDescent="0.25">
      <c r="A793" s="2">
        <v>31</v>
      </c>
      <c r="B793" t="s">
        <v>41</v>
      </c>
      <c r="C793" t="s">
        <v>33</v>
      </c>
      <c r="D793" t="s">
        <v>53</v>
      </c>
      <c r="E793">
        <v>2</v>
      </c>
      <c r="F793" t="s">
        <v>35</v>
      </c>
      <c r="G793">
        <v>3</v>
      </c>
      <c r="H793">
        <v>2</v>
      </c>
      <c r="I793" t="s">
        <v>64</v>
      </c>
      <c r="J793">
        <v>4</v>
      </c>
      <c r="K793" t="s">
        <v>37</v>
      </c>
      <c r="L793">
        <v>6582</v>
      </c>
      <c r="M793">
        <v>4</v>
      </c>
      <c r="N793" t="s">
        <v>32</v>
      </c>
      <c r="O793">
        <v>13</v>
      </c>
      <c r="P793">
        <v>3</v>
      </c>
      <c r="Q793">
        <v>0</v>
      </c>
      <c r="R793">
        <v>10</v>
      </c>
      <c r="S793">
        <v>2</v>
      </c>
      <c r="T793">
        <v>6</v>
      </c>
      <c r="U793">
        <v>0</v>
      </c>
      <c r="V793">
        <v>5</v>
      </c>
      <c r="W793" t="s">
        <v>51</v>
      </c>
      <c r="X793" s="1" t="d">
        <v>2015-05-30</v>
      </c>
      <c r="Z793" t="s">
        <v>39</v>
      </c>
      <c r="AA793" t="s">
        <v>46</v>
      </c>
      <c r="AB793">
        <v>1</v>
      </c>
      <c r="AC793">
        <v>1</v>
      </c>
      <c r="AD793" t="s">
        <v>41</v>
      </c>
      <c r="AE793" t="s">
        <v>62</v>
      </c>
      <c r="AF793" t="s">
        <v>48</v>
      </c>
      <c r="AG793">
        <f>IF(HR_Data[[#This Row],[Attrition]]="Yes",1,0)</f>
        <v>0</v>
      </c>
      <c r="AH793" t="str">
        <f>IF(HR_Data[Date_of_termination]="","Active","Left")</f>
        <v>Active</v>
      </c>
      <c r="AI793" t="str">
        <f>IF(HR_Data[YearsAtCompany]&lt;=2,"Fresher", IF(HR_Data[YearsAtCompany]&lt;=5,"Junior", IF(HR_Data[YearsAtCompany]&lt;=10, "Mid","Senior")))</f>
        <v>Mid</v>
      </c>
      <c r="AJ793" s="2" t="str">
        <f>IF(HR_Data[MonthlyIncome]&lt;=300,"Low", IF(HR_Data[MonthlyIncome]&lt;=7000,"Medium", "High"))</f>
        <v>Medium</v>
      </c>
      <c r="AK793" s="2" t="str">
        <f>VLOOKUP(HR_Data[JobRole], JobRole_Map[], 2, FALSE)</f>
        <v>Sales</v>
      </c>
    </row>
    <row r="794" spans="1:37" x14ac:dyDescent="0.25">
      <c r="A794" s="2">
        <v>33</v>
      </c>
      <c r="B794" t="s">
        <v>41</v>
      </c>
      <c r="C794" t="s">
        <v>33</v>
      </c>
      <c r="D794" t="s">
        <v>34</v>
      </c>
      <c r="E794">
        <v>1</v>
      </c>
      <c r="F794" t="s">
        <v>58</v>
      </c>
      <c r="G794">
        <v>4</v>
      </c>
      <c r="H794">
        <v>4</v>
      </c>
      <c r="I794" t="s">
        <v>49</v>
      </c>
      <c r="J794">
        <v>3</v>
      </c>
      <c r="K794" t="s">
        <v>55</v>
      </c>
      <c r="L794">
        <v>16184</v>
      </c>
      <c r="M794">
        <v>4</v>
      </c>
      <c r="N794" t="s">
        <v>41</v>
      </c>
      <c r="O794">
        <v>19</v>
      </c>
      <c r="P794">
        <v>3</v>
      </c>
      <c r="Q794">
        <v>1</v>
      </c>
      <c r="R794">
        <v>10</v>
      </c>
      <c r="S794">
        <v>2</v>
      </c>
      <c r="T794">
        <v>6</v>
      </c>
      <c r="U794">
        <v>0</v>
      </c>
      <c r="V794">
        <v>5</v>
      </c>
      <c r="W794" t="s">
        <v>65</v>
      </c>
      <c r="X794" s="1" t="d">
        <v>2015-06-02</v>
      </c>
      <c r="Z794" t="s">
        <v>52</v>
      </c>
      <c r="AA794" t="s">
        <v>46</v>
      </c>
      <c r="AB794">
        <v>2</v>
      </c>
      <c r="AC794">
        <v>3</v>
      </c>
      <c r="AD794" t="s">
        <v>32</v>
      </c>
      <c r="AE794" t="s">
        <v>42</v>
      </c>
      <c r="AF794" t="s">
        <v>48</v>
      </c>
      <c r="AG794">
        <f>IF(HR_Data[[#This Row],[Attrition]]="Yes",1,0)</f>
        <v>0</v>
      </c>
      <c r="AH794" t="str">
        <f>IF(HR_Data[Date_of_termination]="","Active","Left")</f>
        <v>Active</v>
      </c>
      <c r="AI794" t="str">
        <f>IF(HR_Data[YearsAtCompany]&lt;=2,"Fresher", IF(HR_Data[YearsAtCompany]&lt;=5,"Junior", IF(HR_Data[YearsAtCompany]&lt;=10, "Mid","Senior")))</f>
        <v>Mid</v>
      </c>
      <c r="AJ794" s="2" t="str">
        <f>IF(HR_Data[MonthlyIncome]&lt;=300,"Low", IF(HR_Data[MonthlyIncome]&lt;=7000,"Medium", "High"))</f>
        <v>High</v>
      </c>
      <c r="AK794" s="2" t="str">
        <f>VLOOKUP(HR_Data[JobRole], JobRole_Map[], 2, FALSE)</f>
        <v>Management</v>
      </c>
    </row>
    <row r="795" spans="1:37" x14ac:dyDescent="0.25">
      <c r="A795" s="2">
        <v>37</v>
      </c>
      <c r="B795" t="s">
        <v>41</v>
      </c>
      <c r="C795" t="s">
        <v>33</v>
      </c>
      <c r="D795" t="s">
        <v>34</v>
      </c>
      <c r="E795">
        <v>1</v>
      </c>
      <c r="F795" t="s">
        <v>58</v>
      </c>
      <c r="G795">
        <v>3</v>
      </c>
      <c r="H795">
        <v>3</v>
      </c>
      <c r="I795" t="s">
        <v>67</v>
      </c>
      <c r="J795">
        <v>4</v>
      </c>
      <c r="K795" t="s">
        <v>37</v>
      </c>
      <c r="L795">
        <v>7491</v>
      </c>
      <c r="M795">
        <v>4</v>
      </c>
      <c r="N795" t="s">
        <v>41</v>
      </c>
      <c r="O795">
        <v>17</v>
      </c>
      <c r="P795">
        <v>3</v>
      </c>
      <c r="Q795">
        <v>0</v>
      </c>
      <c r="R795">
        <v>12</v>
      </c>
      <c r="S795">
        <v>3</v>
      </c>
      <c r="T795">
        <v>6</v>
      </c>
      <c r="U795">
        <v>1</v>
      </c>
      <c r="V795">
        <v>2</v>
      </c>
      <c r="W795" t="s">
        <v>56</v>
      </c>
      <c r="X795" s="1" t="d">
        <v>2015-05-07</v>
      </c>
      <c r="Z795" t="s">
        <v>59</v>
      </c>
      <c r="AA795" t="s">
        <v>40</v>
      </c>
      <c r="AB795">
        <v>1</v>
      </c>
      <c r="AC795">
        <v>0</v>
      </c>
      <c r="AD795" t="s">
        <v>41</v>
      </c>
      <c r="AE795" t="s">
        <v>42</v>
      </c>
      <c r="AF795" t="s">
        <v>48</v>
      </c>
      <c r="AG795">
        <f>IF(HR_Data[[#This Row],[Attrition]]="Yes",1,0)</f>
        <v>0</v>
      </c>
      <c r="AH795" t="str">
        <f>IF(HR_Data[Date_of_termination]="","Active","Left")</f>
        <v>Active</v>
      </c>
      <c r="AI795" t="str">
        <f>IF(HR_Data[YearsAtCompany]&lt;=2,"Fresher", IF(HR_Data[YearsAtCompany]&lt;=5,"Junior", IF(HR_Data[YearsAtCompany]&lt;=10, "Mid","Senior")))</f>
        <v>Mid</v>
      </c>
      <c r="AJ795" s="2" t="str">
        <f>IF(HR_Data[MonthlyIncome]&lt;=300,"Low", IF(HR_Data[MonthlyIncome]&lt;=7000,"Medium", "High"))</f>
        <v>High</v>
      </c>
      <c r="AK795" s="2" t="str">
        <f>VLOOKUP(HR_Data[JobRole], JobRole_Map[], 2, FALSE)</f>
        <v>Operations</v>
      </c>
    </row>
    <row r="796" spans="1:37" x14ac:dyDescent="0.25">
      <c r="A796" s="2">
        <v>37</v>
      </c>
      <c r="B796" t="s">
        <v>41</v>
      </c>
      <c r="C796" t="s">
        <v>33</v>
      </c>
      <c r="D796" t="s">
        <v>34</v>
      </c>
      <c r="E796">
        <v>1</v>
      </c>
      <c r="F796" t="s">
        <v>58</v>
      </c>
      <c r="G796">
        <v>3</v>
      </c>
      <c r="H796">
        <v>2</v>
      </c>
      <c r="I796" t="s">
        <v>67</v>
      </c>
      <c r="J796">
        <v>2</v>
      </c>
      <c r="K796" t="s">
        <v>50</v>
      </c>
      <c r="L796">
        <v>6447</v>
      </c>
      <c r="M796">
        <v>6</v>
      </c>
      <c r="N796" t="s">
        <v>41</v>
      </c>
      <c r="O796">
        <v>12</v>
      </c>
      <c r="P796">
        <v>3</v>
      </c>
      <c r="Q796">
        <v>1</v>
      </c>
      <c r="R796">
        <v>8</v>
      </c>
      <c r="S796">
        <v>2</v>
      </c>
      <c r="T796">
        <v>6</v>
      </c>
      <c r="U796">
        <v>4</v>
      </c>
      <c r="V796">
        <v>3</v>
      </c>
      <c r="W796" t="s">
        <v>38</v>
      </c>
      <c r="X796" s="1" t="d">
        <v>2015-06-22</v>
      </c>
      <c r="Z796" t="s">
        <v>52</v>
      </c>
      <c r="AA796" t="s">
        <v>40</v>
      </c>
      <c r="AB796">
        <v>3</v>
      </c>
      <c r="AC796">
        <v>0</v>
      </c>
      <c r="AD796" t="s">
        <v>32</v>
      </c>
      <c r="AE796" t="s">
        <v>42</v>
      </c>
      <c r="AF796" t="s">
        <v>57</v>
      </c>
      <c r="AG796">
        <f>IF(HR_Data[[#This Row],[Attrition]]="Yes",1,0)</f>
        <v>0</v>
      </c>
      <c r="AH796" t="str">
        <f>IF(HR_Data[Date_of_termination]="","Active","Left")</f>
        <v>Active</v>
      </c>
      <c r="AI796" t="str">
        <f>IF(HR_Data[YearsAtCompany]&lt;=2,"Fresher", IF(HR_Data[YearsAtCompany]&lt;=5,"Junior", IF(HR_Data[YearsAtCompany]&lt;=10, "Mid","Senior")))</f>
        <v>Mid</v>
      </c>
      <c r="AJ796" s="2" t="str">
        <f>IF(HR_Data[MonthlyIncome]&lt;=300,"Low", IF(HR_Data[MonthlyIncome]&lt;=7000,"Medium", "High"))</f>
        <v>Medium</v>
      </c>
      <c r="AK796" s="2" t="str">
        <f>VLOOKUP(HR_Data[JobRole], JobRole_Map[], 2, FALSE)</f>
        <v>Operations</v>
      </c>
    </row>
    <row r="797" spans="1:37" x14ac:dyDescent="0.25">
      <c r="A797" s="2">
        <v>24</v>
      </c>
      <c r="B797" t="s">
        <v>41</v>
      </c>
      <c r="C797" t="s">
        <v>33</v>
      </c>
      <c r="D797" t="s">
        <v>34</v>
      </c>
      <c r="E797">
        <v>23</v>
      </c>
      <c r="F797" t="s">
        <v>35</v>
      </c>
      <c r="G797">
        <v>4</v>
      </c>
      <c r="H797">
        <v>1</v>
      </c>
      <c r="I797" t="s">
        <v>44</v>
      </c>
      <c r="J797">
        <v>4</v>
      </c>
      <c r="K797" t="s">
        <v>50</v>
      </c>
      <c r="L797">
        <v>2725</v>
      </c>
      <c r="M797">
        <v>1</v>
      </c>
      <c r="N797" t="s">
        <v>32</v>
      </c>
      <c r="O797">
        <v>11</v>
      </c>
      <c r="P797">
        <v>3</v>
      </c>
      <c r="Q797">
        <v>2</v>
      </c>
      <c r="R797">
        <v>6</v>
      </c>
      <c r="S797">
        <v>3</v>
      </c>
      <c r="T797">
        <v>6</v>
      </c>
      <c r="U797">
        <v>1</v>
      </c>
      <c r="V797">
        <v>4</v>
      </c>
      <c r="W797" t="s">
        <v>51</v>
      </c>
      <c r="X797" s="1" t="d">
        <v>2015-03-18</v>
      </c>
      <c r="Z797" t="s">
        <v>59</v>
      </c>
      <c r="AA797" t="s">
        <v>40</v>
      </c>
      <c r="AB797">
        <v>1</v>
      </c>
      <c r="AC797">
        <v>3</v>
      </c>
      <c r="AD797" t="s">
        <v>41</v>
      </c>
      <c r="AE797" t="s">
        <v>60</v>
      </c>
      <c r="AF797" t="s">
        <v>48</v>
      </c>
      <c r="AG797">
        <f>IF(HR_Data[[#This Row],[Attrition]]="Yes",1,0)</f>
        <v>0</v>
      </c>
      <c r="AH797" t="str">
        <f>IF(HR_Data[Date_of_termination]="","Active","Left")</f>
        <v>Active</v>
      </c>
      <c r="AI797" t="str">
        <f>IF(HR_Data[YearsAtCompany]&lt;=2,"Fresher", IF(HR_Data[YearsAtCompany]&lt;=5,"Junior", IF(HR_Data[YearsAtCompany]&lt;=10, "Mid","Senior")))</f>
        <v>Mid</v>
      </c>
      <c r="AJ797" s="2" t="str">
        <f>IF(HR_Data[MonthlyIncome]&lt;=300,"Low", IF(HR_Data[MonthlyIncome]&lt;=7000,"Medium", "High"))</f>
        <v>Medium</v>
      </c>
      <c r="AK797" s="2" t="str">
        <f>VLOOKUP(HR_Data[JobRole], JobRole_Map[], 2, FALSE)</f>
        <v>Technical</v>
      </c>
    </row>
    <row r="798" spans="1:37" x14ac:dyDescent="0.25">
      <c r="A798" s="2">
        <v>24</v>
      </c>
      <c r="B798" t="s">
        <v>32</v>
      </c>
      <c r="C798" t="s">
        <v>61</v>
      </c>
      <c r="D798" t="s">
        <v>34</v>
      </c>
      <c r="E798">
        <v>7</v>
      </c>
      <c r="F798" t="s">
        <v>58</v>
      </c>
      <c r="G798">
        <v>3</v>
      </c>
      <c r="H798">
        <v>1</v>
      </c>
      <c r="I798" t="s">
        <v>36</v>
      </c>
      <c r="J798">
        <v>3</v>
      </c>
      <c r="K798" t="s">
        <v>50</v>
      </c>
      <c r="L798">
        <v>2886</v>
      </c>
      <c r="M798">
        <v>1</v>
      </c>
      <c r="N798" t="s">
        <v>32</v>
      </c>
      <c r="O798">
        <v>16</v>
      </c>
      <c r="P798">
        <v>3</v>
      </c>
      <c r="Q798">
        <v>1</v>
      </c>
      <c r="R798">
        <v>6</v>
      </c>
      <c r="S798">
        <v>4</v>
      </c>
      <c r="T798">
        <v>6</v>
      </c>
      <c r="U798">
        <v>1</v>
      </c>
      <c r="V798">
        <v>2</v>
      </c>
      <c r="W798" t="s">
        <v>56</v>
      </c>
      <c r="X798" s="1" t="d">
        <v>2015-01-01</v>
      </c>
      <c r="Z798" t="s">
        <v>45</v>
      </c>
      <c r="AA798" t="s">
        <v>46</v>
      </c>
      <c r="AB798">
        <v>0</v>
      </c>
      <c r="AC798">
        <v>0</v>
      </c>
      <c r="AD798" t="s">
        <v>32</v>
      </c>
      <c r="AE798" t="s">
        <v>62</v>
      </c>
      <c r="AF798" t="s">
        <v>43</v>
      </c>
      <c r="AG798">
        <f>IF(HR_Data[[#This Row],[Attrition]]="Yes",1,0)</f>
        <v>1</v>
      </c>
      <c r="AH798" t="str">
        <f>IF(HR_Data[Date_of_termination]="","Active","Left")</f>
        <v>Active</v>
      </c>
      <c r="AI798" t="str">
        <f>IF(HR_Data[YearsAtCompany]&lt;=2,"Fresher", IF(HR_Data[YearsAtCompany]&lt;=5,"Junior", IF(HR_Data[YearsAtCompany]&lt;=10, "Mid","Senior")))</f>
        <v>Mid</v>
      </c>
      <c r="AJ798" s="2" t="str">
        <f>IF(HR_Data[MonthlyIncome]&lt;=300,"Low", IF(HR_Data[MonthlyIncome]&lt;=7000,"Medium", "High"))</f>
        <v>Medium</v>
      </c>
      <c r="AK798" s="2" t="str">
        <f>VLOOKUP(HR_Data[JobRole], JobRole_Map[], 2, FALSE)</f>
        <v>Technical</v>
      </c>
    </row>
    <row r="799" spans="1:37" x14ac:dyDescent="0.25">
      <c r="A799" s="2">
        <v>34</v>
      </c>
      <c r="B799" t="s">
        <v>41</v>
      </c>
      <c r="C799" t="s">
        <v>33</v>
      </c>
      <c r="D799" t="s">
        <v>34</v>
      </c>
      <c r="E799">
        <v>1</v>
      </c>
      <c r="F799" t="s">
        <v>35</v>
      </c>
      <c r="G799">
        <v>2</v>
      </c>
      <c r="H799">
        <v>1</v>
      </c>
      <c r="I799" t="s">
        <v>44</v>
      </c>
      <c r="J799">
        <v>4</v>
      </c>
      <c r="K799" t="s">
        <v>50</v>
      </c>
      <c r="L799">
        <v>3622</v>
      </c>
      <c r="M799">
        <v>1</v>
      </c>
      <c r="N799" t="s">
        <v>32</v>
      </c>
      <c r="O799">
        <v>13</v>
      </c>
      <c r="P799">
        <v>3</v>
      </c>
      <c r="Q799">
        <v>1</v>
      </c>
      <c r="R799">
        <v>6</v>
      </c>
      <c r="S799">
        <v>3</v>
      </c>
      <c r="T799">
        <v>6</v>
      </c>
      <c r="U799">
        <v>1</v>
      </c>
      <c r="V799">
        <v>3</v>
      </c>
      <c r="W799" t="s">
        <v>65</v>
      </c>
      <c r="X799" s="1" t="d">
        <v>2015-03-26</v>
      </c>
      <c r="Z799" t="s">
        <v>63</v>
      </c>
      <c r="AA799" t="s">
        <v>46</v>
      </c>
      <c r="AB799">
        <v>3</v>
      </c>
      <c r="AC799">
        <v>1</v>
      </c>
      <c r="AD799" t="s">
        <v>32</v>
      </c>
      <c r="AE799" t="s">
        <v>42</v>
      </c>
      <c r="AF799" t="s">
        <v>48</v>
      </c>
      <c r="AG799">
        <f>IF(HR_Data[[#This Row],[Attrition]]="Yes",1,0)</f>
        <v>0</v>
      </c>
      <c r="AH799" t="str">
        <f>IF(HR_Data[Date_of_termination]="","Active","Left")</f>
        <v>Active</v>
      </c>
      <c r="AI799" t="str">
        <f>IF(HR_Data[YearsAtCompany]&lt;=2,"Fresher", IF(HR_Data[YearsAtCompany]&lt;=5,"Junior", IF(HR_Data[YearsAtCompany]&lt;=10, "Mid","Senior")))</f>
        <v>Mid</v>
      </c>
      <c r="AJ799" s="2" t="str">
        <f>IF(HR_Data[MonthlyIncome]&lt;=300,"Low", IF(HR_Data[MonthlyIncome]&lt;=7000,"Medium", "High"))</f>
        <v>Medium</v>
      </c>
      <c r="AK799" s="2" t="str">
        <f>VLOOKUP(HR_Data[JobRole], JobRole_Map[], 2, FALSE)</f>
        <v>Technical</v>
      </c>
    </row>
    <row r="800" spans="1:37" x14ac:dyDescent="0.25">
      <c r="A800" s="2">
        <v>32</v>
      </c>
      <c r="B800" t="s">
        <v>41</v>
      </c>
      <c r="C800" t="s">
        <v>33</v>
      </c>
      <c r="D800" t="s">
        <v>34</v>
      </c>
      <c r="E800">
        <v>9</v>
      </c>
      <c r="F800" t="s">
        <v>58</v>
      </c>
      <c r="G800">
        <v>3</v>
      </c>
      <c r="H800">
        <v>2</v>
      </c>
      <c r="I800" t="s">
        <v>44</v>
      </c>
      <c r="J800">
        <v>4</v>
      </c>
      <c r="K800" t="s">
        <v>50</v>
      </c>
      <c r="L800">
        <v>6322</v>
      </c>
      <c r="M800">
        <v>1</v>
      </c>
      <c r="N800" t="s">
        <v>32</v>
      </c>
      <c r="O800">
        <v>12</v>
      </c>
      <c r="P800">
        <v>3</v>
      </c>
      <c r="Q800">
        <v>1</v>
      </c>
      <c r="R800">
        <v>6</v>
      </c>
      <c r="S800">
        <v>2</v>
      </c>
      <c r="T800">
        <v>6</v>
      </c>
      <c r="U800">
        <v>0</v>
      </c>
      <c r="V800">
        <v>5</v>
      </c>
      <c r="W800" t="s">
        <v>51</v>
      </c>
      <c r="X800" s="1" t="d">
        <v>2015-05-16</v>
      </c>
      <c r="Z800" t="s">
        <v>52</v>
      </c>
      <c r="AA800" t="s">
        <v>46</v>
      </c>
      <c r="AB800">
        <v>4</v>
      </c>
      <c r="AC800">
        <v>3</v>
      </c>
      <c r="AD800" t="s">
        <v>32</v>
      </c>
      <c r="AE800" t="s">
        <v>60</v>
      </c>
      <c r="AF800" t="s">
        <v>43</v>
      </c>
      <c r="AG800">
        <f>IF(HR_Data[[#This Row],[Attrition]]="Yes",1,0)</f>
        <v>0</v>
      </c>
      <c r="AH800" t="str">
        <f>IF(HR_Data[Date_of_termination]="","Active","Left")</f>
        <v>Active</v>
      </c>
      <c r="AI800" t="str">
        <f>IF(HR_Data[YearsAtCompany]&lt;=2,"Fresher", IF(HR_Data[YearsAtCompany]&lt;=5,"Junior", IF(HR_Data[YearsAtCompany]&lt;=10, "Mid","Senior")))</f>
        <v>Mid</v>
      </c>
      <c r="AJ800" s="2" t="str">
        <f>IF(HR_Data[MonthlyIncome]&lt;=300,"Low", IF(HR_Data[MonthlyIncome]&lt;=7000,"Medium", "High"))</f>
        <v>Medium</v>
      </c>
      <c r="AK800" s="2" t="str">
        <f>VLOOKUP(HR_Data[JobRole], JobRole_Map[], 2, FALSE)</f>
        <v>Technical</v>
      </c>
    </row>
    <row r="801" spans="1:37" x14ac:dyDescent="0.25">
      <c r="A801" s="2">
        <v>29</v>
      </c>
      <c r="B801" t="s">
        <v>41</v>
      </c>
      <c r="C801" t="s">
        <v>33</v>
      </c>
      <c r="D801" t="s">
        <v>53</v>
      </c>
      <c r="E801">
        <v>3</v>
      </c>
      <c r="F801" t="s">
        <v>58</v>
      </c>
      <c r="G801">
        <v>3</v>
      </c>
      <c r="H801">
        <v>2</v>
      </c>
      <c r="I801" t="s">
        <v>64</v>
      </c>
      <c r="J801">
        <v>3</v>
      </c>
      <c r="K801" t="s">
        <v>50</v>
      </c>
      <c r="L801">
        <v>5561</v>
      </c>
      <c r="M801">
        <v>1</v>
      </c>
      <c r="N801" t="s">
        <v>41</v>
      </c>
      <c r="O801">
        <v>14</v>
      </c>
      <c r="P801">
        <v>3</v>
      </c>
      <c r="Q801">
        <v>1</v>
      </c>
      <c r="R801">
        <v>6</v>
      </c>
      <c r="S801">
        <v>5</v>
      </c>
      <c r="T801">
        <v>6</v>
      </c>
      <c r="U801">
        <v>1</v>
      </c>
      <c r="V801">
        <v>2</v>
      </c>
      <c r="W801" t="s">
        <v>38</v>
      </c>
      <c r="X801" s="1" t="d">
        <v>2015-06-27</v>
      </c>
      <c r="Z801" t="s">
        <v>59</v>
      </c>
      <c r="AA801" t="s">
        <v>40</v>
      </c>
      <c r="AB801">
        <v>0</v>
      </c>
      <c r="AC801">
        <v>1</v>
      </c>
      <c r="AD801" t="s">
        <v>32</v>
      </c>
      <c r="AE801" t="s">
        <v>47</v>
      </c>
      <c r="AF801" t="s">
        <v>57</v>
      </c>
      <c r="AG801">
        <f>IF(HR_Data[[#This Row],[Attrition]]="Yes",1,0)</f>
        <v>0</v>
      </c>
      <c r="AH801" t="str">
        <f>IF(HR_Data[Date_of_termination]="","Active","Left")</f>
        <v>Active</v>
      </c>
      <c r="AI801" t="str">
        <f>IF(HR_Data[YearsAtCompany]&lt;=2,"Fresher", IF(HR_Data[YearsAtCompany]&lt;=5,"Junior", IF(HR_Data[YearsAtCompany]&lt;=10, "Mid","Senior")))</f>
        <v>Mid</v>
      </c>
      <c r="AJ801" s="2" t="str">
        <f>IF(HR_Data[MonthlyIncome]&lt;=300,"Low", IF(HR_Data[MonthlyIncome]&lt;=7000,"Medium", "High"))</f>
        <v>Medium</v>
      </c>
      <c r="AK801" s="2" t="str">
        <f>VLOOKUP(HR_Data[JobRole], JobRole_Map[], 2, FALSE)</f>
        <v>Sales</v>
      </c>
    </row>
    <row r="802" spans="1:37" x14ac:dyDescent="0.25">
      <c r="A802" s="2">
        <v>27</v>
      </c>
      <c r="B802" t="s">
        <v>41</v>
      </c>
      <c r="C802" t="s">
        <v>61</v>
      </c>
      <c r="D802" t="s">
        <v>53</v>
      </c>
      <c r="E802">
        <v>3</v>
      </c>
      <c r="F802" t="s">
        <v>58</v>
      </c>
      <c r="G802">
        <v>4</v>
      </c>
      <c r="H802">
        <v>2</v>
      </c>
      <c r="I802" t="s">
        <v>64</v>
      </c>
      <c r="J802">
        <v>4</v>
      </c>
      <c r="K802" t="s">
        <v>55</v>
      </c>
      <c r="L802">
        <v>4647</v>
      </c>
      <c r="M802">
        <v>1</v>
      </c>
      <c r="N802" t="s">
        <v>32</v>
      </c>
      <c r="O802">
        <v>20</v>
      </c>
      <c r="P802">
        <v>4</v>
      </c>
      <c r="Q802">
        <v>2</v>
      </c>
      <c r="R802">
        <v>6</v>
      </c>
      <c r="S802">
        <v>3</v>
      </c>
      <c r="T802">
        <v>6</v>
      </c>
      <c r="U802">
        <v>0</v>
      </c>
      <c r="V802">
        <v>4</v>
      </c>
      <c r="W802" t="s">
        <v>56</v>
      </c>
      <c r="X802" s="1" t="d">
        <v>2015-04-12</v>
      </c>
      <c r="Z802" t="s">
        <v>39</v>
      </c>
      <c r="AA802" t="s">
        <v>46</v>
      </c>
      <c r="AB802">
        <v>4</v>
      </c>
      <c r="AC802">
        <v>2</v>
      </c>
      <c r="AD802" t="s">
        <v>32</v>
      </c>
      <c r="AE802" t="s">
        <v>42</v>
      </c>
      <c r="AF802" t="s">
        <v>43</v>
      </c>
      <c r="AG802">
        <f>IF(HR_Data[[#This Row],[Attrition]]="Yes",1,0)</f>
        <v>0</v>
      </c>
      <c r="AH802" t="str">
        <f>IF(HR_Data[Date_of_termination]="","Active","Left")</f>
        <v>Active</v>
      </c>
      <c r="AI802" t="str">
        <f>IF(HR_Data[YearsAtCompany]&lt;=2,"Fresher", IF(HR_Data[YearsAtCompany]&lt;=5,"Junior", IF(HR_Data[YearsAtCompany]&lt;=10, "Mid","Senior")))</f>
        <v>Mid</v>
      </c>
      <c r="AJ802" s="2" t="str">
        <f>IF(HR_Data[MonthlyIncome]&lt;=300,"Low", IF(HR_Data[MonthlyIncome]&lt;=7000,"Medium", "High"))</f>
        <v>Medium</v>
      </c>
      <c r="AK802" s="2" t="str">
        <f>VLOOKUP(HR_Data[JobRole], JobRole_Map[], 2, FALSE)</f>
        <v>Sales</v>
      </c>
    </row>
    <row r="803" spans="1:37" x14ac:dyDescent="0.25">
      <c r="A803" s="2">
        <v>25</v>
      </c>
      <c r="B803" t="s">
        <v>41</v>
      </c>
      <c r="C803" t="s">
        <v>33</v>
      </c>
      <c r="D803" t="s">
        <v>53</v>
      </c>
      <c r="E803">
        <v>26</v>
      </c>
      <c r="F803" t="s">
        <v>58</v>
      </c>
      <c r="G803">
        <v>3</v>
      </c>
      <c r="H803">
        <v>2</v>
      </c>
      <c r="I803" t="s">
        <v>64</v>
      </c>
      <c r="J803">
        <v>4</v>
      </c>
      <c r="K803" t="s">
        <v>37</v>
      </c>
      <c r="L803">
        <v>6180</v>
      </c>
      <c r="M803">
        <v>1</v>
      </c>
      <c r="N803" t="s">
        <v>41</v>
      </c>
      <c r="O803">
        <v>23</v>
      </c>
      <c r="P803">
        <v>4</v>
      </c>
      <c r="Q803">
        <v>0</v>
      </c>
      <c r="R803">
        <v>6</v>
      </c>
      <c r="S803">
        <v>5</v>
      </c>
      <c r="T803">
        <v>6</v>
      </c>
      <c r="U803">
        <v>1</v>
      </c>
      <c r="V803">
        <v>4</v>
      </c>
      <c r="W803" t="s">
        <v>38</v>
      </c>
      <c r="X803" s="1" t="d">
        <v>2015-01-04</v>
      </c>
      <c r="Z803" t="s">
        <v>59</v>
      </c>
      <c r="AA803" t="s">
        <v>46</v>
      </c>
      <c r="AB803">
        <v>3</v>
      </c>
      <c r="AC803">
        <v>0</v>
      </c>
      <c r="AD803" t="s">
        <v>41</v>
      </c>
      <c r="AE803" t="s">
        <v>47</v>
      </c>
      <c r="AF803" t="s">
        <v>48</v>
      </c>
      <c r="AG803">
        <f>IF(HR_Data[[#This Row],[Attrition]]="Yes",1,0)</f>
        <v>0</v>
      </c>
      <c r="AH803" t="str">
        <f>IF(HR_Data[Date_of_termination]="","Active","Left")</f>
        <v>Active</v>
      </c>
      <c r="AI803" t="str">
        <f>IF(HR_Data[YearsAtCompany]&lt;=2,"Fresher", IF(HR_Data[YearsAtCompany]&lt;=5,"Junior", IF(HR_Data[YearsAtCompany]&lt;=10, "Mid","Senior")))</f>
        <v>Mid</v>
      </c>
      <c r="AJ803" s="2" t="str">
        <f>IF(HR_Data[MonthlyIncome]&lt;=300,"Low", IF(HR_Data[MonthlyIncome]&lt;=7000,"Medium", "High"))</f>
        <v>Medium</v>
      </c>
      <c r="AK803" s="2" t="str">
        <f>VLOOKUP(HR_Data[JobRole], JobRole_Map[], 2, FALSE)</f>
        <v>Sales</v>
      </c>
    </row>
    <row r="804" spans="1:37" x14ac:dyDescent="0.25">
      <c r="A804" s="2">
        <v>34</v>
      </c>
      <c r="B804" t="s">
        <v>41</v>
      </c>
      <c r="C804" t="s">
        <v>33</v>
      </c>
      <c r="D804" t="s">
        <v>53</v>
      </c>
      <c r="E804">
        <v>2</v>
      </c>
      <c r="F804" t="s">
        <v>35</v>
      </c>
      <c r="G804">
        <v>3</v>
      </c>
      <c r="H804">
        <v>2</v>
      </c>
      <c r="I804" t="s">
        <v>64</v>
      </c>
      <c r="J804">
        <v>4</v>
      </c>
      <c r="K804" t="s">
        <v>37</v>
      </c>
      <c r="L804">
        <v>6274</v>
      </c>
      <c r="M804">
        <v>1</v>
      </c>
      <c r="N804" t="s">
        <v>41</v>
      </c>
      <c r="O804">
        <v>22</v>
      </c>
      <c r="P804">
        <v>4</v>
      </c>
      <c r="Q804">
        <v>0</v>
      </c>
      <c r="R804">
        <v>6</v>
      </c>
      <c r="S804">
        <v>5</v>
      </c>
      <c r="T804">
        <v>6</v>
      </c>
      <c r="U804">
        <v>1</v>
      </c>
      <c r="V804">
        <v>4</v>
      </c>
      <c r="W804" t="s">
        <v>51</v>
      </c>
      <c r="X804" s="1" t="d">
        <v>2015-04-04</v>
      </c>
      <c r="Z804" t="s">
        <v>63</v>
      </c>
      <c r="AA804" t="s">
        <v>40</v>
      </c>
      <c r="AB804">
        <v>1</v>
      </c>
      <c r="AC804">
        <v>1</v>
      </c>
      <c r="AD804" t="s">
        <v>32</v>
      </c>
      <c r="AE804" t="s">
        <v>47</v>
      </c>
      <c r="AF804" t="s">
        <v>43</v>
      </c>
      <c r="AG804">
        <f>IF(HR_Data[[#This Row],[Attrition]]="Yes",1,0)</f>
        <v>0</v>
      </c>
      <c r="AH804" t="str">
        <f>IF(HR_Data[Date_of_termination]="","Active","Left")</f>
        <v>Active</v>
      </c>
      <c r="AI804" t="str">
        <f>IF(HR_Data[YearsAtCompany]&lt;=2,"Fresher", IF(HR_Data[YearsAtCompany]&lt;=5,"Junior", IF(HR_Data[YearsAtCompany]&lt;=10, "Mid","Senior")))</f>
        <v>Mid</v>
      </c>
      <c r="AJ804" s="2" t="str">
        <f>IF(HR_Data[MonthlyIncome]&lt;=300,"Low", IF(HR_Data[MonthlyIncome]&lt;=7000,"Medium", "High"))</f>
        <v>Medium</v>
      </c>
      <c r="AK804" s="2" t="str">
        <f>VLOOKUP(HR_Data[JobRole], JobRole_Map[], 2, FALSE)</f>
        <v>Sales</v>
      </c>
    </row>
    <row r="805" spans="1:37" x14ac:dyDescent="0.25">
      <c r="A805" s="2">
        <v>34</v>
      </c>
      <c r="B805" t="s">
        <v>41</v>
      </c>
      <c r="C805" t="s">
        <v>33</v>
      </c>
      <c r="D805" t="s">
        <v>34</v>
      </c>
      <c r="E805">
        <v>2</v>
      </c>
      <c r="F805" t="s">
        <v>58</v>
      </c>
      <c r="G805">
        <v>2</v>
      </c>
      <c r="H805">
        <v>1</v>
      </c>
      <c r="I805" t="s">
        <v>44</v>
      </c>
      <c r="J805">
        <v>1</v>
      </c>
      <c r="K805" t="s">
        <v>37</v>
      </c>
      <c r="L805">
        <v>4381</v>
      </c>
      <c r="M805">
        <v>1</v>
      </c>
      <c r="N805" t="s">
        <v>41</v>
      </c>
      <c r="O805">
        <v>11</v>
      </c>
      <c r="P805">
        <v>3</v>
      </c>
      <c r="Q805">
        <v>0</v>
      </c>
      <c r="R805">
        <v>6</v>
      </c>
      <c r="S805">
        <v>3</v>
      </c>
      <c r="T805">
        <v>6</v>
      </c>
      <c r="U805">
        <v>1</v>
      </c>
      <c r="V805">
        <v>3</v>
      </c>
      <c r="W805" t="s">
        <v>38</v>
      </c>
      <c r="X805" s="1" t="d">
        <v>2015-01-08</v>
      </c>
      <c r="Z805" t="s">
        <v>52</v>
      </c>
      <c r="AA805" t="s">
        <v>46</v>
      </c>
      <c r="AB805">
        <v>1</v>
      </c>
      <c r="AC805">
        <v>3</v>
      </c>
      <c r="AD805" t="s">
        <v>32</v>
      </c>
      <c r="AE805" t="s">
        <v>47</v>
      </c>
      <c r="AF805" t="s">
        <v>57</v>
      </c>
      <c r="AG805">
        <f>IF(HR_Data[[#This Row],[Attrition]]="Yes",1,0)</f>
        <v>0</v>
      </c>
      <c r="AH805" t="str">
        <f>IF(HR_Data[Date_of_termination]="","Active","Left")</f>
        <v>Active</v>
      </c>
      <c r="AI805" t="str">
        <f>IF(HR_Data[YearsAtCompany]&lt;=2,"Fresher", IF(HR_Data[YearsAtCompany]&lt;=5,"Junior", IF(HR_Data[YearsAtCompany]&lt;=10, "Mid","Senior")))</f>
        <v>Mid</v>
      </c>
      <c r="AJ805" s="2" t="str">
        <f>IF(HR_Data[MonthlyIncome]&lt;=300,"Low", IF(HR_Data[MonthlyIncome]&lt;=7000,"Medium", "High"))</f>
        <v>Medium</v>
      </c>
      <c r="AK805" s="2" t="str">
        <f>VLOOKUP(HR_Data[JobRole], JobRole_Map[], 2, FALSE)</f>
        <v>Technical</v>
      </c>
    </row>
    <row r="806" spans="1:37" x14ac:dyDescent="0.25">
      <c r="A806" s="2">
        <v>35</v>
      </c>
      <c r="B806" t="s">
        <v>41</v>
      </c>
      <c r="C806" t="s">
        <v>33</v>
      </c>
      <c r="D806" t="s">
        <v>34</v>
      </c>
      <c r="E806">
        <v>27</v>
      </c>
      <c r="F806" t="s">
        <v>58</v>
      </c>
      <c r="G806">
        <v>2</v>
      </c>
      <c r="H806">
        <v>1</v>
      </c>
      <c r="I806" t="s">
        <v>44</v>
      </c>
      <c r="J806">
        <v>1</v>
      </c>
      <c r="K806" t="s">
        <v>37</v>
      </c>
      <c r="L806">
        <v>2559</v>
      </c>
      <c r="M806">
        <v>1</v>
      </c>
      <c r="N806" t="s">
        <v>41</v>
      </c>
      <c r="O806">
        <v>11</v>
      </c>
      <c r="P806">
        <v>3</v>
      </c>
      <c r="Q806">
        <v>0</v>
      </c>
      <c r="R806">
        <v>6</v>
      </c>
      <c r="S806">
        <v>3</v>
      </c>
      <c r="T806">
        <v>6</v>
      </c>
      <c r="U806">
        <v>1</v>
      </c>
      <c r="V806">
        <v>1</v>
      </c>
      <c r="W806" t="s">
        <v>65</v>
      </c>
      <c r="X806" s="1" t="d">
        <v>2015-06-03</v>
      </c>
      <c r="Z806" t="s">
        <v>63</v>
      </c>
      <c r="AA806" t="s">
        <v>40</v>
      </c>
      <c r="AB806">
        <v>1</v>
      </c>
      <c r="AC806">
        <v>3</v>
      </c>
      <c r="AD806" t="s">
        <v>32</v>
      </c>
      <c r="AE806" t="s">
        <v>47</v>
      </c>
      <c r="AF806" t="s">
        <v>57</v>
      </c>
      <c r="AG806">
        <f>IF(HR_Data[[#This Row],[Attrition]]="Yes",1,0)</f>
        <v>0</v>
      </c>
      <c r="AH806" t="str">
        <f>IF(HR_Data[Date_of_termination]="","Active","Left")</f>
        <v>Active</v>
      </c>
      <c r="AI806" t="str">
        <f>IF(HR_Data[YearsAtCompany]&lt;=2,"Fresher", IF(HR_Data[YearsAtCompany]&lt;=5,"Junior", IF(HR_Data[YearsAtCompany]&lt;=10, "Mid","Senior")))</f>
        <v>Mid</v>
      </c>
      <c r="AJ806" s="2" t="str">
        <f>IF(HR_Data[MonthlyIncome]&lt;=300,"Low", IF(HR_Data[MonthlyIncome]&lt;=7000,"Medium", "High"))</f>
        <v>Medium</v>
      </c>
      <c r="AK806" s="2" t="str">
        <f>VLOOKUP(HR_Data[JobRole], JobRole_Map[], 2, FALSE)</f>
        <v>Technical</v>
      </c>
    </row>
    <row r="807" spans="1:37" x14ac:dyDescent="0.25">
      <c r="A807" s="2">
        <v>31</v>
      </c>
      <c r="B807" t="s">
        <v>41</v>
      </c>
      <c r="C807" t="s">
        <v>33</v>
      </c>
      <c r="D807" t="s">
        <v>34</v>
      </c>
      <c r="E807">
        <v>11</v>
      </c>
      <c r="F807" t="s">
        <v>35</v>
      </c>
      <c r="G807">
        <v>3</v>
      </c>
      <c r="H807">
        <v>1</v>
      </c>
      <c r="I807" t="s">
        <v>44</v>
      </c>
      <c r="J807">
        <v>4</v>
      </c>
      <c r="K807" t="s">
        <v>50</v>
      </c>
      <c r="L807">
        <v>2356</v>
      </c>
      <c r="M807">
        <v>3</v>
      </c>
      <c r="N807" t="s">
        <v>32</v>
      </c>
      <c r="O807">
        <v>19</v>
      </c>
      <c r="P807">
        <v>3</v>
      </c>
      <c r="Q807">
        <v>1</v>
      </c>
      <c r="R807">
        <v>8</v>
      </c>
      <c r="S807">
        <v>2</v>
      </c>
      <c r="T807">
        <v>6</v>
      </c>
      <c r="U807">
        <v>0</v>
      </c>
      <c r="V807">
        <v>2</v>
      </c>
      <c r="W807" t="s">
        <v>56</v>
      </c>
      <c r="X807" s="1" t="d">
        <v>2015-05-28</v>
      </c>
      <c r="Z807" t="s">
        <v>63</v>
      </c>
      <c r="AA807" t="s">
        <v>40</v>
      </c>
      <c r="AB807">
        <v>3</v>
      </c>
      <c r="AC807">
        <v>1</v>
      </c>
      <c r="AD807" t="s">
        <v>41</v>
      </c>
      <c r="AE807" t="s">
        <v>47</v>
      </c>
      <c r="AF807" t="s">
        <v>43</v>
      </c>
      <c r="AG807">
        <f>IF(HR_Data[[#This Row],[Attrition]]="Yes",1,0)</f>
        <v>0</v>
      </c>
      <c r="AH807" t="str">
        <f>IF(HR_Data[Date_of_termination]="","Active","Left")</f>
        <v>Active</v>
      </c>
      <c r="AI807" t="str">
        <f>IF(HR_Data[YearsAtCompany]&lt;=2,"Fresher", IF(HR_Data[YearsAtCompany]&lt;=5,"Junior", IF(HR_Data[YearsAtCompany]&lt;=10, "Mid","Senior")))</f>
        <v>Mid</v>
      </c>
      <c r="AJ807" s="2" t="str">
        <f>IF(HR_Data[MonthlyIncome]&lt;=300,"Low", IF(HR_Data[MonthlyIncome]&lt;=7000,"Medium", "High"))</f>
        <v>Medium</v>
      </c>
      <c r="AK807" s="2" t="str">
        <f>VLOOKUP(HR_Data[JobRole], JobRole_Map[], 2, FALSE)</f>
        <v>Technical</v>
      </c>
    </row>
    <row r="808" spans="1:37" x14ac:dyDescent="0.25">
      <c r="A808" s="2">
        <v>58</v>
      </c>
      <c r="B808" t="s">
        <v>41</v>
      </c>
      <c r="C808" t="s">
        <v>33</v>
      </c>
      <c r="D808" t="s">
        <v>34</v>
      </c>
      <c r="E808">
        <v>5</v>
      </c>
      <c r="F808" t="s">
        <v>58</v>
      </c>
      <c r="G808">
        <v>2</v>
      </c>
      <c r="H808">
        <v>3</v>
      </c>
      <c r="I808" t="s">
        <v>69</v>
      </c>
      <c r="J808">
        <v>2</v>
      </c>
      <c r="K808" t="s">
        <v>55</v>
      </c>
      <c r="L808">
        <v>10552</v>
      </c>
      <c r="M808">
        <v>2</v>
      </c>
      <c r="N808" t="s">
        <v>32</v>
      </c>
      <c r="O808">
        <v>13</v>
      </c>
      <c r="P808">
        <v>3</v>
      </c>
      <c r="Q808">
        <v>1</v>
      </c>
      <c r="R808">
        <v>24</v>
      </c>
      <c r="S808">
        <v>3</v>
      </c>
      <c r="T808">
        <v>6</v>
      </c>
      <c r="U808">
        <v>0</v>
      </c>
      <c r="V808">
        <v>4</v>
      </c>
      <c r="W808" t="s">
        <v>65</v>
      </c>
      <c r="X808" s="1" t="d">
        <v>2015-05-26</v>
      </c>
      <c r="Z808" t="s">
        <v>39</v>
      </c>
      <c r="AA808" t="s">
        <v>46</v>
      </c>
      <c r="AB808">
        <v>1</v>
      </c>
      <c r="AC808">
        <v>2</v>
      </c>
      <c r="AD808" t="s">
        <v>41</v>
      </c>
      <c r="AE808" t="s">
        <v>60</v>
      </c>
      <c r="AF808" t="s">
        <v>48</v>
      </c>
      <c r="AG808">
        <f>IF(HR_Data[[#This Row],[Attrition]]="Yes",1,0)</f>
        <v>0</v>
      </c>
      <c r="AH808" t="str">
        <f>IF(HR_Data[Date_of_termination]="","Active","Left")</f>
        <v>Active</v>
      </c>
      <c r="AI808" t="str">
        <f>IF(HR_Data[YearsAtCompany]&lt;=2,"Fresher", IF(HR_Data[YearsAtCompany]&lt;=5,"Junior", IF(HR_Data[YearsAtCompany]&lt;=10, "Mid","Senior")))</f>
        <v>Mid</v>
      </c>
      <c r="AJ808" s="2" t="str">
        <f>IF(HR_Data[MonthlyIncome]&lt;=300,"Low", IF(HR_Data[MonthlyIncome]&lt;=7000,"Medium", "High"))</f>
        <v>High</v>
      </c>
      <c r="AK808" s="2" t="str">
        <f>VLOOKUP(HR_Data[JobRole], JobRole_Map[], 2, FALSE)</f>
        <v>Operations</v>
      </c>
    </row>
    <row r="809" spans="1:37" x14ac:dyDescent="0.25">
      <c r="A809" s="2">
        <v>36</v>
      </c>
      <c r="B809" t="s">
        <v>41</v>
      </c>
      <c r="C809" t="s">
        <v>33</v>
      </c>
      <c r="D809" t="s">
        <v>34</v>
      </c>
      <c r="E809">
        <v>7</v>
      </c>
      <c r="F809" t="s">
        <v>35</v>
      </c>
      <c r="G809">
        <v>3</v>
      </c>
      <c r="H809">
        <v>1</v>
      </c>
      <c r="I809" t="s">
        <v>44</v>
      </c>
      <c r="J809">
        <v>4</v>
      </c>
      <c r="K809" t="s">
        <v>37</v>
      </c>
      <c r="L809">
        <v>4678</v>
      </c>
      <c r="M809">
        <v>2</v>
      </c>
      <c r="N809" t="s">
        <v>41</v>
      </c>
      <c r="O809">
        <v>18</v>
      </c>
      <c r="P809">
        <v>3</v>
      </c>
      <c r="Q809">
        <v>0</v>
      </c>
      <c r="R809">
        <v>8</v>
      </c>
      <c r="S809">
        <v>6</v>
      </c>
      <c r="T809">
        <v>6</v>
      </c>
      <c r="U809">
        <v>0</v>
      </c>
      <c r="V809">
        <v>1</v>
      </c>
      <c r="W809" t="s">
        <v>56</v>
      </c>
      <c r="X809" s="1" t="d">
        <v>2015-05-14</v>
      </c>
      <c r="Z809" t="s">
        <v>39</v>
      </c>
      <c r="AA809" t="s">
        <v>40</v>
      </c>
      <c r="AB809">
        <v>2</v>
      </c>
      <c r="AC809">
        <v>2</v>
      </c>
      <c r="AD809" t="s">
        <v>41</v>
      </c>
      <c r="AE809" t="s">
        <v>47</v>
      </c>
      <c r="AF809" t="s">
        <v>57</v>
      </c>
      <c r="AG809">
        <f>IF(HR_Data[[#This Row],[Attrition]]="Yes",1,0)</f>
        <v>0</v>
      </c>
      <c r="AH809" t="str">
        <f>IF(HR_Data[Date_of_termination]="","Active","Left")</f>
        <v>Active</v>
      </c>
      <c r="AI809" t="str">
        <f>IF(HR_Data[YearsAtCompany]&lt;=2,"Fresher", IF(HR_Data[YearsAtCompany]&lt;=5,"Junior", IF(HR_Data[YearsAtCompany]&lt;=10, "Mid","Senior")))</f>
        <v>Mid</v>
      </c>
      <c r="AJ809" s="2" t="str">
        <f>IF(HR_Data[MonthlyIncome]&lt;=300,"Low", IF(HR_Data[MonthlyIncome]&lt;=7000,"Medium", "High"))</f>
        <v>Medium</v>
      </c>
      <c r="AK809" s="2" t="str">
        <f>VLOOKUP(HR_Data[JobRole], JobRole_Map[], 2, FALSE)</f>
        <v>Technical</v>
      </c>
    </row>
    <row r="810" spans="1:37" x14ac:dyDescent="0.25">
      <c r="A810" s="2">
        <v>33</v>
      </c>
      <c r="B810" t="s">
        <v>41</v>
      </c>
      <c r="C810" t="s">
        <v>61</v>
      </c>
      <c r="D810" t="s">
        <v>34</v>
      </c>
      <c r="E810">
        <v>1</v>
      </c>
      <c r="F810" t="s">
        <v>58</v>
      </c>
      <c r="G810">
        <v>4</v>
      </c>
      <c r="H810">
        <v>2</v>
      </c>
      <c r="I810" t="s">
        <v>69</v>
      </c>
      <c r="J810">
        <v>2</v>
      </c>
      <c r="K810" t="s">
        <v>50</v>
      </c>
      <c r="L810">
        <v>5488</v>
      </c>
      <c r="M810">
        <v>1</v>
      </c>
      <c r="N810" t="s">
        <v>32</v>
      </c>
      <c r="O810">
        <v>13</v>
      </c>
      <c r="P810">
        <v>3</v>
      </c>
      <c r="Q810">
        <v>1</v>
      </c>
      <c r="R810">
        <v>6</v>
      </c>
      <c r="S810">
        <v>2</v>
      </c>
      <c r="T810">
        <v>6</v>
      </c>
      <c r="U810">
        <v>1</v>
      </c>
      <c r="V810">
        <v>2</v>
      </c>
      <c r="W810" t="s">
        <v>65</v>
      </c>
      <c r="X810" s="1" t="d">
        <v>2015-04-20</v>
      </c>
      <c r="Z810" t="s">
        <v>45</v>
      </c>
      <c r="AA810" t="s">
        <v>46</v>
      </c>
      <c r="AB810">
        <v>5</v>
      </c>
      <c r="AC810">
        <v>0</v>
      </c>
      <c r="AD810" t="s">
        <v>41</v>
      </c>
      <c r="AE810" t="s">
        <v>62</v>
      </c>
      <c r="AF810" t="s">
        <v>48</v>
      </c>
      <c r="AG810">
        <f>IF(HR_Data[[#This Row],[Attrition]]="Yes",1,0)</f>
        <v>0</v>
      </c>
      <c r="AH810" t="str">
        <f>IF(HR_Data[Date_of_termination]="","Active","Left")</f>
        <v>Active</v>
      </c>
      <c r="AI810" t="str">
        <f>IF(HR_Data[YearsAtCompany]&lt;=2,"Fresher", IF(HR_Data[YearsAtCompany]&lt;=5,"Junior", IF(HR_Data[YearsAtCompany]&lt;=10, "Mid","Senior")))</f>
        <v>Mid</v>
      </c>
      <c r="AJ810" s="2" t="str">
        <f>IF(HR_Data[MonthlyIncome]&lt;=300,"Low", IF(HR_Data[MonthlyIncome]&lt;=7000,"Medium", "High"))</f>
        <v>Medium</v>
      </c>
      <c r="AK810" s="2" t="str">
        <f>VLOOKUP(HR_Data[JobRole], JobRole_Map[], 2, FALSE)</f>
        <v>Operations</v>
      </c>
    </row>
    <row r="811" spans="1:37" x14ac:dyDescent="0.25">
      <c r="A811" s="2">
        <v>59</v>
      </c>
      <c r="B811" t="s">
        <v>41</v>
      </c>
      <c r="C811" t="s">
        <v>33</v>
      </c>
      <c r="D811" t="s">
        <v>53</v>
      </c>
      <c r="E811">
        <v>1</v>
      </c>
      <c r="F811" t="s">
        <v>35</v>
      </c>
      <c r="G811">
        <v>3</v>
      </c>
      <c r="H811">
        <v>3</v>
      </c>
      <c r="I811" t="s">
        <v>66</v>
      </c>
      <c r="J811">
        <v>4</v>
      </c>
      <c r="K811" t="s">
        <v>50</v>
      </c>
      <c r="L811">
        <v>11904</v>
      </c>
      <c r="M811">
        <v>3</v>
      </c>
      <c r="N811" t="s">
        <v>32</v>
      </c>
      <c r="O811">
        <v>14</v>
      </c>
      <c r="P811">
        <v>3</v>
      </c>
      <c r="Q811">
        <v>1</v>
      </c>
      <c r="R811">
        <v>14</v>
      </c>
      <c r="S811">
        <v>1</v>
      </c>
      <c r="T811">
        <v>6</v>
      </c>
      <c r="U811">
        <v>0</v>
      </c>
      <c r="V811">
        <v>4</v>
      </c>
      <c r="W811" t="s">
        <v>38</v>
      </c>
      <c r="X811" s="1" t="d">
        <v>2015-01-23</v>
      </c>
      <c r="Z811" t="s">
        <v>63</v>
      </c>
      <c r="AA811" t="s">
        <v>46</v>
      </c>
      <c r="AB811">
        <v>2</v>
      </c>
      <c r="AC811">
        <v>0</v>
      </c>
      <c r="AD811" t="s">
        <v>32</v>
      </c>
      <c r="AE811" t="s">
        <v>42</v>
      </c>
      <c r="AF811" t="s">
        <v>48</v>
      </c>
      <c r="AG811">
        <f>IF(HR_Data[[#This Row],[Attrition]]="Yes",1,0)</f>
        <v>0</v>
      </c>
      <c r="AH811" t="str">
        <f>IF(HR_Data[Date_of_termination]="","Active","Left")</f>
        <v>Active</v>
      </c>
      <c r="AI811" t="str">
        <f>IF(HR_Data[YearsAtCompany]&lt;=2,"Fresher", IF(HR_Data[YearsAtCompany]&lt;=5,"Junior", IF(HR_Data[YearsAtCompany]&lt;=10, "Mid","Senior")))</f>
        <v>Mid</v>
      </c>
      <c r="AJ811" s="2" t="str">
        <f>IF(HR_Data[MonthlyIncome]&lt;=300,"Low", IF(HR_Data[MonthlyIncome]&lt;=7000,"Medium", "High"))</f>
        <v>High</v>
      </c>
      <c r="AK811" s="2" t="str">
        <f>VLOOKUP(HR_Data[JobRole], JobRole_Map[], 2, FALSE)</f>
        <v>Management</v>
      </c>
    </row>
    <row r="812" spans="1:37" x14ac:dyDescent="0.25">
      <c r="A812" s="2">
        <v>45</v>
      </c>
      <c r="B812" t="s">
        <v>41</v>
      </c>
      <c r="C812" t="s">
        <v>33</v>
      </c>
      <c r="D812" t="s">
        <v>70</v>
      </c>
      <c r="E812">
        <v>24</v>
      </c>
      <c r="F812" t="s">
        <v>35</v>
      </c>
      <c r="G812">
        <v>3</v>
      </c>
      <c r="H812">
        <v>1</v>
      </c>
      <c r="I812" t="s">
        <v>70</v>
      </c>
      <c r="J812">
        <v>2</v>
      </c>
      <c r="K812" t="s">
        <v>37</v>
      </c>
      <c r="L812">
        <v>2177</v>
      </c>
      <c r="M812">
        <v>1</v>
      </c>
      <c r="N812" t="s">
        <v>41</v>
      </c>
      <c r="O812">
        <v>16</v>
      </c>
      <c r="P812">
        <v>3</v>
      </c>
      <c r="Q812">
        <v>0</v>
      </c>
      <c r="R812">
        <v>6</v>
      </c>
      <c r="S812">
        <v>3</v>
      </c>
      <c r="T812">
        <v>6</v>
      </c>
      <c r="U812">
        <v>0</v>
      </c>
      <c r="V812">
        <v>4</v>
      </c>
      <c r="W812" t="s">
        <v>65</v>
      </c>
      <c r="X812" s="1" t="d">
        <v>2015-05-11</v>
      </c>
      <c r="Z812" t="s">
        <v>52</v>
      </c>
      <c r="AA812" t="s">
        <v>46</v>
      </c>
      <c r="AB812">
        <v>4</v>
      </c>
      <c r="AC812">
        <v>3</v>
      </c>
      <c r="AD812" t="s">
        <v>32</v>
      </c>
      <c r="AE812" t="s">
        <v>60</v>
      </c>
      <c r="AF812" t="s">
        <v>43</v>
      </c>
      <c r="AG812">
        <f>IF(HR_Data[[#This Row],[Attrition]]="Yes",1,0)</f>
        <v>0</v>
      </c>
      <c r="AH812" t="str">
        <f>IF(HR_Data[Date_of_termination]="","Active","Left")</f>
        <v>Active</v>
      </c>
      <c r="AI812" t="str">
        <f>IF(HR_Data[YearsAtCompany]&lt;=2,"Fresher", IF(HR_Data[YearsAtCompany]&lt;=5,"Junior", IF(HR_Data[YearsAtCompany]&lt;=10, "Mid","Senior")))</f>
        <v>Mid</v>
      </c>
      <c r="AJ812" s="2" t="str">
        <f>IF(HR_Data[MonthlyIncome]&lt;=300,"Low", IF(HR_Data[MonthlyIncome]&lt;=7000,"Medium", "High"))</f>
        <v>Medium</v>
      </c>
      <c r="AK812" s="2" t="str">
        <f>VLOOKUP(HR_Data[JobRole], JobRole_Map[], 2, FALSE)</f>
        <v>HR</v>
      </c>
    </row>
    <row r="813" spans="1:37" x14ac:dyDescent="0.25">
      <c r="A813" s="2">
        <v>30</v>
      </c>
      <c r="B813" t="s">
        <v>41</v>
      </c>
      <c r="C813" t="s">
        <v>33</v>
      </c>
      <c r="D813" t="s">
        <v>34</v>
      </c>
      <c r="E813">
        <v>20</v>
      </c>
      <c r="F813" t="s">
        <v>35</v>
      </c>
      <c r="G813">
        <v>3</v>
      </c>
      <c r="H813">
        <v>2</v>
      </c>
      <c r="I813" t="s">
        <v>67</v>
      </c>
      <c r="J813">
        <v>1</v>
      </c>
      <c r="K813" t="s">
        <v>50</v>
      </c>
      <c r="L813">
        <v>9957</v>
      </c>
      <c r="M813">
        <v>0</v>
      </c>
      <c r="N813" t="s">
        <v>41</v>
      </c>
      <c r="O813">
        <v>15</v>
      </c>
      <c r="P813">
        <v>3</v>
      </c>
      <c r="Q813">
        <v>1</v>
      </c>
      <c r="R813">
        <v>7</v>
      </c>
      <c r="S813">
        <v>1</v>
      </c>
      <c r="T813">
        <v>6</v>
      </c>
      <c r="U813">
        <v>0</v>
      </c>
      <c r="V813">
        <v>2</v>
      </c>
      <c r="W813" t="s">
        <v>51</v>
      </c>
      <c r="X813" s="1" t="d">
        <v>2015-05-20</v>
      </c>
      <c r="Z813" t="s">
        <v>52</v>
      </c>
      <c r="AA813" t="s">
        <v>40</v>
      </c>
      <c r="AB813">
        <v>3</v>
      </c>
      <c r="AC813">
        <v>3</v>
      </c>
      <c r="AD813" t="s">
        <v>41</v>
      </c>
      <c r="AE813" t="s">
        <v>62</v>
      </c>
      <c r="AF813" t="s">
        <v>57</v>
      </c>
      <c r="AG813">
        <f>IF(HR_Data[[#This Row],[Attrition]]="Yes",1,0)</f>
        <v>0</v>
      </c>
      <c r="AH813" t="str">
        <f>IF(HR_Data[Date_of_termination]="","Active","Left")</f>
        <v>Active</v>
      </c>
      <c r="AI813" t="str">
        <f>IF(HR_Data[YearsAtCompany]&lt;=2,"Fresher", IF(HR_Data[YearsAtCompany]&lt;=5,"Junior", IF(HR_Data[YearsAtCompany]&lt;=10, "Mid","Senior")))</f>
        <v>Mid</v>
      </c>
      <c r="AJ813" s="2" t="str">
        <f>IF(HR_Data[MonthlyIncome]&lt;=300,"Low", IF(HR_Data[MonthlyIncome]&lt;=7000,"Medium", "High"))</f>
        <v>High</v>
      </c>
      <c r="AK813" s="2" t="str">
        <f>VLOOKUP(HR_Data[JobRole], JobRole_Map[], 2, FALSE)</f>
        <v>Operations</v>
      </c>
    </row>
    <row r="814" spans="1:37" x14ac:dyDescent="0.25">
      <c r="A814" s="2">
        <v>34</v>
      </c>
      <c r="B814" t="s">
        <v>41</v>
      </c>
      <c r="C814" t="s">
        <v>61</v>
      </c>
      <c r="D814" t="s">
        <v>34</v>
      </c>
      <c r="E814">
        <v>3</v>
      </c>
      <c r="F814" t="s">
        <v>35</v>
      </c>
      <c r="G814">
        <v>3</v>
      </c>
      <c r="H814">
        <v>2</v>
      </c>
      <c r="I814" t="s">
        <v>69</v>
      </c>
      <c r="J814">
        <v>4</v>
      </c>
      <c r="K814" t="s">
        <v>37</v>
      </c>
      <c r="L814">
        <v>7756</v>
      </c>
      <c r="M814">
        <v>0</v>
      </c>
      <c r="N814" t="s">
        <v>41</v>
      </c>
      <c r="O814">
        <v>17</v>
      </c>
      <c r="P814">
        <v>3</v>
      </c>
      <c r="Q814">
        <v>0</v>
      </c>
      <c r="R814">
        <v>7</v>
      </c>
      <c r="S814">
        <v>1</v>
      </c>
      <c r="T814">
        <v>6</v>
      </c>
      <c r="U814">
        <v>0</v>
      </c>
      <c r="V814">
        <v>4</v>
      </c>
      <c r="W814" t="s">
        <v>38</v>
      </c>
      <c r="X814" s="1" t="d">
        <v>2015-03-09</v>
      </c>
      <c r="Z814" t="s">
        <v>52</v>
      </c>
      <c r="AA814" t="s">
        <v>46</v>
      </c>
      <c r="AB814">
        <v>5</v>
      </c>
      <c r="AC814">
        <v>2</v>
      </c>
      <c r="AD814" t="s">
        <v>32</v>
      </c>
      <c r="AE814" t="s">
        <v>62</v>
      </c>
      <c r="AF814" t="s">
        <v>43</v>
      </c>
      <c r="AG814">
        <f>IF(HR_Data[[#This Row],[Attrition]]="Yes",1,0)</f>
        <v>0</v>
      </c>
      <c r="AH814" t="str">
        <f>IF(HR_Data[Date_of_termination]="","Active","Left")</f>
        <v>Active</v>
      </c>
      <c r="AI814" t="str">
        <f>IF(HR_Data[YearsAtCompany]&lt;=2,"Fresher", IF(HR_Data[YearsAtCompany]&lt;=5,"Junior", IF(HR_Data[YearsAtCompany]&lt;=10, "Mid","Senior")))</f>
        <v>Mid</v>
      </c>
      <c r="AJ814" s="2" t="str">
        <f>IF(HR_Data[MonthlyIncome]&lt;=300,"Low", IF(HR_Data[MonthlyIncome]&lt;=7000,"Medium", "High"))</f>
        <v>High</v>
      </c>
      <c r="AK814" s="2" t="str">
        <f>VLOOKUP(HR_Data[JobRole], JobRole_Map[], 2, FALSE)</f>
        <v>Operations</v>
      </c>
    </row>
    <row r="815" spans="1:37" x14ac:dyDescent="0.25">
      <c r="A815" s="2">
        <v>37</v>
      </c>
      <c r="B815" t="s">
        <v>41</v>
      </c>
      <c r="C815" t="s">
        <v>33</v>
      </c>
      <c r="D815" t="s">
        <v>34</v>
      </c>
      <c r="E815">
        <v>25</v>
      </c>
      <c r="F815" t="s">
        <v>58</v>
      </c>
      <c r="G815">
        <v>2</v>
      </c>
      <c r="H815">
        <v>2</v>
      </c>
      <c r="I815" t="s">
        <v>69</v>
      </c>
      <c r="J815">
        <v>4</v>
      </c>
      <c r="K815" t="s">
        <v>55</v>
      </c>
      <c r="L815">
        <v>5731</v>
      </c>
      <c r="M815">
        <v>7</v>
      </c>
      <c r="N815" t="s">
        <v>41</v>
      </c>
      <c r="O815">
        <v>13</v>
      </c>
      <c r="P815">
        <v>3</v>
      </c>
      <c r="Q815">
        <v>2</v>
      </c>
      <c r="R815">
        <v>9</v>
      </c>
      <c r="S815">
        <v>2</v>
      </c>
      <c r="T815">
        <v>6</v>
      </c>
      <c r="U815">
        <v>1</v>
      </c>
      <c r="V815">
        <v>3</v>
      </c>
      <c r="W815" t="s">
        <v>65</v>
      </c>
      <c r="X815" s="1" t="d">
        <v>2015-01-14</v>
      </c>
      <c r="Z815" t="s">
        <v>52</v>
      </c>
      <c r="AA815" t="s">
        <v>46</v>
      </c>
      <c r="AB815">
        <v>5</v>
      </c>
      <c r="AC815">
        <v>2</v>
      </c>
      <c r="AD815" t="s">
        <v>41</v>
      </c>
      <c r="AE815" t="s">
        <v>47</v>
      </c>
      <c r="AF815" t="s">
        <v>57</v>
      </c>
      <c r="AG815">
        <f>IF(HR_Data[[#This Row],[Attrition]]="Yes",1,0)</f>
        <v>0</v>
      </c>
      <c r="AH815" t="str">
        <f>IF(HR_Data[Date_of_termination]="","Active","Left")</f>
        <v>Active</v>
      </c>
      <c r="AI815" t="str">
        <f>IF(HR_Data[YearsAtCompany]&lt;=2,"Fresher", IF(HR_Data[YearsAtCompany]&lt;=5,"Junior", IF(HR_Data[YearsAtCompany]&lt;=10, "Mid","Senior")))</f>
        <v>Mid</v>
      </c>
      <c r="AJ815" s="2" t="str">
        <f>IF(HR_Data[MonthlyIncome]&lt;=300,"Low", IF(HR_Data[MonthlyIncome]&lt;=7000,"Medium", "High"))</f>
        <v>Medium</v>
      </c>
      <c r="AK815" s="2" t="str">
        <f>VLOOKUP(HR_Data[JobRole], JobRole_Map[], 2, FALSE)</f>
        <v>Operations</v>
      </c>
    </row>
    <row r="816" spans="1:37" x14ac:dyDescent="0.25">
      <c r="A816" s="2">
        <v>34</v>
      </c>
      <c r="B816" t="s">
        <v>41</v>
      </c>
      <c r="C816" t="s">
        <v>33</v>
      </c>
      <c r="D816" t="s">
        <v>53</v>
      </c>
      <c r="E816">
        <v>9</v>
      </c>
      <c r="F816" t="s">
        <v>58</v>
      </c>
      <c r="G816">
        <v>3</v>
      </c>
      <c r="H816">
        <v>2</v>
      </c>
      <c r="I816" t="s">
        <v>64</v>
      </c>
      <c r="J816">
        <v>3</v>
      </c>
      <c r="K816" t="s">
        <v>50</v>
      </c>
      <c r="L816">
        <v>5714</v>
      </c>
      <c r="M816">
        <v>1</v>
      </c>
      <c r="N816" t="s">
        <v>41</v>
      </c>
      <c r="O816">
        <v>20</v>
      </c>
      <c r="P816">
        <v>4</v>
      </c>
      <c r="Q816">
        <v>0</v>
      </c>
      <c r="R816">
        <v>6</v>
      </c>
      <c r="S816">
        <v>3</v>
      </c>
      <c r="T816">
        <v>6</v>
      </c>
      <c r="U816">
        <v>1</v>
      </c>
      <c r="V816">
        <v>3</v>
      </c>
      <c r="W816" t="s">
        <v>56</v>
      </c>
      <c r="X816" s="1" t="d">
        <v>2015-03-27</v>
      </c>
      <c r="Z816" t="s">
        <v>45</v>
      </c>
      <c r="AA816" t="s">
        <v>40</v>
      </c>
      <c r="AB816">
        <v>5</v>
      </c>
      <c r="AC816">
        <v>3</v>
      </c>
      <c r="AD816" t="s">
        <v>32</v>
      </c>
      <c r="AE816" t="s">
        <v>47</v>
      </c>
      <c r="AF816" t="s">
        <v>43</v>
      </c>
      <c r="AG816">
        <f>IF(HR_Data[[#This Row],[Attrition]]="Yes",1,0)</f>
        <v>0</v>
      </c>
      <c r="AH816" t="str">
        <f>IF(HR_Data[Date_of_termination]="","Active","Left")</f>
        <v>Active</v>
      </c>
      <c r="AI816" t="str">
        <f>IF(HR_Data[YearsAtCompany]&lt;=2,"Fresher", IF(HR_Data[YearsAtCompany]&lt;=5,"Junior", IF(HR_Data[YearsAtCompany]&lt;=10, "Mid","Senior")))</f>
        <v>Mid</v>
      </c>
      <c r="AJ816" s="2" t="str">
        <f>IF(HR_Data[MonthlyIncome]&lt;=300,"Low", IF(HR_Data[MonthlyIncome]&lt;=7000,"Medium", "High"))</f>
        <v>Medium</v>
      </c>
      <c r="AK816" s="2" t="str">
        <f>VLOOKUP(HR_Data[JobRole], JobRole_Map[], 2, FALSE)</f>
        <v>Sales</v>
      </c>
    </row>
    <row r="817" spans="1:37" x14ac:dyDescent="0.25">
      <c r="A817" s="2">
        <v>42</v>
      </c>
      <c r="B817" t="s">
        <v>41</v>
      </c>
      <c r="C817" t="s">
        <v>33</v>
      </c>
      <c r="D817" t="s">
        <v>53</v>
      </c>
      <c r="E817">
        <v>4</v>
      </c>
      <c r="F817" t="s">
        <v>35</v>
      </c>
      <c r="G817">
        <v>3</v>
      </c>
      <c r="H817">
        <v>2</v>
      </c>
      <c r="I817" t="s">
        <v>64</v>
      </c>
      <c r="J817">
        <v>1</v>
      </c>
      <c r="K817" t="s">
        <v>37</v>
      </c>
      <c r="L817">
        <v>5155</v>
      </c>
      <c r="M817">
        <v>7</v>
      </c>
      <c r="N817" t="s">
        <v>41</v>
      </c>
      <c r="O817">
        <v>13</v>
      </c>
      <c r="P817">
        <v>3</v>
      </c>
      <c r="Q817">
        <v>0</v>
      </c>
      <c r="R817">
        <v>9</v>
      </c>
      <c r="S817">
        <v>3</v>
      </c>
      <c r="T817">
        <v>6</v>
      </c>
      <c r="U817">
        <v>1</v>
      </c>
      <c r="V817">
        <v>5</v>
      </c>
      <c r="W817" t="s">
        <v>38</v>
      </c>
      <c r="X817" s="1" t="d">
        <v>2015-04-12</v>
      </c>
      <c r="Z817" t="s">
        <v>45</v>
      </c>
      <c r="AA817" t="s">
        <v>40</v>
      </c>
      <c r="AB817">
        <v>5</v>
      </c>
      <c r="AC817">
        <v>2</v>
      </c>
      <c r="AD817" t="s">
        <v>41</v>
      </c>
      <c r="AE817" t="s">
        <v>60</v>
      </c>
      <c r="AF817" t="s">
        <v>57</v>
      </c>
      <c r="AG817">
        <f>IF(HR_Data[[#This Row],[Attrition]]="Yes",1,0)</f>
        <v>0</v>
      </c>
      <c r="AH817" t="str">
        <f>IF(HR_Data[Date_of_termination]="","Active","Left")</f>
        <v>Active</v>
      </c>
      <c r="AI817" t="str">
        <f>IF(HR_Data[YearsAtCompany]&lt;=2,"Fresher", IF(HR_Data[YearsAtCompany]&lt;=5,"Junior", IF(HR_Data[YearsAtCompany]&lt;=10, "Mid","Senior")))</f>
        <v>Mid</v>
      </c>
      <c r="AJ817" s="2" t="str">
        <f>IF(HR_Data[MonthlyIncome]&lt;=300,"Low", IF(HR_Data[MonthlyIncome]&lt;=7000,"Medium", "High"))</f>
        <v>Medium</v>
      </c>
      <c r="AK817" s="2" t="str">
        <f>VLOOKUP(HR_Data[JobRole], JobRole_Map[], 2, FALSE)</f>
        <v>Sales</v>
      </c>
    </row>
    <row r="818" spans="1:37" x14ac:dyDescent="0.25">
      <c r="A818" s="2">
        <v>44</v>
      </c>
      <c r="B818" t="s">
        <v>32</v>
      </c>
      <c r="C818" t="s">
        <v>33</v>
      </c>
      <c r="D818" t="s">
        <v>34</v>
      </c>
      <c r="E818">
        <v>10</v>
      </c>
      <c r="F818" t="s">
        <v>35</v>
      </c>
      <c r="G818">
        <v>3</v>
      </c>
      <c r="H818">
        <v>1</v>
      </c>
      <c r="I818" t="s">
        <v>44</v>
      </c>
      <c r="J818">
        <v>3</v>
      </c>
      <c r="K818" t="s">
        <v>37</v>
      </c>
      <c r="L818">
        <v>2936</v>
      </c>
      <c r="M818">
        <v>1</v>
      </c>
      <c r="N818" t="s">
        <v>32</v>
      </c>
      <c r="O818">
        <v>11</v>
      </c>
      <c r="P818">
        <v>3</v>
      </c>
      <c r="Q818">
        <v>0</v>
      </c>
      <c r="R818">
        <v>6</v>
      </c>
      <c r="S818">
        <v>4</v>
      </c>
      <c r="T818">
        <v>6</v>
      </c>
      <c r="U818">
        <v>0</v>
      </c>
      <c r="V818">
        <v>2</v>
      </c>
      <c r="W818" t="s">
        <v>56</v>
      </c>
      <c r="X818" s="1" t="d">
        <v>2015-03-12</v>
      </c>
      <c r="Z818" t="s">
        <v>63</v>
      </c>
      <c r="AA818" t="s">
        <v>40</v>
      </c>
      <c r="AB818">
        <v>3</v>
      </c>
      <c r="AC818">
        <v>3</v>
      </c>
      <c r="AD818" t="s">
        <v>32</v>
      </c>
      <c r="AE818" t="s">
        <v>60</v>
      </c>
      <c r="AF818" t="s">
        <v>57</v>
      </c>
      <c r="AG818">
        <f>IF(HR_Data[[#This Row],[Attrition]]="Yes",1,0)</f>
        <v>1</v>
      </c>
      <c r="AH818" t="str">
        <f>IF(HR_Data[Date_of_termination]="","Active","Left")</f>
        <v>Active</v>
      </c>
      <c r="AI818" t="str">
        <f>IF(HR_Data[YearsAtCompany]&lt;=2,"Fresher", IF(HR_Data[YearsAtCompany]&lt;=5,"Junior", IF(HR_Data[YearsAtCompany]&lt;=10, "Mid","Senior")))</f>
        <v>Mid</v>
      </c>
      <c r="AJ818" s="2" t="str">
        <f>IF(HR_Data[MonthlyIncome]&lt;=300,"Low", IF(HR_Data[MonthlyIncome]&lt;=7000,"Medium", "High"))</f>
        <v>Medium</v>
      </c>
      <c r="AK818" s="2" t="str">
        <f>VLOOKUP(HR_Data[JobRole], JobRole_Map[], 2, FALSE)</f>
        <v>Technical</v>
      </c>
    </row>
    <row r="819" spans="1:37" x14ac:dyDescent="0.25">
      <c r="A819" s="2">
        <v>28</v>
      </c>
      <c r="B819" t="s">
        <v>41</v>
      </c>
      <c r="C819" t="s">
        <v>33</v>
      </c>
      <c r="D819" t="s">
        <v>34</v>
      </c>
      <c r="E819">
        <v>19</v>
      </c>
      <c r="F819" t="s">
        <v>35</v>
      </c>
      <c r="G819">
        <v>2</v>
      </c>
      <c r="H819">
        <v>1</v>
      </c>
      <c r="I819" t="s">
        <v>36</v>
      </c>
      <c r="J819">
        <v>1</v>
      </c>
      <c r="K819" t="s">
        <v>50</v>
      </c>
      <c r="L819">
        <v>3196</v>
      </c>
      <c r="M819">
        <v>1</v>
      </c>
      <c r="N819" t="s">
        <v>41</v>
      </c>
      <c r="O819">
        <v>12</v>
      </c>
      <c r="P819">
        <v>3</v>
      </c>
      <c r="Q819">
        <v>3</v>
      </c>
      <c r="R819">
        <v>6</v>
      </c>
      <c r="S819">
        <v>2</v>
      </c>
      <c r="T819">
        <v>6</v>
      </c>
      <c r="U819">
        <v>3</v>
      </c>
      <c r="V819">
        <v>3</v>
      </c>
      <c r="W819" t="s">
        <v>51</v>
      </c>
      <c r="X819" s="1" t="d">
        <v>2015-01-19</v>
      </c>
      <c r="Z819" t="s">
        <v>59</v>
      </c>
      <c r="AA819" t="s">
        <v>46</v>
      </c>
      <c r="AB819">
        <v>0</v>
      </c>
      <c r="AC819">
        <v>3</v>
      </c>
      <c r="AD819" t="s">
        <v>41</v>
      </c>
      <c r="AE819" t="s">
        <v>42</v>
      </c>
      <c r="AF819" t="s">
        <v>48</v>
      </c>
      <c r="AG819">
        <f>IF(HR_Data[[#This Row],[Attrition]]="Yes",1,0)</f>
        <v>0</v>
      </c>
      <c r="AH819" t="str">
        <f>IF(HR_Data[Date_of_termination]="","Active","Left")</f>
        <v>Active</v>
      </c>
      <c r="AI819" t="str">
        <f>IF(HR_Data[YearsAtCompany]&lt;=2,"Fresher", IF(HR_Data[YearsAtCompany]&lt;=5,"Junior", IF(HR_Data[YearsAtCompany]&lt;=10, "Mid","Senior")))</f>
        <v>Mid</v>
      </c>
      <c r="AJ819" s="2" t="str">
        <f>IF(HR_Data[MonthlyIncome]&lt;=300,"Low", IF(HR_Data[MonthlyIncome]&lt;=7000,"Medium", "High"))</f>
        <v>Medium</v>
      </c>
      <c r="AK819" s="2" t="str">
        <f>VLOOKUP(HR_Data[JobRole], JobRole_Map[], 2, FALSE)</f>
        <v>Technical</v>
      </c>
    </row>
    <row r="820" spans="1:37" x14ac:dyDescent="0.25">
      <c r="A820" s="2">
        <v>46</v>
      </c>
      <c r="B820" t="s">
        <v>41</v>
      </c>
      <c r="C820" t="s">
        <v>33</v>
      </c>
      <c r="D820" t="s">
        <v>34</v>
      </c>
      <c r="E820">
        <v>2</v>
      </c>
      <c r="F820" t="s">
        <v>35</v>
      </c>
      <c r="G820">
        <v>3</v>
      </c>
      <c r="H820">
        <v>2</v>
      </c>
      <c r="I820" t="s">
        <v>67</v>
      </c>
      <c r="J820">
        <v>4</v>
      </c>
      <c r="K820" t="s">
        <v>55</v>
      </c>
      <c r="L820">
        <v>7379</v>
      </c>
      <c r="M820">
        <v>2</v>
      </c>
      <c r="N820" t="s">
        <v>41</v>
      </c>
      <c r="O820">
        <v>11</v>
      </c>
      <c r="P820">
        <v>3</v>
      </c>
      <c r="Q820">
        <v>1</v>
      </c>
      <c r="R820">
        <v>12</v>
      </c>
      <c r="S820">
        <v>3</v>
      </c>
      <c r="T820">
        <v>6</v>
      </c>
      <c r="U820">
        <v>1</v>
      </c>
      <c r="V820">
        <v>4</v>
      </c>
      <c r="W820" t="s">
        <v>51</v>
      </c>
      <c r="X820" s="1" t="d">
        <v>2015-01-25</v>
      </c>
      <c r="Z820" t="s">
        <v>59</v>
      </c>
      <c r="AA820" t="s">
        <v>46</v>
      </c>
      <c r="AB820">
        <v>2</v>
      </c>
      <c r="AC820">
        <v>1</v>
      </c>
      <c r="AD820" t="s">
        <v>32</v>
      </c>
      <c r="AE820" t="s">
        <v>42</v>
      </c>
      <c r="AF820" t="s">
        <v>43</v>
      </c>
      <c r="AG820">
        <f>IF(HR_Data[[#This Row],[Attrition]]="Yes",1,0)</f>
        <v>0</v>
      </c>
      <c r="AH820" t="str">
        <f>IF(HR_Data[Date_of_termination]="","Active","Left")</f>
        <v>Active</v>
      </c>
      <c r="AI820" t="str">
        <f>IF(HR_Data[YearsAtCompany]&lt;=2,"Fresher", IF(HR_Data[YearsAtCompany]&lt;=5,"Junior", IF(HR_Data[YearsAtCompany]&lt;=10, "Mid","Senior")))</f>
        <v>Mid</v>
      </c>
      <c r="AJ820" s="2" t="str">
        <f>IF(HR_Data[MonthlyIncome]&lt;=300,"Low", IF(HR_Data[MonthlyIncome]&lt;=7000,"Medium", "High"))</f>
        <v>High</v>
      </c>
      <c r="AK820" s="2" t="str">
        <f>VLOOKUP(HR_Data[JobRole], JobRole_Map[], 2, FALSE)</f>
        <v>Operations</v>
      </c>
    </row>
    <row r="821" spans="1:37" x14ac:dyDescent="0.25">
      <c r="A821" s="2">
        <v>31</v>
      </c>
      <c r="B821" t="s">
        <v>41</v>
      </c>
      <c r="C821" t="s">
        <v>33</v>
      </c>
      <c r="D821" t="s">
        <v>34</v>
      </c>
      <c r="E821">
        <v>11</v>
      </c>
      <c r="F821" t="s">
        <v>35</v>
      </c>
      <c r="G821">
        <v>3</v>
      </c>
      <c r="H821">
        <v>2</v>
      </c>
      <c r="I821" t="s">
        <v>69</v>
      </c>
      <c r="J821">
        <v>1</v>
      </c>
      <c r="K821" t="s">
        <v>50</v>
      </c>
      <c r="L821">
        <v>6833</v>
      </c>
      <c r="M821">
        <v>1</v>
      </c>
      <c r="N821" t="s">
        <v>32</v>
      </c>
      <c r="O821">
        <v>12</v>
      </c>
      <c r="P821">
        <v>3</v>
      </c>
      <c r="Q821">
        <v>0</v>
      </c>
      <c r="R821">
        <v>6</v>
      </c>
      <c r="S821">
        <v>2</v>
      </c>
      <c r="T821">
        <v>6</v>
      </c>
      <c r="U821">
        <v>0</v>
      </c>
      <c r="V821">
        <v>1</v>
      </c>
      <c r="W821" t="s">
        <v>38</v>
      </c>
      <c r="X821" s="1" t="d">
        <v>2015-03-06</v>
      </c>
      <c r="Z821" t="s">
        <v>39</v>
      </c>
      <c r="AA821" t="s">
        <v>46</v>
      </c>
      <c r="AB821">
        <v>4</v>
      </c>
      <c r="AC821">
        <v>3</v>
      </c>
      <c r="AD821" t="s">
        <v>41</v>
      </c>
      <c r="AE821" t="s">
        <v>42</v>
      </c>
      <c r="AF821" t="s">
        <v>43</v>
      </c>
      <c r="AG821">
        <f>IF(HR_Data[[#This Row],[Attrition]]="Yes",1,0)</f>
        <v>0</v>
      </c>
      <c r="AH821" t="str">
        <f>IF(HR_Data[Date_of_termination]="","Active","Left")</f>
        <v>Active</v>
      </c>
      <c r="AI821" t="str">
        <f>IF(HR_Data[YearsAtCompany]&lt;=2,"Fresher", IF(HR_Data[YearsAtCompany]&lt;=5,"Junior", IF(HR_Data[YearsAtCompany]&lt;=10, "Mid","Senior")))</f>
        <v>Mid</v>
      </c>
      <c r="AJ821" s="2" t="str">
        <f>IF(HR_Data[MonthlyIncome]&lt;=300,"Low", IF(HR_Data[MonthlyIncome]&lt;=7000,"Medium", "High"))</f>
        <v>Medium</v>
      </c>
      <c r="AK821" s="2" t="str">
        <f>VLOOKUP(HR_Data[JobRole], JobRole_Map[], 2, FALSE)</f>
        <v>Operations</v>
      </c>
    </row>
    <row r="822" spans="1:37" x14ac:dyDescent="0.25">
      <c r="A822" s="2">
        <v>59</v>
      </c>
      <c r="B822" t="s">
        <v>41</v>
      </c>
      <c r="C822" t="s">
        <v>33</v>
      </c>
      <c r="D822" t="s">
        <v>53</v>
      </c>
      <c r="E822">
        <v>3</v>
      </c>
      <c r="F822" t="s">
        <v>58</v>
      </c>
      <c r="G822">
        <v>2</v>
      </c>
      <c r="H822">
        <v>2</v>
      </c>
      <c r="I822" t="s">
        <v>64</v>
      </c>
      <c r="J822">
        <v>4</v>
      </c>
      <c r="K822" t="s">
        <v>37</v>
      </c>
      <c r="L822">
        <v>5171</v>
      </c>
      <c r="M822">
        <v>5</v>
      </c>
      <c r="N822" t="s">
        <v>41</v>
      </c>
      <c r="O822">
        <v>17</v>
      </c>
      <c r="P822">
        <v>3</v>
      </c>
      <c r="Q822">
        <v>0</v>
      </c>
      <c r="R822">
        <v>13</v>
      </c>
      <c r="S822">
        <v>2</v>
      </c>
      <c r="T822">
        <v>6</v>
      </c>
      <c r="U822">
        <v>0</v>
      </c>
      <c r="V822">
        <v>5</v>
      </c>
      <c r="W822" t="s">
        <v>51</v>
      </c>
      <c r="X822" s="1" t="d">
        <v>2015-06-12</v>
      </c>
      <c r="Z822" t="s">
        <v>52</v>
      </c>
      <c r="AA822" t="s">
        <v>46</v>
      </c>
      <c r="AB822">
        <v>5</v>
      </c>
      <c r="AC822">
        <v>0</v>
      </c>
      <c r="AD822" t="s">
        <v>41</v>
      </c>
      <c r="AE822" t="s">
        <v>42</v>
      </c>
      <c r="AF822" t="s">
        <v>43</v>
      </c>
      <c r="AG822">
        <f>IF(HR_Data[[#This Row],[Attrition]]="Yes",1,0)</f>
        <v>0</v>
      </c>
      <c r="AH822" t="str">
        <f>IF(HR_Data[Date_of_termination]="","Active","Left")</f>
        <v>Active</v>
      </c>
      <c r="AI822" t="str">
        <f>IF(HR_Data[YearsAtCompany]&lt;=2,"Fresher", IF(HR_Data[YearsAtCompany]&lt;=5,"Junior", IF(HR_Data[YearsAtCompany]&lt;=10, "Mid","Senior")))</f>
        <v>Mid</v>
      </c>
      <c r="AJ822" s="2" t="str">
        <f>IF(HR_Data[MonthlyIncome]&lt;=300,"Low", IF(HR_Data[MonthlyIncome]&lt;=7000,"Medium", "High"))</f>
        <v>Medium</v>
      </c>
      <c r="AK822" s="2" t="str">
        <f>VLOOKUP(HR_Data[JobRole], JobRole_Map[], 2, FALSE)</f>
        <v>Sales</v>
      </c>
    </row>
    <row r="823" spans="1:37" x14ac:dyDescent="0.25">
      <c r="A823" s="2">
        <v>29</v>
      </c>
      <c r="B823" t="s">
        <v>41</v>
      </c>
      <c r="C823" t="s">
        <v>33</v>
      </c>
      <c r="D823" t="s">
        <v>34</v>
      </c>
      <c r="E823">
        <v>7</v>
      </c>
      <c r="F823" t="s">
        <v>35</v>
      </c>
      <c r="G823">
        <v>3</v>
      </c>
      <c r="H823">
        <v>2</v>
      </c>
      <c r="I823" t="s">
        <v>69</v>
      </c>
      <c r="J823">
        <v>4</v>
      </c>
      <c r="K823" t="s">
        <v>55</v>
      </c>
      <c r="L823">
        <v>6623</v>
      </c>
      <c r="M823">
        <v>1</v>
      </c>
      <c r="N823" t="s">
        <v>32</v>
      </c>
      <c r="O823">
        <v>11</v>
      </c>
      <c r="P823">
        <v>3</v>
      </c>
      <c r="Q823">
        <v>2</v>
      </c>
      <c r="R823">
        <v>6</v>
      </c>
      <c r="S823">
        <v>2</v>
      </c>
      <c r="T823">
        <v>6</v>
      </c>
      <c r="U823">
        <v>1</v>
      </c>
      <c r="V823">
        <v>0</v>
      </c>
      <c r="W823" t="s">
        <v>51</v>
      </c>
      <c r="X823" s="1" t="d">
        <v>2015-05-03</v>
      </c>
      <c r="Z823" t="s">
        <v>52</v>
      </c>
      <c r="AA823" t="s">
        <v>40</v>
      </c>
      <c r="AB823">
        <v>2</v>
      </c>
      <c r="AC823">
        <v>0</v>
      </c>
      <c r="AD823" t="s">
        <v>41</v>
      </c>
      <c r="AE823" t="s">
        <v>62</v>
      </c>
      <c r="AF823" t="s">
        <v>48</v>
      </c>
      <c r="AG823">
        <f>IF(HR_Data[[#This Row],[Attrition]]="Yes",1,0)</f>
        <v>0</v>
      </c>
      <c r="AH823" t="str">
        <f>IF(HR_Data[Date_of_termination]="","Active","Left")</f>
        <v>Active</v>
      </c>
      <c r="AI823" t="str">
        <f>IF(HR_Data[YearsAtCompany]&lt;=2,"Fresher", IF(HR_Data[YearsAtCompany]&lt;=5,"Junior", IF(HR_Data[YearsAtCompany]&lt;=10, "Mid","Senior")))</f>
        <v>Mid</v>
      </c>
      <c r="AJ823" s="2" t="str">
        <f>IF(HR_Data[MonthlyIncome]&lt;=300,"Low", IF(HR_Data[MonthlyIncome]&lt;=7000,"Medium", "High"))</f>
        <v>Medium</v>
      </c>
      <c r="AK823" s="2" t="str">
        <f>VLOOKUP(HR_Data[JobRole], JobRole_Map[], 2, FALSE)</f>
        <v>Operations</v>
      </c>
    </row>
    <row r="824" spans="1:37" x14ac:dyDescent="0.25">
      <c r="A824" s="2">
        <v>27</v>
      </c>
      <c r="B824" t="s">
        <v>41</v>
      </c>
      <c r="C824" t="s">
        <v>61</v>
      </c>
      <c r="D824" t="s">
        <v>53</v>
      </c>
      <c r="E824">
        <v>2</v>
      </c>
      <c r="F824" t="s">
        <v>35</v>
      </c>
      <c r="G824">
        <v>1</v>
      </c>
      <c r="H824">
        <v>2</v>
      </c>
      <c r="I824" t="s">
        <v>64</v>
      </c>
      <c r="J824">
        <v>4</v>
      </c>
      <c r="K824" t="s">
        <v>37</v>
      </c>
      <c r="L824">
        <v>5071</v>
      </c>
      <c r="M824">
        <v>3</v>
      </c>
      <c r="N824" t="s">
        <v>41</v>
      </c>
      <c r="O824">
        <v>20</v>
      </c>
      <c r="P824">
        <v>4</v>
      </c>
      <c r="Q824">
        <v>0</v>
      </c>
      <c r="R824">
        <v>8</v>
      </c>
      <c r="S824">
        <v>3</v>
      </c>
      <c r="T824">
        <v>6</v>
      </c>
      <c r="U824">
        <v>0</v>
      </c>
      <c r="V824">
        <v>0</v>
      </c>
      <c r="W824" t="s">
        <v>56</v>
      </c>
      <c r="X824" s="1" t="d">
        <v>2015-03-30</v>
      </c>
      <c r="Z824" t="s">
        <v>39</v>
      </c>
      <c r="AA824" t="s">
        <v>46</v>
      </c>
      <c r="AB824">
        <v>5</v>
      </c>
      <c r="AC824">
        <v>3</v>
      </c>
      <c r="AD824" t="s">
        <v>41</v>
      </c>
      <c r="AE824" t="s">
        <v>60</v>
      </c>
      <c r="AF824" t="s">
        <v>43</v>
      </c>
      <c r="AG824">
        <f>IF(HR_Data[[#This Row],[Attrition]]="Yes",1,0)</f>
        <v>0</v>
      </c>
      <c r="AH824" t="str">
        <f>IF(HR_Data[Date_of_termination]="","Active","Left")</f>
        <v>Active</v>
      </c>
      <c r="AI824" t="str">
        <f>IF(HR_Data[YearsAtCompany]&lt;=2,"Fresher", IF(HR_Data[YearsAtCompany]&lt;=5,"Junior", IF(HR_Data[YearsAtCompany]&lt;=10, "Mid","Senior")))</f>
        <v>Mid</v>
      </c>
      <c r="AJ824" s="2" t="str">
        <f>IF(HR_Data[MonthlyIncome]&lt;=300,"Low", IF(HR_Data[MonthlyIncome]&lt;=7000,"Medium", "High"))</f>
        <v>Medium</v>
      </c>
      <c r="AK824" s="2" t="str">
        <f>VLOOKUP(HR_Data[JobRole], JobRole_Map[], 2, FALSE)</f>
        <v>Sales</v>
      </c>
    </row>
    <row r="825" spans="1:37" x14ac:dyDescent="0.25">
      <c r="A825" s="2">
        <v>41</v>
      </c>
      <c r="B825" t="s">
        <v>41</v>
      </c>
      <c r="C825" t="s">
        <v>61</v>
      </c>
      <c r="D825" t="s">
        <v>34</v>
      </c>
      <c r="E825">
        <v>22</v>
      </c>
      <c r="F825" t="s">
        <v>58</v>
      </c>
      <c r="G825">
        <v>3</v>
      </c>
      <c r="H825">
        <v>2</v>
      </c>
      <c r="I825" t="s">
        <v>44</v>
      </c>
      <c r="J825">
        <v>4</v>
      </c>
      <c r="K825" t="s">
        <v>55</v>
      </c>
      <c r="L825">
        <v>5467</v>
      </c>
      <c r="M825">
        <v>3</v>
      </c>
      <c r="N825" t="s">
        <v>32</v>
      </c>
      <c r="O825">
        <v>14</v>
      </c>
      <c r="P825">
        <v>3</v>
      </c>
      <c r="Q825">
        <v>2</v>
      </c>
      <c r="R825">
        <v>12</v>
      </c>
      <c r="S825">
        <v>4</v>
      </c>
      <c r="T825">
        <v>6</v>
      </c>
      <c r="U825">
        <v>3</v>
      </c>
      <c r="V825">
        <v>3</v>
      </c>
      <c r="W825" t="s">
        <v>65</v>
      </c>
      <c r="X825" s="1" t="d">
        <v>2015-05-28</v>
      </c>
      <c r="Z825" t="s">
        <v>45</v>
      </c>
      <c r="AA825" t="s">
        <v>46</v>
      </c>
      <c r="AB825">
        <v>4</v>
      </c>
      <c r="AC825">
        <v>3</v>
      </c>
      <c r="AD825" t="s">
        <v>41</v>
      </c>
      <c r="AE825" t="s">
        <v>62</v>
      </c>
      <c r="AF825" t="s">
        <v>43</v>
      </c>
      <c r="AG825">
        <f>IF(HR_Data[[#This Row],[Attrition]]="Yes",1,0)</f>
        <v>0</v>
      </c>
      <c r="AH825" t="str">
        <f>IF(HR_Data[Date_of_termination]="","Active","Left")</f>
        <v>Active</v>
      </c>
      <c r="AI825" t="str">
        <f>IF(HR_Data[YearsAtCompany]&lt;=2,"Fresher", IF(HR_Data[YearsAtCompany]&lt;=5,"Junior", IF(HR_Data[YearsAtCompany]&lt;=10, "Mid","Senior")))</f>
        <v>Mid</v>
      </c>
      <c r="AJ825" s="2" t="str">
        <f>IF(HR_Data[MonthlyIncome]&lt;=300,"Low", IF(HR_Data[MonthlyIncome]&lt;=7000,"Medium", "High"))</f>
        <v>Medium</v>
      </c>
      <c r="AK825" s="2" t="str">
        <f>VLOOKUP(HR_Data[JobRole], JobRole_Map[], 2, FALSE)</f>
        <v>Technical</v>
      </c>
    </row>
    <row r="826" spans="1:37" x14ac:dyDescent="0.25">
      <c r="A826" s="2">
        <v>37</v>
      </c>
      <c r="B826" t="s">
        <v>41</v>
      </c>
      <c r="C826" t="s">
        <v>33</v>
      </c>
      <c r="D826" t="s">
        <v>34</v>
      </c>
      <c r="E826">
        <v>4</v>
      </c>
      <c r="F826" t="s">
        <v>35</v>
      </c>
      <c r="G826">
        <v>3</v>
      </c>
      <c r="H826">
        <v>1</v>
      </c>
      <c r="I826" t="s">
        <v>44</v>
      </c>
      <c r="J826">
        <v>3</v>
      </c>
      <c r="K826" t="s">
        <v>50</v>
      </c>
      <c r="L826">
        <v>2996</v>
      </c>
      <c r="M826">
        <v>7</v>
      </c>
      <c r="N826" t="s">
        <v>32</v>
      </c>
      <c r="O826">
        <v>15</v>
      </c>
      <c r="P826">
        <v>3</v>
      </c>
      <c r="Q826">
        <v>0</v>
      </c>
      <c r="R826">
        <v>8</v>
      </c>
      <c r="S826">
        <v>2</v>
      </c>
      <c r="T826">
        <v>6</v>
      </c>
      <c r="U826">
        <v>1</v>
      </c>
      <c r="V826">
        <v>3</v>
      </c>
      <c r="W826" t="s">
        <v>56</v>
      </c>
      <c r="X826" s="1" t="d">
        <v>2015-03-24</v>
      </c>
      <c r="Z826" t="s">
        <v>59</v>
      </c>
      <c r="AA826" t="s">
        <v>40</v>
      </c>
      <c r="AB826">
        <v>3</v>
      </c>
      <c r="AC826">
        <v>1</v>
      </c>
      <c r="AD826" t="s">
        <v>41</v>
      </c>
      <c r="AE826" t="s">
        <v>47</v>
      </c>
      <c r="AF826" t="s">
        <v>57</v>
      </c>
      <c r="AG826">
        <f>IF(HR_Data[[#This Row],[Attrition]]="Yes",1,0)</f>
        <v>0</v>
      </c>
      <c r="AH826" t="str">
        <f>IF(HR_Data[Date_of_termination]="","Active","Left")</f>
        <v>Active</v>
      </c>
      <c r="AI826" t="str">
        <f>IF(HR_Data[YearsAtCompany]&lt;=2,"Fresher", IF(HR_Data[YearsAtCompany]&lt;=5,"Junior", IF(HR_Data[YearsAtCompany]&lt;=10, "Mid","Senior")))</f>
        <v>Mid</v>
      </c>
      <c r="AJ826" s="2" t="str">
        <f>IF(HR_Data[MonthlyIncome]&lt;=300,"Low", IF(HR_Data[MonthlyIncome]&lt;=7000,"Medium", "High"))</f>
        <v>Medium</v>
      </c>
      <c r="AK826" s="2" t="str">
        <f>VLOOKUP(HR_Data[JobRole], JobRole_Map[], 2, FALSE)</f>
        <v>Technical</v>
      </c>
    </row>
    <row r="827" spans="1:37" x14ac:dyDescent="0.25">
      <c r="A827" s="2">
        <v>39</v>
      </c>
      <c r="B827" t="s">
        <v>41</v>
      </c>
      <c r="C827" t="s">
        <v>68</v>
      </c>
      <c r="D827" t="s">
        <v>34</v>
      </c>
      <c r="E827">
        <v>25</v>
      </c>
      <c r="F827" t="s">
        <v>35</v>
      </c>
      <c r="G827">
        <v>3</v>
      </c>
      <c r="H827">
        <v>3</v>
      </c>
      <c r="I827" t="s">
        <v>69</v>
      </c>
      <c r="J827">
        <v>3</v>
      </c>
      <c r="K827" t="s">
        <v>50</v>
      </c>
      <c r="L827">
        <v>10920</v>
      </c>
      <c r="M827">
        <v>3</v>
      </c>
      <c r="N827" t="s">
        <v>41</v>
      </c>
      <c r="O827">
        <v>21</v>
      </c>
      <c r="P827">
        <v>4</v>
      </c>
      <c r="Q827">
        <v>1</v>
      </c>
      <c r="R827">
        <v>13</v>
      </c>
      <c r="S827">
        <v>2</v>
      </c>
      <c r="T827">
        <v>6</v>
      </c>
      <c r="U827">
        <v>0</v>
      </c>
      <c r="V827">
        <v>5</v>
      </c>
      <c r="W827" t="s">
        <v>51</v>
      </c>
      <c r="X827" s="1" t="d">
        <v>2015-03-06</v>
      </c>
      <c r="Z827" t="s">
        <v>59</v>
      </c>
      <c r="AA827" t="s">
        <v>40</v>
      </c>
      <c r="AB827">
        <v>4</v>
      </c>
      <c r="AC827">
        <v>2</v>
      </c>
      <c r="AD827" t="s">
        <v>32</v>
      </c>
      <c r="AE827" t="s">
        <v>60</v>
      </c>
      <c r="AF827" t="s">
        <v>43</v>
      </c>
      <c r="AG827">
        <f>IF(HR_Data[[#This Row],[Attrition]]="Yes",1,0)</f>
        <v>0</v>
      </c>
      <c r="AH827" t="str">
        <f>IF(HR_Data[Date_of_termination]="","Active","Left")</f>
        <v>Active</v>
      </c>
      <c r="AI827" t="str">
        <f>IF(HR_Data[YearsAtCompany]&lt;=2,"Fresher", IF(HR_Data[YearsAtCompany]&lt;=5,"Junior", IF(HR_Data[YearsAtCompany]&lt;=10, "Mid","Senior")))</f>
        <v>Mid</v>
      </c>
      <c r="AJ827" s="2" t="str">
        <f>IF(HR_Data[MonthlyIncome]&lt;=300,"Low", IF(HR_Data[MonthlyIncome]&lt;=7000,"Medium", "High"))</f>
        <v>High</v>
      </c>
      <c r="AK827" s="2" t="str">
        <f>VLOOKUP(HR_Data[JobRole], JobRole_Map[], 2, FALSE)</f>
        <v>Operations</v>
      </c>
    </row>
    <row r="828" spans="1:37" x14ac:dyDescent="0.25">
      <c r="A828" s="2">
        <v>27</v>
      </c>
      <c r="B828" t="s">
        <v>41</v>
      </c>
      <c r="C828" t="s">
        <v>33</v>
      </c>
      <c r="D828" t="s">
        <v>53</v>
      </c>
      <c r="E828">
        <v>10</v>
      </c>
      <c r="F828" t="s">
        <v>58</v>
      </c>
      <c r="G828">
        <v>2</v>
      </c>
      <c r="H828">
        <v>2</v>
      </c>
      <c r="I828" t="s">
        <v>64</v>
      </c>
      <c r="J828">
        <v>4</v>
      </c>
      <c r="K828" t="s">
        <v>50</v>
      </c>
      <c r="L828">
        <v>5769</v>
      </c>
      <c r="M828">
        <v>1</v>
      </c>
      <c r="N828" t="s">
        <v>32</v>
      </c>
      <c r="O828">
        <v>11</v>
      </c>
      <c r="P828">
        <v>3</v>
      </c>
      <c r="Q828">
        <v>0</v>
      </c>
      <c r="R828">
        <v>6</v>
      </c>
      <c r="S828">
        <v>3</v>
      </c>
      <c r="T828">
        <v>6</v>
      </c>
      <c r="U828">
        <v>4</v>
      </c>
      <c r="V828">
        <v>4</v>
      </c>
      <c r="W828" t="s">
        <v>38</v>
      </c>
      <c r="X828" s="1" t="d">
        <v>2015-04-14</v>
      </c>
      <c r="Z828" t="s">
        <v>52</v>
      </c>
      <c r="AA828" t="s">
        <v>46</v>
      </c>
      <c r="AB828">
        <v>0</v>
      </c>
      <c r="AC828">
        <v>2</v>
      </c>
      <c r="AD828" t="s">
        <v>41</v>
      </c>
      <c r="AE828" t="s">
        <v>42</v>
      </c>
      <c r="AF828" t="s">
        <v>48</v>
      </c>
      <c r="AG828">
        <f>IF(HR_Data[[#This Row],[Attrition]]="Yes",1,0)</f>
        <v>0</v>
      </c>
      <c r="AH828" t="str">
        <f>IF(HR_Data[Date_of_termination]="","Active","Left")</f>
        <v>Active</v>
      </c>
      <c r="AI828" t="str">
        <f>IF(HR_Data[YearsAtCompany]&lt;=2,"Fresher", IF(HR_Data[YearsAtCompany]&lt;=5,"Junior", IF(HR_Data[YearsAtCompany]&lt;=10, "Mid","Senior")))</f>
        <v>Mid</v>
      </c>
      <c r="AJ828" s="2" t="str">
        <f>IF(HR_Data[MonthlyIncome]&lt;=300,"Low", IF(HR_Data[MonthlyIncome]&lt;=7000,"Medium", "High"))</f>
        <v>Medium</v>
      </c>
      <c r="AK828" s="2" t="str">
        <f>VLOOKUP(HR_Data[JobRole], JobRole_Map[], 2, FALSE)</f>
        <v>Sales</v>
      </c>
    </row>
    <row r="829" spans="1:37" x14ac:dyDescent="0.25">
      <c r="A829" s="2">
        <v>47</v>
      </c>
      <c r="B829" t="s">
        <v>41</v>
      </c>
      <c r="C829" t="s">
        <v>33</v>
      </c>
      <c r="D829" t="s">
        <v>34</v>
      </c>
      <c r="E829">
        <v>1</v>
      </c>
      <c r="F829" t="s">
        <v>35</v>
      </c>
      <c r="G829">
        <v>3</v>
      </c>
      <c r="H829">
        <v>1</v>
      </c>
      <c r="I829" t="s">
        <v>44</v>
      </c>
      <c r="J829">
        <v>4</v>
      </c>
      <c r="K829" t="s">
        <v>50</v>
      </c>
      <c r="L829">
        <v>3420</v>
      </c>
      <c r="M829">
        <v>7</v>
      </c>
      <c r="N829" t="s">
        <v>41</v>
      </c>
      <c r="O829">
        <v>12</v>
      </c>
      <c r="P829">
        <v>3</v>
      </c>
      <c r="Q829">
        <v>1</v>
      </c>
      <c r="R829">
        <v>17</v>
      </c>
      <c r="S829">
        <v>2</v>
      </c>
      <c r="T829">
        <v>6</v>
      </c>
      <c r="U829">
        <v>1</v>
      </c>
      <c r="V829">
        <v>2</v>
      </c>
      <c r="W829" t="s">
        <v>65</v>
      </c>
      <c r="X829" s="1" t="d">
        <v>2015-05-26</v>
      </c>
      <c r="Z829" t="s">
        <v>59</v>
      </c>
      <c r="AA829" t="s">
        <v>46</v>
      </c>
      <c r="AB829">
        <v>2</v>
      </c>
      <c r="AC829">
        <v>1</v>
      </c>
      <c r="AD829" t="s">
        <v>41</v>
      </c>
      <c r="AE829" t="s">
        <v>42</v>
      </c>
      <c r="AF829" t="s">
        <v>57</v>
      </c>
      <c r="AG829">
        <f>IF(HR_Data[[#This Row],[Attrition]]="Yes",1,0)</f>
        <v>0</v>
      </c>
      <c r="AH829" t="str">
        <f>IF(HR_Data[Date_of_termination]="","Active","Left")</f>
        <v>Active</v>
      </c>
      <c r="AI829" t="str">
        <f>IF(HR_Data[YearsAtCompany]&lt;=2,"Fresher", IF(HR_Data[YearsAtCompany]&lt;=5,"Junior", IF(HR_Data[YearsAtCompany]&lt;=10, "Mid","Senior")))</f>
        <v>Mid</v>
      </c>
      <c r="AJ829" s="2" t="str">
        <f>IF(HR_Data[MonthlyIncome]&lt;=300,"Low", IF(HR_Data[MonthlyIncome]&lt;=7000,"Medium", "High"))</f>
        <v>Medium</v>
      </c>
      <c r="AK829" s="2" t="str">
        <f>VLOOKUP(HR_Data[JobRole], JobRole_Map[], 2, FALSE)</f>
        <v>Technical</v>
      </c>
    </row>
    <row r="830" spans="1:37" x14ac:dyDescent="0.25">
      <c r="A830" s="2">
        <v>37</v>
      </c>
      <c r="B830" t="s">
        <v>41</v>
      </c>
      <c r="C830" t="s">
        <v>68</v>
      </c>
      <c r="D830" t="s">
        <v>34</v>
      </c>
      <c r="E830">
        <v>5</v>
      </c>
      <c r="F830" t="s">
        <v>35</v>
      </c>
      <c r="G830">
        <v>4</v>
      </c>
      <c r="H830">
        <v>1</v>
      </c>
      <c r="I830" t="s">
        <v>36</v>
      </c>
      <c r="J830">
        <v>3</v>
      </c>
      <c r="K830" t="s">
        <v>37</v>
      </c>
      <c r="L830">
        <v>3500</v>
      </c>
      <c r="M830">
        <v>0</v>
      </c>
      <c r="N830" t="s">
        <v>41</v>
      </c>
      <c r="O830">
        <v>14</v>
      </c>
      <c r="P830">
        <v>3</v>
      </c>
      <c r="Q830">
        <v>0</v>
      </c>
      <c r="R830">
        <v>7</v>
      </c>
      <c r="S830">
        <v>2</v>
      </c>
      <c r="T830">
        <v>6</v>
      </c>
      <c r="U830">
        <v>1</v>
      </c>
      <c r="V830">
        <v>3</v>
      </c>
      <c r="W830" t="s">
        <v>56</v>
      </c>
      <c r="X830" s="1" t="d">
        <v>2015-03-25</v>
      </c>
      <c r="Z830" t="s">
        <v>59</v>
      </c>
      <c r="AA830" t="s">
        <v>46</v>
      </c>
      <c r="AB830">
        <v>4</v>
      </c>
      <c r="AC830">
        <v>0</v>
      </c>
      <c r="AD830" t="s">
        <v>41</v>
      </c>
      <c r="AE830" t="s">
        <v>60</v>
      </c>
      <c r="AF830" t="s">
        <v>48</v>
      </c>
      <c r="AG830">
        <f>IF(HR_Data[[#This Row],[Attrition]]="Yes",1,0)</f>
        <v>0</v>
      </c>
      <c r="AH830" t="str">
        <f>IF(HR_Data[Date_of_termination]="","Active","Left")</f>
        <v>Active</v>
      </c>
      <c r="AI830" t="str">
        <f>IF(HR_Data[YearsAtCompany]&lt;=2,"Fresher", IF(HR_Data[YearsAtCompany]&lt;=5,"Junior", IF(HR_Data[YearsAtCompany]&lt;=10, "Mid","Senior")))</f>
        <v>Mid</v>
      </c>
      <c r="AJ830" s="2" t="str">
        <f>IF(HR_Data[MonthlyIncome]&lt;=300,"Low", IF(HR_Data[MonthlyIncome]&lt;=7000,"Medium", "High"))</f>
        <v>Medium</v>
      </c>
      <c r="AK830" s="2" t="str">
        <f>VLOOKUP(HR_Data[JobRole], JobRole_Map[], 2, FALSE)</f>
        <v>Technical</v>
      </c>
    </row>
    <row r="831" spans="1:37" x14ac:dyDescent="0.25">
      <c r="A831" s="2">
        <v>38</v>
      </c>
      <c r="B831" t="s">
        <v>41</v>
      </c>
      <c r="C831" t="s">
        <v>61</v>
      </c>
      <c r="D831" t="s">
        <v>70</v>
      </c>
      <c r="E831">
        <v>10</v>
      </c>
      <c r="F831" t="s">
        <v>35</v>
      </c>
      <c r="G831">
        <v>3</v>
      </c>
      <c r="H831">
        <v>2</v>
      </c>
      <c r="I831" t="s">
        <v>70</v>
      </c>
      <c r="J831">
        <v>3</v>
      </c>
      <c r="K831" t="s">
        <v>50</v>
      </c>
      <c r="L831">
        <v>6077</v>
      </c>
      <c r="M831">
        <v>3</v>
      </c>
      <c r="N831" t="s">
        <v>41</v>
      </c>
      <c r="O831">
        <v>11</v>
      </c>
      <c r="P831">
        <v>3</v>
      </c>
      <c r="Q831">
        <v>0</v>
      </c>
      <c r="R831">
        <v>10</v>
      </c>
      <c r="S831">
        <v>2</v>
      </c>
      <c r="T831">
        <v>6</v>
      </c>
      <c r="U831">
        <v>1</v>
      </c>
      <c r="V831">
        <v>2</v>
      </c>
      <c r="W831" t="s">
        <v>51</v>
      </c>
      <c r="X831" s="1" t="d">
        <v>2015-05-18</v>
      </c>
      <c r="Z831" t="s">
        <v>39</v>
      </c>
      <c r="AA831" t="s">
        <v>40</v>
      </c>
      <c r="AB831">
        <v>4</v>
      </c>
      <c r="AC831">
        <v>1</v>
      </c>
      <c r="AD831" t="s">
        <v>41</v>
      </c>
      <c r="AE831" t="s">
        <v>42</v>
      </c>
      <c r="AF831" t="s">
        <v>48</v>
      </c>
      <c r="AG831">
        <f>IF(HR_Data[[#This Row],[Attrition]]="Yes",1,0)</f>
        <v>0</v>
      </c>
      <c r="AH831" t="str">
        <f>IF(HR_Data[Date_of_termination]="","Active","Left")</f>
        <v>Active</v>
      </c>
      <c r="AI831" t="str">
        <f>IF(HR_Data[YearsAtCompany]&lt;=2,"Fresher", IF(HR_Data[YearsAtCompany]&lt;=5,"Junior", IF(HR_Data[YearsAtCompany]&lt;=10, "Mid","Senior")))</f>
        <v>Mid</v>
      </c>
      <c r="AJ831" s="2" t="str">
        <f>IF(HR_Data[MonthlyIncome]&lt;=300,"Low", IF(HR_Data[MonthlyIncome]&lt;=7000,"Medium", "High"))</f>
        <v>Medium</v>
      </c>
      <c r="AK831" s="2" t="str">
        <f>VLOOKUP(HR_Data[JobRole], JobRole_Map[], 2, FALSE)</f>
        <v>HR</v>
      </c>
    </row>
    <row r="832" spans="1:37" x14ac:dyDescent="0.25">
      <c r="A832" s="2">
        <v>32</v>
      </c>
      <c r="B832" t="s">
        <v>41</v>
      </c>
      <c r="C832" t="s">
        <v>68</v>
      </c>
      <c r="D832" t="s">
        <v>34</v>
      </c>
      <c r="E832">
        <v>1</v>
      </c>
      <c r="F832" t="s">
        <v>35</v>
      </c>
      <c r="G832">
        <v>3</v>
      </c>
      <c r="H832">
        <v>2</v>
      </c>
      <c r="I832" t="s">
        <v>44</v>
      </c>
      <c r="J832">
        <v>1</v>
      </c>
      <c r="K832" t="s">
        <v>50</v>
      </c>
      <c r="L832">
        <v>4087</v>
      </c>
      <c r="M832">
        <v>4</v>
      </c>
      <c r="N832" t="s">
        <v>41</v>
      </c>
      <c r="O832">
        <v>14</v>
      </c>
      <c r="P832">
        <v>3</v>
      </c>
      <c r="Q832">
        <v>1</v>
      </c>
      <c r="R832">
        <v>9</v>
      </c>
      <c r="S832">
        <v>3</v>
      </c>
      <c r="T832">
        <v>6</v>
      </c>
      <c r="U832">
        <v>1</v>
      </c>
      <c r="V832">
        <v>2</v>
      </c>
      <c r="W832" t="s">
        <v>38</v>
      </c>
      <c r="X832" s="1" t="d">
        <v>2015-05-31</v>
      </c>
      <c r="Z832" t="s">
        <v>39</v>
      </c>
      <c r="AA832" t="s">
        <v>46</v>
      </c>
      <c r="AB832">
        <v>1</v>
      </c>
      <c r="AC832">
        <v>1</v>
      </c>
      <c r="AD832" t="s">
        <v>32</v>
      </c>
      <c r="AE832" t="s">
        <v>60</v>
      </c>
      <c r="AF832" t="s">
        <v>57</v>
      </c>
      <c r="AG832">
        <f>IF(HR_Data[[#This Row],[Attrition]]="Yes",1,0)</f>
        <v>0</v>
      </c>
      <c r="AH832" t="str">
        <f>IF(HR_Data[Date_of_termination]="","Active","Left")</f>
        <v>Active</v>
      </c>
      <c r="AI832" t="str">
        <f>IF(HR_Data[YearsAtCompany]&lt;=2,"Fresher", IF(HR_Data[YearsAtCompany]&lt;=5,"Junior", IF(HR_Data[YearsAtCompany]&lt;=10, "Mid","Senior")))</f>
        <v>Mid</v>
      </c>
      <c r="AJ832" s="2" t="str">
        <f>IF(HR_Data[MonthlyIncome]&lt;=300,"Low", IF(HR_Data[MonthlyIncome]&lt;=7000,"Medium", "High"))</f>
        <v>Medium</v>
      </c>
      <c r="AK832" s="2" t="str">
        <f>VLOOKUP(HR_Data[JobRole], JobRole_Map[], 2, FALSE)</f>
        <v>Technical</v>
      </c>
    </row>
    <row r="833" spans="1:37" x14ac:dyDescent="0.25">
      <c r="A833" s="2">
        <v>29</v>
      </c>
      <c r="B833" t="s">
        <v>41</v>
      </c>
      <c r="C833" t="s">
        <v>61</v>
      </c>
      <c r="D833" t="s">
        <v>34</v>
      </c>
      <c r="E833">
        <v>2</v>
      </c>
      <c r="F833" t="s">
        <v>35</v>
      </c>
      <c r="G833">
        <v>3</v>
      </c>
      <c r="H833">
        <v>2</v>
      </c>
      <c r="I833" t="s">
        <v>69</v>
      </c>
      <c r="J833">
        <v>4</v>
      </c>
      <c r="K833" t="s">
        <v>55</v>
      </c>
      <c r="L833">
        <v>8853</v>
      </c>
      <c r="M833">
        <v>1</v>
      </c>
      <c r="N833" t="s">
        <v>41</v>
      </c>
      <c r="O833">
        <v>19</v>
      </c>
      <c r="P833">
        <v>3</v>
      </c>
      <c r="Q833">
        <v>1</v>
      </c>
      <c r="R833">
        <v>6</v>
      </c>
      <c r="S833">
        <v>0</v>
      </c>
      <c r="T833">
        <v>6</v>
      </c>
      <c r="U833">
        <v>1</v>
      </c>
      <c r="V833">
        <v>3</v>
      </c>
      <c r="W833" t="s">
        <v>56</v>
      </c>
      <c r="X833" s="1" t="d">
        <v>2015-04-26</v>
      </c>
      <c r="Z833" t="s">
        <v>39</v>
      </c>
      <c r="AA833" t="s">
        <v>40</v>
      </c>
      <c r="AB833">
        <v>2</v>
      </c>
      <c r="AC833">
        <v>3</v>
      </c>
      <c r="AD833" t="s">
        <v>32</v>
      </c>
      <c r="AE833" t="s">
        <v>62</v>
      </c>
      <c r="AF833" t="s">
        <v>57</v>
      </c>
      <c r="AG833">
        <f>IF(HR_Data[[#This Row],[Attrition]]="Yes",1,0)</f>
        <v>0</v>
      </c>
      <c r="AH833" t="str">
        <f>IF(HR_Data[Date_of_termination]="","Active","Left")</f>
        <v>Active</v>
      </c>
      <c r="AI833" t="str">
        <f>IF(HR_Data[YearsAtCompany]&lt;=2,"Fresher", IF(HR_Data[YearsAtCompany]&lt;=5,"Junior", IF(HR_Data[YearsAtCompany]&lt;=10, "Mid","Senior")))</f>
        <v>Mid</v>
      </c>
      <c r="AJ833" s="2" t="str">
        <f>IF(HR_Data[MonthlyIncome]&lt;=300,"Low", IF(HR_Data[MonthlyIncome]&lt;=7000,"Medium", "High"))</f>
        <v>High</v>
      </c>
      <c r="AK833" s="2" t="str">
        <f>VLOOKUP(HR_Data[JobRole], JobRole_Map[], 2, FALSE)</f>
        <v>Operations</v>
      </c>
    </row>
    <row r="834" spans="1:37" x14ac:dyDescent="0.25">
      <c r="A834" s="2">
        <v>43</v>
      </c>
      <c r="B834" t="s">
        <v>41</v>
      </c>
      <c r="C834" t="s">
        <v>33</v>
      </c>
      <c r="D834" t="s">
        <v>34</v>
      </c>
      <c r="E834">
        <v>27</v>
      </c>
      <c r="F834" t="s">
        <v>35</v>
      </c>
      <c r="G834">
        <v>4</v>
      </c>
      <c r="H834">
        <v>1</v>
      </c>
      <c r="I834" t="s">
        <v>36</v>
      </c>
      <c r="J834">
        <v>2</v>
      </c>
      <c r="K834" t="s">
        <v>55</v>
      </c>
      <c r="L834">
        <v>4876</v>
      </c>
      <c r="M834">
        <v>5</v>
      </c>
      <c r="N834" t="s">
        <v>41</v>
      </c>
      <c r="O834">
        <v>12</v>
      </c>
      <c r="P834">
        <v>3</v>
      </c>
      <c r="Q834">
        <v>1</v>
      </c>
      <c r="R834">
        <v>8</v>
      </c>
      <c r="S834">
        <v>0</v>
      </c>
      <c r="T834">
        <v>6</v>
      </c>
      <c r="U834">
        <v>0</v>
      </c>
      <c r="V834">
        <v>2</v>
      </c>
      <c r="W834" t="s">
        <v>65</v>
      </c>
      <c r="X834" s="1" t="d">
        <v>2015-04-02</v>
      </c>
      <c r="Z834" t="s">
        <v>45</v>
      </c>
      <c r="AA834" t="s">
        <v>40</v>
      </c>
      <c r="AB834">
        <v>2</v>
      </c>
      <c r="AC834">
        <v>2</v>
      </c>
      <c r="AD834" t="s">
        <v>32</v>
      </c>
      <c r="AE834" t="s">
        <v>62</v>
      </c>
      <c r="AF834" t="s">
        <v>43</v>
      </c>
      <c r="AG834">
        <f>IF(HR_Data[[#This Row],[Attrition]]="Yes",1,0)</f>
        <v>0</v>
      </c>
      <c r="AH834" t="str">
        <f>IF(HR_Data[Date_of_termination]="","Active","Left")</f>
        <v>Active</v>
      </c>
      <c r="AI834" t="str">
        <f>IF(HR_Data[YearsAtCompany]&lt;=2,"Fresher", IF(HR_Data[YearsAtCompany]&lt;=5,"Junior", IF(HR_Data[YearsAtCompany]&lt;=10, "Mid","Senior")))</f>
        <v>Mid</v>
      </c>
      <c r="AJ834" s="2" t="str">
        <f>IF(HR_Data[MonthlyIncome]&lt;=300,"Low", IF(HR_Data[MonthlyIncome]&lt;=7000,"Medium", "High"))</f>
        <v>Medium</v>
      </c>
      <c r="AK834" s="2" t="str">
        <f>VLOOKUP(HR_Data[JobRole], JobRole_Map[], 2, FALSE)</f>
        <v>Technical</v>
      </c>
    </row>
    <row r="835" spans="1:37" x14ac:dyDescent="0.25">
      <c r="A835" s="2">
        <v>30</v>
      </c>
      <c r="B835" t="s">
        <v>41</v>
      </c>
      <c r="C835" t="s">
        <v>33</v>
      </c>
      <c r="D835" t="s">
        <v>34</v>
      </c>
      <c r="E835">
        <v>7</v>
      </c>
      <c r="F835" t="s">
        <v>35</v>
      </c>
      <c r="G835">
        <v>2</v>
      </c>
      <c r="H835">
        <v>1</v>
      </c>
      <c r="I835" t="s">
        <v>44</v>
      </c>
      <c r="J835">
        <v>2</v>
      </c>
      <c r="K835" t="s">
        <v>50</v>
      </c>
      <c r="L835">
        <v>2141</v>
      </c>
      <c r="M835">
        <v>1</v>
      </c>
      <c r="N835" t="s">
        <v>41</v>
      </c>
      <c r="O835">
        <v>12</v>
      </c>
      <c r="P835">
        <v>3</v>
      </c>
      <c r="Q835">
        <v>1</v>
      </c>
      <c r="R835">
        <v>6</v>
      </c>
      <c r="S835">
        <v>3</v>
      </c>
      <c r="T835">
        <v>6</v>
      </c>
      <c r="U835">
        <v>1</v>
      </c>
      <c r="V835">
        <v>1</v>
      </c>
      <c r="W835" t="s">
        <v>38</v>
      </c>
      <c r="X835" s="1" t="d">
        <v>2015-06-16</v>
      </c>
      <c r="Z835" t="s">
        <v>45</v>
      </c>
      <c r="AA835" t="s">
        <v>40</v>
      </c>
      <c r="AB835">
        <v>0</v>
      </c>
      <c r="AC835">
        <v>0</v>
      </c>
      <c r="AD835" t="s">
        <v>32</v>
      </c>
      <c r="AE835" t="s">
        <v>42</v>
      </c>
      <c r="AF835" t="s">
        <v>57</v>
      </c>
      <c r="AG835">
        <f>IF(HR_Data[[#This Row],[Attrition]]="Yes",1,0)</f>
        <v>0</v>
      </c>
      <c r="AH835" t="str">
        <f>IF(HR_Data[Date_of_termination]="","Active","Left")</f>
        <v>Active</v>
      </c>
      <c r="AI835" t="str">
        <f>IF(HR_Data[YearsAtCompany]&lt;=2,"Fresher", IF(HR_Data[YearsAtCompany]&lt;=5,"Junior", IF(HR_Data[YearsAtCompany]&lt;=10, "Mid","Senior")))</f>
        <v>Mid</v>
      </c>
      <c r="AJ835" s="2" t="str">
        <f>IF(HR_Data[MonthlyIncome]&lt;=300,"Low", IF(HR_Data[MonthlyIncome]&lt;=7000,"Medium", "High"))</f>
        <v>Medium</v>
      </c>
      <c r="AK835" s="2" t="str">
        <f>VLOOKUP(HR_Data[JobRole], JobRole_Map[], 2, FALSE)</f>
        <v>Technical</v>
      </c>
    </row>
    <row r="836" spans="1:37" x14ac:dyDescent="0.25">
      <c r="A836" s="2">
        <v>24</v>
      </c>
      <c r="B836" t="s">
        <v>41</v>
      </c>
      <c r="C836" t="s">
        <v>61</v>
      </c>
      <c r="D836" t="s">
        <v>34</v>
      </c>
      <c r="E836">
        <v>2</v>
      </c>
      <c r="F836" t="s">
        <v>58</v>
      </c>
      <c r="G836">
        <v>3</v>
      </c>
      <c r="H836">
        <v>1</v>
      </c>
      <c r="I836" t="s">
        <v>44</v>
      </c>
      <c r="J836">
        <v>4</v>
      </c>
      <c r="K836" t="s">
        <v>37</v>
      </c>
      <c r="L836">
        <v>3760</v>
      </c>
      <c r="M836">
        <v>1</v>
      </c>
      <c r="N836" t="s">
        <v>32</v>
      </c>
      <c r="O836">
        <v>13</v>
      </c>
      <c r="P836">
        <v>3</v>
      </c>
      <c r="Q836">
        <v>0</v>
      </c>
      <c r="R836">
        <v>6</v>
      </c>
      <c r="S836">
        <v>2</v>
      </c>
      <c r="T836">
        <v>6</v>
      </c>
      <c r="U836">
        <v>1</v>
      </c>
      <c r="V836">
        <v>3</v>
      </c>
      <c r="W836" t="s">
        <v>65</v>
      </c>
      <c r="X836" s="1" t="d">
        <v>2015-05-28</v>
      </c>
      <c r="Z836" t="s">
        <v>59</v>
      </c>
      <c r="AA836" t="s">
        <v>40</v>
      </c>
      <c r="AB836">
        <v>4</v>
      </c>
      <c r="AC836">
        <v>0</v>
      </c>
      <c r="AD836" t="s">
        <v>32</v>
      </c>
      <c r="AE836" t="s">
        <v>60</v>
      </c>
      <c r="AF836" t="s">
        <v>48</v>
      </c>
      <c r="AG836">
        <f>IF(HR_Data[[#This Row],[Attrition]]="Yes",1,0)</f>
        <v>0</v>
      </c>
      <c r="AH836" t="str">
        <f>IF(HR_Data[Date_of_termination]="","Active","Left")</f>
        <v>Active</v>
      </c>
      <c r="AI836" t="str">
        <f>IF(HR_Data[YearsAtCompany]&lt;=2,"Fresher", IF(HR_Data[YearsAtCompany]&lt;=5,"Junior", IF(HR_Data[YearsAtCompany]&lt;=10, "Mid","Senior")))</f>
        <v>Mid</v>
      </c>
      <c r="AJ836" s="2" t="str">
        <f>IF(HR_Data[MonthlyIncome]&lt;=300,"Low", IF(HR_Data[MonthlyIncome]&lt;=7000,"Medium", "High"))</f>
        <v>Medium</v>
      </c>
      <c r="AK836" s="2" t="str">
        <f>VLOOKUP(HR_Data[JobRole], JobRole_Map[], 2, FALSE)</f>
        <v>Technical</v>
      </c>
    </row>
    <row r="837" spans="1:37" x14ac:dyDescent="0.25">
      <c r="A837" s="2">
        <v>33</v>
      </c>
      <c r="B837" t="s">
        <v>41</v>
      </c>
      <c r="C837" t="s">
        <v>33</v>
      </c>
      <c r="D837" t="s">
        <v>53</v>
      </c>
      <c r="E837">
        <v>2</v>
      </c>
      <c r="F837" t="s">
        <v>35</v>
      </c>
      <c r="G837">
        <v>3</v>
      </c>
      <c r="H837">
        <v>2</v>
      </c>
      <c r="I837" t="s">
        <v>64</v>
      </c>
      <c r="J837">
        <v>4</v>
      </c>
      <c r="K837" t="s">
        <v>55</v>
      </c>
      <c r="L837">
        <v>5505</v>
      </c>
      <c r="M837">
        <v>1</v>
      </c>
      <c r="N837" t="s">
        <v>41</v>
      </c>
      <c r="O837">
        <v>14</v>
      </c>
      <c r="P837">
        <v>3</v>
      </c>
      <c r="Q837">
        <v>2</v>
      </c>
      <c r="R837">
        <v>6</v>
      </c>
      <c r="S837">
        <v>5</v>
      </c>
      <c r="T837">
        <v>6</v>
      </c>
      <c r="U837">
        <v>0</v>
      </c>
      <c r="V837">
        <v>4</v>
      </c>
      <c r="W837" t="s">
        <v>38</v>
      </c>
      <c r="X837" s="1" t="d">
        <v>2015-06-24</v>
      </c>
      <c r="Z837" t="s">
        <v>63</v>
      </c>
      <c r="AA837" t="s">
        <v>46</v>
      </c>
      <c r="AB837">
        <v>3</v>
      </c>
      <c r="AC837">
        <v>2</v>
      </c>
      <c r="AD837" t="s">
        <v>32</v>
      </c>
      <c r="AE837" t="s">
        <v>42</v>
      </c>
      <c r="AF837" t="s">
        <v>57</v>
      </c>
      <c r="AG837">
        <f>IF(HR_Data[[#This Row],[Attrition]]="Yes",1,0)</f>
        <v>0</v>
      </c>
      <c r="AH837" t="str">
        <f>IF(HR_Data[Date_of_termination]="","Active","Left")</f>
        <v>Active</v>
      </c>
      <c r="AI837" t="str">
        <f>IF(HR_Data[YearsAtCompany]&lt;=2,"Fresher", IF(HR_Data[YearsAtCompany]&lt;=5,"Junior", IF(HR_Data[YearsAtCompany]&lt;=10, "Mid","Senior")))</f>
        <v>Mid</v>
      </c>
      <c r="AJ837" s="2" t="str">
        <f>IF(HR_Data[MonthlyIncome]&lt;=300,"Low", IF(HR_Data[MonthlyIncome]&lt;=7000,"Medium", "High"))</f>
        <v>Medium</v>
      </c>
      <c r="AK837" s="2" t="str">
        <f>VLOOKUP(HR_Data[JobRole], JobRole_Map[], 2, FALSE)</f>
        <v>Sales</v>
      </c>
    </row>
    <row r="838" spans="1:37" x14ac:dyDescent="0.25">
      <c r="A838" s="2">
        <v>33</v>
      </c>
      <c r="B838" t="s">
        <v>41</v>
      </c>
      <c r="C838" t="s">
        <v>68</v>
      </c>
      <c r="D838" t="s">
        <v>53</v>
      </c>
      <c r="E838">
        <v>16</v>
      </c>
      <c r="F838" t="s">
        <v>58</v>
      </c>
      <c r="G838">
        <v>3</v>
      </c>
      <c r="H838">
        <v>2</v>
      </c>
      <c r="I838" t="s">
        <v>64</v>
      </c>
      <c r="J838">
        <v>4</v>
      </c>
      <c r="K838" t="s">
        <v>55</v>
      </c>
      <c r="L838">
        <v>5368</v>
      </c>
      <c r="M838">
        <v>1</v>
      </c>
      <c r="N838" t="s">
        <v>32</v>
      </c>
      <c r="O838">
        <v>25</v>
      </c>
      <c r="P838">
        <v>4</v>
      </c>
      <c r="Q838">
        <v>1</v>
      </c>
      <c r="R838">
        <v>7</v>
      </c>
      <c r="S838">
        <v>2</v>
      </c>
      <c r="T838">
        <v>6</v>
      </c>
      <c r="U838">
        <v>1</v>
      </c>
      <c r="V838">
        <v>2</v>
      </c>
      <c r="W838" t="s">
        <v>38</v>
      </c>
      <c r="X838" s="1" t="d">
        <v>2015-01-06</v>
      </c>
      <c r="Z838" t="s">
        <v>39</v>
      </c>
      <c r="AA838" t="s">
        <v>40</v>
      </c>
      <c r="AB838">
        <v>0</v>
      </c>
      <c r="AC838">
        <v>0</v>
      </c>
      <c r="AD838" t="s">
        <v>41</v>
      </c>
      <c r="AE838" t="s">
        <v>62</v>
      </c>
      <c r="AF838" t="s">
        <v>57</v>
      </c>
      <c r="AG838">
        <f>IF(HR_Data[[#This Row],[Attrition]]="Yes",1,0)</f>
        <v>0</v>
      </c>
      <c r="AH838" t="str">
        <f>IF(HR_Data[Date_of_termination]="","Active","Left")</f>
        <v>Active</v>
      </c>
      <c r="AI838" t="str">
        <f>IF(HR_Data[YearsAtCompany]&lt;=2,"Fresher", IF(HR_Data[YearsAtCompany]&lt;=5,"Junior", IF(HR_Data[YearsAtCompany]&lt;=10, "Mid","Senior")))</f>
        <v>Mid</v>
      </c>
      <c r="AJ838" s="2" t="str">
        <f>IF(HR_Data[MonthlyIncome]&lt;=300,"Low", IF(HR_Data[MonthlyIncome]&lt;=7000,"Medium", "High"))</f>
        <v>Medium</v>
      </c>
      <c r="AK838" s="2" t="str">
        <f>VLOOKUP(HR_Data[JobRole], JobRole_Map[], 2, FALSE)</f>
        <v>Sales</v>
      </c>
    </row>
    <row r="839" spans="1:37" x14ac:dyDescent="0.25">
      <c r="A839" s="2">
        <v>37</v>
      </c>
      <c r="B839" t="s">
        <v>41</v>
      </c>
      <c r="C839" t="s">
        <v>61</v>
      </c>
      <c r="D839" t="s">
        <v>53</v>
      </c>
      <c r="E839">
        <v>1</v>
      </c>
      <c r="F839" t="s">
        <v>35</v>
      </c>
      <c r="G839">
        <v>1</v>
      </c>
      <c r="H839">
        <v>2</v>
      </c>
      <c r="I839" t="s">
        <v>64</v>
      </c>
      <c r="J839">
        <v>4</v>
      </c>
      <c r="K839" t="s">
        <v>55</v>
      </c>
      <c r="L839">
        <v>9525</v>
      </c>
      <c r="M839">
        <v>1</v>
      </c>
      <c r="N839" t="s">
        <v>41</v>
      </c>
      <c r="O839">
        <v>14</v>
      </c>
      <c r="P839">
        <v>3</v>
      </c>
      <c r="Q839">
        <v>2</v>
      </c>
      <c r="R839">
        <v>6</v>
      </c>
      <c r="S839">
        <v>2</v>
      </c>
      <c r="T839">
        <v>6</v>
      </c>
      <c r="U839">
        <v>1</v>
      </c>
      <c r="V839">
        <v>3</v>
      </c>
      <c r="W839" t="s">
        <v>38</v>
      </c>
      <c r="X839" s="1" t="d">
        <v>2015-04-20</v>
      </c>
      <c r="Z839" t="s">
        <v>63</v>
      </c>
      <c r="AA839" t="s">
        <v>40</v>
      </c>
      <c r="AB839">
        <v>3</v>
      </c>
      <c r="AC839">
        <v>3</v>
      </c>
      <c r="AD839" t="s">
        <v>41</v>
      </c>
      <c r="AE839" t="s">
        <v>42</v>
      </c>
      <c r="AF839" t="s">
        <v>43</v>
      </c>
      <c r="AG839">
        <f>IF(HR_Data[[#This Row],[Attrition]]="Yes",1,0)</f>
        <v>0</v>
      </c>
      <c r="AH839" t="str">
        <f>IF(HR_Data[Date_of_termination]="","Active","Left")</f>
        <v>Active</v>
      </c>
      <c r="AI839" t="str">
        <f>IF(HR_Data[YearsAtCompany]&lt;=2,"Fresher", IF(HR_Data[YearsAtCompany]&lt;=5,"Junior", IF(HR_Data[YearsAtCompany]&lt;=10, "Mid","Senior")))</f>
        <v>Mid</v>
      </c>
      <c r="AJ839" s="2" t="str">
        <f>IF(HR_Data[MonthlyIncome]&lt;=300,"Low", IF(HR_Data[MonthlyIncome]&lt;=7000,"Medium", "High"))</f>
        <v>High</v>
      </c>
      <c r="AK839" s="2" t="str">
        <f>VLOOKUP(HR_Data[JobRole], JobRole_Map[], 2, FALSE)</f>
        <v>Sales</v>
      </c>
    </row>
    <row r="840" spans="1:37" x14ac:dyDescent="0.25">
      <c r="A840" s="2">
        <v>24</v>
      </c>
      <c r="B840" t="s">
        <v>41</v>
      </c>
      <c r="C840" t="s">
        <v>33</v>
      </c>
      <c r="D840" t="s">
        <v>34</v>
      </c>
      <c r="E840">
        <v>29</v>
      </c>
      <c r="F840" t="s">
        <v>35</v>
      </c>
      <c r="G840">
        <v>3</v>
      </c>
      <c r="H840">
        <v>1</v>
      </c>
      <c r="I840" t="s">
        <v>36</v>
      </c>
      <c r="J840">
        <v>1</v>
      </c>
      <c r="K840" t="s">
        <v>55</v>
      </c>
      <c r="L840">
        <v>3907</v>
      </c>
      <c r="M840">
        <v>1</v>
      </c>
      <c r="N840" t="s">
        <v>41</v>
      </c>
      <c r="O840">
        <v>13</v>
      </c>
      <c r="P840">
        <v>3</v>
      </c>
      <c r="Q840">
        <v>3</v>
      </c>
      <c r="R840">
        <v>6</v>
      </c>
      <c r="S840">
        <v>2</v>
      </c>
      <c r="T840">
        <v>6</v>
      </c>
      <c r="U840">
        <v>1</v>
      </c>
      <c r="V840">
        <v>2</v>
      </c>
      <c r="W840" t="s">
        <v>38</v>
      </c>
      <c r="X840" s="1" t="d">
        <v>2015-05-26</v>
      </c>
      <c r="Z840" t="s">
        <v>39</v>
      </c>
      <c r="AA840" t="s">
        <v>46</v>
      </c>
      <c r="AB840">
        <v>4</v>
      </c>
      <c r="AC840">
        <v>1</v>
      </c>
      <c r="AD840" t="s">
        <v>32</v>
      </c>
      <c r="AE840" t="s">
        <v>47</v>
      </c>
      <c r="AF840" t="s">
        <v>48</v>
      </c>
      <c r="AG840">
        <f>IF(HR_Data[[#This Row],[Attrition]]="Yes",1,0)</f>
        <v>0</v>
      </c>
      <c r="AH840" t="str">
        <f>IF(HR_Data[Date_of_termination]="","Active","Left")</f>
        <v>Active</v>
      </c>
      <c r="AI840" t="str">
        <f>IF(HR_Data[YearsAtCompany]&lt;=2,"Fresher", IF(HR_Data[YearsAtCompany]&lt;=5,"Junior", IF(HR_Data[YearsAtCompany]&lt;=10, "Mid","Senior")))</f>
        <v>Mid</v>
      </c>
      <c r="AJ840" s="2" t="str">
        <f>IF(HR_Data[MonthlyIncome]&lt;=300,"Low", IF(HR_Data[MonthlyIncome]&lt;=7000,"Medium", "High"))</f>
        <v>Medium</v>
      </c>
      <c r="AK840" s="2" t="str">
        <f>VLOOKUP(HR_Data[JobRole], JobRole_Map[], 2, FALSE)</f>
        <v>Technical</v>
      </c>
    </row>
    <row r="841" spans="1:37" x14ac:dyDescent="0.25">
      <c r="A841" s="2">
        <v>27</v>
      </c>
      <c r="B841" t="s">
        <v>41</v>
      </c>
      <c r="C841" t="s">
        <v>33</v>
      </c>
      <c r="D841" t="s">
        <v>34</v>
      </c>
      <c r="E841">
        <v>8</v>
      </c>
      <c r="F841" t="s">
        <v>58</v>
      </c>
      <c r="G841">
        <v>3</v>
      </c>
      <c r="H841">
        <v>1</v>
      </c>
      <c r="I841" t="s">
        <v>44</v>
      </c>
      <c r="J841">
        <v>4</v>
      </c>
      <c r="K841" t="s">
        <v>37</v>
      </c>
      <c r="L841">
        <v>3445</v>
      </c>
      <c r="M841">
        <v>1</v>
      </c>
      <c r="N841" t="s">
        <v>41</v>
      </c>
      <c r="O841">
        <v>11</v>
      </c>
      <c r="P841">
        <v>3</v>
      </c>
      <c r="Q841">
        <v>0</v>
      </c>
      <c r="R841">
        <v>6</v>
      </c>
      <c r="S841">
        <v>5</v>
      </c>
      <c r="T841">
        <v>6</v>
      </c>
      <c r="U841">
        <v>1</v>
      </c>
      <c r="V841">
        <v>4</v>
      </c>
      <c r="W841" t="s">
        <v>38</v>
      </c>
      <c r="X841" s="1" t="d">
        <v>2015-01-12</v>
      </c>
      <c r="Z841" t="s">
        <v>59</v>
      </c>
      <c r="AA841" t="s">
        <v>46</v>
      </c>
      <c r="AB841">
        <v>3</v>
      </c>
      <c r="AC841">
        <v>3</v>
      </c>
      <c r="AD841" t="s">
        <v>32</v>
      </c>
      <c r="AE841" t="s">
        <v>47</v>
      </c>
      <c r="AF841" t="s">
        <v>43</v>
      </c>
      <c r="AG841">
        <f>IF(HR_Data[[#This Row],[Attrition]]="Yes",1,0)</f>
        <v>0</v>
      </c>
      <c r="AH841" t="str">
        <f>IF(HR_Data[Date_of_termination]="","Active","Left")</f>
        <v>Active</v>
      </c>
      <c r="AI841" t="str">
        <f>IF(HR_Data[YearsAtCompany]&lt;=2,"Fresher", IF(HR_Data[YearsAtCompany]&lt;=5,"Junior", IF(HR_Data[YearsAtCompany]&lt;=10, "Mid","Senior")))</f>
        <v>Mid</v>
      </c>
      <c r="AJ841" s="2" t="str">
        <f>IF(HR_Data[MonthlyIncome]&lt;=300,"Low", IF(HR_Data[MonthlyIncome]&lt;=7000,"Medium", "High"))</f>
        <v>Medium</v>
      </c>
      <c r="AK841" s="2" t="str">
        <f>VLOOKUP(HR_Data[JobRole], JobRole_Map[], 2, FALSE)</f>
        <v>Technical</v>
      </c>
    </row>
    <row r="842" spans="1:37" x14ac:dyDescent="0.25">
      <c r="A842" s="2">
        <v>38</v>
      </c>
      <c r="B842" t="s">
        <v>41</v>
      </c>
      <c r="C842" t="s">
        <v>61</v>
      </c>
      <c r="D842" t="s">
        <v>34</v>
      </c>
      <c r="E842">
        <v>2</v>
      </c>
      <c r="F842" t="s">
        <v>58</v>
      </c>
      <c r="G842">
        <v>2</v>
      </c>
      <c r="H842">
        <v>1</v>
      </c>
      <c r="I842" t="s">
        <v>36</v>
      </c>
      <c r="J842">
        <v>2</v>
      </c>
      <c r="K842" t="s">
        <v>50</v>
      </c>
      <c r="L842">
        <v>2468</v>
      </c>
      <c r="M842">
        <v>4</v>
      </c>
      <c r="N842" t="s">
        <v>41</v>
      </c>
      <c r="O842">
        <v>14</v>
      </c>
      <c r="P842">
        <v>3</v>
      </c>
      <c r="Q842">
        <v>1</v>
      </c>
      <c r="R842">
        <v>9</v>
      </c>
      <c r="S842">
        <v>4</v>
      </c>
      <c r="T842">
        <v>6</v>
      </c>
      <c r="U842">
        <v>0</v>
      </c>
      <c r="V842">
        <v>5</v>
      </c>
      <c r="W842" t="s">
        <v>38</v>
      </c>
      <c r="X842" s="1" t="d">
        <v>2015-02-13</v>
      </c>
      <c r="Z842" t="s">
        <v>39</v>
      </c>
      <c r="AA842" t="s">
        <v>40</v>
      </c>
      <c r="AB842">
        <v>0</v>
      </c>
      <c r="AC842">
        <v>0</v>
      </c>
      <c r="AD842" t="s">
        <v>41</v>
      </c>
      <c r="AE842" t="s">
        <v>47</v>
      </c>
      <c r="AF842" t="s">
        <v>57</v>
      </c>
      <c r="AG842">
        <f>IF(HR_Data[[#This Row],[Attrition]]="Yes",1,0)</f>
        <v>0</v>
      </c>
      <c r="AH842" t="str">
        <f>IF(HR_Data[Date_of_termination]="","Active","Left")</f>
        <v>Active</v>
      </c>
      <c r="AI842" t="str">
        <f>IF(HR_Data[YearsAtCompany]&lt;=2,"Fresher", IF(HR_Data[YearsAtCompany]&lt;=5,"Junior", IF(HR_Data[YearsAtCompany]&lt;=10, "Mid","Senior")))</f>
        <v>Mid</v>
      </c>
      <c r="AJ842" s="2" t="str">
        <f>IF(HR_Data[MonthlyIncome]&lt;=300,"Low", IF(HR_Data[MonthlyIncome]&lt;=7000,"Medium", "High"))</f>
        <v>Medium</v>
      </c>
      <c r="AK842" s="2" t="str">
        <f>VLOOKUP(HR_Data[JobRole], JobRole_Map[], 2, FALSE)</f>
        <v>Technical</v>
      </c>
    </row>
    <row r="843" spans="1:37" x14ac:dyDescent="0.25">
      <c r="A843" s="2">
        <v>42</v>
      </c>
      <c r="B843" t="s">
        <v>41</v>
      </c>
      <c r="C843" t="s">
        <v>68</v>
      </c>
      <c r="D843" t="s">
        <v>34</v>
      </c>
      <c r="E843">
        <v>10</v>
      </c>
      <c r="F843" t="s">
        <v>35</v>
      </c>
      <c r="G843">
        <v>3</v>
      </c>
      <c r="H843">
        <v>1</v>
      </c>
      <c r="I843" t="s">
        <v>44</v>
      </c>
      <c r="J843">
        <v>3</v>
      </c>
      <c r="K843" t="s">
        <v>50</v>
      </c>
      <c r="L843">
        <v>2936</v>
      </c>
      <c r="M843">
        <v>3</v>
      </c>
      <c r="N843" t="s">
        <v>41</v>
      </c>
      <c r="O843">
        <v>22</v>
      </c>
      <c r="P843">
        <v>4</v>
      </c>
      <c r="Q843">
        <v>2</v>
      </c>
      <c r="R843">
        <v>10</v>
      </c>
      <c r="S843">
        <v>1</v>
      </c>
      <c r="T843">
        <v>6</v>
      </c>
      <c r="U843">
        <v>3</v>
      </c>
      <c r="V843">
        <v>3</v>
      </c>
      <c r="W843" t="s">
        <v>56</v>
      </c>
      <c r="X843" s="1" t="d">
        <v>2015-06-11</v>
      </c>
      <c r="Z843" t="s">
        <v>59</v>
      </c>
      <c r="AA843" t="s">
        <v>40</v>
      </c>
      <c r="AB843">
        <v>4</v>
      </c>
      <c r="AC843">
        <v>2</v>
      </c>
      <c r="AD843" t="s">
        <v>32</v>
      </c>
      <c r="AE843" t="s">
        <v>60</v>
      </c>
      <c r="AF843" t="s">
        <v>48</v>
      </c>
      <c r="AG843">
        <f>IF(HR_Data[[#This Row],[Attrition]]="Yes",1,0)</f>
        <v>0</v>
      </c>
      <c r="AH843" t="str">
        <f>IF(HR_Data[Date_of_termination]="","Active","Left")</f>
        <v>Active</v>
      </c>
      <c r="AI843" t="str">
        <f>IF(HR_Data[YearsAtCompany]&lt;=2,"Fresher", IF(HR_Data[YearsAtCompany]&lt;=5,"Junior", IF(HR_Data[YearsAtCompany]&lt;=10, "Mid","Senior")))</f>
        <v>Mid</v>
      </c>
      <c r="AJ843" s="2" t="str">
        <f>IF(HR_Data[MonthlyIncome]&lt;=300,"Low", IF(HR_Data[MonthlyIncome]&lt;=7000,"Medium", "High"))</f>
        <v>Medium</v>
      </c>
      <c r="AK843" s="2" t="str">
        <f>VLOOKUP(HR_Data[JobRole], JobRole_Map[], 2, FALSE)</f>
        <v>Technical</v>
      </c>
    </row>
    <row r="844" spans="1:37" x14ac:dyDescent="0.25">
      <c r="A844" s="2">
        <v>38</v>
      </c>
      <c r="B844" t="s">
        <v>41</v>
      </c>
      <c r="C844" t="s">
        <v>61</v>
      </c>
      <c r="D844" t="s">
        <v>70</v>
      </c>
      <c r="E844">
        <v>1</v>
      </c>
      <c r="F844" t="s">
        <v>35</v>
      </c>
      <c r="G844">
        <v>3</v>
      </c>
      <c r="H844">
        <v>1</v>
      </c>
      <c r="I844" t="s">
        <v>70</v>
      </c>
      <c r="J844">
        <v>2</v>
      </c>
      <c r="K844" t="s">
        <v>50</v>
      </c>
      <c r="L844">
        <v>2991</v>
      </c>
      <c r="M844">
        <v>0</v>
      </c>
      <c r="N844" t="s">
        <v>32</v>
      </c>
      <c r="O844">
        <v>11</v>
      </c>
      <c r="P844">
        <v>3</v>
      </c>
      <c r="Q844">
        <v>1</v>
      </c>
      <c r="R844">
        <v>7</v>
      </c>
      <c r="S844">
        <v>2</v>
      </c>
      <c r="T844">
        <v>6</v>
      </c>
      <c r="U844">
        <v>1</v>
      </c>
      <c r="V844">
        <v>2</v>
      </c>
      <c r="W844" t="s">
        <v>56</v>
      </c>
      <c r="X844" s="1" t="d">
        <v>2015-03-31</v>
      </c>
      <c r="Z844" t="s">
        <v>52</v>
      </c>
      <c r="AA844" t="s">
        <v>40</v>
      </c>
      <c r="AB844">
        <v>1</v>
      </c>
      <c r="AC844">
        <v>3</v>
      </c>
      <c r="AD844" t="s">
        <v>41</v>
      </c>
      <c r="AE844" t="s">
        <v>47</v>
      </c>
      <c r="AF844" t="s">
        <v>43</v>
      </c>
      <c r="AG844">
        <f>IF(HR_Data[[#This Row],[Attrition]]="Yes",1,0)</f>
        <v>0</v>
      </c>
      <c r="AH844" t="str">
        <f>IF(HR_Data[Date_of_termination]="","Active","Left")</f>
        <v>Active</v>
      </c>
      <c r="AI844" t="str">
        <f>IF(HR_Data[YearsAtCompany]&lt;=2,"Fresher", IF(HR_Data[YearsAtCompany]&lt;=5,"Junior", IF(HR_Data[YearsAtCompany]&lt;=10, "Mid","Senior")))</f>
        <v>Mid</v>
      </c>
      <c r="AJ844" s="2" t="str">
        <f>IF(HR_Data[MonthlyIncome]&lt;=300,"Low", IF(HR_Data[MonthlyIncome]&lt;=7000,"Medium", "High"))</f>
        <v>Medium</v>
      </c>
      <c r="AK844" s="2" t="str">
        <f>VLOOKUP(HR_Data[JobRole], JobRole_Map[], 2, FALSE)</f>
        <v>HR</v>
      </c>
    </row>
    <row r="845" spans="1:37" x14ac:dyDescent="0.25">
      <c r="A845" s="2">
        <v>32</v>
      </c>
      <c r="B845" t="s">
        <v>41</v>
      </c>
      <c r="C845" t="s">
        <v>33</v>
      </c>
      <c r="D845" t="s">
        <v>34</v>
      </c>
      <c r="E845">
        <v>29</v>
      </c>
      <c r="F845" t="s">
        <v>58</v>
      </c>
      <c r="G845">
        <v>2</v>
      </c>
      <c r="H845">
        <v>1</v>
      </c>
      <c r="I845" t="s">
        <v>36</v>
      </c>
      <c r="J845">
        <v>2</v>
      </c>
      <c r="K845" t="s">
        <v>37</v>
      </c>
      <c r="L845">
        <v>2837</v>
      </c>
      <c r="M845">
        <v>1</v>
      </c>
      <c r="N845" t="s">
        <v>41</v>
      </c>
      <c r="O845">
        <v>13</v>
      </c>
      <c r="P845">
        <v>3</v>
      </c>
      <c r="Q845">
        <v>0</v>
      </c>
      <c r="R845">
        <v>6</v>
      </c>
      <c r="S845">
        <v>3</v>
      </c>
      <c r="T845">
        <v>6</v>
      </c>
      <c r="U845">
        <v>4</v>
      </c>
      <c r="V845">
        <v>1</v>
      </c>
      <c r="W845" t="s">
        <v>51</v>
      </c>
      <c r="X845" s="1" t="d">
        <v>2015-06-02</v>
      </c>
      <c r="Z845" t="s">
        <v>45</v>
      </c>
      <c r="AA845" t="s">
        <v>46</v>
      </c>
      <c r="AB845">
        <v>1</v>
      </c>
      <c r="AC845">
        <v>3</v>
      </c>
      <c r="AD845" t="s">
        <v>32</v>
      </c>
      <c r="AE845" t="s">
        <v>62</v>
      </c>
      <c r="AF845" t="s">
        <v>48</v>
      </c>
      <c r="AG845">
        <f>IF(HR_Data[[#This Row],[Attrition]]="Yes",1,0)</f>
        <v>0</v>
      </c>
      <c r="AH845" t="str">
        <f>IF(HR_Data[Date_of_termination]="","Active","Left")</f>
        <v>Active</v>
      </c>
      <c r="AI845" t="str">
        <f>IF(HR_Data[YearsAtCompany]&lt;=2,"Fresher", IF(HR_Data[YearsAtCompany]&lt;=5,"Junior", IF(HR_Data[YearsAtCompany]&lt;=10, "Mid","Senior")))</f>
        <v>Mid</v>
      </c>
      <c r="AJ845" s="2" t="str">
        <f>IF(HR_Data[MonthlyIncome]&lt;=300,"Low", IF(HR_Data[MonthlyIncome]&lt;=7000,"Medium", "High"))</f>
        <v>Medium</v>
      </c>
      <c r="AK845" s="2" t="str">
        <f>VLOOKUP(HR_Data[JobRole], JobRole_Map[], 2, FALSE)</f>
        <v>Technical</v>
      </c>
    </row>
    <row r="846" spans="1:37" x14ac:dyDescent="0.25">
      <c r="A846" s="2">
        <v>39</v>
      </c>
      <c r="B846" t="s">
        <v>41</v>
      </c>
      <c r="C846" t="s">
        <v>68</v>
      </c>
      <c r="D846" t="s">
        <v>34</v>
      </c>
      <c r="E846">
        <v>9</v>
      </c>
      <c r="F846" t="s">
        <v>35</v>
      </c>
      <c r="G846">
        <v>3</v>
      </c>
      <c r="H846">
        <v>5</v>
      </c>
      <c r="I846" t="s">
        <v>66</v>
      </c>
      <c r="J846">
        <v>4</v>
      </c>
      <c r="K846" t="s">
        <v>37</v>
      </c>
      <c r="L846">
        <v>19431</v>
      </c>
      <c r="M846">
        <v>2</v>
      </c>
      <c r="N846" t="s">
        <v>41</v>
      </c>
      <c r="O846">
        <v>13</v>
      </c>
      <c r="P846">
        <v>3</v>
      </c>
      <c r="Q846">
        <v>0</v>
      </c>
      <c r="R846">
        <v>21</v>
      </c>
      <c r="S846">
        <v>3</v>
      </c>
      <c r="T846">
        <v>6</v>
      </c>
      <c r="U846">
        <v>1</v>
      </c>
      <c r="V846">
        <v>3</v>
      </c>
      <c r="W846" t="s">
        <v>51</v>
      </c>
      <c r="X846" s="1" t="d">
        <v>2015-06-03</v>
      </c>
      <c r="Z846" t="s">
        <v>63</v>
      </c>
      <c r="AA846" t="s">
        <v>46</v>
      </c>
      <c r="AB846">
        <v>1</v>
      </c>
      <c r="AC846">
        <v>1</v>
      </c>
      <c r="AD846" t="s">
        <v>41</v>
      </c>
      <c r="AE846" t="s">
        <v>42</v>
      </c>
      <c r="AF846" t="s">
        <v>43</v>
      </c>
      <c r="AG846">
        <f>IF(HR_Data[[#This Row],[Attrition]]="Yes",1,0)</f>
        <v>0</v>
      </c>
      <c r="AH846" t="str">
        <f>IF(HR_Data[Date_of_termination]="","Active","Left")</f>
        <v>Active</v>
      </c>
      <c r="AI846" t="str">
        <f>IF(HR_Data[YearsAtCompany]&lt;=2,"Fresher", IF(HR_Data[YearsAtCompany]&lt;=5,"Junior", IF(HR_Data[YearsAtCompany]&lt;=10, "Mid","Senior")))</f>
        <v>Mid</v>
      </c>
      <c r="AJ846" s="2" t="str">
        <f>IF(HR_Data[MonthlyIncome]&lt;=300,"Low", IF(HR_Data[MonthlyIncome]&lt;=7000,"Medium", "High"))</f>
        <v>High</v>
      </c>
      <c r="AK846" s="2" t="str">
        <f>VLOOKUP(HR_Data[JobRole], JobRole_Map[], 2, FALSE)</f>
        <v>Management</v>
      </c>
    </row>
    <row r="847" spans="1:37" x14ac:dyDescent="0.25">
      <c r="A847" s="2">
        <v>50</v>
      </c>
      <c r="B847" t="s">
        <v>32</v>
      </c>
      <c r="C847" t="s">
        <v>61</v>
      </c>
      <c r="D847" t="s">
        <v>53</v>
      </c>
      <c r="E847">
        <v>1</v>
      </c>
      <c r="F847" t="s">
        <v>35</v>
      </c>
      <c r="G847">
        <v>3</v>
      </c>
      <c r="H847">
        <v>2</v>
      </c>
      <c r="I847" t="s">
        <v>64</v>
      </c>
      <c r="J847">
        <v>3</v>
      </c>
      <c r="K847" t="s">
        <v>55</v>
      </c>
      <c r="L847">
        <v>6728</v>
      </c>
      <c r="M847">
        <v>7</v>
      </c>
      <c r="N847" t="s">
        <v>41</v>
      </c>
      <c r="O847">
        <v>12</v>
      </c>
      <c r="P847">
        <v>3</v>
      </c>
      <c r="Q847">
        <v>2</v>
      </c>
      <c r="R847">
        <v>12</v>
      </c>
      <c r="S847">
        <v>3</v>
      </c>
      <c r="T847">
        <v>6</v>
      </c>
      <c r="U847">
        <v>0</v>
      </c>
      <c r="V847">
        <v>1</v>
      </c>
      <c r="W847" t="s">
        <v>38</v>
      </c>
      <c r="X847" s="1" t="d">
        <v>2015-01-27</v>
      </c>
      <c r="Z847" t="s">
        <v>52</v>
      </c>
      <c r="AA847" t="s">
        <v>40</v>
      </c>
      <c r="AB847">
        <v>5</v>
      </c>
      <c r="AC847">
        <v>0</v>
      </c>
      <c r="AD847" t="s">
        <v>41</v>
      </c>
      <c r="AE847" t="s">
        <v>47</v>
      </c>
      <c r="AF847" t="s">
        <v>43</v>
      </c>
      <c r="AG847">
        <f>IF(HR_Data[[#This Row],[Attrition]]="Yes",1,0)</f>
        <v>1</v>
      </c>
      <c r="AH847" t="str">
        <f>IF(HR_Data[Date_of_termination]="","Active","Left")</f>
        <v>Active</v>
      </c>
      <c r="AI847" t="str">
        <f>IF(HR_Data[YearsAtCompany]&lt;=2,"Fresher", IF(HR_Data[YearsAtCompany]&lt;=5,"Junior", IF(HR_Data[YearsAtCompany]&lt;=10, "Mid","Senior")))</f>
        <v>Mid</v>
      </c>
      <c r="AJ847" s="2" t="str">
        <f>IF(HR_Data[MonthlyIncome]&lt;=300,"Low", IF(HR_Data[MonthlyIncome]&lt;=7000,"Medium", "High"))</f>
        <v>Medium</v>
      </c>
      <c r="AK847" s="2" t="str">
        <f>VLOOKUP(HR_Data[JobRole], JobRole_Map[], 2, FALSE)</f>
        <v>Sales</v>
      </c>
    </row>
    <row r="848" spans="1:37" x14ac:dyDescent="0.25">
      <c r="A848" s="2">
        <v>36</v>
      </c>
      <c r="B848" t="s">
        <v>41</v>
      </c>
      <c r="C848" t="s">
        <v>33</v>
      </c>
      <c r="D848" t="s">
        <v>53</v>
      </c>
      <c r="E848">
        <v>11</v>
      </c>
      <c r="F848" t="s">
        <v>58</v>
      </c>
      <c r="G848">
        <v>2</v>
      </c>
      <c r="H848">
        <v>2</v>
      </c>
      <c r="I848" t="s">
        <v>64</v>
      </c>
      <c r="J848">
        <v>4</v>
      </c>
      <c r="K848" t="s">
        <v>50</v>
      </c>
      <c r="L848">
        <v>6652</v>
      </c>
      <c r="M848">
        <v>4</v>
      </c>
      <c r="N848" t="s">
        <v>41</v>
      </c>
      <c r="O848">
        <v>13</v>
      </c>
      <c r="P848">
        <v>3</v>
      </c>
      <c r="Q848">
        <v>1</v>
      </c>
      <c r="R848">
        <v>8</v>
      </c>
      <c r="S848">
        <v>2</v>
      </c>
      <c r="T848">
        <v>6</v>
      </c>
      <c r="U848">
        <v>0</v>
      </c>
      <c r="V848">
        <v>0</v>
      </c>
      <c r="W848" t="s">
        <v>65</v>
      </c>
      <c r="X848" s="1" t="d">
        <v>2015-05-27</v>
      </c>
      <c r="Z848" t="s">
        <v>59</v>
      </c>
      <c r="AA848" t="s">
        <v>40</v>
      </c>
      <c r="AB848">
        <v>2</v>
      </c>
      <c r="AC848">
        <v>3</v>
      </c>
      <c r="AD848" t="s">
        <v>41</v>
      </c>
      <c r="AE848" t="s">
        <v>42</v>
      </c>
      <c r="AF848" t="s">
        <v>43</v>
      </c>
      <c r="AG848">
        <f>IF(HR_Data[[#This Row],[Attrition]]="Yes",1,0)</f>
        <v>0</v>
      </c>
      <c r="AH848" t="str">
        <f>IF(HR_Data[Date_of_termination]="","Active","Left")</f>
        <v>Active</v>
      </c>
      <c r="AI848" t="str">
        <f>IF(HR_Data[YearsAtCompany]&lt;=2,"Fresher", IF(HR_Data[YearsAtCompany]&lt;=5,"Junior", IF(HR_Data[YearsAtCompany]&lt;=10, "Mid","Senior")))</f>
        <v>Mid</v>
      </c>
      <c r="AJ848" s="2" t="str">
        <f>IF(HR_Data[MonthlyIncome]&lt;=300,"Low", IF(HR_Data[MonthlyIncome]&lt;=7000,"Medium", "High"))</f>
        <v>Medium</v>
      </c>
      <c r="AK848" s="2" t="str">
        <f>VLOOKUP(HR_Data[JobRole], JobRole_Map[], 2, FALSE)</f>
        <v>Sales</v>
      </c>
    </row>
    <row r="849" spans="1:37" x14ac:dyDescent="0.25">
      <c r="A849" s="2">
        <v>27</v>
      </c>
      <c r="B849" t="s">
        <v>41</v>
      </c>
      <c r="C849" t="s">
        <v>33</v>
      </c>
      <c r="D849" t="s">
        <v>34</v>
      </c>
      <c r="E849">
        <v>4</v>
      </c>
      <c r="F849" t="s">
        <v>35</v>
      </c>
      <c r="G849">
        <v>4</v>
      </c>
      <c r="H849">
        <v>2</v>
      </c>
      <c r="I849" t="s">
        <v>67</v>
      </c>
      <c r="J849">
        <v>2</v>
      </c>
      <c r="K849" t="s">
        <v>50</v>
      </c>
      <c r="L849">
        <v>6142</v>
      </c>
      <c r="M849">
        <v>1</v>
      </c>
      <c r="N849" t="s">
        <v>32</v>
      </c>
      <c r="O849">
        <v>20</v>
      </c>
      <c r="P849">
        <v>4</v>
      </c>
      <c r="Q849">
        <v>1</v>
      </c>
      <c r="R849">
        <v>6</v>
      </c>
      <c r="S849">
        <v>0</v>
      </c>
      <c r="T849">
        <v>6</v>
      </c>
      <c r="U849">
        <v>0</v>
      </c>
      <c r="V849">
        <v>3</v>
      </c>
      <c r="W849" t="s">
        <v>51</v>
      </c>
      <c r="X849" s="1" t="d">
        <v>2015-03-26</v>
      </c>
      <c r="Z849" t="s">
        <v>39</v>
      </c>
      <c r="AA849" t="s">
        <v>40</v>
      </c>
      <c r="AB849">
        <v>5</v>
      </c>
      <c r="AC849">
        <v>0</v>
      </c>
      <c r="AD849" t="s">
        <v>32</v>
      </c>
      <c r="AE849" t="s">
        <v>60</v>
      </c>
      <c r="AF849" t="s">
        <v>43</v>
      </c>
      <c r="AG849">
        <f>IF(HR_Data[[#This Row],[Attrition]]="Yes",1,0)</f>
        <v>0</v>
      </c>
      <c r="AH849" t="str">
        <f>IF(HR_Data[Date_of_termination]="","Active","Left")</f>
        <v>Active</v>
      </c>
      <c r="AI849" t="str">
        <f>IF(HR_Data[YearsAtCompany]&lt;=2,"Fresher", IF(HR_Data[YearsAtCompany]&lt;=5,"Junior", IF(HR_Data[YearsAtCompany]&lt;=10, "Mid","Senior")))</f>
        <v>Mid</v>
      </c>
      <c r="AJ849" s="2" t="str">
        <f>IF(HR_Data[MonthlyIncome]&lt;=300,"Low", IF(HR_Data[MonthlyIncome]&lt;=7000,"Medium", "High"))</f>
        <v>Medium</v>
      </c>
      <c r="AK849" s="2" t="str">
        <f>VLOOKUP(HR_Data[JobRole], JobRole_Map[], 2, FALSE)</f>
        <v>Operations</v>
      </c>
    </row>
    <row r="850" spans="1:37" x14ac:dyDescent="0.25">
      <c r="A850" s="2">
        <v>32</v>
      </c>
      <c r="B850" t="s">
        <v>41</v>
      </c>
      <c r="C850" t="s">
        <v>61</v>
      </c>
      <c r="D850" t="s">
        <v>34</v>
      </c>
      <c r="E850">
        <v>2</v>
      </c>
      <c r="F850" t="s">
        <v>35</v>
      </c>
      <c r="G850">
        <v>3</v>
      </c>
      <c r="H850">
        <v>1</v>
      </c>
      <c r="I850" t="s">
        <v>36</v>
      </c>
      <c r="J850">
        <v>4</v>
      </c>
      <c r="K850" t="s">
        <v>37</v>
      </c>
      <c r="L850">
        <v>3068</v>
      </c>
      <c r="M850">
        <v>0</v>
      </c>
      <c r="N850" t="s">
        <v>41</v>
      </c>
      <c r="O850">
        <v>13</v>
      </c>
      <c r="P850">
        <v>3</v>
      </c>
      <c r="Q850">
        <v>0</v>
      </c>
      <c r="R850">
        <v>8</v>
      </c>
      <c r="S850">
        <v>2</v>
      </c>
      <c r="T850">
        <v>7</v>
      </c>
      <c r="U850">
        <v>3</v>
      </c>
      <c r="V850">
        <v>6</v>
      </c>
      <c r="W850" t="s">
        <v>56</v>
      </c>
      <c r="X850" s="1" t="d">
        <v>2014-03-02</v>
      </c>
      <c r="Z850" t="s">
        <v>39</v>
      </c>
      <c r="AA850" t="s">
        <v>46</v>
      </c>
      <c r="AB850">
        <v>5</v>
      </c>
      <c r="AC850">
        <v>1</v>
      </c>
      <c r="AD850" t="s">
        <v>32</v>
      </c>
      <c r="AE850" t="s">
        <v>62</v>
      </c>
      <c r="AF850" t="s">
        <v>48</v>
      </c>
      <c r="AG850">
        <f>IF(HR_Data[[#This Row],[Attrition]]="Yes",1,0)</f>
        <v>0</v>
      </c>
      <c r="AH850" t="str">
        <f>IF(HR_Data[Date_of_termination]="","Active","Left")</f>
        <v>Active</v>
      </c>
      <c r="AI850" t="str">
        <f>IF(HR_Data[YearsAtCompany]&lt;=2,"Fresher", IF(HR_Data[YearsAtCompany]&lt;=5,"Junior", IF(HR_Data[YearsAtCompany]&lt;=10, "Mid","Senior")))</f>
        <v>Mid</v>
      </c>
      <c r="AJ850" s="2" t="str">
        <f>IF(HR_Data[MonthlyIncome]&lt;=300,"Low", IF(HR_Data[MonthlyIncome]&lt;=7000,"Medium", "High"))</f>
        <v>Medium</v>
      </c>
      <c r="AK850" s="2" t="str">
        <f>VLOOKUP(HR_Data[JobRole], JobRole_Map[], 2, FALSE)</f>
        <v>Technical</v>
      </c>
    </row>
    <row r="851" spans="1:37" x14ac:dyDescent="0.25">
      <c r="A851" s="2">
        <v>36</v>
      </c>
      <c r="B851" t="s">
        <v>41</v>
      </c>
      <c r="C851" t="s">
        <v>33</v>
      </c>
      <c r="D851" t="s">
        <v>34</v>
      </c>
      <c r="E851">
        <v>27</v>
      </c>
      <c r="F851" t="s">
        <v>35</v>
      </c>
      <c r="G851">
        <v>3</v>
      </c>
      <c r="H851">
        <v>2</v>
      </c>
      <c r="I851" t="s">
        <v>69</v>
      </c>
      <c r="J851">
        <v>3</v>
      </c>
      <c r="K851" t="s">
        <v>50</v>
      </c>
      <c r="L851">
        <v>5237</v>
      </c>
      <c r="M851">
        <v>6</v>
      </c>
      <c r="N851" t="s">
        <v>41</v>
      </c>
      <c r="O851">
        <v>13</v>
      </c>
      <c r="P851">
        <v>3</v>
      </c>
      <c r="Q851">
        <v>2</v>
      </c>
      <c r="R851">
        <v>17</v>
      </c>
      <c r="S851">
        <v>3</v>
      </c>
      <c r="T851">
        <v>7</v>
      </c>
      <c r="U851">
        <v>7</v>
      </c>
      <c r="V851">
        <v>7</v>
      </c>
      <c r="W851" t="s">
        <v>65</v>
      </c>
      <c r="X851" s="1" t="d">
        <v>2014-03-28</v>
      </c>
      <c r="Z851" t="s">
        <v>63</v>
      </c>
      <c r="AA851" t="s">
        <v>40</v>
      </c>
      <c r="AB851">
        <v>0</v>
      </c>
      <c r="AC851">
        <v>2</v>
      </c>
      <c r="AD851" t="s">
        <v>41</v>
      </c>
      <c r="AE851" t="s">
        <v>47</v>
      </c>
      <c r="AF851" t="s">
        <v>43</v>
      </c>
      <c r="AG851">
        <f>IF(HR_Data[[#This Row],[Attrition]]="Yes",1,0)</f>
        <v>0</v>
      </c>
      <c r="AH851" t="str">
        <f>IF(HR_Data[Date_of_termination]="","Active","Left")</f>
        <v>Active</v>
      </c>
      <c r="AI851" t="str">
        <f>IF(HR_Data[YearsAtCompany]&lt;=2,"Fresher", IF(HR_Data[YearsAtCompany]&lt;=5,"Junior", IF(HR_Data[YearsAtCompany]&lt;=10, "Mid","Senior")))</f>
        <v>Mid</v>
      </c>
      <c r="AJ851" s="2" t="str">
        <f>IF(HR_Data[MonthlyIncome]&lt;=300,"Low", IF(HR_Data[MonthlyIncome]&lt;=7000,"Medium", "High"))</f>
        <v>Medium</v>
      </c>
      <c r="AK851" s="2" t="str">
        <f>VLOOKUP(HR_Data[JobRole], JobRole_Map[], 2, FALSE)</f>
        <v>Operations</v>
      </c>
    </row>
    <row r="852" spans="1:37" x14ac:dyDescent="0.25">
      <c r="A852" s="2">
        <v>31</v>
      </c>
      <c r="B852" t="s">
        <v>41</v>
      </c>
      <c r="C852" t="s">
        <v>33</v>
      </c>
      <c r="D852" t="s">
        <v>34</v>
      </c>
      <c r="E852">
        <v>7</v>
      </c>
      <c r="F852" t="s">
        <v>35</v>
      </c>
      <c r="G852">
        <v>3</v>
      </c>
      <c r="H852">
        <v>2</v>
      </c>
      <c r="I852" t="s">
        <v>36</v>
      </c>
      <c r="J852">
        <v>4</v>
      </c>
      <c r="K852" t="s">
        <v>55</v>
      </c>
      <c r="L852">
        <v>5915</v>
      </c>
      <c r="M852">
        <v>3</v>
      </c>
      <c r="N852" t="s">
        <v>41</v>
      </c>
      <c r="O852">
        <v>22</v>
      </c>
      <c r="P852">
        <v>4</v>
      </c>
      <c r="Q852">
        <v>1</v>
      </c>
      <c r="R852">
        <v>10</v>
      </c>
      <c r="S852">
        <v>3</v>
      </c>
      <c r="T852">
        <v>7</v>
      </c>
      <c r="U852">
        <v>1</v>
      </c>
      <c r="V852">
        <v>7</v>
      </c>
      <c r="W852" t="s">
        <v>51</v>
      </c>
      <c r="X852" s="1" t="d">
        <v>2014-03-31</v>
      </c>
      <c r="Z852" t="s">
        <v>59</v>
      </c>
      <c r="AA852" t="s">
        <v>46</v>
      </c>
      <c r="AB852">
        <v>5</v>
      </c>
      <c r="AC852">
        <v>3</v>
      </c>
      <c r="AD852" t="s">
        <v>41</v>
      </c>
      <c r="AE852" t="s">
        <v>47</v>
      </c>
      <c r="AF852" t="s">
        <v>57</v>
      </c>
      <c r="AG852">
        <f>IF(HR_Data[[#This Row],[Attrition]]="Yes",1,0)</f>
        <v>0</v>
      </c>
      <c r="AH852" t="str">
        <f>IF(HR_Data[Date_of_termination]="","Active","Left")</f>
        <v>Active</v>
      </c>
      <c r="AI852" t="str">
        <f>IF(HR_Data[YearsAtCompany]&lt;=2,"Fresher", IF(HR_Data[YearsAtCompany]&lt;=5,"Junior", IF(HR_Data[YearsAtCompany]&lt;=10, "Mid","Senior")))</f>
        <v>Mid</v>
      </c>
      <c r="AJ852" s="2" t="str">
        <f>IF(HR_Data[MonthlyIncome]&lt;=300,"Low", IF(HR_Data[MonthlyIncome]&lt;=7000,"Medium", "High"))</f>
        <v>Medium</v>
      </c>
      <c r="AK852" s="2" t="str">
        <f>VLOOKUP(HR_Data[JobRole], JobRole_Map[], 2, FALSE)</f>
        <v>Technical</v>
      </c>
    </row>
    <row r="853" spans="1:37" x14ac:dyDescent="0.25">
      <c r="A853" s="2">
        <v>37</v>
      </c>
      <c r="B853" t="s">
        <v>41</v>
      </c>
      <c r="C853" t="s">
        <v>33</v>
      </c>
      <c r="D853" t="s">
        <v>34</v>
      </c>
      <c r="E853">
        <v>1</v>
      </c>
      <c r="F853" t="s">
        <v>35</v>
      </c>
      <c r="G853">
        <v>2</v>
      </c>
      <c r="H853">
        <v>2</v>
      </c>
      <c r="I853" t="s">
        <v>67</v>
      </c>
      <c r="J853">
        <v>3</v>
      </c>
      <c r="K853" t="s">
        <v>55</v>
      </c>
      <c r="L853">
        <v>5993</v>
      </c>
      <c r="M853">
        <v>1</v>
      </c>
      <c r="N853" t="s">
        <v>41</v>
      </c>
      <c r="O853">
        <v>18</v>
      </c>
      <c r="P853">
        <v>3</v>
      </c>
      <c r="Q853">
        <v>1</v>
      </c>
      <c r="R853">
        <v>7</v>
      </c>
      <c r="S853">
        <v>2</v>
      </c>
      <c r="T853">
        <v>7</v>
      </c>
      <c r="U853">
        <v>0</v>
      </c>
      <c r="V853">
        <v>7</v>
      </c>
      <c r="W853" t="s">
        <v>51</v>
      </c>
      <c r="X853" s="1" t="d">
        <v>2014-03-09</v>
      </c>
      <c r="Z853" t="s">
        <v>52</v>
      </c>
      <c r="AA853" t="s">
        <v>46</v>
      </c>
      <c r="AB853">
        <v>0</v>
      </c>
      <c r="AC853">
        <v>3</v>
      </c>
      <c r="AD853" t="s">
        <v>41</v>
      </c>
      <c r="AE853" t="s">
        <v>42</v>
      </c>
      <c r="AF853" t="s">
        <v>48</v>
      </c>
      <c r="AG853">
        <f>IF(HR_Data[[#This Row],[Attrition]]="Yes",1,0)</f>
        <v>0</v>
      </c>
      <c r="AH853" t="str">
        <f>IF(HR_Data[Date_of_termination]="","Active","Left")</f>
        <v>Active</v>
      </c>
      <c r="AI853" t="str">
        <f>IF(HR_Data[YearsAtCompany]&lt;=2,"Fresher", IF(HR_Data[YearsAtCompany]&lt;=5,"Junior", IF(HR_Data[YearsAtCompany]&lt;=10, "Mid","Senior")))</f>
        <v>Mid</v>
      </c>
      <c r="AJ853" s="2" t="str">
        <f>IF(HR_Data[MonthlyIncome]&lt;=300,"Low", IF(HR_Data[MonthlyIncome]&lt;=7000,"Medium", "High"))</f>
        <v>Medium</v>
      </c>
      <c r="AK853" s="2" t="str">
        <f>VLOOKUP(HR_Data[JobRole], JobRole_Map[], 2, FALSE)</f>
        <v>Operations</v>
      </c>
    </row>
    <row r="854" spans="1:37" x14ac:dyDescent="0.25">
      <c r="A854" s="2">
        <v>33</v>
      </c>
      <c r="B854" t="s">
        <v>41</v>
      </c>
      <c r="C854" t="s">
        <v>68</v>
      </c>
      <c r="D854" t="s">
        <v>53</v>
      </c>
      <c r="E854">
        <v>22</v>
      </c>
      <c r="F854" t="s">
        <v>35</v>
      </c>
      <c r="G854">
        <v>3</v>
      </c>
      <c r="H854">
        <v>2</v>
      </c>
      <c r="I854" t="s">
        <v>64</v>
      </c>
      <c r="J854">
        <v>2</v>
      </c>
      <c r="K854" t="s">
        <v>50</v>
      </c>
      <c r="L854">
        <v>6146</v>
      </c>
      <c r="M854">
        <v>0</v>
      </c>
      <c r="N854" t="s">
        <v>41</v>
      </c>
      <c r="O854">
        <v>13</v>
      </c>
      <c r="P854">
        <v>3</v>
      </c>
      <c r="Q854">
        <v>1</v>
      </c>
      <c r="R854">
        <v>8</v>
      </c>
      <c r="S854">
        <v>2</v>
      </c>
      <c r="T854">
        <v>7</v>
      </c>
      <c r="U854">
        <v>0</v>
      </c>
      <c r="V854">
        <v>7</v>
      </c>
      <c r="W854" t="s">
        <v>56</v>
      </c>
      <c r="X854" s="1" t="d">
        <v>2014-06-08</v>
      </c>
      <c r="Z854" t="s">
        <v>45</v>
      </c>
      <c r="AA854" t="s">
        <v>40</v>
      </c>
      <c r="AB854">
        <v>4</v>
      </c>
      <c r="AC854">
        <v>3</v>
      </c>
      <c r="AD854" t="s">
        <v>41</v>
      </c>
      <c r="AE854" t="s">
        <v>60</v>
      </c>
      <c r="AF854" t="s">
        <v>43</v>
      </c>
      <c r="AG854">
        <f>IF(HR_Data[[#This Row],[Attrition]]="Yes",1,0)</f>
        <v>0</v>
      </c>
      <c r="AH854" t="str">
        <f>IF(HR_Data[Date_of_termination]="","Active","Left")</f>
        <v>Active</v>
      </c>
      <c r="AI854" t="str">
        <f>IF(HR_Data[YearsAtCompany]&lt;=2,"Fresher", IF(HR_Data[YearsAtCompany]&lt;=5,"Junior", IF(HR_Data[YearsAtCompany]&lt;=10, "Mid","Senior")))</f>
        <v>Mid</v>
      </c>
      <c r="AJ854" s="2" t="str">
        <f>IF(HR_Data[MonthlyIncome]&lt;=300,"Low", IF(HR_Data[MonthlyIncome]&lt;=7000,"Medium", "High"))</f>
        <v>Medium</v>
      </c>
      <c r="AK854" s="2" t="str">
        <f>VLOOKUP(HR_Data[JobRole], JobRole_Map[], 2, FALSE)</f>
        <v>Sales</v>
      </c>
    </row>
    <row r="855" spans="1:37" x14ac:dyDescent="0.25">
      <c r="A855" s="2">
        <v>31</v>
      </c>
      <c r="B855" t="s">
        <v>32</v>
      </c>
      <c r="C855" t="s">
        <v>33</v>
      </c>
      <c r="D855" t="s">
        <v>53</v>
      </c>
      <c r="E855">
        <v>6</v>
      </c>
      <c r="F855" t="s">
        <v>35</v>
      </c>
      <c r="G855">
        <v>1</v>
      </c>
      <c r="H855">
        <v>2</v>
      </c>
      <c r="I855" t="s">
        <v>64</v>
      </c>
      <c r="J855">
        <v>3</v>
      </c>
      <c r="K855" t="s">
        <v>50</v>
      </c>
      <c r="L855">
        <v>6172</v>
      </c>
      <c r="M855">
        <v>4</v>
      </c>
      <c r="N855" t="s">
        <v>32</v>
      </c>
      <c r="O855">
        <v>18</v>
      </c>
      <c r="P855">
        <v>3</v>
      </c>
      <c r="Q855">
        <v>0</v>
      </c>
      <c r="R855">
        <v>12</v>
      </c>
      <c r="S855">
        <v>3</v>
      </c>
      <c r="T855">
        <v>7</v>
      </c>
      <c r="U855">
        <v>7</v>
      </c>
      <c r="V855">
        <v>7</v>
      </c>
      <c r="W855" t="s">
        <v>51</v>
      </c>
      <c r="X855" s="1" t="d">
        <v>2014-02-02</v>
      </c>
      <c r="Z855" t="s">
        <v>39</v>
      </c>
      <c r="AA855" t="s">
        <v>46</v>
      </c>
      <c r="AB855">
        <v>1</v>
      </c>
      <c r="AC855">
        <v>1</v>
      </c>
      <c r="AD855" t="s">
        <v>41</v>
      </c>
      <c r="AE855" t="s">
        <v>60</v>
      </c>
      <c r="AF855" t="s">
        <v>48</v>
      </c>
      <c r="AG855">
        <f>IF(HR_Data[[#This Row],[Attrition]]="Yes",1,0)</f>
        <v>1</v>
      </c>
      <c r="AH855" t="str">
        <f>IF(HR_Data[Date_of_termination]="","Active","Left")</f>
        <v>Active</v>
      </c>
      <c r="AI855" t="str">
        <f>IF(HR_Data[YearsAtCompany]&lt;=2,"Fresher", IF(HR_Data[YearsAtCompany]&lt;=5,"Junior", IF(HR_Data[YearsAtCompany]&lt;=10, "Mid","Senior")))</f>
        <v>Mid</v>
      </c>
      <c r="AJ855" s="2" t="str">
        <f>IF(HR_Data[MonthlyIncome]&lt;=300,"Low", IF(HR_Data[MonthlyIncome]&lt;=7000,"Medium", "High"))</f>
        <v>Medium</v>
      </c>
      <c r="AK855" s="2" t="str">
        <f>VLOOKUP(HR_Data[JobRole], JobRole_Map[], 2, FALSE)</f>
        <v>Sales</v>
      </c>
    </row>
    <row r="856" spans="1:37" x14ac:dyDescent="0.25">
      <c r="A856" s="2">
        <v>41</v>
      </c>
      <c r="B856" t="s">
        <v>41</v>
      </c>
      <c r="C856" t="s">
        <v>61</v>
      </c>
      <c r="D856" t="s">
        <v>34</v>
      </c>
      <c r="E856">
        <v>10</v>
      </c>
      <c r="F856" t="s">
        <v>35</v>
      </c>
      <c r="G856">
        <v>2</v>
      </c>
      <c r="H856">
        <v>4</v>
      </c>
      <c r="I856" t="s">
        <v>66</v>
      </c>
      <c r="J856">
        <v>1</v>
      </c>
      <c r="K856" t="s">
        <v>55</v>
      </c>
      <c r="L856">
        <v>17181</v>
      </c>
      <c r="M856">
        <v>4</v>
      </c>
      <c r="N856" t="s">
        <v>41</v>
      </c>
      <c r="O856">
        <v>13</v>
      </c>
      <c r="P856">
        <v>3</v>
      </c>
      <c r="Q856">
        <v>1</v>
      </c>
      <c r="R856">
        <v>21</v>
      </c>
      <c r="S856">
        <v>2</v>
      </c>
      <c r="T856">
        <v>7</v>
      </c>
      <c r="U856">
        <v>7</v>
      </c>
      <c r="V856">
        <v>7</v>
      </c>
      <c r="W856" t="s">
        <v>51</v>
      </c>
      <c r="X856" s="1" t="d">
        <v>2014-05-01</v>
      </c>
      <c r="Z856" t="s">
        <v>52</v>
      </c>
      <c r="AA856" t="s">
        <v>40</v>
      </c>
      <c r="AB856">
        <v>2</v>
      </c>
      <c r="AC856">
        <v>2</v>
      </c>
      <c r="AD856" t="s">
        <v>32</v>
      </c>
      <c r="AE856" t="s">
        <v>62</v>
      </c>
      <c r="AF856" t="s">
        <v>48</v>
      </c>
      <c r="AG856">
        <f>IF(HR_Data[[#This Row],[Attrition]]="Yes",1,0)</f>
        <v>0</v>
      </c>
      <c r="AH856" t="str">
        <f>IF(HR_Data[Date_of_termination]="","Active","Left")</f>
        <v>Active</v>
      </c>
      <c r="AI856" t="str">
        <f>IF(HR_Data[YearsAtCompany]&lt;=2,"Fresher", IF(HR_Data[YearsAtCompany]&lt;=5,"Junior", IF(HR_Data[YearsAtCompany]&lt;=10, "Mid","Senior")))</f>
        <v>Mid</v>
      </c>
      <c r="AJ856" s="2" t="str">
        <f>IF(HR_Data[MonthlyIncome]&lt;=300,"Low", IF(HR_Data[MonthlyIncome]&lt;=7000,"Medium", "High"))</f>
        <v>High</v>
      </c>
      <c r="AK856" s="2" t="str">
        <f>VLOOKUP(HR_Data[JobRole], JobRole_Map[], 2, FALSE)</f>
        <v>Management</v>
      </c>
    </row>
    <row r="857" spans="1:37" x14ac:dyDescent="0.25">
      <c r="A857" s="2">
        <v>53</v>
      </c>
      <c r="B857" t="s">
        <v>41</v>
      </c>
      <c r="C857" t="s">
        <v>33</v>
      </c>
      <c r="D857" t="s">
        <v>53</v>
      </c>
      <c r="E857">
        <v>6</v>
      </c>
      <c r="F857" t="s">
        <v>35</v>
      </c>
      <c r="G857">
        <v>3</v>
      </c>
      <c r="H857">
        <v>2</v>
      </c>
      <c r="I857" t="s">
        <v>54</v>
      </c>
      <c r="J857">
        <v>3</v>
      </c>
      <c r="K857" t="s">
        <v>50</v>
      </c>
      <c r="L857">
        <v>2306</v>
      </c>
      <c r="M857">
        <v>2</v>
      </c>
      <c r="N857" t="s">
        <v>32</v>
      </c>
      <c r="O857">
        <v>20</v>
      </c>
      <c r="P857">
        <v>4</v>
      </c>
      <c r="Q857">
        <v>1</v>
      </c>
      <c r="R857">
        <v>13</v>
      </c>
      <c r="S857">
        <v>3</v>
      </c>
      <c r="T857">
        <v>7</v>
      </c>
      <c r="U857">
        <v>4</v>
      </c>
      <c r="V857">
        <v>5</v>
      </c>
      <c r="W857" t="s">
        <v>56</v>
      </c>
      <c r="X857" s="1" t="d">
        <v>2014-04-20</v>
      </c>
      <c r="Z857" t="s">
        <v>63</v>
      </c>
      <c r="AA857" t="s">
        <v>46</v>
      </c>
      <c r="AB857">
        <v>0</v>
      </c>
      <c r="AC857">
        <v>1</v>
      </c>
      <c r="AD857" t="s">
        <v>41</v>
      </c>
      <c r="AE857" t="s">
        <v>47</v>
      </c>
      <c r="AF857" t="s">
        <v>43</v>
      </c>
      <c r="AG857">
        <f>IF(HR_Data[[#This Row],[Attrition]]="Yes",1,0)</f>
        <v>0</v>
      </c>
      <c r="AH857" t="str">
        <f>IF(HR_Data[Date_of_termination]="","Active","Left")</f>
        <v>Active</v>
      </c>
      <c r="AI857" t="str">
        <f>IF(HR_Data[YearsAtCompany]&lt;=2,"Fresher", IF(HR_Data[YearsAtCompany]&lt;=5,"Junior", IF(HR_Data[YearsAtCompany]&lt;=10, "Mid","Senior")))</f>
        <v>Mid</v>
      </c>
      <c r="AJ857" s="2" t="str">
        <f>IF(HR_Data[MonthlyIncome]&lt;=300,"Low", IF(HR_Data[MonthlyIncome]&lt;=7000,"Medium", "High"))</f>
        <v>Medium</v>
      </c>
      <c r="AK857" s="2" t="str">
        <f>VLOOKUP(HR_Data[JobRole], JobRole_Map[], 2, FALSE)</f>
        <v>Sales</v>
      </c>
    </row>
    <row r="858" spans="1:37" x14ac:dyDescent="0.25">
      <c r="A858" s="2">
        <v>51</v>
      </c>
      <c r="B858" t="s">
        <v>41</v>
      </c>
      <c r="C858" t="s">
        <v>33</v>
      </c>
      <c r="D858" t="s">
        <v>34</v>
      </c>
      <c r="E858">
        <v>3</v>
      </c>
      <c r="F858" t="s">
        <v>58</v>
      </c>
      <c r="G858">
        <v>3</v>
      </c>
      <c r="H858">
        <v>4</v>
      </c>
      <c r="I858" t="s">
        <v>69</v>
      </c>
      <c r="J858">
        <v>2</v>
      </c>
      <c r="K858" t="s">
        <v>37</v>
      </c>
      <c r="L858">
        <v>13734</v>
      </c>
      <c r="M858">
        <v>3</v>
      </c>
      <c r="N858" t="s">
        <v>41</v>
      </c>
      <c r="O858">
        <v>18</v>
      </c>
      <c r="P858">
        <v>3</v>
      </c>
      <c r="Q858">
        <v>0</v>
      </c>
      <c r="R858">
        <v>21</v>
      </c>
      <c r="S858">
        <v>6</v>
      </c>
      <c r="T858">
        <v>7</v>
      </c>
      <c r="U858">
        <v>1</v>
      </c>
      <c r="V858">
        <v>0</v>
      </c>
      <c r="W858" t="s">
        <v>38</v>
      </c>
      <c r="X858" s="1" t="d">
        <v>2014-06-22</v>
      </c>
      <c r="Z858" t="s">
        <v>39</v>
      </c>
      <c r="AA858" t="s">
        <v>46</v>
      </c>
      <c r="AB858">
        <v>0</v>
      </c>
      <c r="AC858">
        <v>2</v>
      </c>
      <c r="AD858" t="s">
        <v>32</v>
      </c>
      <c r="AE858" t="s">
        <v>47</v>
      </c>
      <c r="AF858" t="s">
        <v>57</v>
      </c>
      <c r="AG858">
        <f>IF(HR_Data[[#This Row],[Attrition]]="Yes",1,0)</f>
        <v>0</v>
      </c>
      <c r="AH858" t="str">
        <f>IF(HR_Data[Date_of_termination]="","Active","Left")</f>
        <v>Active</v>
      </c>
      <c r="AI858" t="str">
        <f>IF(HR_Data[YearsAtCompany]&lt;=2,"Fresher", IF(HR_Data[YearsAtCompany]&lt;=5,"Junior", IF(HR_Data[YearsAtCompany]&lt;=10, "Mid","Senior")))</f>
        <v>Mid</v>
      </c>
      <c r="AJ858" s="2" t="str">
        <f>IF(HR_Data[MonthlyIncome]&lt;=300,"Low", IF(HR_Data[MonthlyIncome]&lt;=7000,"Medium", "High"))</f>
        <v>High</v>
      </c>
      <c r="AK858" s="2" t="str">
        <f>VLOOKUP(HR_Data[JobRole], JobRole_Map[], 2, FALSE)</f>
        <v>Operations</v>
      </c>
    </row>
    <row r="859" spans="1:37" x14ac:dyDescent="0.25">
      <c r="A859" s="2">
        <v>27</v>
      </c>
      <c r="B859" t="s">
        <v>41</v>
      </c>
      <c r="C859" t="s">
        <v>33</v>
      </c>
      <c r="D859" t="s">
        <v>34</v>
      </c>
      <c r="E859">
        <v>9</v>
      </c>
      <c r="F859" t="s">
        <v>58</v>
      </c>
      <c r="G859">
        <v>3</v>
      </c>
      <c r="H859">
        <v>1</v>
      </c>
      <c r="I859" t="s">
        <v>44</v>
      </c>
      <c r="J859">
        <v>2</v>
      </c>
      <c r="K859" t="s">
        <v>37</v>
      </c>
      <c r="L859">
        <v>2279</v>
      </c>
      <c r="M859">
        <v>1</v>
      </c>
      <c r="N859" t="s">
        <v>41</v>
      </c>
      <c r="O859">
        <v>16</v>
      </c>
      <c r="P859">
        <v>3</v>
      </c>
      <c r="Q859">
        <v>0</v>
      </c>
      <c r="R859">
        <v>7</v>
      </c>
      <c r="S859">
        <v>2</v>
      </c>
      <c r="T859">
        <v>7</v>
      </c>
      <c r="U859">
        <v>0</v>
      </c>
      <c r="V859">
        <v>3</v>
      </c>
      <c r="W859" t="s">
        <v>65</v>
      </c>
      <c r="X859" s="1" t="d">
        <v>2014-06-17</v>
      </c>
      <c r="Z859" t="s">
        <v>39</v>
      </c>
      <c r="AA859" t="s">
        <v>46</v>
      </c>
      <c r="AB859">
        <v>1</v>
      </c>
      <c r="AC859">
        <v>1</v>
      </c>
      <c r="AD859" t="s">
        <v>32</v>
      </c>
      <c r="AE859" t="s">
        <v>42</v>
      </c>
      <c r="AF859" t="s">
        <v>43</v>
      </c>
      <c r="AG859">
        <f>IF(HR_Data[[#This Row],[Attrition]]="Yes",1,0)</f>
        <v>0</v>
      </c>
      <c r="AH859" t="str">
        <f>IF(HR_Data[Date_of_termination]="","Active","Left")</f>
        <v>Active</v>
      </c>
      <c r="AI859" t="str">
        <f>IF(HR_Data[YearsAtCompany]&lt;=2,"Fresher", IF(HR_Data[YearsAtCompany]&lt;=5,"Junior", IF(HR_Data[YearsAtCompany]&lt;=10, "Mid","Senior")))</f>
        <v>Mid</v>
      </c>
      <c r="AJ859" s="2" t="str">
        <f>IF(HR_Data[MonthlyIncome]&lt;=300,"Low", IF(HR_Data[MonthlyIncome]&lt;=7000,"Medium", "High"))</f>
        <v>Medium</v>
      </c>
      <c r="AK859" s="2" t="str">
        <f>VLOOKUP(HR_Data[JobRole], JobRole_Map[], 2, FALSE)</f>
        <v>Technical</v>
      </c>
    </row>
    <row r="860" spans="1:37" x14ac:dyDescent="0.25">
      <c r="A860" s="2">
        <v>38</v>
      </c>
      <c r="B860" t="s">
        <v>41</v>
      </c>
      <c r="C860" t="s">
        <v>33</v>
      </c>
      <c r="D860" t="s">
        <v>34</v>
      </c>
      <c r="E860">
        <v>29</v>
      </c>
      <c r="F860" t="s">
        <v>35</v>
      </c>
      <c r="G860">
        <v>3</v>
      </c>
      <c r="H860">
        <v>2</v>
      </c>
      <c r="I860" t="s">
        <v>67</v>
      </c>
      <c r="J860">
        <v>4</v>
      </c>
      <c r="K860" t="s">
        <v>50</v>
      </c>
      <c r="L860">
        <v>6261</v>
      </c>
      <c r="M860">
        <v>3</v>
      </c>
      <c r="N860" t="s">
        <v>41</v>
      </c>
      <c r="O860">
        <v>18</v>
      </c>
      <c r="P860">
        <v>3</v>
      </c>
      <c r="Q860">
        <v>1</v>
      </c>
      <c r="R860">
        <v>9</v>
      </c>
      <c r="S860">
        <v>3</v>
      </c>
      <c r="T860">
        <v>7</v>
      </c>
      <c r="U860">
        <v>1</v>
      </c>
      <c r="V860">
        <v>7</v>
      </c>
      <c r="W860" t="s">
        <v>65</v>
      </c>
      <c r="X860" s="1" t="d">
        <v>2014-03-02</v>
      </c>
      <c r="Z860" t="s">
        <v>59</v>
      </c>
      <c r="AA860" t="s">
        <v>40</v>
      </c>
      <c r="AB860">
        <v>3</v>
      </c>
      <c r="AC860">
        <v>0</v>
      </c>
      <c r="AD860" t="s">
        <v>41</v>
      </c>
      <c r="AE860" t="s">
        <v>47</v>
      </c>
      <c r="AF860" t="s">
        <v>57</v>
      </c>
      <c r="AG860">
        <f>IF(HR_Data[[#This Row],[Attrition]]="Yes",1,0)</f>
        <v>0</v>
      </c>
      <c r="AH860" t="str">
        <f>IF(HR_Data[Date_of_termination]="","Active","Left")</f>
        <v>Active</v>
      </c>
      <c r="AI860" t="str">
        <f>IF(HR_Data[YearsAtCompany]&lt;=2,"Fresher", IF(HR_Data[YearsAtCompany]&lt;=5,"Junior", IF(HR_Data[YearsAtCompany]&lt;=10, "Mid","Senior")))</f>
        <v>Mid</v>
      </c>
      <c r="AJ860" s="2" t="str">
        <f>IF(HR_Data[MonthlyIncome]&lt;=300,"Low", IF(HR_Data[MonthlyIncome]&lt;=7000,"Medium", "High"))</f>
        <v>Medium</v>
      </c>
      <c r="AK860" s="2" t="str">
        <f>VLOOKUP(HR_Data[JobRole], JobRole_Map[], 2, FALSE)</f>
        <v>Operations</v>
      </c>
    </row>
    <row r="861" spans="1:37" x14ac:dyDescent="0.25">
      <c r="A861" s="2">
        <v>49</v>
      </c>
      <c r="B861" t="s">
        <v>41</v>
      </c>
      <c r="C861" t="s">
        <v>68</v>
      </c>
      <c r="D861" t="s">
        <v>34</v>
      </c>
      <c r="E861">
        <v>18</v>
      </c>
      <c r="F861" t="s">
        <v>35</v>
      </c>
      <c r="G861">
        <v>3</v>
      </c>
      <c r="H861">
        <v>2</v>
      </c>
      <c r="I861" t="s">
        <v>67</v>
      </c>
      <c r="J861">
        <v>4</v>
      </c>
      <c r="K861" t="s">
        <v>55</v>
      </c>
      <c r="L861">
        <v>6804</v>
      </c>
      <c r="M861">
        <v>1</v>
      </c>
      <c r="N861" t="s">
        <v>32</v>
      </c>
      <c r="O861">
        <v>15</v>
      </c>
      <c r="P861">
        <v>3</v>
      </c>
      <c r="Q861">
        <v>2</v>
      </c>
      <c r="R861">
        <v>7</v>
      </c>
      <c r="S861">
        <v>0</v>
      </c>
      <c r="T861">
        <v>7</v>
      </c>
      <c r="U861">
        <v>1</v>
      </c>
      <c r="V861">
        <v>7</v>
      </c>
      <c r="W861" t="s">
        <v>65</v>
      </c>
      <c r="X861" s="1" t="d">
        <v>2014-04-21</v>
      </c>
      <c r="Z861" t="s">
        <v>45</v>
      </c>
      <c r="AA861" t="s">
        <v>46</v>
      </c>
      <c r="AB861">
        <v>2</v>
      </c>
      <c r="AC861">
        <v>0</v>
      </c>
      <c r="AD861" t="s">
        <v>41</v>
      </c>
      <c r="AE861" t="s">
        <v>62</v>
      </c>
      <c r="AF861" t="s">
        <v>48</v>
      </c>
      <c r="AG861">
        <f>IF(HR_Data[[#This Row],[Attrition]]="Yes",1,0)</f>
        <v>0</v>
      </c>
      <c r="AH861" t="str">
        <f>IF(HR_Data[Date_of_termination]="","Active","Left")</f>
        <v>Active</v>
      </c>
      <c r="AI861" t="str">
        <f>IF(HR_Data[YearsAtCompany]&lt;=2,"Fresher", IF(HR_Data[YearsAtCompany]&lt;=5,"Junior", IF(HR_Data[YearsAtCompany]&lt;=10, "Mid","Senior")))</f>
        <v>Mid</v>
      </c>
      <c r="AJ861" s="2" t="str">
        <f>IF(HR_Data[MonthlyIncome]&lt;=300,"Low", IF(HR_Data[MonthlyIncome]&lt;=7000,"Medium", "High"))</f>
        <v>Medium</v>
      </c>
      <c r="AK861" s="2" t="str">
        <f>VLOOKUP(HR_Data[JobRole], JobRole_Map[], 2, FALSE)</f>
        <v>Operations</v>
      </c>
    </row>
    <row r="862" spans="1:37" x14ac:dyDescent="0.25">
      <c r="A862" s="2">
        <v>40</v>
      </c>
      <c r="B862" t="s">
        <v>41</v>
      </c>
      <c r="C862" t="s">
        <v>33</v>
      </c>
      <c r="D862" t="s">
        <v>34</v>
      </c>
      <c r="E862">
        <v>19</v>
      </c>
      <c r="F862" t="s">
        <v>35</v>
      </c>
      <c r="G862">
        <v>3</v>
      </c>
      <c r="H862">
        <v>2</v>
      </c>
      <c r="I862" t="s">
        <v>36</v>
      </c>
      <c r="J862">
        <v>4</v>
      </c>
      <c r="K862" t="s">
        <v>50</v>
      </c>
      <c r="L862">
        <v>2741</v>
      </c>
      <c r="M862">
        <v>8</v>
      </c>
      <c r="N862" t="s">
        <v>32</v>
      </c>
      <c r="O862">
        <v>15</v>
      </c>
      <c r="P862">
        <v>3</v>
      </c>
      <c r="Q862">
        <v>1</v>
      </c>
      <c r="R862">
        <v>15</v>
      </c>
      <c r="S862">
        <v>2</v>
      </c>
      <c r="T862">
        <v>7</v>
      </c>
      <c r="U862">
        <v>3</v>
      </c>
      <c r="V862">
        <v>7</v>
      </c>
      <c r="W862" t="s">
        <v>51</v>
      </c>
      <c r="X862" s="1" t="d">
        <v>2014-04-25</v>
      </c>
      <c r="Z862" t="s">
        <v>59</v>
      </c>
      <c r="AA862" t="s">
        <v>40</v>
      </c>
      <c r="AB862">
        <v>3</v>
      </c>
      <c r="AC862">
        <v>2</v>
      </c>
      <c r="AD862" t="s">
        <v>32</v>
      </c>
      <c r="AE862" t="s">
        <v>60</v>
      </c>
      <c r="AF862" t="s">
        <v>57</v>
      </c>
      <c r="AG862">
        <f>IF(HR_Data[[#This Row],[Attrition]]="Yes",1,0)</f>
        <v>0</v>
      </c>
      <c r="AH862" t="str">
        <f>IF(HR_Data[Date_of_termination]="","Active","Left")</f>
        <v>Active</v>
      </c>
      <c r="AI862" t="str">
        <f>IF(HR_Data[YearsAtCompany]&lt;=2,"Fresher", IF(HR_Data[YearsAtCompany]&lt;=5,"Junior", IF(HR_Data[YearsAtCompany]&lt;=10, "Mid","Senior")))</f>
        <v>Mid</v>
      </c>
      <c r="AJ862" s="2" t="str">
        <f>IF(HR_Data[MonthlyIncome]&lt;=300,"Low", IF(HR_Data[MonthlyIncome]&lt;=7000,"Medium", "High"))</f>
        <v>Medium</v>
      </c>
      <c r="AK862" s="2" t="str">
        <f>VLOOKUP(HR_Data[JobRole], JobRole_Map[], 2, FALSE)</f>
        <v>Technical</v>
      </c>
    </row>
    <row r="863" spans="1:37" x14ac:dyDescent="0.25">
      <c r="A863" s="2">
        <v>27</v>
      </c>
      <c r="B863" t="s">
        <v>41</v>
      </c>
      <c r="C863" t="s">
        <v>61</v>
      </c>
      <c r="D863" t="s">
        <v>53</v>
      </c>
      <c r="E863">
        <v>20</v>
      </c>
      <c r="F863" t="s">
        <v>58</v>
      </c>
      <c r="G863">
        <v>3</v>
      </c>
      <c r="H863">
        <v>2</v>
      </c>
      <c r="I863" t="s">
        <v>64</v>
      </c>
      <c r="J863">
        <v>3</v>
      </c>
      <c r="K863" t="s">
        <v>37</v>
      </c>
      <c r="L863">
        <v>9981</v>
      </c>
      <c r="M863">
        <v>1</v>
      </c>
      <c r="N863" t="s">
        <v>41</v>
      </c>
      <c r="O863">
        <v>14</v>
      </c>
      <c r="P863">
        <v>3</v>
      </c>
      <c r="Q863">
        <v>0</v>
      </c>
      <c r="R863">
        <v>7</v>
      </c>
      <c r="S863">
        <v>2</v>
      </c>
      <c r="T863">
        <v>7</v>
      </c>
      <c r="U863">
        <v>0</v>
      </c>
      <c r="V863">
        <v>7</v>
      </c>
      <c r="W863" t="s">
        <v>56</v>
      </c>
      <c r="X863" s="1" t="d">
        <v>2014-01-19</v>
      </c>
      <c r="Z863" t="s">
        <v>63</v>
      </c>
      <c r="AA863" t="s">
        <v>46</v>
      </c>
      <c r="AB863">
        <v>2</v>
      </c>
      <c r="AC863">
        <v>3</v>
      </c>
      <c r="AD863" t="s">
        <v>41</v>
      </c>
      <c r="AE863" t="s">
        <v>42</v>
      </c>
      <c r="AF863" t="s">
        <v>48</v>
      </c>
      <c r="AG863">
        <f>IF(HR_Data[[#This Row],[Attrition]]="Yes",1,0)</f>
        <v>0</v>
      </c>
      <c r="AH863" t="str">
        <f>IF(HR_Data[Date_of_termination]="","Active","Left")</f>
        <v>Active</v>
      </c>
      <c r="AI863" t="str">
        <f>IF(HR_Data[YearsAtCompany]&lt;=2,"Fresher", IF(HR_Data[YearsAtCompany]&lt;=5,"Junior", IF(HR_Data[YearsAtCompany]&lt;=10, "Mid","Senior")))</f>
        <v>Mid</v>
      </c>
      <c r="AJ863" s="2" t="str">
        <f>IF(HR_Data[MonthlyIncome]&lt;=300,"Low", IF(HR_Data[MonthlyIncome]&lt;=7000,"Medium", "High"))</f>
        <v>High</v>
      </c>
      <c r="AK863" s="2" t="str">
        <f>VLOOKUP(HR_Data[JobRole], JobRole_Map[], 2, FALSE)</f>
        <v>Sales</v>
      </c>
    </row>
    <row r="864" spans="1:37" x14ac:dyDescent="0.25">
      <c r="A864" s="2">
        <v>50</v>
      </c>
      <c r="B864" t="s">
        <v>41</v>
      </c>
      <c r="C864" t="s">
        <v>33</v>
      </c>
      <c r="D864" t="s">
        <v>53</v>
      </c>
      <c r="E864">
        <v>1</v>
      </c>
      <c r="F864" t="s">
        <v>58</v>
      </c>
      <c r="G864">
        <v>3</v>
      </c>
      <c r="H864">
        <v>5</v>
      </c>
      <c r="I864" t="s">
        <v>66</v>
      </c>
      <c r="J864">
        <v>4</v>
      </c>
      <c r="K864" t="s">
        <v>55</v>
      </c>
      <c r="L864">
        <v>19517</v>
      </c>
      <c r="M864">
        <v>3</v>
      </c>
      <c r="N864" t="s">
        <v>41</v>
      </c>
      <c r="O864">
        <v>11</v>
      </c>
      <c r="P864">
        <v>3</v>
      </c>
      <c r="Q864">
        <v>1</v>
      </c>
      <c r="R864">
        <v>32</v>
      </c>
      <c r="S864">
        <v>3</v>
      </c>
      <c r="T864">
        <v>7</v>
      </c>
      <c r="U864">
        <v>0</v>
      </c>
      <c r="V864">
        <v>6</v>
      </c>
      <c r="W864" t="s">
        <v>51</v>
      </c>
      <c r="X864" s="1" t="d">
        <v>2014-05-17</v>
      </c>
      <c r="Z864" t="s">
        <v>45</v>
      </c>
      <c r="AA864" t="s">
        <v>40</v>
      </c>
      <c r="AB864">
        <v>1</v>
      </c>
      <c r="AC864">
        <v>2</v>
      </c>
      <c r="AD864" t="s">
        <v>41</v>
      </c>
      <c r="AE864" t="s">
        <v>62</v>
      </c>
      <c r="AF864" t="s">
        <v>43</v>
      </c>
      <c r="AG864">
        <f>IF(HR_Data[[#This Row],[Attrition]]="Yes",1,0)</f>
        <v>0</v>
      </c>
      <c r="AH864" t="str">
        <f>IF(HR_Data[Date_of_termination]="","Active","Left")</f>
        <v>Active</v>
      </c>
      <c r="AI864" t="str">
        <f>IF(HR_Data[YearsAtCompany]&lt;=2,"Fresher", IF(HR_Data[YearsAtCompany]&lt;=5,"Junior", IF(HR_Data[YearsAtCompany]&lt;=10, "Mid","Senior")))</f>
        <v>Mid</v>
      </c>
      <c r="AJ864" s="2" t="str">
        <f>IF(HR_Data[MonthlyIncome]&lt;=300,"Low", IF(HR_Data[MonthlyIncome]&lt;=7000,"Medium", "High"))</f>
        <v>High</v>
      </c>
      <c r="AK864" s="2" t="str">
        <f>VLOOKUP(HR_Data[JobRole], JobRole_Map[], 2, FALSE)</f>
        <v>Management</v>
      </c>
    </row>
    <row r="865" spans="1:37" x14ac:dyDescent="0.25">
      <c r="A865" s="2">
        <v>46</v>
      </c>
      <c r="B865" t="s">
        <v>41</v>
      </c>
      <c r="C865" t="s">
        <v>33</v>
      </c>
      <c r="D865" t="s">
        <v>53</v>
      </c>
      <c r="E865">
        <v>2</v>
      </c>
      <c r="F865" t="s">
        <v>58</v>
      </c>
      <c r="G865">
        <v>1</v>
      </c>
      <c r="H865">
        <v>4</v>
      </c>
      <c r="I865" t="s">
        <v>66</v>
      </c>
      <c r="J865">
        <v>2</v>
      </c>
      <c r="K865" t="s">
        <v>50</v>
      </c>
      <c r="L865">
        <v>16872</v>
      </c>
      <c r="M865">
        <v>3</v>
      </c>
      <c r="N865" t="s">
        <v>32</v>
      </c>
      <c r="O865">
        <v>12</v>
      </c>
      <c r="P865">
        <v>3</v>
      </c>
      <c r="Q865">
        <v>1</v>
      </c>
      <c r="R865">
        <v>28</v>
      </c>
      <c r="S865">
        <v>2</v>
      </c>
      <c r="T865">
        <v>7</v>
      </c>
      <c r="U865">
        <v>7</v>
      </c>
      <c r="V865">
        <v>7</v>
      </c>
      <c r="W865" t="s">
        <v>56</v>
      </c>
      <c r="X865" s="1" t="d">
        <v>2014-04-21</v>
      </c>
      <c r="Z865" t="s">
        <v>59</v>
      </c>
      <c r="AA865" t="s">
        <v>40</v>
      </c>
      <c r="AB865">
        <v>2</v>
      </c>
      <c r="AC865">
        <v>0</v>
      </c>
      <c r="AD865" t="s">
        <v>32</v>
      </c>
      <c r="AE865" t="s">
        <v>60</v>
      </c>
      <c r="AF865" t="s">
        <v>57</v>
      </c>
      <c r="AG865">
        <f>IF(HR_Data[[#This Row],[Attrition]]="Yes",1,0)</f>
        <v>0</v>
      </c>
      <c r="AH865" t="str">
        <f>IF(HR_Data[Date_of_termination]="","Active","Left")</f>
        <v>Active</v>
      </c>
      <c r="AI865" t="str">
        <f>IF(HR_Data[YearsAtCompany]&lt;=2,"Fresher", IF(HR_Data[YearsAtCompany]&lt;=5,"Junior", IF(HR_Data[YearsAtCompany]&lt;=10, "Mid","Senior")))</f>
        <v>Mid</v>
      </c>
      <c r="AJ865" s="2" t="str">
        <f>IF(HR_Data[MonthlyIncome]&lt;=300,"Low", IF(HR_Data[MonthlyIncome]&lt;=7000,"Medium", "High"))</f>
        <v>High</v>
      </c>
      <c r="AK865" s="2" t="str">
        <f>VLOOKUP(HR_Data[JobRole], JobRole_Map[], 2, FALSE)</f>
        <v>Management</v>
      </c>
    </row>
    <row r="866" spans="1:37" x14ac:dyDescent="0.25">
      <c r="A866" s="2">
        <v>35</v>
      </c>
      <c r="B866" t="s">
        <v>41</v>
      </c>
      <c r="C866" t="s">
        <v>33</v>
      </c>
      <c r="D866" t="s">
        <v>34</v>
      </c>
      <c r="E866">
        <v>22</v>
      </c>
      <c r="F866" t="s">
        <v>58</v>
      </c>
      <c r="G866">
        <v>4</v>
      </c>
      <c r="H866">
        <v>3</v>
      </c>
      <c r="I866" t="s">
        <v>66</v>
      </c>
      <c r="J866">
        <v>2</v>
      </c>
      <c r="K866" t="s">
        <v>55</v>
      </c>
      <c r="L866">
        <v>11996</v>
      </c>
      <c r="M866">
        <v>7</v>
      </c>
      <c r="N866" t="s">
        <v>41</v>
      </c>
      <c r="O866">
        <v>18</v>
      </c>
      <c r="P866">
        <v>3</v>
      </c>
      <c r="Q866">
        <v>1</v>
      </c>
      <c r="R866">
        <v>10</v>
      </c>
      <c r="S866">
        <v>6</v>
      </c>
      <c r="T866">
        <v>7</v>
      </c>
      <c r="U866">
        <v>6</v>
      </c>
      <c r="V866">
        <v>2</v>
      </c>
      <c r="W866" t="s">
        <v>38</v>
      </c>
      <c r="X866" s="1" t="d">
        <v>2014-03-27</v>
      </c>
      <c r="Z866" t="s">
        <v>63</v>
      </c>
      <c r="AA866" t="s">
        <v>40</v>
      </c>
      <c r="AB866">
        <v>5</v>
      </c>
      <c r="AC866">
        <v>0</v>
      </c>
      <c r="AD866" t="s">
        <v>41</v>
      </c>
      <c r="AE866" t="s">
        <v>60</v>
      </c>
      <c r="AF866" t="s">
        <v>57</v>
      </c>
      <c r="AG866">
        <f>IF(HR_Data[[#This Row],[Attrition]]="Yes",1,0)</f>
        <v>0</v>
      </c>
      <c r="AH866" t="str">
        <f>IF(HR_Data[Date_of_termination]="","Active","Left")</f>
        <v>Active</v>
      </c>
      <c r="AI866" t="str">
        <f>IF(HR_Data[YearsAtCompany]&lt;=2,"Fresher", IF(HR_Data[YearsAtCompany]&lt;=5,"Junior", IF(HR_Data[YearsAtCompany]&lt;=10, "Mid","Senior")))</f>
        <v>Mid</v>
      </c>
      <c r="AJ866" s="2" t="str">
        <f>IF(HR_Data[MonthlyIncome]&lt;=300,"Low", IF(HR_Data[MonthlyIncome]&lt;=7000,"Medium", "High"))</f>
        <v>High</v>
      </c>
      <c r="AK866" s="2" t="str">
        <f>VLOOKUP(HR_Data[JobRole], JobRole_Map[], 2, FALSE)</f>
        <v>Management</v>
      </c>
    </row>
    <row r="867" spans="1:37" x14ac:dyDescent="0.25">
      <c r="A867" s="2">
        <v>49</v>
      </c>
      <c r="B867" t="s">
        <v>41</v>
      </c>
      <c r="C867" t="s">
        <v>33</v>
      </c>
      <c r="D867" t="s">
        <v>34</v>
      </c>
      <c r="E867">
        <v>1</v>
      </c>
      <c r="F867" t="s">
        <v>58</v>
      </c>
      <c r="G867">
        <v>2</v>
      </c>
      <c r="H867">
        <v>4</v>
      </c>
      <c r="I867" t="s">
        <v>69</v>
      </c>
      <c r="J867">
        <v>3</v>
      </c>
      <c r="K867" t="s">
        <v>37</v>
      </c>
      <c r="L867">
        <v>13964</v>
      </c>
      <c r="M867">
        <v>7</v>
      </c>
      <c r="N867" t="s">
        <v>32</v>
      </c>
      <c r="O867">
        <v>12</v>
      </c>
      <c r="P867">
        <v>3</v>
      </c>
      <c r="Q867">
        <v>0</v>
      </c>
      <c r="R867">
        <v>25</v>
      </c>
      <c r="S867">
        <v>2</v>
      </c>
      <c r="T867">
        <v>7</v>
      </c>
      <c r="U867">
        <v>0</v>
      </c>
      <c r="V867">
        <v>7</v>
      </c>
      <c r="W867" t="s">
        <v>51</v>
      </c>
      <c r="X867" s="1" t="d">
        <v>2014-03-10</v>
      </c>
      <c r="Z867" t="s">
        <v>59</v>
      </c>
      <c r="AA867" t="s">
        <v>46</v>
      </c>
      <c r="AB867">
        <v>5</v>
      </c>
      <c r="AC867">
        <v>1</v>
      </c>
      <c r="AD867" t="s">
        <v>32</v>
      </c>
      <c r="AE867" t="s">
        <v>62</v>
      </c>
      <c r="AF867" t="s">
        <v>43</v>
      </c>
      <c r="AG867">
        <f>IF(HR_Data[[#This Row],[Attrition]]="Yes",1,0)</f>
        <v>0</v>
      </c>
      <c r="AH867" t="str">
        <f>IF(HR_Data[Date_of_termination]="","Active","Left")</f>
        <v>Active</v>
      </c>
      <c r="AI867" t="str">
        <f>IF(HR_Data[YearsAtCompany]&lt;=2,"Fresher", IF(HR_Data[YearsAtCompany]&lt;=5,"Junior", IF(HR_Data[YearsAtCompany]&lt;=10, "Mid","Senior")))</f>
        <v>Mid</v>
      </c>
      <c r="AJ867" s="2" t="str">
        <f>IF(HR_Data[MonthlyIncome]&lt;=300,"Low", IF(HR_Data[MonthlyIncome]&lt;=7000,"Medium", "High"))</f>
        <v>High</v>
      </c>
      <c r="AK867" s="2" t="str">
        <f>VLOOKUP(HR_Data[JobRole], JobRole_Map[], 2, FALSE)</f>
        <v>Operations</v>
      </c>
    </row>
    <row r="868" spans="1:37" x14ac:dyDescent="0.25">
      <c r="A868" s="2">
        <v>31</v>
      </c>
      <c r="B868" t="s">
        <v>41</v>
      </c>
      <c r="C868" t="s">
        <v>33</v>
      </c>
      <c r="D868" t="s">
        <v>53</v>
      </c>
      <c r="E868">
        <v>7</v>
      </c>
      <c r="F868" t="s">
        <v>35</v>
      </c>
      <c r="G868">
        <v>3</v>
      </c>
      <c r="H868">
        <v>2</v>
      </c>
      <c r="I868" t="s">
        <v>64</v>
      </c>
      <c r="J868">
        <v>4</v>
      </c>
      <c r="K868" t="s">
        <v>55</v>
      </c>
      <c r="L868">
        <v>7547</v>
      </c>
      <c r="M868">
        <v>4</v>
      </c>
      <c r="N868" t="s">
        <v>41</v>
      </c>
      <c r="O868">
        <v>12</v>
      </c>
      <c r="P868">
        <v>3</v>
      </c>
      <c r="Q868">
        <v>3</v>
      </c>
      <c r="R868">
        <v>13</v>
      </c>
      <c r="S868">
        <v>3</v>
      </c>
      <c r="T868">
        <v>7</v>
      </c>
      <c r="U868">
        <v>1</v>
      </c>
      <c r="V868">
        <v>7</v>
      </c>
      <c r="W868" t="s">
        <v>51</v>
      </c>
      <c r="X868" s="1" t="d">
        <v>2014-03-29</v>
      </c>
      <c r="Z868" t="s">
        <v>63</v>
      </c>
      <c r="AA868" t="s">
        <v>40</v>
      </c>
      <c r="AB868">
        <v>0</v>
      </c>
      <c r="AC868">
        <v>2</v>
      </c>
      <c r="AD868" t="s">
        <v>32</v>
      </c>
      <c r="AE868" t="s">
        <v>60</v>
      </c>
      <c r="AF868" t="s">
        <v>57</v>
      </c>
      <c r="AG868">
        <f>IF(HR_Data[[#This Row],[Attrition]]="Yes",1,0)</f>
        <v>0</v>
      </c>
      <c r="AH868" t="str">
        <f>IF(HR_Data[Date_of_termination]="","Active","Left")</f>
        <v>Active</v>
      </c>
      <c r="AI868" t="str">
        <f>IF(HR_Data[YearsAtCompany]&lt;=2,"Fresher", IF(HR_Data[YearsAtCompany]&lt;=5,"Junior", IF(HR_Data[YearsAtCompany]&lt;=10, "Mid","Senior")))</f>
        <v>Mid</v>
      </c>
      <c r="AJ868" s="2" t="str">
        <f>IF(HR_Data[MonthlyIncome]&lt;=300,"Low", IF(HR_Data[MonthlyIncome]&lt;=7000,"Medium", "High"))</f>
        <v>High</v>
      </c>
      <c r="AK868" s="2" t="str">
        <f>VLOOKUP(HR_Data[JobRole], JobRole_Map[], 2, FALSE)</f>
        <v>Sales</v>
      </c>
    </row>
    <row r="869" spans="1:37" x14ac:dyDescent="0.25">
      <c r="A869" s="2">
        <v>32</v>
      </c>
      <c r="B869" t="s">
        <v>41</v>
      </c>
      <c r="C869" t="s">
        <v>33</v>
      </c>
      <c r="D869" t="s">
        <v>34</v>
      </c>
      <c r="E869">
        <v>2</v>
      </c>
      <c r="F869" t="s">
        <v>58</v>
      </c>
      <c r="G869">
        <v>4</v>
      </c>
      <c r="H869">
        <v>2</v>
      </c>
      <c r="I869" t="s">
        <v>44</v>
      </c>
      <c r="J869">
        <v>4</v>
      </c>
      <c r="K869" t="s">
        <v>37</v>
      </c>
      <c r="L869">
        <v>5055</v>
      </c>
      <c r="M869">
        <v>7</v>
      </c>
      <c r="N869" t="s">
        <v>41</v>
      </c>
      <c r="O869">
        <v>16</v>
      </c>
      <c r="P869">
        <v>3</v>
      </c>
      <c r="Q869">
        <v>0</v>
      </c>
      <c r="R869">
        <v>10</v>
      </c>
      <c r="S869">
        <v>0</v>
      </c>
      <c r="T869">
        <v>7</v>
      </c>
      <c r="U869">
        <v>0</v>
      </c>
      <c r="V869">
        <v>7</v>
      </c>
      <c r="W869" t="s">
        <v>65</v>
      </c>
      <c r="X869" s="1" t="d">
        <v>2014-01-28</v>
      </c>
      <c r="Z869" t="s">
        <v>52</v>
      </c>
      <c r="AA869" t="s">
        <v>46</v>
      </c>
      <c r="AB869">
        <v>1</v>
      </c>
      <c r="AC869">
        <v>1</v>
      </c>
      <c r="AD869" t="s">
        <v>41</v>
      </c>
      <c r="AE869" t="s">
        <v>60</v>
      </c>
      <c r="AF869" t="s">
        <v>48</v>
      </c>
      <c r="AG869">
        <f>IF(HR_Data[[#This Row],[Attrition]]="Yes",1,0)</f>
        <v>0</v>
      </c>
      <c r="AH869" t="str">
        <f>IF(HR_Data[Date_of_termination]="","Active","Left")</f>
        <v>Active</v>
      </c>
      <c r="AI869" t="str">
        <f>IF(HR_Data[YearsAtCompany]&lt;=2,"Fresher", IF(HR_Data[YearsAtCompany]&lt;=5,"Junior", IF(HR_Data[YearsAtCompany]&lt;=10, "Mid","Senior")))</f>
        <v>Mid</v>
      </c>
      <c r="AJ869" s="2" t="str">
        <f>IF(HR_Data[MonthlyIncome]&lt;=300,"Low", IF(HR_Data[MonthlyIncome]&lt;=7000,"Medium", "High"))</f>
        <v>Medium</v>
      </c>
      <c r="AK869" s="2" t="str">
        <f>VLOOKUP(HR_Data[JobRole], JobRole_Map[], 2, FALSE)</f>
        <v>Technical</v>
      </c>
    </row>
    <row r="870" spans="1:37" x14ac:dyDescent="0.25">
      <c r="A870" s="2">
        <v>33</v>
      </c>
      <c r="B870" t="s">
        <v>41</v>
      </c>
      <c r="C870" t="s">
        <v>61</v>
      </c>
      <c r="D870" t="s">
        <v>53</v>
      </c>
      <c r="E870">
        <v>10</v>
      </c>
      <c r="F870" t="s">
        <v>35</v>
      </c>
      <c r="G870">
        <v>2</v>
      </c>
      <c r="H870">
        <v>2</v>
      </c>
      <c r="I870" t="s">
        <v>64</v>
      </c>
      <c r="J870">
        <v>4</v>
      </c>
      <c r="K870" t="s">
        <v>37</v>
      </c>
      <c r="L870">
        <v>4682</v>
      </c>
      <c r="M870">
        <v>3</v>
      </c>
      <c r="N870" t="s">
        <v>41</v>
      </c>
      <c r="O870">
        <v>14</v>
      </c>
      <c r="P870">
        <v>3</v>
      </c>
      <c r="Q870">
        <v>0</v>
      </c>
      <c r="R870">
        <v>9</v>
      </c>
      <c r="S870">
        <v>6</v>
      </c>
      <c r="T870">
        <v>7</v>
      </c>
      <c r="U870">
        <v>0</v>
      </c>
      <c r="V870">
        <v>1</v>
      </c>
      <c r="W870" t="s">
        <v>56</v>
      </c>
      <c r="X870" s="1" t="d">
        <v>2014-03-26</v>
      </c>
      <c r="Z870" t="s">
        <v>45</v>
      </c>
      <c r="AA870" t="s">
        <v>40</v>
      </c>
      <c r="AB870">
        <v>5</v>
      </c>
      <c r="AC870">
        <v>0</v>
      </c>
      <c r="AD870" t="s">
        <v>32</v>
      </c>
      <c r="AE870" t="s">
        <v>62</v>
      </c>
      <c r="AF870" t="s">
        <v>43</v>
      </c>
      <c r="AG870">
        <f>IF(HR_Data[[#This Row],[Attrition]]="Yes",1,0)</f>
        <v>0</v>
      </c>
      <c r="AH870" t="str">
        <f>IF(HR_Data[Date_of_termination]="","Active","Left")</f>
        <v>Active</v>
      </c>
      <c r="AI870" t="str">
        <f>IF(HR_Data[YearsAtCompany]&lt;=2,"Fresher", IF(HR_Data[YearsAtCompany]&lt;=5,"Junior", IF(HR_Data[YearsAtCompany]&lt;=10, "Mid","Senior")))</f>
        <v>Mid</v>
      </c>
      <c r="AJ870" s="2" t="str">
        <f>IF(HR_Data[MonthlyIncome]&lt;=300,"Low", IF(HR_Data[MonthlyIncome]&lt;=7000,"Medium", "High"))</f>
        <v>Medium</v>
      </c>
      <c r="AK870" s="2" t="str">
        <f>VLOOKUP(HR_Data[JobRole], JobRole_Map[], 2, FALSE)</f>
        <v>Sales</v>
      </c>
    </row>
    <row r="871" spans="1:37" x14ac:dyDescent="0.25">
      <c r="A871" s="2">
        <v>29</v>
      </c>
      <c r="B871" t="s">
        <v>32</v>
      </c>
      <c r="C871" t="s">
        <v>33</v>
      </c>
      <c r="D871" t="s">
        <v>34</v>
      </c>
      <c r="E871">
        <v>8</v>
      </c>
      <c r="F871" t="s">
        <v>35</v>
      </c>
      <c r="G871">
        <v>1</v>
      </c>
      <c r="H871">
        <v>1</v>
      </c>
      <c r="I871" t="s">
        <v>36</v>
      </c>
      <c r="J871">
        <v>1</v>
      </c>
      <c r="K871" t="s">
        <v>50</v>
      </c>
      <c r="L871">
        <v>2119</v>
      </c>
      <c r="M871">
        <v>1</v>
      </c>
      <c r="N871" t="s">
        <v>32</v>
      </c>
      <c r="O871">
        <v>11</v>
      </c>
      <c r="P871">
        <v>3</v>
      </c>
      <c r="Q871">
        <v>0</v>
      </c>
      <c r="R871">
        <v>7</v>
      </c>
      <c r="S871">
        <v>4</v>
      </c>
      <c r="T871">
        <v>7</v>
      </c>
      <c r="U871">
        <v>0</v>
      </c>
      <c r="V871">
        <v>7</v>
      </c>
      <c r="W871" t="s">
        <v>38</v>
      </c>
      <c r="X871" s="1" t="d">
        <v>2014-03-19</v>
      </c>
      <c r="Z871" t="s">
        <v>52</v>
      </c>
      <c r="AA871" t="s">
        <v>46</v>
      </c>
      <c r="AB871">
        <v>0</v>
      </c>
      <c r="AC871">
        <v>0</v>
      </c>
      <c r="AD871" t="s">
        <v>32</v>
      </c>
      <c r="AE871" t="s">
        <v>62</v>
      </c>
      <c r="AF871" t="s">
        <v>57</v>
      </c>
      <c r="AG871">
        <f>IF(HR_Data[[#This Row],[Attrition]]="Yes",1,0)</f>
        <v>1</v>
      </c>
      <c r="AH871" t="str">
        <f>IF(HR_Data[Date_of_termination]="","Active","Left")</f>
        <v>Active</v>
      </c>
      <c r="AI871" t="str">
        <f>IF(HR_Data[YearsAtCompany]&lt;=2,"Fresher", IF(HR_Data[YearsAtCompany]&lt;=5,"Junior", IF(HR_Data[YearsAtCompany]&lt;=10, "Mid","Senior")))</f>
        <v>Mid</v>
      </c>
      <c r="AJ871" s="2" t="str">
        <f>IF(HR_Data[MonthlyIncome]&lt;=300,"Low", IF(HR_Data[MonthlyIncome]&lt;=7000,"Medium", "High"))</f>
        <v>Medium</v>
      </c>
      <c r="AK871" s="2" t="str">
        <f>VLOOKUP(HR_Data[JobRole], JobRole_Map[], 2, FALSE)</f>
        <v>Technical</v>
      </c>
    </row>
    <row r="872" spans="1:37" x14ac:dyDescent="0.25">
      <c r="A872" s="2">
        <v>29</v>
      </c>
      <c r="B872" t="s">
        <v>41</v>
      </c>
      <c r="C872" t="s">
        <v>33</v>
      </c>
      <c r="D872" t="s">
        <v>53</v>
      </c>
      <c r="E872">
        <v>10</v>
      </c>
      <c r="F872" t="s">
        <v>58</v>
      </c>
      <c r="G872">
        <v>2</v>
      </c>
      <c r="H872">
        <v>2</v>
      </c>
      <c r="I872" t="s">
        <v>64</v>
      </c>
      <c r="J872">
        <v>2</v>
      </c>
      <c r="K872" t="s">
        <v>55</v>
      </c>
      <c r="L872">
        <v>8268</v>
      </c>
      <c r="M872">
        <v>1</v>
      </c>
      <c r="N872" t="s">
        <v>32</v>
      </c>
      <c r="O872">
        <v>14</v>
      </c>
      <c r="P872">
        <v>3</v>
      </c>
      <c r="Q872">
        <v>2</v>
      </c>
      <c r="R872">
        <v>7</v>
      </c>
      <c r="S872">
        <v>2</v>
      </c>
      <c r="T872">
        <v>7</v>
      </c>
      <c r="U872">
        <v>1</v>
      </c>
      <c r="V872">
        <v>7</v>
      </c>
      <c r="W872" t="s">
        <v>65</v>
      </c>
      <c r="X872" s="1" t="d">
        <v>2014-05-23</v>
      </c>
      <c r="Z872" t="s">
        <v>59</v>
      </c>
      <c r="AA872" t="s">
        <v>40</v>
      </c>
      <c r="AB872">
        <v>5</v>
      </c>
      <c r="AC872">
        <v>2</v>
      </c>
      <c r="AD872" t="s">
        <v>32</v>
      </c>
      <c r="AE872" t="s">
        <v>62</v>
      </c>
      <c r="AF872" t="s">
        <v>48</v>
      </c>
      <c r="AG872">
        <f>IF(HR_Data[[#This Row],[Attrition]]="Yes",1,0)</f>
        <v>0</v>
      </c>
      <c r="AH872" t="str">
        <f>IF(HR_Data[Date_of_termination]="","Active","Left")</f>
        <v>Active</v>
      </c>
      <c r="AI872" t="str">
        <f>IF(HR_Data[YearsAtCompany]&lt;=2,"Fresher", IF(HR_Data[YearsAtCompany]&lt;=5,"Junior", IF(HR_Data[YearsAtCompany]&lt;=10, "Mid","Senior")))</f>
        <v>Mid</v>
      </c>
      <c r="AJ872" s="2" t="str">
        <f>IF(HR_Data[MonthlyIncome]&lt;=300,"Low", IF(HR_Data[MonthlyIncome]&lt;=7000,"Medium", "High"))</f>
        <v>High</v>
      </c>
      <c r="AK872" s="2" t="str">
        <f>VLOOKUP(HR_Data[JobRole], JobRole_Map[], 2, FALSE)</f>
        <v>Sales</v>
      </c>
    </row>
    <row r="873" spans="1:37" x14ac:dyDescent="0.25">
      <c r="A873" s="2">
        <v>37</v>
      </c>
      <c r="B873" t="s">
        <v>41</v>
      </c>
      <c r="C873" t="s">
        <v>33</v>
      </c>
      <c r="D873" t="s">
        <v>34</v>
      </c>
      <c r="E873">
        <v>6</v>
      </c>
      <c r="F873" t="s">
        <v>35</v>
      </c>
      <c r="G873">
        <v>4</v>
      </c>
      <c r="H873">
        <v>2</v>
      </c>
      <c r="I873" t="s">
        <v>44</v>
      </c>
      <c r="J873">
        <v>1</v>
      </c>
      <c r="K873" t="s">
        <v>55</v>
      </c>
      <c r="L873">
        <v>5974</v>
      </c>
      <c r="M873">
        <v>4</v>
      </c>
      <c r="N873" t="s">
        <v>32</v>
      </c>
      <c r="O873">
        <v>13</v>
      </c>
      <c r="P873">
        <v>3</v>
      </c>
      <c r="Q873">
        <v>2</v>
      </c>
      <c r="R873">
        <v>13</v>
      </c>
      <c r="S873">
        <v>2</v>
      </c>
      <c r="T873">
        <v>7</v>
      </c>
      <c r="U873">
        <v>6</v>
      </c>
      <c r="V873">
        <v>7</v>
      </c>
      <c r="W873" t="s">
        <v>38</v>
      </c>
      <c r="X873" s="1" t="d">
        <v>2014-04-17</v>
      </c>
      <c r="Z873" t="s">
        <v>45</v>
      </c>
      <c r="AA873" t="s">
        <v>46</v>
      </c>
      <c r="AB873">
        <v>3</v>
      </c>
      <c r="AC873">
        <v>0</v>
      </c>
      <c r="AD873" t="s">
        <v>32</v>
      </c>
      <c r="AE873" t="s">
        <v>62</v>
      </c>
      <c r="AF873" t="s">
        <v>48</v>
      </c>
      <c r="AG873">
        <f>IF(HR_Data[[#This Row],[Attrition]]="Yes",1,0)</f>
        <v>0</v>
      </c>
      <c r="AH873" t="str">
        <f>IF(HR_Data[Date_of_termination]="","Active","Left")</f>
        <v>Active</v>
      </c>
      <c r="AI873" t="str">
        <f>IF(HR_Data[YearsAtCompany]&lt;=2,"Fresher", IF(HR_Data[YearsAtCompany]&lt;=5,"Junior", IF(HR_Data[YearsAtCompany]&lt;=10, "Mid","Senior")))</f>
        <v>Mid</v>
      </c>
      <c r="AJ873" s="2" t="str">
        <f>IF(HR_Data[MonthlyIncome]&lt;=300,"Low", IF(HR_Data[MonthlyIncome]&lt;=7000,"Medium", "High"))</f>
        <v>Medium</v>
      </c>
      <c r="AK873" s="2" t="str">
        <f>VLOOKUP(HR_Data[JobRole], JobRole_Map[], 2, FALSE)</f>
        <v>Technical</v>
      </c>
    </row>
    <row r="874" spans="1:37" x14ac:dyDescent="0.25">
      <c r="A874" s="2">
        <v>40</v>
      </c>
      <c r="B874" t="s">
        <v>41</v>
      </c>
      <c r="C874" t="s">
        <v>33</v>
      </c>
      <c r="D874" t="s">
        <v>34</v>
      </c>
      <c r="E874">
        <v>10</v>
      </c>
      <c r="F874" t="s">
        <v>58</v>
      </c>
      <c r="G874">
        <v>4</v>
      </c>
      <c r="H874">
        <v>1</v>
      </c>
      <c r="I874" t="s">
        <v>36</v>
      </c>
      <c r="J874">
        <v>3</v>
      </c>
      <c r="K874" t="s">
        <v>50</v>
      </c>
      <c r="L874">
        <v>2213</v>
      </c>
      <c r="M874">
        <v>3</v>
      </c>
      <c r="N874" t="s">
        <v>32</v>
      </c>
      <c r="O874">
        <v>13</v>
      </c>
      <c r="P874">
        <v>3</v>
      </c>
      <c r="Q874">
        <v>1</v>
      </c>
      <c r="R874">
        <v>10</v>
      </c>
      <c r="S874">
        <v>3</v>
      </c>
      <c r="T874">
        <v>7</v>
      </c>
      <c r="U874">
        <v>1</v>
      </c>
      <c r="V874">
        <v>7</v>
      </c>
      <c r="W874" t="s">
        <v>65</v>
      </c>
      <c r="X874" s="1" t="d">
        <v>2014-05-11</v>
      </c>
      <c r="Z874" t="s">
        <v>39</v>
      </c>
      <c r="AA874" t="s">
        <v>46</v>
      </c>
      <c r="AB874">
        <v>5</v>
      </c>
      <c r="AC874">
        <v>2</v>
      </c>
      <c r="AD874" t="s">
        <v>41</v>
      </c>
      <c r="AE874" t="s">
        <v>62</v>
      </c>
      <c r="AF874" t="s">
        <v>57</v>
      </c>
      <c r="AG874">
        <f>IF(HR_Data[[#This Row],[Attrition]]="Yes",1,0)</f>
        <v>0</v>
      </c>
      <c r="AH874" t="str">
        <f>IF(HR_Data[Date_of_termination]="","Active","Left")</f>
        <v>Active</v>
      </c>
      <c r="AI874" t="str">
        <f>IF(HR_Data[YearsAtCompany]&lt;=2,"Fresher", IF(HR_Data[YearsAtCompany]&lt;=5,"Junior", IF(HR_Data[YearsAtCompany]&lt;=10, "Mid","Senior")))</f>
        <v>Mid</v>
      </c>
      <c r="AJ874" s="2" t="str">
        <f>IF(HR_Data[MonthlyIncome]&lt;=300,"Low", IF(HR_Data[MonthlyIncome]&lt;=7000,"Medium", "High"))</f>
        <v>Medium</v>
      </c>
      <c r="AK874" s="2" t="str">
        <f>VLOOKUP(HR_Data[JobRole], JobRole_Map[], 2, FALSE)</f>
        <v>Technical</v>
      </c>
    </row>
    <row r="875" spans="1:37" x14ac:dyDescent="0.25">
      <c r="A875" s="2">
        <v>28</v>
      </c>
      <c r="B875" t="s">
        <v>41</v>
      </c>
      <c r="C875" t="s">
        <v>33</v>
      </c>
      <c r="D875" t="s">
        <v>53</v>
      </c>
      <c r="E875">
        <v>9</v>
      </c>
      <c r="F875" t="s">
        <v>35</v>
      </c>
      <c r="G875">
        <v>3</v>
      </c>
      <c r="H875">
        <v>2</v>
      </c>
      <c r="I875" t="s">
        <v>64</v>
      </c>
      <c r="J875">
        <v>4</v>
      </c>
      <c r="K875" t="s">
        <v>37</v>
      </c>
      <c r="L875">
        <v>5253</v>
      </c>
      <c r="M875">
        <v>1</v>
      </c>
      <c r="N875" t="s">
        <v>41</v>
      </c>
      <c r="O875">
        <v>16</v>
      </c>
      <c r="P875">
        <v>3</v>
      </c>
      <c r="Q875">
        <v>0</v>
      </c>
      <c r="R875">
        <v>7</v>
      </c>
      <c r="S875">
        <v>1</v>
      </c>
      <c r="T875">
        <v>7</v>
      </c>
      <c r="U875">
        <v>0</v>
      </c>
      <c r="V875">
        <v>7</v>
      </c>
      <c r="W875" t="s">
        <v>38</v>
      </c>
      <c r="X875" s="1" t="d">
        <v>2014-03-07</v>
      </c>
      <c r="Z875" t="s">
        <v>39</v>
      </c>
      <c r="AA875" t="s">
        <v>40</v>
      </c>
      <c r="AB875">
        <v>4</v>
      </c>
      <c r="AC875">
        <v>0</v>
      </c>
      <c r="AD875" t="s">
        <v>41</v>
      </c>
      <c r="AE875" t="s">
        <v>47</v>
      </c>
      <c r="AF875" t="s">
        <v>57</v>
      </c>
      <c r="AG875">
        <f>IF(HR_Data[[#This Row],[Attrition]]="Yes",1,0)</f>
        <v>0</v>
      </c>
      <c r="AH875" t="str">
        <f>IF(HR_Data[Date_of_termination]="","Active","Left")</f>
        <v>Active</v>
      </c>
      <c r="AI875" t="str">
        <f>IF(HR_Data[YearsAtCompany]&lt;=2,"Fresher", IF(HR_Data[YearsAtCompany]&lt;=5,"Junior", IF(HR_Data[YearsAtCompany]&lt;=10, "Mid","Senior")))</f>
        <v>Mid</v>
      </c>
      <c r="AJ875" s="2" t="str">
        <f>IF(HR_Data[MonthlyIncome]&lt;=300,"Low", IF(HR_Data[MonthlyIncome]&lt;=7000,"Medium", "High"))</f>
        <v>Medium</v>
      </c>
      <c r="AK875" s="2" t="str">
        <f>VLOOKUP(HR_Data[JobRole], JobRole_Map[], 2, FALSE)</f>
        <v>Sales</v>
      </c>
    </row>
    <row r="876" spans="1:37" x14ac:dyDescent="0.25">
      <c r="A876" s="2">
        <v>51</v>
      </c>
      <c r="B876" t="s">
        <v>41</v>
      </c>
      <c r="C876" t="s">
        <v>33</v>
      </c>
      <c r="D876" t="s">
        <v>53</v>
      </c>
      <c r="E876">
        <v>14</v>
      </c>
      <c r="F876" t="s">
        <v>58</v>
      </c>
      <c r="G876">
        <v>3</v>
      </c>
      <c r="H876">
        <v>2</v>
      </c>
      <c r="I876" t="s">
        <v>64</v>
      </c>
      <c r="J876">
        <v>4</v>
      </c>
      <c r="K876" t="s">
        <v>50</v>
      </c>
      <c r="L876">
        <v>4936</v>
      </c>
      <c r="M876">
        <v>4</v>
      </c>
      <c r="N876" t="s">
        <v>41</v>
      </c>
      <c r="O876">
        <v>11</v>
      </c>
      <c r="P876">
        <v>3</v>
      </c>
      <c r="Q876">
        <v>1</v>
      </c>
      <c r="R876">
        <v>18</v>
      </c>
      <c r="S876">
        <v>2</v>
      </c>
      <c r="T876">
        <v>7</v>
      </c>
      <c r="U876">
        <v>0</v>
      </c>
      <c r="V876">
        <v>7</v>
      </c>
      <c r="W876" t="s">
        <v>56</v>
      </c>
      <c r="X876" s="1" t="d">
        <v>2014-06-23</v>
      </c>
      <c r="Z876" t="s">
        <v>52</v>
      </c>
      <c r="AA876" t="s">
        <v>46</v>
      </c>
      <c r="AB876">
        <v>4</v>
      </c>
      <c r="AC876">
        <v>1</v>
      </c>
      <c r="AD876" t="s">
        <v>32</v>
      </c>
      <c r="AE876" t="s">
        <v>60</v>
      </c>
      <c r="AF876" t="s">
        <v>57</v>
      </c>
      <c r="AG876">
        <f>IF(HR_Data[[#This Row],[Attrition]]="Yes",1,0)</f>
        <v>0</v>
      </c>
      <c r="AH876" t="str">
        <f>IF(HR_Data[Date_of_termination]="","Active","Left")</f>
        <v>Active</v>
      </c>
      <c r="AI876" t="str">
        <f>IF(HR_Data[YearsAtCompany]&lt;=2,"Fresher", IF(HR_Data[YearsAtCompany]&lt;=5,"Junior", IF(HR_Data[YearsAtCompany]&lt;=10, "Mid","Senior")))</f>
        <v>Mid</v>
      </c>
      <c r="AJ876" s="2" t="str">
        <f>IF(HR_Data[MonthlyIncome]&lt;=300,"Low", IF(HR_Data[MonthlyIncome]&lt;=7000,"Medium", "High"))</f>
        <v>Medium</v>
      </c>
      <c r="AK876" s="2" t="str">
        <f>VLOOKUP(HR_Data[JobRole], JobRole_Map[], 2, FALSE)</f>
        <v>Sales</v>
      </c>
    </row>
    <row r="877" spans="1:37" x14ac:dyDescent="0.25">
      <c r="A877" s="2">
        <v>56</v>
      </c>
      <c r="B877" t="s">
        <v>41</v>
      </c>
      <c r="C877" t="s">
        <v>61</v>
      </c>
      <c r="D877" t="s">
        <v>53</v>
      </c>
      <c r="E877">
        <v>6</v>
      </c>
      <c r="F877" t="s">
        <v>58</v>
      </c>
      <c r="G877">
        <v>4</v>
      </c>
      <c r="H877">
        <v>4</v>
      </c>
      <c r="I877" t="s">
        <v>64</v>
      </c>
      <c r="J877">
        <v>1</v>
      </c>
      <c r="K877" t="s">
        <v>50</v>
      </c>
      <c r="L877">
        <v>13212</v>
      </c>
      <c r="M877">
        <v>9</v>
      </c>
      <c r="N877" t="s">
        <v>41</v>
      </c>
      <c r="O877">
        <v>11</v>
      </c>
      <c r="P877">
        <v>3</v>
      </c>
      <c r="Q877">
        <v>3</v>
      </c>
      <c r="R877">
        <v>36</v>
      </c>
      <c r="S877">
        <v>0</v>
      </c>
      <c r="T877">
        <v>7</v>
      </c>
      <c r="U877">
        <v>7</v>
      </c>
      <c r="V877">
        <v>7</v>
      </c>
      <c r="W877" t="s">
        <v>38</v>
      </c>
      <c r="X877" s="1" t="d">
        <v>2014-04-07</v>
      </c>
      <c r="Z877" t="s">
        <v>63</v>
      </c>
      <c r="AA877" t="s">
        <v>40</v>
      </c>
      <c r="AB877">
        <v>5</v>
      </c>
      <c r="AC877">
        <v>1</v>
      </c>
      <c r="AD877" t="s">
        <v>32</v>
      </c>
      <c r="AE877" t="s">
        <v>62</v>
      </c>
      <c r="AF877" t="s">
        <v>57</v>
      </c>
      <c r="AG877">
        <f>IF(HR_Data[[#This Row],[Attrition]]="Yes",1,0)</f>
        <v>0</v>
      </c>
      <c r="AH877" t="str">
        <f>IF(HR_Data[Date_of_termination]="","Active","Left")</f>
        <v>Active</v>
      </c>
      <c r="AI877" t="str">
        <f>IF(HR_Data[YearsAtCompany]&lt;=2,"Fresher", IF(HR_Data[YearsAtCompany]&lt;=5,"Junior", IF(HR_Data[YearsAtCompany]&lt;=10, "Mid","Senior")))</f>
        <v>Mid</v>
      </c>
      <c r="AJ877" s="2" t="str">
        <f>IF(HR_Data[MonthlyIncome]&lt;=300,"Low", IF(HR_Data[MonthlyIncome]&lt;=7000,"Medium", "High"))</f>
        <v>High</v>
      </c>
      <c r="AK877" s="2" t="str">
        <f>VLOOKUP(HR_Data[JobRole], JobRole_Map[], 2, FALSE)</f>
        <v>Sales</v>
      </c>
    </row>
    <row r="878" spans="1:37" x14ac:dyDescent="0.25">
      <c r="A878" s="2">
        <v>34</v>
      </c>
      <c r="B878" t="s">
        <v>41</v>
      </c>
      <c r="C878" t="s">
        <v>33</v>
      </c>
      <c r="D878" t="s">
        <v>34</v>
      </c>
      <c r="E878">
        <v>2</v>
      </c>
      <c r="F878" t="s">
        <v>35</v>
      </c>
      <c r="G878">
        <v>2</v>
      </c>
      <c r="H878">
        <v>1</v>
      </c>
      <c r="I878" t="s">
        <v>44</v>
      </c>
      <c r="J878">
        <v>3</v>
      </c>
      <c r="K878" t="s">
        <v>55</v>
      </c>
      <c r="L878">
        <v>2768</v>
      </c>
      <c r="M878">
        <v>3</v>
      </c>
      <c r="N878" t="s">
        <v>41</v>
      </c>
      <c r="O878">
        <v>12</v>
      </c>
      <c r="P878">
        <v>3</v>
      </c>
      <c r="Q878">
        <v>1</v>
      </c>
      <c r="R878">
        <v>14</v>
      </c>
      <c r="S878">
        <v>3</v>
      </c>
      <c r="T878">
        <v>7</v>
      </c>
      <c r="U878">
        <v>5</v>
      </c>
      <c r="V878">
        <v>7</v>
      </c>
      <c r="W878" t="s">
        <v>65</v>
      </c>
      <c r="X878" s="1" t="d">
        <v>2014-04-19</v>
      </c>
      <c r="Z878" t="s">
        <v>39</v>
      </c>
      <c r="AA878" t="s">
        <v>46</v>
      </c>
      <c r="AB878">
        <v>2</v>
      </c>
      <c r="AC878">
        <v>0</v>
      </c>
      <c r="AD878" t="s">
        <v>32</v>
      </c>
      <c r="AE878" t="s">
        <v>47</v>
      </c>
      <c r="AF878" t="s">
        <v>48</v>
      </c>
      <c r="AG878">
        <f>IF(HR_Data[[#This Row],[Attrition]]="Yes",1,0)</f>
        <v>0</v>
      </c>
      <c r="AH878" t="str">
        <f>IF(HR_Data[Date_of_termination]="","Active","Left")</f>
        <v>Active</v>
      </c>
      <c r="AI878" t="str">
        <f>IF(HR_Data[YearsAtCompany]&lt;=2,"Fresher", IF(HR_Data[YearsAtCompany]&lt;=5,"Junior", IF(HR_Data[YearsAtCompany]&lt;=10, "Mid","Senior")))</f>
        <v>Mid</v>
      </c>
      <c r="AJ878" s="2" t="str">
        <f>IF(HR_Data[MonthlyIncome]&lt;=300,"Low", IF(HR_Data[MonthlyIncome]&lt;=7000,"Medium", "High"))</f>
        <v>Medium</v>
      </c>
      <c r="AK878" s="2" t="str">
        <f>VLOOKUP(HR_Data[JobRole], JobRole_Map[], 2, FALSE)</f>
        <v>Technical</v>
      </c>
    </row>
    <row r="879" spans="1:37" x14ac:dyDescent="0.25">
      <c r="A879" s="2">
        <v>33</v>
      </c>
      <c r="B879" t="s">
        <v>32</v>
      </c>
      <c r="C879" t="s">
        <v>33</v>
      </c>
      <c r="D879" t="s">
        <v>34</v>
      </c>
      <c r="E879">
        <v>15</v>
      </c>
      <c r="F879" t="s">
        <v>35</v>
      </c>
      <c r="G879">
        <v>3</v>
      </c>
      <c r="H879">
        <v>3</v>
      </c>
      <c r="I879" t="s">
        <v>66</v>
      </c>
      <c r="J879">
        <v>3</v>
      </c>
      <c r="K879" t="s">
        <v>50</v>
      </c>
      <c r="L879">
        <v>13610</v>
      </c>
      <c r="M879">
        <v>7</v>
      </c>
      <c r="N879" t="s">
        <v>32</v>
      </c>
      <c r="O879">
        <v>12</v>
      </c>
      <c r="P879">
        <v>3</v>
      </c>
      <c r="Q879">
        <v>0</v>
      </c>
      <c r="R879">
        <v>15</v>
      </c>
      <c r="S879">
        <v>2</v>
      </c>
      <c r="T879">
        <v>7</v>
      </c>
      <c r="U879">
        <v>7</v>
      </c>
      <c r="V879">
        <v>7</v>
      </c>
      <c r="W879" t="s">
        <v>65</v>
      </c>
      <c r="X879" s="1" t="d">
        <v>2014-05-30</v>
      </c>
      <c r="Z879" t="s">
        <v>52</v>
      </c>
      <c r="AA879" t="s">
        <v>40</v>
      </c>
      <c r="AB879">
        <v>2</v>
      </c>
      <c r="AC879">
        <v>1</v>
      </c>
      <c r="AD879" t="s">
        <v>41</v>
      </c>
      <c r="AE879" t="s">
        <v>42</v>
      </c>
      <c r="AF879" t="s">
        <v>48</v>
      </c>
      <c r="AG879">
        <f>IF(HR_Data[[#This Row],[Attrition]]="Yes",1,0)</f>
        <v>1</v>
      </c>
      <c r="AH879" t="str">
        <f>IF(HR_Data[Date_of_termination]="","Active","Left")</f>
        <v>Active</v>
      </c>
      <c r="AI879" t="str">
        <f>IF(HR_Data[YearsAtCompany]&lt;=2,"Fresher", IF(HR_Data[YearsAtCompany]&lt;=5,"Junior", IF(HR_Data[YearsAtCompany]&lt;=10, "Mid","Senior")))</f>
        <v>Mid</v>
      </c>
      <c r="AJ879" s="2" t="str">
        <f>IF(HR_Data[MonthlyIncome]&lt;=300,"Low", IF(HR_Data[MonthlyIncome]&lt;=7000,"Medium", "High"))</f>
        <v>High</v>
      </c>
      <c r="AK879" s="2" t="str">
        <f>VLOOKUP(HR_Data[JobRole], JobRole_Map[], 2, FALSE)</f>
        <v>Management</v>
      </c>
    </row>
    <row r="880" spans="1:37" x14ac:dyDescent="0.25">
      <c r="A880" s="2">
        <v>26</v>
      </c>
      <c r="B880" t="s">
        <v>32</v>
      </c>
      <c r="C880" t="s">
        <v>61</v>
      </c>
      <c r="D880" t="s">
        <v>70</v>
      </c>
      <c r="E880">
        <v>17</v>
      </c>
      <c r="F880" t="s">
        <v>58</v>
      </c>
      <c r="G880">
        <v>3</v>
      </c>
      <c r="H880">
        <v>1</v>
      </c>
      <c r="I880" t="s">
        <v>70</v>
      </c>
      <c r="J880">
        <v>3</v>
      </c>
      <c r="K880" t="s">
        <v>55</v>
      </c>
      <c r="L880">
        <v>2741</v>
      </c>
      <c r="M880">
        <v>0</v>
      </c>
      <c r="N880" t="s">
        <v>32</v>
      </c>
      <c r="O880">
        <v>11</v>
      </c>
      <c r="P880">
        <v>3</v>
      </c>
      <c r="Q880">
        <v>1</v>
      </c>
      <c r="R880">
        <v>8</v>
      </c>
      <c r="S880">
        <v>2</v>
      </c>
      <c r="T880">
        <v>7</v>
      </c>
      <c r="U880">
        <v>1</v>
      </c>
      <c r="V880">
        <v>0</v>
      </c>
      <c r="W880" t="s">
        <v>38</v>
      </c>
      <c r="X880" s="1" t="d">
        <v>2014-02-03</v>
      </c>
      <c r="Z880" t="s">
        <v>52</v>
      </c>
      <c r="AA880" t="s">
        <v>46</v>
      </c>
      <c r="AB880">
        <v>4</v>
      </c>
      <c r="AC880">
        <v>3</v>
      </c>
      <c r="AD880" t="s">
        <v>32</v>
      </c>
      <c r="AE880" t="s">
        <v>42</v>
      </c>
      <c r="AF880" t="s">
        <v>43</v>
      </c>
      <c r="AG880">
        <f>IF(HR_Data[[#This Row],[Attrition]]="Yes",1,0)</f>
        <v>1</v>
      </c>
      <c r="AH880" t="str">
        <f>IF(HR_Data[Date_of_termination]="","Active","Left")</f>
        <v>Active</v>
      </c>
      <c r="AI880" t="str">
        <f>IF(HR_Data[YearsAtCompany]&lt;=2,"Fresher", IF(HR_Data[YearsAtCompany]&lt;=5,"Junior", IF(HR_Data[YearsAtCompany]&lt;=10, "Mid","Senior")))</f>
        <v>Mid</v>
      </c>
      <c r="AJ880" s="2" t="str">
        <f>IF(HR_Data[MonthlyIncome]&lt;=300,"Low", IF(HR_Data[MonthlyIncome]&lt;=7000,"Medium", "High"))</f>
        <v>Medium</v>
      </c>
      <c r="AK880" s="2" t="str">
        <f>VLOOKUP(HR_Data[JobRole], JobRole_Map[], 2, FALSE)</f>
        <v>HR</v>
      </c>
    </row>
    <row r="881" spans="1:37" x14ac:dyDescent="0.25">
      <c r="A881" s="2">
        <v>25</v>
      </c>
      <c r="B881" t="s">
        <v>41</v>
      </c>
      <c r="C881" t="s">
        <v>33</v>
      </c>
      <c r="D881" t="s">
        <v>53</v>
      </c>
      <c r="E881">
        <v>13</v>
      </c>
      <c r="F881" t="s">
        <v>35</v>
      </c>
      <c r="G881">
        <v>3</v>
      </c>
      <c r="H881">
        <v>1</v>
      </c>
      <c r="I881" t="s">
        <v>54</v>
      </c>
      <c r="J881">
        <v>3</v>
      </c>
      <c r="K881" t="s">
        <v>50</v>
      </c>
      <c r="L881">
        <v>2096</v>
      </c>
      <c r="M881">
        <v>1</v>
      </c>
      <c r="N881" t="s">
        <v>41</v>
      </c>
      <c r="O881">
        <v>11</v>
      </c>
      <c r="P881">
        <v>3</v>
      </c>
      <c r="Q881">
        <v>0</v>
      </c>
      <c r="R881">
        <v>7</v>
      </c>
      <c r="S881">
        <v>1</v>
      </c>
      <c r="T881">
        <v>7</v>
      </c>
      <c r="U881">
        <v>0</v>
      </c>
      <c r="V881">
        <v>6</v>
      </c>
      <c r="W881" t="s">
        <v>56</v>
      </c>
      <c r="X881" s="1" t="d">
        <v>2014-02-18</v>
      </c>
      <c r="Z881" t="s">
        <v>45</v>
      </c>
      <c r="AA881" t="s">
        <v>40</v>
      </c>
      <c r="AB881">
        <v>1</v>
      </c>
      <c r="AC881">
        <v>1</v>
      </c>
      <c r="AD881" t="s">
        <v>41</v>
      </c>
      <c r="AE881" t="s">
        <v>42</v>
      </c>
      <c r="AF881" t="s">
        <v>43</v>
      </c>
      <c r="AG881">
        <f>IF(HR_Data[[#This Row],[Attrition]]="Yes",1,0)</f>
        <v>0</v>
      </c>
      <c r="AH881" t="str">
        <f>IF(HR_Data[Date_of_termination]="","Active","Left")</f>
        <v>Active</v>
      </c>
      <c r="AI881" t="str">
        <f>IF(HR_Data[YearsAtCompany]&lt;=2,"Fresher", IF(HR_Data[YearsAtCompany]&lt;=5,"Junior", IF(HR_Data[YearsAtCompany]&lt;=10, "Mid","Senior")))</f>
        <v>Mid</v>
      </c>
      <c r="AJ881" s="2" t="str">
        <f>IF(HR_Data[MonthlyIncome]&lt;=300,"Low", IF(HR_Data[MonthlyIncome]&lt;=7000,"Medium", "High"))</f>
        <v>Medium</v>
      </c>
      <c r="AK881" s="2" t="str">
        <f>VLOOKUP(HR_Data[JobRole], JobRole_Map[], 2, FALSE)</f>
        <v>Sales</v>
      </c>
    </row>
    <row r="882" spans="1:37" x14ac:dyDescent="0.25">
      <c r="A882" s="2">
        <v>31</v>
      </c>
      <c r="B882" t="s">
        <v>41</v>
      </c>
      <c r="C882" t="s">
        <v>33</v>
      </c>
      <c r="D882" t="s">
        <v>53</v>
      </c>
      <c r="E882">
        <v>6</v>
      </c>
      <c r="F882" t="s">
        <v>35</v>
      </c>
      <c r="G882">
        <v>4</v>
      </c>
      <c r="H882">
        <v>2</v>
      </c>
      <c r="I882" t="s">
        <v>64</v>
      </c>
      <c r="J882">
        <v>4</v>
      </c>
      <c r="K882" t="s">
        <v>55</v>
      </c>
      <c r="L882">
        <v>5460</v>
      </c>
      <c r="M882">
        <v>4</v>
      </c>
      <c r="N882" t="s">
        <v>41</v>
      </c>
      <c r="O882">
        <v>22</v>
      </c>
      <c r="P882">
        <v>4</v>
      </c>
      <c r="Q882">
        <v>2</v>
      </c>
      <c r="R882">
        <v>13</v>
      </c>
      <c r="S882">
        <v>4</v>
      </c>
      <c r="T882">
        <v>7</v>
      </c>
      <c r="U882">
        <v>5</v>
      </c>
      <c r="V882">
        <v>7</v>
      </c>
      <c r="W882" t="s">
        <v>56</v>
      </c>
      <c r="X882" s="1" t="d">
        <v>2014-01-14</v>
      </c>
      <c r="Z882" t="s">
        <v>45</v>
      </c>
      <c r="AA882" t="s">
        <v>46</v>
      </c>
      <c r="AB882">
        <v>4</v>
      </c>
      <c r="AC882">
        <v>1</v>
      </c>
      <c r="AD882" t="s">
        <v>41</v>
      </c>
      <c r="AE882" t="s">
        <v>47</v>
      </c>
      <c r="AF882" t="s">
        <v>48</v>
      </c>
      <c r="AG882">
        <f>IF(HR_Data[[#This Row],[Attrition]]="Yes",1,0)</f>
        <v>0</v>
      </c>
      <c r="AH882" t="str">
        <f>IF(HR_Data[Date_of_termination]="","Active","Left")</f>
        <v>Active</v>
      </c>
      <c r="AI882" t="str">
        <f>IF(HR_Data[YearsAtCompany]&lt;=2,"Fresher", IF(HR_Data[YearsAtCompany]&lt;=5,"Junior", IF(HR_Data[YearsAtCompany]&lt;=10, "Mid","Senior")))</f>
        <v>Mid</v>
      </c>
      <c r="AJ882" s="2" t="str">
        <f>IF(HR_Data[MonthlyIncome]&lt;=300,"Low", IF(HR_Data[MonthlyIncome]&lt;=7000,"Medium", "High"))</f>
        <v>Medium</v>
      </c>
      <c r="AK882" s="2" t="str">
        <f>VLOOKUP(HR_Data[JobRole], JobRole_Map[], 2, FALSE)</f>
        <v>Sales</v>
      </c>
    </row>
    <row r="883" spans="1:37" x14ac:dyDescent="0.25">
      <c r="A883" s="2">
        <v>38</v>
      </c>
      <c r="B883" t="s">
        <v>41</v>
      </c>
      <c r="C883" t="s">
        <v>33</v>
      </c>
      <c r="D883" t="s">
        <v>53</v>
      </c>
      <c r="E883">
        <v>7</v>
      </c>
      <c r="F883" t="s">
        <v>58</v>
      </c>
      <c r="G883">
        <v>2</v>
      </c>
      <c r="H883">
        <v>2</v>
      </c>
      <c r="I883" t="s">
        <v>64</v>
      </c>
      <c r="J883">
        <v>4</v>
      </c>
      <c r="K883" t="s">
        <v>37</v>
      </c>
      <c r="L883">
        <v>4028</v>
      </c>
      <c r="M883">
        <v>0</v>
      </c>
      <c r="N883" t="s">
        <v>41</v>
      </c>
      <c r="O883">
        <v>20</v>
      </c>
      <c r="P883">
        <v>4</v>
      </c>
      <c r="Q883">
        <v>0</v>
      </c>
      <c r="R883">
        <v>8</v>
      </c>
      <c r="S883">
        <v>2</v>
      </c>
      <c r="T883">
        <v>7</v>
      </c>
      <c r="U883">
        <v>0</v>
      </c>
      <c r="V883">
        <v>5</v>
      </c>
      <c r="W883" t="s">
        <v>56</v>
      </c>
      <c r="X883" s="1" t="d">
        <v>2014-02-23</v>
      </c>
      <c r="Z883" t="s">
        <v>45</v>
      </c>
      <c r="AA883" t="s">
        <v>40</v>
      </c>
      <c r="AB883">
        <v>1</v>
      </c>
      <c r="AC883">
        <v>2</v>
      </c>
      <c r="AD883" t="s">
        <v>41</v>
      </c>
      <c r="AE883" t="s">
        <v>47</v>
      </c>
      <c r="AF883" t="s">
        <v>57</v>
      </c>
      <c r="AG883">
        <f>IF(HR_Data[[#This Row],[Attrition]]="Yes",1,0)</f>
        <v>0</v>
      </c>
      <c r="AH883" t="str">
        <f>IF(HR_Data[Date_of_termination]="","Active","Left")</f>
        <v>Active</v>
      </c>
      <c r="AI883" t="str">
        <f>IF(HR_Data[YearsAtCompany]&lt;=2,"Fresher", IF(HR_Data[YearsAtCompany]&lt;=5,"Junior", IF(HR_Data[YearsAtCompany]&lt;=10, "Mid","Senior")))</f>
        <v>Mid</v>
      </c>
      <c r="AJ883" s="2" t="str">
        <f>IF(HR_Data[MonthlyIncome]&lt;=300,"Low", IF(HR_Data[MonthlyIncome]&lt;=7000,"Medium", "High"))</f>
        <v>Medium</v>
      </c>
      <c r="AK883" s="2" t="str">
        <f>VLOOKUP(HR_Data[JobRole], JobRole_Map[], 2, FALSE)</f>
        <v>Sales</v>
      </c>
    </row>
    <row r="884" spans="1:37" x14ac:dyDescent="0.25">
      <c r="A884" s="2">
        <v>32</v>
      </c>
      <c r="B884" t="s">
        <v>41</v>
      </c>
      <c r="C884" t="s">
        <v>33</v>
      </c>
      <c r="D884" t="s">
        <v>34</v>
      </c>
      <c r="E884">
        <v>3</v>
      </c>
      <c r="F884" t="s">
        <v>58</v>
      </c>
      <c r="G884">
        <v>3</v>
      </c>
      <c r="H884">
        <v>3</v>
      </c>
      <c r="I884" t="s">
        <v>49</v>
      </c>
      <c r="J884">
        <v>4</v>
      </c>
      <c r="K884" t="s">
        <v>37</v>
      </c>
      <c r="L884">
        <v>11159</v>
      </c>
      <c r="M884">
        <v>3</v>
      </c>
      <c r="N884" t="s">
        <v>41</v>
      </c>
      <c r="O884">
        <v>15</v>
      </c>
      <c r="P884">
        <v>3</v>
      </c>
      <c r="Q884">
        <v>0</v>
      </c>
      <c r="R884">
        <v>10</v>
      </c>
      <c r="S884">
        <v>6</v>
      </c>
      <c r="T884">
        <v>7</v>
      </c>
      <c r="U884">
        <v>7</v>
      </c>
      <c r="V884">
        <v>7</v>
      </c>
      <c r="W884" t="s">
        <v>38</v>
      </c>
      <c r="X884" s="1" t="d">
        <v>2014-02-19</v>
      </c>
      <c r="Z884" t="s">
        <v>52</v>
      </c>
      <c r="AA884" t="s">
        <v>46</v>
      </c>
      <c r="AB884">
        <v>4</v>
      </c>
      <c r="AC884">
        <v>1</v>
      </c>
      <c r="AD884" t="s">
        <v>32</v>
      </c>
      <c r="AE884" t="s">
        <v>62</v>
      </c>
      <c r="AF884" t="s">
        <v>57</v>
      </c>
      <c r="AG884">
        <f>IF(HR_Data[[#This Row],[Attrition]]="Yes",1,0)</f>
        <v>0</v>
      </c>
      <c r="AH884" t="str">
        <f>IF(HR_Data[Date_of_termination]="","Active","Left")</f>
        <v>Active</v>
      </c>
      <c r="AI884" t="str">
        <f>IF(HR_Data[YearsAtCompany]&lt;=2,"Fresher", IF(HR_Data[YearsAtCompany]&lt;=5,"Junior", IF(HR_Data[YearsAtCompany]&lt;=10, "Mid","Senior")))</f>
        <v>Mid</v>
      </c>
      <c r="AJ884" s="2" t="str">
        <f>IF(HR_Data[MonthlyIncome]&lt;=300,"Low", IF(HR_Data[MonthlyIncome]&lt;=7000,"Medium", "High"))</f>
        <v>High</v>
      </c>
      <c r="AK884" s="2" t="str">
        <f>VLOOKUP(HR_Data[JobRole], JobRole_Map[], 2, FALSE)</f>
        <v>Management</v>
      </c>
    </row>
    <row r="885" spans="1:37" x14ac:dyDescent="0.25">
      <c r="A885" s="2">
        <v>47</v>
      </c>
      <c r="B885" t="s">
        <v>41</v>
      </c>
      <c r="C885" t="s">
        <v>33</v>
      </c>
      <c r="D885" t="s">
        <v>53</v>
      </c>
      <c r="E885">
        <v>14</v>
      </c>
      <c r="F885" t="s">
        <v>35</v>
      </c>
      <c r="G885">
        <v>3</v>
      </c>
      <c r="H885">
        <v>2</v>
      </c>
      <c r="I885" t="s">
        <v>64</v>
      </c>
      <c r="J885">
        <v>1</v>
      </c>
      <c r="K885" t="s">
        <v>37</v>
      </c>
      <c r="L885">
        <v>4960</v>
      </c>
      <c r="M885">
        <v>2</v>
      </c>
      <c r="N885" t="s">
        <v>41</v>
      </c>
      <c r="O885">
        <v>12</v>
      </c>
      <c r="P885">
        <v>3</v>
      </c>
      <c r="Q885">
        <v>0</v>
      </c>
      <c r="R885">
        <v>20</v>
      </c>
      <c r="S885">
        <v>2</v>
      </c>
      <c r="T885">
        <v>7</v>
      </c>
      <c r="U885">
        <v>1</v>
      </c>
      <c r="V885">
        <v>7</v>
      </c>
      <c r="W885" t="s">
        <v>51</v>
      </c>
      <c r="X885" s="1" t="d">
        <v>2014-06-13</v>
      </c>
      <c r="Z885" t="s">
        <v>39</v>
      </c>
      <c r="AA885" t="s">
        <v>46</v>
      </c>
      <c r="AB885">
        <v>5</v>
      </c>
      <c r="AC885">
        <v>0</v>
      </c>
      <c r="AD885" t="s">
        <v>41</v>
      </c>
      <c r="AE885" t="s">
        <v>47</v>
      </c>
      <c r="AF885" t="s">
        <v>48</v>
      </c>
      <c r="AG885">
        <f>IF(HR_Data[[#This Row],[Attrition]]="Yes",1,0)</f>
        <v>0</v>
      </c>
      <c r="AH885" t="str">
        <f>IF(HR_Data[Date_of_termination]="","Active","Left")</f>
        <v>Active</v>
      </c>
      <c r="AI885" t="str">
        <f>IF(HR_Data[YearsAtCompany]&lt;=2,"Fresher", IF(HR_Data[YearsAtCompany]&lt;=5,"Junior", IF(HR_Data[YearsAtCompany]&lt;=10, "Mid","Senior")))</f>
        <v>Mid</v>
      </c>
      <c r="AJ885" s="2" t="str">
        <f>IF(HR_Data[MonthlyIncome]&lt;=300,"Low", IF(HR_Data[MonthlyIncome]&lt;=7000,"Medium", "High"))</f>
        <v>Medium</v>
      </c>
      <c r="AK885" s="2" t="str">
        <f>VLOOKUP(HR_Data[JobRole], JobRole_Map[], 2, FALSE)</f>
        <v>Sales</v>
      </c>
    </row>
    <row r="886" spans="1:37" x14ac:dyDescent="0.25">
      <c r="A886" s="2">
        <v>28</v>
      </c>
      <c r="B886" t="s">
        <v>32</v>
      </c>
      <c r="C886" t="s">
        <v>33</v>
      </c>
      <c r="D886" t="s">
        <v>34</v>
      </c>
      <c r="E886">
        <v>1</v>
      </c>
      <c r="F886" t="s">
        <v>58</v>
      </c>
      <c r="G886">
        <v>1</v>
      </c>
      <c r="H886">
        <v>1</v>
      </c>
      <c r="I886" t="s">
        <v>44</v>
      </c>
      <c r="J886">
        <v>2</v>
      </c>
      <c r="K886" t="s">
        <v>37</v>
      </c>
      <c r="L886">
        <v>2216</v>
      </c>
      <c r="M886">
        <v>7</v>
      </c>
      <c r="N886" t="s">
        <v>32</v>
      </c>
      <c r="O886">
        <v>13</v>
      </c>
      <c r="P886">
        <v>3</v>
      </c>
      <c r="Q886">
        <v>0</v>
      </c>
      <c r="R886">
        <v>10</v>
      </c>
      <c r="S886">
        <v>4</v>
      </c>
      <c r="T886">
        <v>7</v>
      </c>
      <c r="U886">
        <v>3</v>
      </c>
      <c r="V886">
        <v>7</v>
      </c>
      <c r="W886" t="s">
        <v>65</v>
      </c>
      <c r="X886" s="1" t="d">
        <v>2014-06-11</v>
      </c>
      <c r="Z886" t="s">
        <v>39</v>
      </c>
      <c r="AA886" t="s">
        <v>40</v>
      </c>
      <c r="AB886">
        <v>0</v>
      </c>
      <c r="AC886">
        <v>0</v>
      </c>
      <c r="AD886" t="s">
        <v>32</v>
      </c>
      <c r="AE886" t="s">
        <v>60</v>
      </c>
      <c r="AF886" t="s">
        <v>57</v>
      </c>
      <c r="AG886">
        <f>IF(HR_Data[[#This Row],[Attrition]]="Yes",1,0)</f>
        <v>1</v>
      </c>
      <c r="AH886" t="str">
        <f>IF(HR_Data[Date_of_termination]="","Active","Left")</f>
        <v>Active</v>
      </c>
      <c r="AI886" t="str">
        <f>IF(HR_Data[YearsAtCompany]&lt;=2,"Fresher", IF(HR_Data[YearsAtCompany]&lt;=5,"Junior", IF(HR_Data[YearsAtCompany]&lt;=10, "Mid","Senior")))</f>
        <v>Mid</v>
      </c>
      <c r="AJ886" s="2" t="str">
        <f>IF(HR_Data[MonthlyIncome]&lt;=300,"Low", IF(HR_Data[MonthlyIncome]&lt;=7000,"Medium", "High"))</f>
        <v>Medium</v>
      </c>
      <c r="AK886" s="2" t="str">
        <f>VLOOKUP(HR_Data[JobRole], JobRole_Map[], 2, FALSE)</f>
        <v>Technical</v>
      </c>
    </row>
    <row r="887" spans="1:37" x14ac:dyDescent="0.25">
      <c r="A887" s="2">
        <v>27</v>
      </c>
      <c r="B887" t="s">
        <v>41</v>
      </c>
      <c r="C887" t="s">
        <v>33</v>
      </c>
      <c r="D887" t="s">
        <v>34</v>
      </c>
      <c r="E887">
        <v>7</v>
      </c>
      <c r="F887" t="s">
        <v>58</v>
      </c>
      <c r="G887">
        <v>2</v>
      </c>
      <c r="H887">
        <v>2</v>
      </c>
      <c r="I887" t="s">
        <v>69</v>
      </c>
      <c r="J887">
        <v>1</v>
      </c>
      <c r="K887" t="s">
        <v>37</v>
      </c>
      <c r="L887">
        <v>6811</v>
      </c>
      <c r="M887">
        <v>8</v>
      </c>
      <c r="N887" t="s">
        <v>41</v>
      </c>
      <c r="O887">
        <v>19</v>
      </c>
      <c r="P887">
        <v>3</v>
      </c>
      <c r="Q887">
        <v>0</v>
      </c>
      <c r="R887">
        <v>9</v>
      </c>
      <c r="S887">
        <v>2</v>
      </c>
      <c r="T887">
        <v>7</v>
      </c>
      <c r="U887">
        <v>0</v>
      </c>
      <c r="V887">
        <v>7</v>
      </c>
      <c r="W887" t="s">
        <v>56</v>
      </c>
      <c r="X887" s="1" t="d">
        <v>2014-02-07</v>
      </c>
      <c r="Z887" t="s">
        <v>39</v>
      </c>
      <c r="AA887" t="s">
        <v>46</v>
      </c>
      <c r="AB887">
        <v>3</v>
      </c>
      <c r="AC887">
        <v>2</v>
      </c>
      <c r="AD887" t="s">
        <v>41</v>
      </c>
      <c r="AE887" t="s">
        <v>62</v>
      </c>
      <c r="AF887" t="s">
        <v>57</v>
      </c>
      <c r="AG887">
        <f>IF(HR_Data[[#This Row],[Attrition]]="Yes",1,0)</f>
        <v>0</v>
      </c>
      <c r="AH887" t="str">
        <f>IF(HR_Data[Date_of_termination]="","Active","Left")</f>
        <v>Active</v>
      </c>
      <c r="AI887" t="str">
        <f>IF(HR_Data[YearsAtCompany]&lt;=2,"Fresher", IF(HR_Data[YearsAtCompany]&lt;=5,"Junior", IF(HR_Data[YearsAtCompany]&lt;=10, "Mid","Senior")))</f>
        <v>Mid</v>
      </c>
      <c r="AJ887" s="2" t="str">
        <f>IF(HR_Data[MonthlyIncome]&lt;=300,"Low", IF(HR_Data[MonthlyIncome]&lt;=7000,"Medium", "High"))</f>
        <v>Medium</v>
      </c>
      <c r="AK887" s="2" t="str">
        <f>VLOOKUP(HR_Data[JobRole], JobRole_Map[], 2, FALSE)</f>
        <v>Operations</v>
      </c>
    </row>
    <row r="888" spans="1:37" x14ac:dyDescent="0.25">
      <c r="A888" s="2">
        <v>47</v>
      </c>
      <c r="B888" t="s">
        <v>41</v>
      </c>
      <c r="C888" t="s">
        <v>33</v>
      </c>
      <c r="D888" t="s">
        <v>53</v>
      </c>
      <c r="E888">
        <v>2</v>
      </c>
      <c r="F888" t="s">
        <v>58</v>
      </c>
      <c r="G888">
        <v>3</v>
      </c>
      <c r="H888">
        <v>2</v>
      </c>
      <c r="I888" t="s">
        <v>64</v>
      </c>
      <c r="J888">
        <v>4</v>
      </c>
      <c r="K888" t="s">
        <v>50</v>
      </c>
      <c r="L888">
        <v>4537</v>
      </c>
      <c r="M888">
        <v>0</v>
      </c>
      <c r="N888" t="s">
        <v>32</v>
      </c>
      <c r="O888">
        <v>22</v>
      </c>
      <c r="P888">
        <v>4</v>
      </c>
      <c r="Q888">
        <v>1</v>
      </c>
      <c r="R888">
        <v>8</v>
      </c>
      <c r="S888">
        <v>2</v>
      </c>
      <c r="T888">
        <v>7</v>
      </c>
      <c r="U888">
        <v>7</v>
      </c>
      <c r="V888">
        <v>7</v>
      </c>
      <c r="W888" t="s">
        <v>65</v>
      </c>
      <c r="X888" s="1" t="d">
        <v>2014-01-13</v>
      </c>
      <c r="Z888" t="s">
        <v>45</v>
      </c>
      <c r="AA888" t="s">
        <v>46</v>
      </c>
      <c r="AB888">
        <v>2</v>
      </c>
      <c r="AC888">
        <v>0</v>
      </c>
      <c r="AD888" t="s">
        <v>32</v>
      </c>
      <c r="AE888" t="s">
        <v>42</v>
      </c>
      <c r="AF888" t="s">
        <v>48</v>
      </c>
      <c r="AG888">
        <f>IF(HR_Data[[#This Row],[Attrition]]="Yes",1,0)</f>
        <v>0</v>
      </c>
      <c r="AH888" t="str">
        <f>IF(HR_Data[Date_of_termination]="","Active","Left")</f>
        <v>Active</v>
      </c>
      <c r="AI888" t="str">
        <f>IF(HR_Data[YearsAtCompany]&lt;=2,"Fresher", IF(HR_Data[YearsAtCompany]&lt;=5,"Junior", IF(HR_Data[YearsAtCompany]&lt;=10, "Mid","Senior")))</f>
        <v>Mid</v>
      </c>
      <c r="AJ888" s="2" t="str">
        <f>IF(HR_Data[MonthlyIncome]&lt;=300,"Low", IF(HR_Data[MonthlyIncome]&lt;=7000,"Medium", "High"))</f>
        <v>Medium</v>
      </c>
      <c r="AK888" s="2" t="str">
        <f>VLOOKUP(HR_Data[JobRole], JobRole_Map[], 2, FALSE)</f>
        <v>Sales</v>
      </c>
    </row>
    <row r="889" spans="1:37" x14ac:dyDescent="0.25">
      <c r="A889" s="2">
        <v>41</v>
      </c>
      <c r="B889" t="s">
        <v>32</v>
      </c>
      <c r="C889" t="s">
        <v>33</v>
      </c>
      <c r="D889" t="s">
        <v>34</v>
      </c>
      <c r="E889">
        <v>2</v>
      </c>
      <c r="F889" t="s">
        <v>58</v>
      </c>
      <c r="G889">
        <v>1</v>
      </c>
      <c r="H889">
        <v>1</v>
      </c>
      <c r="I889" t="s">
        <v>36</v>
      </c>
      <c r="J889">
        <v>4</v>
      </c>
      <c r="K889" t="s">
        <v>55</v>
      </c>
      <c r="L889">
        <v>2778</v>
      </c>
      <c r="M889">
        <v>4</v>
      </c>
      <c r="N889" t="s">
        <v>32</v>
      </c>
      <c r="O889">
        <v>13</v>
      </c>
      <c r="P889">
        <v>3</v>
      </c>
      <c r="Q889">
        <v>1</v>
      </c>
      <c r="R889">
        <v>10</v>
      </c>
      <c r="S889">
        <v>1</v>
      </c>
      <c r="T889">
        <v>7</v>
      </c>
      <c r="U889">
        <v>1</v>
      </c>
      <c r="V889">
        <v>0</v>
      </c>
      <c r="W889" t="s">
        <v>38</v>
      </c>
      <c r="X889" s="1" t="d">
        <v>2014-02-24</v>
      </c>
      <c r="Z889" t="s">
        <v>52</v>
      </c>
      <c r="AA889" t="s">
        <v>40</v>
      </c>
      <c r="AB889">
        <v>0</v>
      </c>
      <c r="AC889">
        <v>2</v>
      </c>
      <c r="AD889" t="s">
        <v>32</v>
      </c>
      <c r="AE889" t="s">
        <v>62</v>
      </c>
      <c r="AF889" t="s">
        <v>57</v>
      </c>
      <c r="AG889">
        <f>IF(HR_Data[[#This Row],[Attrition]]="Yes",1,0)</f>
        <v>1</v>
      </c>
      <c r="AH889" t="str">
        <f>IF(HR_Data[Date_of_termination]="","Active","Left")</f>
        <v>Active</v>
      </c>
      <c r="AI889" t="str">
        <f>IF(HR_Data[YearsAtCompany]&lt;=2,"Fresher", IF(HR_Data[YearsAtCompany]&lt;=5,"Junior", IF(HR_Data[YearsAtCompany]&lt;=10, "Mid","Senior")))</f>
        <v>Mid</v>
      </c>
      <c r="AJ889" s="2" t="str">
        <f>IF(HR_Data[MonthlyIncome]&lt;=300,"Low", IF(HR_Data[MonthlyIncome]&lt;=7000,"Medium", "High"))</f>
        <v>Medium</v>
      </c>
      <c r="AK889" s="2" t="str">
        <f>VLOOKUP(HR_Data[JobRole], JobRole_Map[], 2, FALSE)</f>
        <v>Technical</v>
      </c>
    </row>
    <row r="890" spans="1:37" x14ac:dyDescent="0.25">
      <c r="A890" s="2">
        <v>31</v>
      </c>
      <c r="B890" t="s">
        <v>41</v>
      </c>
      <c r="C890" t="s">
        <v>33</v>
      </c>
      <c r="D890" t="s">
        <v>53</v>
      </c>
      <c r="E890">
        <v>7</v>
      </c>
      <c r="F890" t="s">
        <v>35</v>
      </c>
      <c r="G890">
        <v>2</v>
      </c>
      <c r="H890">
        <v>1</v>
      </c>
      <c r="I890" t="s">
        <v>54</v>
      </c>
      <c r="J890">
        <v>3</v>
      </c>
      <c r="K890" t="s">
        <v>50</v>
      </c>
      <c r="L890">
        <v>2329</v>
      </c>
      <c r="M890">
        <v>3</v>
      </c>
      <c r="N890" t="s">
        <v>41</v>
      </c>
      <c r="O890">
        <v>15</v>
      </c>
      <c r="P890">
        <v>3</v>
      </c>
      <c r="Q890">
        <v>0</v>
      </c>
      <c r="R890">
        <v>13</v>
      </c>
      <c r="S890">
        <v>2</v>
      </c>
      <c r="T890">
        <v>7</v>
      </c>
      <c r="U890">
        <v>5</v>
      </c>
      <c r="V890">
        <v>2</v>
      </c>
      <c r="W890" t="s">
        <v>65</v>
      </c>
      <c r="X890" s="1" t="d">
        <v>2014-05-04</v>
      </c>
      <c r="Z890" t="s">
        <v>52</v>
      </c>
      <c r="AA890" t="s">
        <v>40</v>
      </c>
      <c r="AB890">
        <v>3</v>
      </c>
      <c r="AC890">
        <v>0</v>
      </c>
      <c r="AD890" t="s">
        <v>41</v>
      </c>
      <c r="AE890" t="s">
        <v>62</v>
      </c>
      <c r="AF890" t="s">
        <v>57</v>
      </c>
      <c r="AG890">
        <f>IF(HR_Data[[#This Row],[Attrition]]="Yes",1,0)</f>
        <v>0</v>
      </c>
      <c r="AH890" t="str">
        <f>IF(HR_Data[Date_of_termination]="","Active","Left")</f>
        <v>Active</v>
      </c>
      <c r="AI890" t="str">
        <f>IF(HR_Data[YearsAtCompany]&lt;=2,"Fresher", IF(HR_Data[YearsAtCompany]&lt;=5,"Junior", IF(HR_Data[YearsAtCompany]&lt;=10, "Mid","Senior")))</f>
        <v>Mid</v>
      </c>
      <c r="AJ890" s="2" t="str">
        <f>IF(HR_Data[MonthlyIncome]&lt;=300,"Low", IF(HR_Data[MonthlyIncome]&lt;=7000,"Medium", "High"))</f>
        <v>Medium</v>
      </c>
      <c r="AK890" s="2" t="str">
        <f>VLOOKUP(HR_Data[JobRole], JobRole_Map[], 2, FALSE)</f>
        <v>Sales</v>
      </c>
    </row>
    <row r="891" spans="1:37" x14ac:dyDescent="0.25">
      <c r="A891" s="2">
        <v>26</v>
      </c>
      <c r="B891" t="s">
        <v>41</v>
      </c>
      <c r="C891" t="s">
        <v>61</v>
      </c>
      <c r="D891" t="s">
        <v>53</v>
      </c>
      <c r="E891">
        <v>1</v>
      </c>
      <c r="F891" t="s">
        <v>35</v>
      </c>
      <c r="G891">
        <v>2</v>
      </c>
      <c r="H891">
        <v>2</v>
      </c>
      <c r="I891" t="s">
        <v>64</v>
      </c>
      <c r="J891">
        <v>1</v>
      </c>
      <c r="K891" t="s">
        <v>37</v>
      </c>
      <c r="L891">
        <v>4294</v>
      </c>
      <c r="M891">
        <v>1</v>
      </c>
      <c r="N891" t="s">
        <v>41</v>
      </c>
      <c r="O891">
        <v>12</v>
      </c>
      <c r="P891">
        <v>3</v>
      </c>
      <c r="Q891">
        <v>0</v>
      </c>
      <c r="R891">
        <v>7</v>
      </c>
      <c r="S891">
        <v>2</v>
      </c>
      <c r="T891">
        <v>7</v>
      </c>
      <c r="U891">
        <v>0</v>
      </c>
      <c r="V891">
        <v>7</v>
      </c>
      <c r="W891" t="s">
        <v>56</v>
      </c>
      <c r="X891" s="1" t="d">
        <v>2014-06-14</v>
      </c>
      <c r="Z891" t="s">
        <v>59</v>
      </c>
      <c r="AA891" t="s">
        <v>46</v>
      </c>
      <c r="AB891">
        <v>4</v>
      </c>
      <c r="AC891">
        <v>2</v>
      </c>
      <c r="AD891" t="s">
        <v>41</v>
      </c>
      <c r="AE891" t="s">
        <v>47</v>
      </c>
      <c r="AF891" t="s">
        <v>48</v>
      </c>
      <c r="AG891">
        <f>IF(HR_Data[[#This Row],[Attrition]]="Yes",1,0)</f>
        <v>0</v>
      </c>
      <c r="AH891" t="str">
        <f>IF(HR_Data[Date_of_termination]="","Active","Left")</f>
        <v>Active</v>
      </c>
      <c r="AI891" t="str">
        <f>IF(HR_Data[YearsAtCompany]&lt;=2,"Fresher", IF(HR_Data[YearsAtCompany]&lt;=5,"Junior", IF(HR_Data[YearsAtCompany]&lt;=10, "Mid","Senior")))</f>
        <v>Mid</v>
      </c>
      <c r="AJ891" s="2" t="str">
        <f>IF(HR_Data[MonthlyIncome]&lt;=300,"Low", IF(HR_Data[MonthlyIncome]&lt;=7000,"Medium", "High"))</f>
        <v>Medium</v>
      </c>
      <c r="AK891" s="2" t="str">
        <f>VLOOKUP(HR_Data[JobRole], JobRole_Map[], 2, FALSE)</f>
        <v>Sales</v>
      </c>
    </row>
    <row r="892" spans="1:37" x14ac:dyDescent="0.25">
      <c r="A892" s="2">
        <v>36</v>
      </c>
      <c r="B892" t="s">
        <v>41</v>
      </c>
      <c r="C892" t="s">
        <v>68</v>
      </c>
      <c r="D892" t="s">
        <v>53</v>
      </c>
      <c r="E892">
        <v>8</v>
      </c>
      <c r="F892" t="s">
        <v>35</v>
      </c>
      <c r="G892">
        <v>3</v>
      </c>
      <c r="H892">
        <v>2</v>
      </c>
      <c r="I892" t="s">
        <v>64</v>
      </c>
      <c r="J892">
        <v>4</v>
      </c>
      <c r="K892" t="s">
        <v>55</v>
      </c>
      <c r="L892">
        <v>5079</v>
      </c>
      <c r="M892">
        <v>4</v>
      </c>
      <c r="N892" t="s">
        <v>41</v>
      </c>
      <c r="O892">
        <v>13</v>
      </c>
      <c r="P892">
        <v>3</v>
      </c>
      <c r="Q892">
        <v>2</v>
      </c>
      <c r="R892">
        <v>12</v>
      </c>
      <c r="S892">
        <v>3</v>
      </c>
      <c r="T892">
        <v>7</v>
      </c>
      <c r="U892">
        <v>0</v>
      </c>
      <c r="V892">
        <v>7</v>
      </c>
      <c r="W892" t="s">
        <v>65</v>
      </c>
      <c r="X892" s="1" t="d">
        <v>2014-05-15</v>
      </c>
      <c r="Z892" t="s">
        <v>39</v>
      </c>
      <c r="AA892" t="s">
        <v>40</v>
      </c>
      <c r="AB892">
        <v>1</v>
      </c>
      <c r="AC892">
        <v>2</v>
      </c>
      <c r="AD892" t="s">
        <v>32</v>
      </c>
      <c r="AE892" t="s">
        <v>42</v>
      </c>
      <c r="AF892" t="s">
        <v>57</v>
      </c>
      <c r="AG892">
        <f>IF(HR_Data[[#This Row],[Attrition]]="Yes",1,0)</f>
        <v>0</v>
      </c>
      <c r="AH892" t="str">
        <f>IF(HR_Data[Date_of_termination]="","Active","Left")</f>
        <v>Active</v>
      </c>
      <c r="AI892" t="str">
        <f>IF(HR_Data[YearsAtCompany]&lt;=2,"Fresher", IF(HR_Data[YearsAtCompany]&lt;=5,"Junior", IF(HR_Data[YearsAtCompany]&lt;=10, "Mid","Senior")))</f>
        <v>Mid</v>
      </c>
      <c r="AJ892" s="2" t="str">
        <f>IF(HR_Data[MonthlyIncome]&lt;=300,"Low", IF(HR_Data[MonthlyIncome]&lt;=7000,"Medium", "High"))</f>
        <v>Medium</v>
      </c>
      <c r="AK892" s="2" t="str">
        <f>VLOOKUP(HR_Data[JobRole], JobRole_Map[], 2, FALSE)</f>
        <v>Sales</v>
      </c>
    </row>
    <row r="893" spans="1:37" x14ac:dyDescent="0.25">
      <c r="A893" s="2">
        <v>40</v>
      </c>
      <c r="B893" t="s">
        <v>41</v>
      </c>
      <c r="C893" t="s">
        <v>33</v>
      </c>
      <c r="D893" t="s">
        <v>53</v>
      </c>
      <c r="E893">
        <v>26</v>
      </c>
      <c r="F893" t="s">
        <v>35</v>
      </c>
      <c r="G893">
        <v>3</v>
      </c>
      <c r="H893">
        <v>2</v>
      </c>
      <c r="I893" t="s">
        <v>64</v>
      </c>
      <c r="J893">
        <v>1</v>
      </c>
      <c r="K893" t="s">
        <v>50</v>
      </c>
      <c r="L893">
        <v>8396</v>
      </c>
      <c r="M893">
        <v>1</v>
      </c>
      <c r="N893" t="s">
        <v>41</v>
      </c>
      <c r="O893">
        <v>14</v>
      </c>
      <c r="P893">
        <v>3</v>
      </c>
      <c r="Q893">
        <v>1</v>
      </c>
      <c r="R893">
        <v>8</v>
      </c>
      <c r="S893">
        <v>3</v>
      </c>
      <c r="T893">
        <v>7</v>
      </c>
      <c r="U893">
        <v>7</v>
      </c>
      <c r="V893">
        <v>5</v>
      </c>
      <c r="W893" t="s">
        <v>51</v>
      </c>
      <c r="X893" s="1" t="d">
        <v>2014-04-27</v>
      </c>
      <c r="Z893" t="s">
        <v>52</v>
      </c>
      <c r="AA893" t="s">
        <v>46</v>
      </c>
      <c r="AB893">
        <v>0</v>
      </c>
      <c r="AC893">
        <v>3</v>
      </c>
      <c r="AD893" t="s">
        <v>41</v>
      </c>
      <c r="AE893" t="s">
        <v>62</v>
      </c>
      <c r="AF893" t="s">
        <v>57</v>
      </c>
      <c r="AG893">
        <f>IF(HR_Data[[#This Row],[Attrition]]="Yes",1,0)</f>
        <v>0</v>
      </c>
      <c r="AH893" t="str">
        <f>IF(HR_Data[Date_of_termination]="","Active","Left")</f>
        <v>Active</v>
      </c>
      <c r="AI893" t="str">
        <f>IF(HR_Data[YearsAtCompany]&lt;=2,"Fresher", IF(HR_Data[YearsAtCompany]&lt;=5,"Junior", IF(HR_Data[YearsAtCompany]&lt;=10, "Mid","Senior")))</f>
        <v>Mid</v>
      </c>
      <c r="AJ893" s="2" t="str">
        <f>IF(HR_Data[MonthlyIncome]&lt;=300,"Low", IF(HR_Data[MonthlyIncome]&lt;=7000,"Medium", "High"))</f>
        <v>High</v>
      </c>
      <c r="AK893" s="2" t="str">
        <f>VLOOKUP(HR_Data[JobRole], JobRole_Map[], 2, FALSE)</f>
        <v>Sales</v>
      </c>
    </row>
    <row r="894" spans="1:37" x14ac:dyDescent="0.25">
      <c r="A894" s="2">
        <v>25</v>
      </c>
      <c r="B894" t="s">
        <v>32</v>
      </c>
      <c r="C894" t="s">
        <v>33</v>
      </c>
      <c r="D894" t="s">
        <v>34</v>
      </c>
      <c r="E894">
        <v>4</v>
      </c>
      <c r="F894" t="s">
        <v>35</v>
      </c>
      <c r="G894">
        <v>3</v>
      </c>
      <c r="H894">
        <v>1</v>
      </c>
      <c r="I894" t="s">
        <v>36</v>
      </c>
      <c r="J894">
        <v>4</v>
      </c>
      <c r="K894" t="s">
        <v>50</v>
      </c>
      <c r="L894">
        <v>3691</v>
      </c>
      <c r="M894">
        <v>1</v>
      </c>
      <c r="N894" t="s">
        <v>32</v>
      </c>
      <c r="O894">
        <v>15</v>
      </c>
      <c r="P894">
        <v>3</v>
      </c>
      <c r="Q894">
        <v>1</v>
      </c>
      <c r="R894">
        <v>7</v>
      </c>
      <c r="S894">
        <v>3</v>
      </c>
      <c r="T894">
        <v>7</v>
      </c>
      <c r="U894">
        <v>5</v>
      </c>
      <c r="V894">
        <v>6</v>
      </c>
      <c r="W894" t="s">
        <v>65</v>
      </c>
      <c r="X894" s="1" t="d">
        <v>2014-02-10</v>
      </c>
      <c r="Z894" t="s">
        <v>45</v>
      </c>
      <c r="AA894" t="s">
        <v>40</v>
      </c>
      <c r="AB894">
        <v>4</v>
      </c>
      <c r="AC894">
        <v>2</v>
      </c>
      <c r="AD894" t="s">
        <v>32</v>
      </c>
      <c r="AE894" t="s">
        <v>42</v>
      </c>
      <c r="AF894" t="s">
        <v>43</v>
      </c>
      <c r="AG894">
        <f>IF(HR_Data[[#This Row],[Attrition]]="Yes",1,0)</f>
        <v>1</v>
      </c>
      <c r="AH894" t="str">
        <f>IF(HR_Data[Date_of_termination]="","Active","Left")</f>
        <v>Active</v>
      </c>
      <c r="AI894" t="str">
        <f>IF(HR_Data[YearsAtCompany]&lt;=2,"Fresher", IF(HR_Data[YearsAtCompany]&lt;=5,"Junior", IF(HR_Data[YearsAtCompany]&lt;=10, "Mid","Senior")))</f>
        <v>Mid</v>
      </c>
      <c r="AJ894" s="2" t="str">
        <f>IF(HR_Data[MonthlyIncome]&lt;=300,"Low", IF(HR_Data[MonthlyIncome]&lt;=7000,"Medium", "High"))</f>
        <v>Medium</v>
      </c>
      <c r="AK894" s="2" t="str">
        <f>VLOOKUP(HR_Data[JobRole], JobRole_Map[], 2, FALSE)</f>
        <v>Technical</v>
      </c>
    </row>
    <row r="895" spans="1:37" x14ac:dyDescent="0.25">
      <c r="A895" s="2">
        <v>29</v>
      </c>
      <c r="B895" t="s">
        <v>41</v>
      </c>
      <c r="C895" t="s">
        <v>33</v>
      </c>
      <c r="D895" t="s">
        <v>34</v>
      </c>
      <c r="E895">
        <v>28</v>
      </c>
      <c r="F895" t="s">
        <v>58</v>
      </c>
      <c r="G895">
        <v>3</v>
      </c>
      <c r="H895">
        <v>1</v>
      </c>
      <c r="I895" t="s">
        <v>44</v>
      </c>
      <c r="J895">
        <v>4</v>
      </c>
      <c r="K895" t="s">
        <v>55</v>
      </c>
      <c r="L895">
        <v>2514</v>
      </c>
      <c r="M895">
        <v>4</v>
      </c>
      <c r="N895" t="s">
        <v>41</v>
      </c>
      <c r="O895">
        <v>22</v>
      </c>
      <c r="P895">
        <v>4</v>
      </c>
      <c r="Q895">
        <v>1</v>
      </c>
      <c r="R895">
        <v>11</v>
      </c>
      <c r="S895">
        <v>1</v>
      </c>
      <c r="T895">
        <v>7</v>
      </c>
      <c r="U895">
        <v>1</v>
      </c>
      <c r="V895">
        <v>7</v>
      </c>
      <c r="W895" t="s">
        <v>51</v>
      </c>
      <c r="X895" s="1" t="d">
        <v>2014-01-22</v>
      </c>
      <c r="Z895" t="s">
        <v>63</v>
      </c>
      <c r="AA895" t="s">
        <v>40</v>
      </c>
      <c r="AB895">
        <v>1</v>
      </c>
      <c r="AC895">
        <v>3</v>
      </c>
      <c r="AD895" t="s">
        <v>32</v>
      </c>
      <c r="AE895" t="s">
        <v>60</v>
      </c>
      <c r="AF895" t="s">
        <v>43</v>
      </c>
      <c r="AG895">
        <f>IF(HR_Data[[#This Row],[Attrition]]="Yes",1,0)</f>
        <v>0</v>
      </c>
      <c r="AH895" t="str">
        <f>IF(HR_Data[Date_of_termination]="","Active","Left")</f>
        <v>Active</v>
      </c>
      <c r="AI895" t="str">
        <f>IF(HR_Data[YearsAtCompany]&lt;=2,"Fresher", IF(HR_Data[YearsAtCompany]&lt;=5,"Junior", IF(HR_Data[YearsAtCompany]&lt;=10, "Mid","Senior")))</f>
        <v>Mid</v>
      </c>
      <c r="AJ895" s="2" t="str">
        <f>IF(HR_Data[MonthlyIncome]&lt;=300,"Low", IF(HR_Data[MonthlyIncome]&lt;=7000,"Medium", "High"))</f>
        <v>Medium</v>
      </c>
      <c r="AK895" s="2" t="str">
        <f>VLOOKUP(HR_Data[JobRole], JobRole_Map[], 2, FALSE)</f>
        <v>Technical</v>
      </c>
    </row>
    <row r="896" spans="1:37" x14ac:dyDescent="0.25">
      <c r="A896" s="2">
        <v>29</v>
      </c>
      <c r="B896" t="s">
        <v>41</v>
      </c>
      <c r="C896" t="s">
        <v>61</v>
      </c>
      <c r="D896" t="s">
        <v>34</v>
      </c>
      <c r="E896">
        <v>10</v>
      </c>
      <c r="F896" t="s">
        <v>58</v>
      </c>
      <c r="G896">
        <v>3</v>
      </c>
      <c r="H896">
        <v>1</v>
      </c>
      <c r="I896" t="s">
        <v>44</v>
      </c>
      <c r="J896">
        <v>2</v>
      </c>
      <c r="K896" t="s">
        <v>55</v>
      </c>
      <c r="L896">
        <v>3291</v>
      </c>
      <c r="M896">
        <v>0</v>
      </c>
      <c r="N896" t="s">
        <v>41</v>
      </c>
      <c r="O896">
        <v>14</v>
      </c>
      <c r="P896">
        <v>3</v>
      </c>
      <c r="Q896">
        <v>2</v>
      </c>
      <c r="R896">
        <v>8</v>
      </c>
      <c r="S896">
        <v>2</v>
      </c>
      <c r="T896">
        <v>7</v>
      </c>
      <c r="U896">
        <v>1</v>
      </c>
      <c r="V896">
        <v>1</v>
      </c>
      <c r="W896" t="s">
        <v>56</v>
      </c>
      <c r="X896" s="1" t="d">
        <v>2014-03-15</v>
      </c>
      <c r="Z896" t="s">
        <v>45</v>
      </c>
      <c r="AA896" t="s">
        <v>40</v>
      </c>
      <c r="AB896">
        <v>1</v>
      </c>
      <c r="AC896">
        <v>1</v>
      </c>
      <c r="AD896" t="s">
        <v>41</v>
      </c>
      <c r="AE896" t="s">
        <v>62</v>
      </c>
      <c r="AF896" t="s">
        <v>43</v>
      </c>
      <c r="AG896">
        <f>IF(HR_Data[[#This Row],[Attrition]]="Yes",1,0)</f>
        <v>0</v>
      </c>
      <c r="AH896" t="str">
        <f>IF(HR_Data[Date_of_termination]="","Active","Left")</f>
        <v>Active</v>
      </c>
      <c r="AI896" t="str">
        <f>IF(HR_Data[YearsAtCompany]&lt;=2,"Fresher", IF(HR_Data[YearsAtCompany]&lt;=5,"Junior", IF(HR_Data[YearsAtCompany]&lt;=10, "Mid","Senior")))</f>
        <v>Mid</v>
      </c>
      <c r="AJ896" s="2" t="str">
        <f>IF(HR_Data[MonthlyIncome]&lt;=300,"Low", IF(HR_Data[MonthlyIncome]&lt;=7000,"Medium", "High"))</f>
        <v>Medium</v>
      </c>
      <c r="AK896" s="2" t="str">
        <f>VLOOKUP(HR_Data[JobRole], JobRole_Map[], 2, FALSE)</f>
        <v>Technical</v>
      </c>
    </row>
    <row r="897" spans="1:37" x14ac:dyDescent="0.25">
      <c r="A897" s="2">
        <v>38</v>
      </c>
      <c r="B897" t="s">
        <v>41</v>
      </c>
      <c r="C897" t="s">
        <v>33</v>
      </c>
      <c r="D897" t="s">
        <v>70</v>
      </c>
      <c r="E897">
        <v>1</v>
      </c>
      <c r="F897" t="s">
        <v>35</v>
      </c>
      <c r="G897">
        <v>4</v>
      </c>
      <c r="H897">
        <v>1</v>
      </c>
      <c r="I897" t="s">
        <v>70</v>
      </c>
      <c r="J897">
        <v>3</v>
      </c>
      <c r="K897" t="s">
        <v>50</v>
      </c>
      <c r="L897">
        <v>2844</v>
      </c>
      <c r="M897">
        <v>1</v>
      </c>
      <c r="N897" t="s">
        <v>41</v>
      </c>
      <c r="O897">
        <v>13</v>
      </c>
      <c r="P897">
        <v>3</v>
      </c>
      <c r="Q897">
        <v>1</v>
      </c>
      <c r="R897">
        <v>7</v>
      </c>
      <c r="S897">
        <v>2</v>
      </c>
      <c r="T897">
        <v>7</v>
      </c>
      <c r="U897">
        <v>5</v>
      </c>
      <c r="V897">
        <v>0</v>
      </c>
      <c r="W897" t="s">
        <v>38</v>
      </c>
      <c r="X897" s="1" t="d">
        <v>2014-03-06</v>
      </c>
      <c r="Z897" t="s">
        <v>39</v>
      </c>
      <c r="AA897" t="s">
        <v>40</v>
      </c>
      <c r="AB897">
        <v>4</v>
      </c>
      <c r="AC897">
        <v>2</v>
      </c>
      <c r="AD897" t="s">
        <v>41</v>
      </c>
      <c r="AE897" t="s">
        <v>60</v>
      </c>
      <c r="AF897" t="s">
        <v>48</v>
      </c>
      <c r="AG897">
        <f>IF(HR_Data[[#This Row],[Attrition]]="Yes",1,0)</f>
        <v>0</v>
      </c>
      <c r="AH897" t="str">
        <f>IF(HR_Data[Date_of_termination]="","Active","Left")</f>
        <v>Active</v>
      </c>
      <c r="AI897" t="str">
        <f>IF(HR_Data[YearsAtCompany]&lt;=2,"Fresher", IF(HR_Data[YearsAtCompany]&lt;=5,"Junior", IF(HR_Data[YearsAtCompany]&lt;=10, "Mid","Senior")))</f>
        <v>Mid</v>
      </c>
      <c r="AJ897" s="2" t="str">
        <f>IF(HR_Data[MonthlyIncome]&lt;=300,"Low", IF(HR_Data[MonthlyIncome]&lt;=7000,"Medium", "High"))</f>
        <v>Medium</v>
      </c>
      <c r="AK897" s="2" t="str">
        <f>VLOOKUP(HR_Data[JobRole], JobRole_Map[], 2, FALSE)</f>
        <v>HR</v>
      </c>
    </row>
    <row r="898" spans="1:37" x14ac:dyDescent="0.25">
      <c r="A898" s="2">
        <v>35</v>
      </c>
      <c r="B898" t="s">
        <v>41</v>
      </c>
      <c r="C898" t="s">
        <v>33</v>
      </c>
      <c r="D898" t="s">
        <v>34</v>
      </c>
      <c r="E898">
        <v>2</v>
      </c>
      <c r="F898" t="s">
        <v>35</v>
      </c>
      <c r="G898">
        <v>2</v>
      </c>
      <c r="H898">
        <v>3</v>
      </c>
      <c r="I898" t="s">
        <v>67</v>
      </c>
      <c r="J898">
        <v>2</v>
      </c>
      <c r="K898" t="s">
        <v>55</v>
      </c>
      <c r="L898">
        <v>10274</v>
      </c>
      <c r="M898">
        <v>2</v>
      </c>
      <c r="N898" t="s">
        <v>41</v>
      </c>
      <c r="O898">
        <v>18</v>
      </c>
      <c r="P898">
        <v>3</v>
      </c>
      <c r="Q898">
        <v>1</v>
      </c>
      <c r="R898">
        <v>15</v>
      </c>
      <c r="S898">
        <v>2</v>
      </c>
      <c r="T898">
        <v>7</v>
      </c>
      <c r="U898">
        <v>6</v>
      </c>
      <c r="V898">
        <v>4</v>
      </c>
      <c r="W898" t="s">
        <v>38</v>
      </c>
      <c r="X898" s="1" t="d">
        <v>2014-05-11</v>
      </c>
      <c r="Z898" t="s">
        <v>59</v>
      </c>
      <c r="AA898" t="s">
        <v>46</v>
      </c>
      <c r="AB898">
        <v>2</v>
      </c>
      <c r="AC898">
        <v>0</v>
      </c>
      <c r="AD898" t="s">
        <v>32</v>
      </c>
      <c r="AE898" t="s">
        <v>62</v>
      </c>
      <c r="AF898" t="s">
        <v>57</v>
      </c>
      <c r="AG898">
        <f>IF(HR_Data[[#This Row],[Attrition]]="Yes",1,0)</f>
        <v>0</v>
      </c>
      <c r="AH898" t="str">
        <f>IF(HR_Data[Date_of_termination]="","Active","Left")</f>
        <v>Active</v>
      </c>
      <c r="AI898" t="str">
        <f>IF(HR_Data[YearsAtCompany]&lt;=2,"Fresher", IF(HR_Data[YearsAtCompany]&lt;=5,"Junior", IF(HR_Data[YearsAtCompany]&lt;=10, "Mid","Senior")))</f>
        <v>Mid</v>
      </c>
      <c r="AJ898" s="2" t="str">
        <f>IF(HR_Data[MonthlyIncome]&lt;=300,"Low", IF(HR_Data[MonthlyIncome]&lt;=7000,"Medium", "High"))</f>
        <v>High</v>
      </c>
      <c r="AK898" s="2" t="str">
        <f>VLOOKUP(HR_Data[JobRole], JobRole_Map[], 2, FALSE)</f>
        <v>Operations</v>
      </c>
    </row>
    <row r="899" spans="1:37" x14ac:dyDescent="0.25">
      <c r="A899" s="2">
        <v>53</v>
      </c>
      <c r="B899" t="s">
        <v>41</v>
      </c>
      <c r="C899" t="s">
        <v>33</v>
      </c>
      <c r="D899" t="s">
        <v>34</v>
      </c>
      <c r="E899">
        <v>7</v>
      </c>
      <c r="F899" t="s">
        <v>58</v>
      </c>
      <c r="G899">
        <v>3</v>
      </c>
      <c r="H899">
        <v>5</v>
      </c>
      <c r="I899" t="s">
        <v>66</v>
      </c>
      <c r="J899">
        <v>3</v>
      </c>
      <c r="K899" t="s">
        <v>55</v>
      </c>
      <c r="L899">
        <v>18606</v>
      </c>
      <c r="M899">
        <v>3</v>
      </c>
      <c r="N899" t="s">
        <v>41</v>
      </c>
      <c r="O899">
        <v>18</v>
      </c>
      <c r="P899">
        <v>3</v>
      </c>
      <c r="Q899">
        <v>1</v>
      </c>
      <c r="R899">
        <v>26</v>
      </c>
      <c r="S899">
        <v>6</v>
      </c>
      <c r="T899">
        <v>7</v>
      </c>
      <c r="U899">
        <v>4</v>
      </c>
      <c r="V899">
        <v>7</v>
      </c>
      <c r="W899" t="s">
        <v>38</v>
      </c>
      <c r="X899" s="1" t="d">
        <v>2014-04-22</v>
      </c>
      <c r="Z899" t="s">
        <v>39</v>
      </c>
      <c r="AA899" t="s">
        <v>46</v>
      </c>
      <c r="AB899">
        <v>2</v>
      </c>
      <c r="AC899">
        <v>2</v>
      </c>
      <c r="AD899" t="s">
        <v>41</v>
      </c>
      <c r="AE899" t="s">
        <v>42</v>
      </c>
      <c r="AF899" t="s">
        <v>43</v>
      </c>
      <c r="AG899">
        <f>IF(HR_Data[[#This Row],[Attrition]]="Yes",1,0)</f>
        <v>0</v>
      </c>
      <c r="AH899" t="str">
        <f>IF(HR_Data[Date_of_termination]="","Active","Left")</f>
        <v>Active</v>
      </c>
      <c r="AI899" t="str">
        <f>IF(HR_Data[YearsAtCompany]&lt;=2,"Fresher", IF(HR_Data[YearsAtCompany]&lt;=5,"Junior", IF(HR_Data[YearsAtCompany]&lt;=10, "Mid","Senior")))</f>
        <v>Mid</v>
      </c>
      <c r="AJ899" s="2" t="str">
        <f>IF(HR_Data[MonthlyIncome]&lt;=300,"Low", IF(HR_Data[MonthlyIncome]&lt;=7000,"Medium", "High"))</f>
        <v>High</v>
      </c>
      <c r="AK899" s="2" t="str">
        <f>VLOOKUP(HR_Data[JobRole], JobRole_Map[], 2, FALSE)</f>
        <v>Management</v>
      </c>
    </row>
    <row r="900" spans="1:37" x14ac:dyDescent="0.25">
      <c r="A900" s="2">
        <v>35</v>
      </c>
      <c r="B900" t="s">
        <v>41</v>
      </c>
      <c r="C900" t="s">
        <v>33</v>
      </c>
      <c r="D900" t="s">
        <v>53</v>
      </c>
      <c r="E900">
        <v>17</v>
      </c>
      <c r="F900" t="s">
        <v>35</v>
      </c>
      <c r="G900">
        <v>3</v>
      </c>
      <c r="H900">
        <v>2</v>
      </c>
      <c r="I900" t="s">
        <v>64</v>
      </c>
      <c r="J900">
        <v>1</v>
      </c>
      <c r="K900" t="s">
        <v>50</v>
      </c>
      <c r="L900">
        <v>8966</v>
      </c>
      <c r="M900">
        <v>3</v>
      </c>
      <c r="N900" t="s">
        <v>32</v>
      </c>
      <c r="O900">
        <v>15</v>
      </c>
      <c r="P900">
        <v>3</v>
      </c>
      <c r="Q900">
        <v>3</v>
      </c>
      <c r="R900">
        <v>15</v>
      </c>
      <c r="S900">
        <v>2</v>
      </c>
      <c r="T900">
        <v>7</v>
      </c>
      <c r="U900">
        <v>1</v>
      </c>
      <c r="V900">
        <v>7</v>
      </c>
      <c r="W900" t="s">
        <v>65</v>
      </c>
      <c r="X900" s="1" t="d">
        <v>2014-06-17</v>
      </c>
      <c r="Z900" t="s">
        <v>52</v>
      </c>
      <c r="AA900" t="s">
        <v>40</v>
      </c>
      <c r="AB900">
        <v>4</v>
      </c>
      <c r="AC900">
        <v>0</v>
      </c>
      <c r="AD900" t="s">
        <v>32</v>
      </c>
      <c r="AE900" t="s">
        <v>42</v>
      </c>
      <c r="AF900" t="s">
        <v>43</v>
      </c>
      <c r="AG900">
        <f>IF(HR_Data[[#This Row],[Attrition]]="Yes",1,0)</f>
        <v>0</v>
      </c>
      <c r="AH900" t="str">
        <f>IF(HR_Data[Date_of_termination]="","Active","Left")</f>
        <v>Active</v>
      </c>
      <c r="AI900" t="str">
        <f>IF(HR_Data[YearsAtCompany]&lt;=2,"Fresher", IF(HR_Data[YearsAtCompany]&lt;=5,"Junior", IF(HR_Data[YearsAtCompany]&lt;=10, "Mid","Senior")))</f>
        <v>Mid</v>
      </c>
      <c r="AJ900" s="2" t="str">
        <f>IF(HR_Data[MonthlyIncome]&lt;=300,"Low", IF(HR_Data[MonthlyIncome]&lt;=7000,"Medium", "High"))</f>
        <v>High</v>
      </c>
      <c r="AK900" s="2" t="str">
        <f>VLOOKUP(HR_Data[JobRole], JobRole_Map[], 2, FALSE)</f>
        <v>Sales</v>
      </c>
    </row>
    <row r="901" spans="1:37" x14ac:dyDescent="0.25">
      <c r="A901" s="2">
        <v>36</v>
      </c>
      <c r="B901" t="s">
        <v>41</v>
      </c>
      <c r="C901" t="s">
        <v>33</v>
      </c>
      <c r="D901" t="s">
        <v>34</v>
      </c>
      <c r="E901">
        <v>6</v>
      </c>
      <c r="F901" t="s">
        <v>35</v>
      </c>
      <c r="G901">
        <v>1</v>
      </c>
      <c r="H901">
        <v>1</v>
      </c>
      <c r="I901" t="s">
        <v>36</v>
      </c>
      <c r="J901">
        <v>3</v>
      </c>
      <c r="K901" t="s">
        <v>55</v>
      </c>
      <c r="L901">
        <v>2741</v>
      </c>
      <c r="M901">
        <v>1</v>
      </c>
      <c r="N901" t="s">
        <v>41</v>
      </c>
      <c r="O901">
        <v>14</v>
      </c>
      <c r="P901">
        <v>3</v>
      </c>
      <c r="Q901">
        <v>1</v>
      </c>
      <c r="R901">
        <v>7</v>
      </c>
      <c r="S901">
        <v>4</v>
      </c>
      <c r="T901">
        <v>7</v>
      </c>
      <c r="U901">
        <v>1</v>
      </c>
      <c r="V901">
        <v>7</v>
      </c>
      <c r="W901" t="s">
        <v>51</v>
      </c>
      <c r="X901" s="1" t="d">
        <v>2014-03-08</v>
      </c>
      <c r="Z901" t="s">
        <v>63</v>
      </c>
      <c r="AA901" t="s">
        <v>40</v>
      </c>
      <c r="AB901">
        <v>2</v>
      </c>
      <c r="AC901">
        <v>0</v>
      </c>
      <c r="AD901" t="s">
        <v>41</v>
      </c>
      <c r="AE901" t="s">
        <v>47</v>
      </c>
      <c r="AF901" t="s">
        <v>48</v>
      </c>
      <c r="AG901">
        <f>IF(HR_Data[[#This Row],[Attrition]]="Yes",1,0)</f>
        <v>0</v>
      </c>
      <c r="AH901" t="str">
        <f>IF(HR_Data[Date_of_termination]="","Active","Left")</f>
        <v>Active</v>
      </c>
      <c r="AI901" t="str">
        <f>IF(HR_Data[YearsAtCompany]&lt;=2,"Fresher", IF(HR_Data[YearsAtCompany]&lt;=5,"Junior", IF(HR_Data[YearsAtCompany]&lt;=10, "Mid","Senior")))</f>
        <v>Mid</v>
      </c>
      <c r="AJ901" s="2" t="str">
        <f>IF(HR_Data[MonthlyIncome]&lt;=300,"Low", IF(HR_Data[MonthlyIncome]&lt;=7000,"Medium", "High"))</f>
        <v>Medium</v>
      </c>
      <c r="AK901" s="2" t="str">
        <f>VLOOKUP(HR_Data[JobRole], JobRole_Map[], 2, FALSE)</f>
        <v>Technical</v>
      </c>
    </row>
    <row r="902" spans="1:37" x14ac:dyDescent="0.25">
      <c r="A902" s="2">
        <v>36</v>
      </c>
      <c r="B902" t="s">
        <v>41</v>
      </c>
      <c r="C902" t="s">
        <v>33</v>
      </c>
      <c r="D902" t="s">
        <v>34</v>
      </c>
      <c r="E902">
        <v>1</v>
      </c>
      <c r="F902" t="s">
        <v>58</v>
      </c>
      <c r="G902">
        <v>1</v>
      </c>
      <c r="H902">
        <v>3</v>
      </c>
      <c r="I902" t="s">
        <v>67</v>
      </c>
      <c r="J902">
        <v>1</v>
      </c>
      <c r="K902" t="s">
        <v>55</v>
      </c>
      <c r="L902">
        <v>10252</v>
      </c>
      <c r="M902">
        <v>2</v>
      </c>
      <c r="N902" t="s">
        <v>32</v>
      </c>
      <c r="O902">
        <v>21</v>
      </c>
      <c r="P902">
        <v>4</v>
      </c>
      <c r="Q902">
        <v>1</v>
      </c>
      <c r="R902">
        <v>17</v>
      </c>
      <c r="S902">
        <v>2</v>
      </c>
      <c r="T902">
        <v>7</v>
      </c>
      <c r="U902">
        <v>7</v>
      </c>
      <c r="V902">
        <v>7</v>
      </c>
      <c r="W902" t="s">
        <v>56</v>
      </c>
      <c r="X902" s="1" t="d">
        <v>2014-05-20</v>
      </c>
      <c r="Z902" t="s">
        <v>52</v>
      </c>
      <c r="AA902" t="s">
        <v>40</v>
      </c>
      <c r="AB902">
        <v>5</v>
      </c>
      <c r="AC902">
        <v>1</v>
      </c>
      <c r="AD902" t="s">
        <v>41</v>
      </c>
      <c r="AE902" t="s">
        <v>47</v>
      </c>
      <c r="AF902" t="s">
        <v>57</v>
      </c>
      <c r="AG902">
        <f>IF(HR_Data[[#This Row],[Attrition]]="Yes",1,0)</f>
        <v>0</v>
      </c>
      <c r="AH902" t="str">
        <f>IF(HR_Data[Date_of_termination]="","Active","Left")</f>
        <v>Active</v>
      </c>
      <c r="AI902" t="str">
        <f>IF(HR_Data[YearsAtCompany]&lt;=2,"Fresher", IF(HR_Data[YearsAtCompany]&lt;=5,"Junior", IF(HR_Data[YearsAtCompany]&lt;=10, "Mid","Senior")))</f>
        <v>Mid</v>
      </c>
      <c r="AJ902" s="2" t="str">
        <f>IF(HR_Data[MonthlyIncome]&lt;=300,"Low", IF(HR_Data[MonthlyIncome]&lt;=7000,"Medium", "High"))</f>
        <v>High</v>
      </c>
      <c r="AK902" s="2" t="str">
        <f>VLOOKUP(HR_Data[JobRole], JobRole_Map[], 2, FALSE)</f>
        <v>Operations</v>
      </c>
    </row>
    <row r="903" spans="1:37" x14ac:dyDescent="0.25">
      <c r="A903" s="2">
        <v>29</v>
      </c>
      <c r="B903" t="s">
        <v>41</v>
      </c>
      <c r="C903" t="s">
        <v>33</v>
      </c>
      <c r="D903" t="s">
        <v>34</v>
      </c>
      <c r="E903">
        <v>1</v>
      </c>
      <c r="F903" t="s">
        <v>58</v>
      </c>
      <c r="G903">
        <v>2</v>
      </c>
      <c r="H903">
        <v>4</v>
      </c>
      <c r="I903" t="s">
        <v>49</v>
      </c>
      <c r="J903">
        <v>4</v>
      </c>
      <c r="K903" t="s">
        <v>55</v>
      </c>
      <c r="L903">
        <v>16124</v>
      </c>
      <c r="M903">
        <v>3</v>
      </c>
      <c r="N903" t="s">
        <v>41</v>
      </c>
      <c r="O903">
        <v>14</v>
      </c>
      <c r="P903">
        <v>3</v>
      </c>
      <c r="Q903">
        <v>2</v>
      </c>
      <c r="R903">
        <v>9</v>
      </c>
      <c r="S903">
        <v>2</v>
      </c>
      <c r="T903">
        <v>7</v>
      </c>
      <c r="U903">
        <v>1</v>
      </c>
      <c r="V903">
        <v>7</v>
      </c>
      <c r="W903" t="s">
        <v>65</v>
      </c>
      <c r="X903" s="1" t="d">
        <v>2014-03-01</v>
      </c>
      <c r="Z903" t="s">
        <v>52</v>
      </c>
      <c r="AA903" t="s">
        <v>40</v>
      </c>
      <c r="AB903">
        <v>0</v>
      </c>
      <c r="AC903">
        <v>3</v>
      </c>
      <c r="AD903" t="s">
        <v>41</v>
      </c>
      <c r="AE903" t="s">
        <v>62</v>
      </c>
      <c r="AF903" t="s">
        <v>43</v>
      </c>
      <c r="AG903">
        <f>IF(HR_Data[[#This Row],[Attrition]]="Yes",1,0)</f>
        <v>0</v>
      </c>
      <c r="AH903" t="str">
        <f>IF(HR_Data[Date_of_termination]="","Active","Left")</f>
        <v>Active</v>
      </c>
      <c r="AI903" t="str">
        <f>IF(HR_Data[YearsAtCompany]&lt;=2,"Fresher", IF(HR_Data[YearsAtCompany]&lt;=5,"Junior", IF(HR_Data[YearsAtCompany]&lt;=10, "Mid","Senior")))</f>
        <v>Mid</v>
      </c>
      <c r="AJ903" s="2" t="str">
        <f>IF(HR_Data[MonthlyIncome]&lt;=300,"Low", IF(HR_Data[MonthlyIncome]&lt;=7000,"Medium", "High"))</f>
        <v>High</v>
      </c>
      <c r="AK903" s="2" t="str">
        <f>VLOOKUP(HR_Data[JobRole], JobRole_Map[], 2, FALSE)</f>
        <v>Management</v>
      </c>
    </row>
    <row r="904" spans="1:37" x14ac:dyDescent="0.25">
      <c r="A904" s="2">
        <v>51</v>
      </c>
      <c r="B904" t="s">
        <v>41</v>
      </c>
      <c r="C904" t="s">
        <v>61</v>
      </c>
      <c r="D904" t="s">
        <v>34</v>
      </c>
      <c r="E904">
        <v>6</v>
      </c>
      <c r="F904" t="s">
        <v>58</v>
      </c>
      <c r="G904">
        <v>2</v>
      </c>
      <c r="H904">
        <v>1</v>
      </c>
      <c r="I904" t="s">
        <v>36</v>
      </c>
      <c r="J904">
        <v>3</v>
      </c>
      <c r="K904" t="s">
        <v>37</v>
      </c>
      <c r="L904">
        <v>2838</v>
      </c>
      <c r="M904">
        <v>0</v>
      </c>
      <c r="N904" t="s">
        <v>41</v>
      </c>
      <c r="O904">
        <v>14</v>
      </c>
      <c r="P904">
        <v>3</v>
      </c>
      <c r="Q904">
        <v>0</v>
      </c>
      <c r="R904">
        <v>8</v>
      </c>
      <c r="S904">
        <v>6</v>
      </c>
      <c r="T904">
        <v>7</v>
      </c>
      <c r="U904">
        <v>7</v>
      </c>
      <c r="V904">
        <v>7</v>
      </c>
      <c r="W904" t="s">
        <v>65</v>
      </c>
      <c r="X904" s="1" t="d">
        <v>2014-01-02</v>
      </c>
      <c r="Z904" t="s">
        <v>59</v>
      </c>
      <c r="AA904" t="s">
        <v>46</v>
      </c>
      <c r="AB904">
        <v>1</v>
      </c>
      <c r="AC904">
        <v>3</v>
      </c>
      <c r="AD904" t="s">
        <v>32</v>
      </c>
      <c r="AE904" t="s">
        <v>60</v>
      </c>
      <c r="AF904" t="s">
        <v>43</v>
      </c>
      <c r="AG904">
        <f>IF(HR_Data[[#This Row],[Attrition]]="Yes",1,0)</f>
        <v>0</v>
      </c>
      <c r="AH904" t="str">
        <f>IF(HR_Data[Date_of_termination]="","Active","Left")</f>
        <v>Active</v>
      </c>
      <c r="AI904" t="str">
        <f>IF(HR_Data[YearsAtCompany]&lt;=2,"Fresher", IF(HR_Data[YearsAtCompany]&lt;=5,"Junior", IF(HR_Data[YearsAtCompany]&lt;=10, "Mid","Senior")))</f>
        <v>Mid</v>
      </c>
      <c r="AJ904" s="2" t="str">
        <f>IF(HR_Data[MonthlyIncome]&lt;=300,"Low", IF(HR_Data[MonthlyIncome]&lt;=7000,"Medium", "High"))</f>
        <v>Medium</v>
      </c>
      <c r="AK904" s="2" t="str">
        <f>VLOOKUP(HR_Data[JobRole], JobRole_Map[], 2, FALSE)</f>
        <v>Technical</v>
      </c>
    </row>
    <row r="905" spans="1:37" x14ac:dyDescent="0.25">
      <c r="A905" s="2">
        <v>29</v>
      </c>
      <c r="B905" t="s">
        <v>32</v>
      </c>
      <c r="C905" t="s">
        <v>33</v>
      </c>
      <c r="D905" t="s">
        <v>34</v>
      </c>
      <c r="E905">
        <v>7</v>
      </c>
      <c r="F905" t="s">
        <v>58</v>
      </c>
      <c r="G905">
        <v>3</v>
      </c>
      <c r="H905">
        <v>1</v>
      </c>
      <c r="I905" t="s">
        <v>36</v>
      </c>
      <c r="J905">
        <v>3</v>
      </c>
      <c r="K905" t="s">
        <v>55</v>
      </c>
      <c r="L905">
        <v>3339</v>
      </c>
      <c r="M905">
        <v>3</v>
      </c>
      <c r="N905" t="s">
        <v>32</v>
      </c>
      <c r="O905">
        <v>13</v>
      </c>
      <c r="P905">
        <v>3</v>
      </c>
      <c r="Q905">
        <v>2</v>
      </c>
      <c r="R905">
        <v>10</v>
      </c>
      <c r="S905">
        <v>2</v>
      </c>
      <c r="T905">
        <v>7</v>
      </c>
      <c r="U905">
        <v>7</v>
      </c>
      <c r="V905">
        <v>7</v>
      </c>
      <c r="W905" t="s">
        <v>56</v>
      </c>
      <c r="X905" s="1" t="d">
        <v>2014-01-16</v>
      </c>
      <c r="Z905" t="s">
        <v>59</v>
      </c>
      <c r="AA905" t="s">
        <v>46</v>
      </c>
      <c r="AB905">
        <v>1</v>
      </c>
      <c r="AC905">
        <v>2</v>
      </c>
      <c r="AD905" t="s">
        <v>32</v>
      </c>
      <c r="AE905" t="s">
        <v>60</v>
      </c>
      <c r="AF905" t="s">
        <v>48</v>
      </c>
      <c r="AG905">
        <f>IF(HR_Data[[#This Row],[Attrition]]="Yes",1,0)</f>
        <v>1</v>
      </c>
      <c r="AH905" t="str">
        <f>IF(HR_Data[Date_of_termination]="","Active","Left")</f>
        <v>Active</v>
      </c>
      <c r="AI905" t="str">
        <f>IF(HR_Data[YearsAtCompany]&lt;=2,"Fresher", IF(HR_Data[YearsAtCompany]&lt;=5,"Junior", IF(HR_Data[YearsAtCompany]&lt;=10, "Mid","Senior")))</f>
        <v>Mid</v>
      </c>
      <c r="AJ905" s="2" t="str">
        <f>IF(HR_Data[MonthlyIncome]&lt;=300,"Low", IF(HR_Data[MonthlyIncome]&lt;=7000,"Medium", "High"))</f>
        <v>Medium</v>
      </c>
      <c r="AK905" s="2" t="str">
        <f>VLOOKUP(HR_Data[JobRole], JobRole_Map[], 2, FALSE)</f>
        <v>Technical</v>
      </c>
    </row>
    <row r="906" spans="1:37" x14ac:dyDescent="0.25">
      <c r="A906" s="2">
        <v>36</v>
      </c>
      <c r="B906" t="s">
        <v>41</v>
      </c>
      <c r="C906" t="s">
        <v>33</v>
      </c>
      <c r="D906" t="s">
        <v>34</v>
      </c>
      <c r="E906">
        <v>10</v>
      </c>
      <c r="F906" t="s">
        <v>58</v>
      </c>
      <c r="G906">
        <v>3</v>
      </c>
      <c r="H906">
        <v>3</v>
      </c>
      <c r="I906" t="s">
        <v>69</v>
      </c>
      <c r="J906">
        <v>3</v>
      </c>
      <c r="K906" t="s">
        <v>50</v>
      </c>
      <c r="L906">
        <v>7094</v>
      </c>
      <c r="M906">
        <v>3</v>
      </c>
      <c r="N906" t="s">
        <v>41</v>
      </c>
      <c r="O906">
        <v>12</v>
      </c>
      <c r="P906">
        <v>3</v>
      </c>
      <c r="Q906">
        <v>0</v>
      </c>
      <c r="R906">
        <v>10</v>
      </c>
      <c r="S906">
        <v>0</v>
      </c>
      <c r="T906">
        <v>7</v>
      </c>
      <c r="U906">
        <v>1</v>
      </c>
      <c r="V906">
        <v>7</v>
      </c>
      <c r="W906" t="s">
        <v>56</v>
      </c>
      <c r="X906" s="1" t="d">
        <v>2014-04-14</v>
      </c>
      <c r="Z906" t="s">
        <v>39</v>
      </c>
      <c r="AA906" t="s">
        <v>46</v>
      </c>
      <c r="AB906">
        <v>1</v>
      </c>
      <c r="AC906">
        <v>0</v>
      </c>
      <c r="AD906" t="s">
        <v>32</v>
      </c>
      <c r="AE906" t="s">
        <v>47</v>
      </c>
      <c r="AF906" t="s">
        <v>43</v>
      </c>
      <c r="AG906">
        <f>IF(HR_Data[[#This Row],[Attrition]]="Yes",1,0)</f>
        <v>0</v>
      </c>
      <c r="AH906" t="str">
        <f>IF(HR_Data[Date_of_termination]="","Active","Left")</f>
        <v>Active</v>
      </c>
      <c r="AI906" t="str">
        <f>IF(HR_Data[YearsAtCompany]&lt;=2,"Fresher", IF(HR_Data[YearsAtCompany]&lt;=5,"Junior", IF(HR_Data[YearsAtCompany]&lt;=10, "Mid","Senior")))</f>
        <v>Mid</v>
      </c>
      <c r="AJ906" s="2" t="str">
        <f>IF(HR_Data[MonthlyIncome]&lt;=300,"Low", IF(HR_Data[MonthlyIncome]&lt;=7000,"Medium", "High"))</f>
        <v>High</v>
      </c>
      <c r="AK906" s="2" t="str">
        <f>VLOOKUP(HR_Data[JobRole], JobRole_Map[], 2, FALSE)</f>
        <v>Operations</v>
      </c>
    </row>
    <row r="907" spans="1:37" x14ac:dyDescent="0.25">
      <c r="A907" s="2">
        <v>46</v>
      </c>
      <c r="B907" t="s">
        <v>41</v>
      </c>
      <c r="C907" t="s">
        <v>33</v>
      </c>
      <c r="D907" t="s">
        <v>70</v>
      </c>
      <c r="E907">
        <v>1</v>
      </c>
      <c r="F907" t="s">
        <v>58</v>
      </c>
      <c r="G907">
        <v>3</v>
      </c>
      <c r="H907">
        <v>1</v>
      </c>
      <c r="I907" t="s">
        <v>70</v>
      </c>
      <c r="J907">
        <v>1</v>
      </c>
      <c r="K907" t="s">
        <v>37</v>
      </c>
      <c r="L907">
        <v>3423</v>
      </c>
      <c r="M907">
        <v>6</v>
      </c>
      <c r="N907" t="s">
        <v>41</v>
      </c>
      <c r="O907">
        <v>12</v>
      </c>
      <c r="P907">
        <v>3</v>
      </c>
      <c r="Q907">
        <v>0</v>
      </c>
      <c r="R907">
        <v>10</v>
      </c>
      <c r="S907">
        <v>3</v>
      </c>
      <c r="T907">
        <v>7</v>
      </c>
      <c r="U907">
        <v>5</v>
      </c>
      <c r="V907">
        <v>7</v>
      </c>
      <c r="W907" t="s">
        <v>38</v>
      </c>
      <c r="X907" s="1" t="d">
        <v>2014-02-16</v>
      </c>
      <c r="Z907" t="s">
        <v>52</v>
      </c>
      <c r="AA907" t="s">
        <v>40</v>
      </c>
      <c r="AB907">
        <v>5</v>
      </c>
      <c r="AC907">
        <v>3</v>
      </c>
      <c r="AD907" t="s">
        <v>32</v>
      </c>
      <c r="AE907" t="s">
        <v>47</v>
      </c>
      <c r="AF907" t="s">
        <v>48</v>
      </c>
      <c r="AG907">
        <f>IF(HR_Data[[#This Row],[Attrition]]="Yes",1,0)</f>
        <v>0</v>
      </c>
      <c r="AH907" t="str">
        <f>IF(HR_Data[Date_of_termination]="","Active","Left")</f>
        <v>Active</v>
      </c>
      <c r="AI907" t="str">
        <f>IF(HR_Data[YearsAtCompany]&lt;=2,"Fresher", IF(HR_Data[YearsAtCompany]&lt;=5,"Junior", IF(HR_Data[YearsAtCompany]&lt;=10, "Mid","Senior")))</f>
        <v>Mid</v>
      </c>
      <c r="AJ907" s="2" t="str">
        <f>IF(HR_Data[MonthlyIncome]&lt;=300,"Low", IF(HR_Data[MonthlyIncome]&lt;=7000,"Medium", "High"))</f>
        <v>Medium</v>
      </c>
      <c r="AK907" s="2" t="str">
        <f>VLOOKUP(HR_Data[JobRole], JobRole_Map[], 2, FALSE)</f>
        <v>HR</v>
      </c>
    </row>
    <row r="908" spans="1:37" x14ac:dyDescent="0.25">
      <c r="A908" s="2">
        <v>56</v>
      </c>
      <c r="B908" t="s">
        <v>41</v>
      </c>
      <c r="C908" t="s">
        <v>33</v>
      </c>
      <c r="D908" t="s">
        <v>70</v>
      </c>
      <c r="E908">
        <v>8</v>
      </c>
      <c r="F908" t="s">
        <v>35</v>
      </c>
      <c r="G908">
        <v>3</v>
      </c>
      <c r="H908">
        <v>5</v>
      </c>
      <c r="I908" t="s">
        <v>66</v>
      </c>
      <c r="J908">
        <v>2</v>
      </c>
      <c r="K908" t="s">
        <v>37</v>
      </c>
      <c r="L908">
        <v>19717</v>
      </c>
      <c r="M908">
        <v>6</v>
      </c>
      <c r="N908" t="s">
        <v>41</v>
      </c>
      <c r="O908">
        <v>14</v>
      </c>
      <c r="P908">
        <v>3</v>
      </c>
      <c r="Q908">
        <v>0</v>
      </c>
      <c r="R908">
        <v>36</v>
      </c>
      <c r="S908">
        <v>4</v>
      </c>
      <c r="T908">
        <v>7</v>
      </c>
      <c r="U908">
        <v>7</v>
      </c>
      <c r="V908">
        <v>7</v>
      </c>
      <c r="W908" t="s">
        <v>65</v>
      </c>
      <c r="X908" s="1" t="d">
        <v>2014-06-11</v>
      </c>
      <c r="Z908" t="s">
        <v>45</v>
      </c>
      <c r="AA908" t="s">
        <v>40</v>
      </c>
      <c r="AB908">
        <v>3</v>
      </c>
      <c r="AC908">
        <v>2</v>
      </c>
      <c r="AD908" t="s">
        <v>32</v>
      </c>
      <c r="AE908" t="s">
        <v>42</v>
      </c>
      <c r="AF908" t="s">
        <v>48</v>
      </c>
      <c r="AG908">
        <f>IF(HR_Data[[#This Row],[Attrition]]="Yes",1,0)</f>
        <v>0</v>
      </c>
      <c r="AH908" t="str">
        <f>IF(HR_Data[Date_of_termination]="","Active","Left")</f>
        <v>Active</v>
      </c>
      <c r="AI908" t="str">
        <f>IF(HR_Data[YearsAtCompany]&lt;=2,"Fresher", IF(HR_Data[YearsAtCompany]&lt;=5,"Junior", IF(HR_Data[YearsAtCompany]&lt;=10, "Mid","Senior")))</f>
        <v>Mid</v>
      </c>
      <c r="AJ908" s="2" t="str">
        <f>IF(HR_Data[MonthlyIncome]&lt;=300,"Low", IF(HR_Data[MonthlyIncome]&lt;=7000,"Medium", "High"))</f>
        <v>High</v>
      </c>
      <c r="AK908" s="2" t="str">
        <f>VLOOKUP(HR_Data[JobRole], JobRole_Map[], 2, FALSE)</f>
        <v>Management</v>
      </c>
    </row>
    <row r="909" spans="1:37" x14ac:dyDescent="0.25">
      <c r="A909" s="2">
        <v>38</v>
      </c>
      <c r="B909" t="s">
        <v>41</v>
      </c>
      <c r="C909" t="s">
        <v>33</v>
      </c>
      <c r="D909" t="s">
        <v>53</v>
      </c>
      <c r="E909">
        <v>2</v>
      </c>
      <c r="F909" t="s">
        <v>58</v>
      </c>
      <c r="G909">
        <v>3</v>
      </c>
      <c r="H909">
        <v>2</v>
      </c>
      <c r="I909" t="s">
        <v>64</v>
      </c>
      <c r="J909">
        <v>1</v>
      </c>
      <c r="K909" t="s">
        <v>55</v>
      </c>
      <c r="L909">
        <v>6893</v>
      </c>
      <c r="M909">
        <v>3</v>
      </c>
      <c r="N909" t="s">
        <v>41</v>
      </c>
      <c r="O909">
        <v>15</v>
      </c>
      <c r="P909">
        <v>3</v>
      </c>
      <c r="Q909">
        <v>1</v>
      </c>
      <c r="R909">
        <v>11</v>
      </c>
      <c r="S909">
        <v>3</v>
      </c>
      <c r="T909">
        <v>7</v>
      </c>
      <c r="U909">
        <v>1</v>
      </c>
      <c r="V909">
        <v>7</v>
      </c>
      <c r="W909" t="s">
        <v>56</v>
      </c>
      <c r="X909" s="1" t="d">
        <v>2014-03-07</v>
      </c>
      <c r="Z909" t="s">
        <v>52</v>
      </c>
      <c r="AA909" t="s">
        <v>40</v>
      </c>
      <c r="AB909">
        <v>0</v>
      </c>
      <c r="AC909">
        <v>3</v>
      </c>
      <c r="AD909" t="s">
        <v>41</v>
      </c>
      <c r="AE909" t="s">
        <v>47</v>
      </c>
      <c r="AF909" t="s">
        <v>43</v>
      </c>
      <c r="AG909">
        <f>IF(HR_Data[[#This Row],[Attrition]]="Yes",1,0)</f>
        <v>0</v>
      </c>
      <c r="AH909" t="str">
        <f>IF(HR_Data[Date_of_termination]="","Active","Left")</f>
        <v>Active</v>
      </c>
      <c r="AI909" t="str">
        <f>IF(HR_Data[YearsAtCompany]&lt;=2,"Fresher", IF(HR_Data[YearsAtCompany]&lt;=5,"Junior", IF(HR_Data[YearsAtCompany]&lt;=10, "Mid","Senior")))</f>
        <v>Mid</v>
      </c>
      <c r="AJ909" s="2" t="str">
        <f>IF(HR_Data[MonthlyIncome]&lt;=300,"Low", IF(HR_Data[MonthlyIncome]&lt;=7000,"Medium", "High"))</f>
        <v>Medium</v>
      </c>
      <c r="AK909" s="2" t="str">
        <f>VLOOKUP(HR_Data[JobRole], JobRole_Map[], 2, FALSE)</f>
        <v>Sales</v>
      </c>
    </row>
    <row r="910" spans="1:37" x14ac:dyDescent="0.25">
      <c r="A910" s="2">
        <v>26</v>
      </c>
      <c r="B910" t="s">
        <v>41</v>
      </c>
      <c r="C910" t="s">
        <v>33</v>
      </c>
      <c r="D910" t="s">
        <v>34</v>
      </c>
      <c r="E910">
        <v>7</v>
      </c>
      <c r="F910" t="s">
        <v>35</v>
      </c>
      <c r="G910">
        <v>4</v>
      </c>
      <c r="H910">
        <v>1</v>
      </c>
      <c r="I910" t="s">
        <v>36</v>
      </c>
      <c r="J910">
        <v>1</v>
      </c>
      <c r="K910" t="s">
        <v>37</v>
      </c>
      <c r="L910">
        <v>3578</v>
      </c>
      <c r="M910">
        <v>0</v>
      </c>
      <c r="N910" t="s">
        <v>41</v>
      </c>
      <c r="O910">
        <v>12</v>
      </c>
      <c r="P910">
        <v>3</v>
      </c>
      <c r="Q910">
        <v>0</v>
      </c>
      <c r="R910">
        <v>8</v>
      </c>
      <c r="S910">
        <v>2</v>
      </c>
      <c r="T910">
        <v>7</v>
      </c>
      <c r="U910">
        <v>0</v>
      </c>
      <c r="V910">
        <v>7</v>
      </c>
      <c r="W910" t="s">
        <v>56</v>
      </c>
      <c r="X910" s="1" t="d">
        <v>2014-06-03</v>
      </c>
      <c r="Z910" t="s">
        <v>52</v>
      </c>
      <c r="AA910" t="s">
        <v>46</v>
      </c>
      <c r="AB910">
        <v>3</v>
      </c>
      <c r="AC910">
        <v>0</v>
      </c>
      <c r="AD910" t="s">
        <v>32</v>
      </c>
      <c r="AE910" t="s">
        <v>62</v>
      </c>
      <c r="AF910" t="s">
        <v>48</v>
      </c>
      <c r="AG910">
        <f>IF(HR_Data[[#This Row],[Attrition]]="Yes",1,0)</f>
        <v>0</v>
      </c>
      <c r="AH910" t="str">
        <f>IF(HR_Data[Date_of_termination]="","Active","Left")</f>
        <v>Active</v>
      </c>
      <c r="AI910" t="str">
        <f>IF(HR_Data[YearsAtCompany]&lt;=2,"Fresher", IF(HR_Data[YearsAtCompany]&lt;=5,"Junior", IF(HR_Data[YearsAtCompany]&lt;=10, "Mid","Senior")))</f>
        <v>Mid</v>
      </c>
      <c r="AJ910" s="2" t="str">
        <f>IF(HR_Data[MonthlyIncome]&lt;=300,"Low", IF(HR_Data[MonthlyIncome]&lt;=7000,"Medium", "High"))</f>
        <v>Medium</v>
      </c>
      <c r="AK910" s="2" t="str">
        <f>VLOOKUP(HR_Data[JobRole], JobRole_Map[], 2, FALSE)</f>
        <v>Technical</v>
      </c>
    </row>
    <row r="911" spans="1:37" x14ac:dyDescent="0.25">
      <c r="A911" s="2">
        <v>55</v>
      </c>
      <c r="B911" t="s">
        <v>41</v>
      </c>
      <c r="C911" t="s">
        <v>33</v>
      </c>
      <c r="D911" t="s">
        <v>34</v>
      </c>
      <c r="E911">
        <v>1</v>
      </c>
      <c r="F911" t="s">
        <v>35</v>
      </c>
      <c r="G911">
        <v>4</v>
      </c>
      <c r="H911">
        <v>4</v>
      </c>
      <c r="I911" t="s">
        <v>49</v>
      </c>
      <c r="J911">
        <v>4</v>
      </c>
      <c r="K911" t="s">
        <v>55</v>
      </c>
      <c r="L911">
        <v>14732</v>
      </c>
      <c r="M911">
        <v>2</v>
      </c>
      <c r="N911" t="s">
        <v>41</v>
      </c>
      <c r="O911">
        <v>13</v>
      </c>
      <c r="P911">
        <v>3</v>
      </c>
      <c r="Q911">
        <v>2</v>
      </c>
      <c r="R911">
        <v>31</v>
      </c>
      <c r="S911">
        <v>4</v>
      </c>
      <c r="T911">
        <v>7</v>
      </c>
      <c r="U911">
        <v>0</v>
      </c>
      <c r="V911">
        <v>0</v>
      </c>
      <c r="W911" t="s">
        <v>51</v>
      </c>
      <c r="X911" s="1" t="d">
        <v>2014-04-21</v>
      </c>
      <c r="Z911" t="s">
        <v>63</v>
      </c>
      <c r="AA911" t="s">
        <v>40</v>
      </c>
      <c r="AB911">
        <v>3</v>
      </c>
      <c r="AC911">
        <v>0</v>
      </c>
      <c r="AD911" t="s">
        <v>41</v>
      </c>
      <c r="AE911" t="s">
        <v>60</v>
      </c>
      <c r="AF911" t="s">
        <v>43</v>
      </c>
      <c r="AG911">
        <f>IF(HR_Data[[#This Row],[Attrition]]="Yes",1,0)</f>
        <v>0</v>
      </c>
      <c r="AH911" t="str">
        <f>IF(HR_Data[Date_of_termination]="","Active","Left")</f>
        <v>Active</v>
      </c>
      <c r="AI911" t="str">
        <f>IF(HR_Data[YearsAtCompany]&lt;=2,"Fresher", IF(HR_Data[YearsAtCompany]&lt;=5,"Junior", IF(HR_Data[YearsAtCompany]&lt;=10, "Mid","Senior")))</f>
        <v>Mid</v>
      </c>
      <c r="AJ911" s="2" t="str">
        <f>IF(HR_Data[MonthlyIncome]&lt;=300,"Low", IF(HR_Data[MonthlyIncome]&lt;=7000,"Medium", "High"))</f>
        <v>High</v>
      </c>
      <c r="AK911" s="2" t="str">
        <f>VLOOKUP(HR_Data[JobRole], JobRole_Map[], 2, FALSE)</f>
        <v>Management</v>
      </c>
    </row>
    <row r="912" spans="1:37" x14ac:dyDescent="0.25">
      <c r="A912" s="2">
        <v>46</v>
      </c>
      <c r="B912" t="s">
        <v>32</v>
      </c>
      <c r="C912" t="s">
        <v>33</v>
      </c>
      <c r="D912" t="s">
        <v>53</v>
      </c>
      <c r="E912">
        <v>9</v>
      </c>
      <c r="F912" t="s">
        <v>35</v>
      </c>
      <c r="G912">
        <v>3</v>
      </c>
      <c r="H912">
        <v>3</v>
      </c>
      <c r="I912" t="s">
        <v>64</v>
      </c>
      <c r="J912">
        <v>4</v>
      </c>
      <c r="K912" t="s">
        <v>55</v>
      </c>
      <c r="L912">
        <v>10096</v>
      </c>
      <c r="M912">
        <v>4</v>
      </c>
      <c r="N912" t="s">
        <v>41</v>
      </c>
      <c r="O912">
        <v>11</v>
      </c>
      <c r="P912">
        <v>3</v>
      </c>
      <c r="Q912">
        <v>1</v>
      </c>
      <c r="R912">
        <v>28</v>
      </c>
      <c r="S912">
        <v>1</v>
      </c>
      <c r="T912">
        <v>7</v>
      </c>
      <c r="U912">
        <v>4</v>
      </c>
      <c r="V912">
        <v>3</v>
      </c>
      <c r="W912" t="s">
        <v>65</v>
      </c>
      <c r="X912" s="1" t="d">
        <v>2014-03-26</v>
      </c>
      <c r="Z912" t="s">
        <v>39</v>
      </c>
      <c r="AA912" t="s">
        <v>40</v>
      </c>
      <c r="AB912">
        <v>4</v>
      </c>
      <c r="AC912">
        <v>0</v>
      </c>
      <c r="AD912" t="s">
        <v>32</v>
      </c>
      <c r="AE912" t="s">
        <v>62</v>
      </c>
      <c r="AF912" t="s">
        <v>57</v>
      </c>
      <c r="AG912">
        <f>IF(HR_Data[[#This Row],[Attrition]]="Yes",1,0)</f>
        <v>1</v>
      </c>
      <c r="AH912" t="str">
        <f>IF(HR_Data[Date_of_termination]="","Active","Left")</f>
        <v>Active</v>
      </c>
      <c r="AI912" t="str">
        <f>IF(HR_Data[YearsAtCompany]&lt;=2,"Fresher", IF(HR_Data[YearsAtCompany]&lt;=5,"Junior", IF(HR_Data[YearsAtCompany]&lt;=10, "Mid","Senior")))</f>
        <v>Mid</v>
      </c>
      <c r="AJ912" s="2" t="str">
        <f>IF(HR_Data[MonthlyIncome]&lt;=300,"Low", IF(HR_Data[MonthlyIncome]&lt;=7000,"Medium", "High"))</f>
        <v>High</v>
      </c>
      <c r="AK912" s="2" t="str">
        <f>VLOOKUP(HR_Data[JobRole], JobRole_Map[], 2, FALSE)</f>
        <v>Sales</v>
      </c>
    </row>
    <row r="913" spans="1:37" x14ac:dyDescent="0.25">
      <c r="A913" s="2">
        <v>45</v>
      </c>
      <c r="B913" t="s">
        <v>41</v>
      </c>
      <c r="C913" t="s">
        <v>33</v>
      </c>
      <c r="D913" t="s">
        <v>34</v>
      </c>
      <c r="E913">
        <v>20</v>
      </c>
      <c r="F913" t="s">
        <v>35</v>
      </c>
      <c r="G913">
        <v>1</v>
      </c>
      <c r="H913">
        <v>3</v>
      </c>
      <c r="I913" t="s">
        <v>69</v>
      </c>
      <c r="J913">
        <v>1</v>
      </c>
      <c r="K913" t="s">
        <v>55</v>
      </c>
      <c r="L913">
        <v>10851</v>
      </c>
      <c r="M913">
        <v>2</v>
      </c>
      <c r="N913" t="s">
        <v>32</v>
      </c>
      <c r="O913">
        <v>18</v>
      </c>
      <c r="P913">
        <v>3</v>
      </c>
      <c r="Q913">
        <v>1</v>
      </c>
      <c r="R913">
        <v>24</v>
      </c>
      <c r="S913">
        <v>2</v>
      </c>
      <c r="T913">
        <v>7</v>
      </c>
      <c r="U913">
        <v>0</v>
      </c>
      <c r="V913">
        <v>7</v>
      </c>
      <c r="W913" t="s">
        <v>56</v>
      </c>
      <c r="X913" s="1" t="d">
        <v>2014-05-24</v>
      </c>
      <c r="Z913" t="s">
        <v>52</v>
      </c>
      <c r="AA913" t="s">
        <v>46</v>
      </c>
      <c r="AB913">
        <v>2</v>
      </c>
      <c r="AC913">
        <v>0</v>
      </c>
      <c r="AD913" t="s">
        <v>41</v>
      </c>
      <c r="AE913" t="s">
        <v>47</v>
      </c>
      <c r="AF913" t="s">
        <v>43</v>
      </c>
      <c r="AG913">
        <f>IF(HR_Data[[#This Row],[Attrition]]="Yes",1,0)</f>
        <v>0</v>
      </c>
      <c r="AH913" t="str">
        <f>IF(HR_Data[Date_of_termination]="","Active","Left")</f>
        <v>Active</v>
      </c>
      <c r="AI913" t="str">
        <f>IF(HR_Data[YearsAtCompany]&lt;=2,"Fresher", IF(HR_Data[YearsAtCompany]&lt;=5,"Junior", IF(HR_Data[YearsAtCompany]&lt;=10, "Mid","Senior")))</f>
        <v>Mid</v>
      </c>
      <c r="AJ913" s="2" t="str">
        <f>IF(HR_Data[MonthlyIncome]&lt;=300,"Low", IF(HR_Data[MonthlyIncome]&lt;=7000,"Medium", "High"))</f>
        <v>High</v>
      </c>
      <c r="AK913" s="2" t="str">
        <f>VLOOKUP(HR_Data[JobRole], JobRole_Map[], 2, FALSE)</f>
        <v>Operations</v>
      </c>
    </row>
    <row r="914" spans="1:37" x14ac:dyDescent="0.25">
      <c r="A914" s="2">
        <v>31</v>
      </c>
      <c r="B914" t="s">
        <v>32</v>
      </c>
      <c r="C914" t="s">
        <v>61</v>
      </c>
      <c r="D914" t="s">
        <v>34</v>
      </c>
      <c r="E914">
        <v>3</v>
      </c>
      <c r="F914" t="s">
        <v>58</v>
      </c>
      <c r="G914">
        <v>3</v>
      </c>
      <c r="H914">
        <v>1</v>
      </c>
      <c r="I914" t="s">
        <v>44</v>
      </c>
      <c r="J914">
        <v>3</v>
      </c>
      <c r="K914" t="s">
        <v>37</v>
      </c>
      <c r="L914">
        <v>4084</v>
      </c>
      <c r="M914">
        <v>1</v>
      </c>
      <c r="N914" t="s">
        <v>41</v>
      </c>
      <c r="O914">
        <v>12</v>
      </c>
      <c r="P914">
        <v>3</v>
      </c>
      <c r="Q914">
        <v>0</v>
      </c>
      <c r="R914">
        <v>7</v>
      </c>
      <c r="S914">
        <v>2</v>
      </c>
      <c r="T914">
        <v>7</v>
      </c>
      <c r="U914">
        <v>7</v>
      </c>
      <c r="V914">
        <v>7</v>
      </c>
      <c r="W914" t="s">
        <v>51</v>
      </c>
      <c r="X914" s="1" t="d">
        <v>2014-06-10</v>
      </c>
      <c r="Z914" t="s">
        <v>39</v>
      </c>
      <c r="AA914" t="s">
        <v>40</v>
      </c>
      <c r="AB914">
        <v>1</v>
      </c>
      <c r="AC914">
        <v>2</v>
      </c>
      <c r="AD914" t="s">
        <v>41</v>
      </c>
      <c r="AE914" t="s">
        <v>47</v>
      </c>
      <c r="AF914" t="s">
        <v>48</v>
      </c>
      <c r="AG914">
        <f>IF(HR_Data[[#This Row],[Attrition]]="Yes",1,0)</f>
        <v>1</v>
      </c>
      <c r="AH914" t="str">
        <f>IF(HR_Data[Date_of_termination]="","Active","Left")</f>
        <v>Active</v>
      </c>
      <c r="AI914" t="str">
        <f>IF(HR_Data[YearsAtCompany]&lt;=2,"Fresher", IF(HR_Data[YearsAtCompany]&lt;=5,"Junior", IF(HR_Data[YearsAtCompany]&lt;=10, "Mid","Senior")))</f>
        <v>Mid</v>
      </c>
      <c r="AJ914" s="2" t="str">
        <f>IF(HR_Data[MonthlyIncome]&lt;=300,"Low", IF(HR_Data[MonthlyIncome]&lt;=7000,"Medium", "High"))</f>
        <v>Medium</v>
      </c>
      <c r="AK914" s="2" t="str">
        <f>VLOOKUP(HR_Data[JobRole], JobRole_Map[], 2, FALSE)</f>
        <v>Technical</v>
      </c>
    </row>
    <row r="915" spans="1:37" x14ac:dyDescent="0.25">
      <c r="A915" s="2">
        <v>29</v>
      </c>
      <c r="B915" t="s">
        <v>41</v>
      </c>
      <c r="C915" t="s">
        <v>33</v>
      </c>
      <c r="D915" t="s">
        <v>34</v>
      </c>
      <c r="E915">
        <v>8</v>
      </c>
      <c r="F915" t="s">
        <v>58</v>
      </c>
      <c r="G915">
        <v>1</v>
      </c>
      <c r="H915">
        <v>2</v>
      </c>
      <c r="I915" t="s">
        <v>69</v>
      </c>
      <c r="J915">
        <v>1</v>
      </c>
      <c r="K915" t="s">
        <v>50</v>
      </c>
      <c r="L915">
        <v>9715</v>
      </c>
      <c r="M915">
        <v>3</v>
      </c>
      <c r="N915" t="s">
        <v>41</v>
      </c>
      <c r="O915">
        <v>13</v>
      </c>
      <c r="P915">
        <v>3</v>
      </c>
      <c r="Q915">
        <v>1</v>
      </c>
      <c r="R915">
        <v>9</v>
      </c>
      <c r="S915">
        <v>3</v>
      </c>
      <c r="T915">
        <v>7</v>
      </c>
      <c r="U915">
        <v>0</v>
      </c>
      <c r="V915">
        <v>7</v>
      </c>
      <c r="W915" t="s">
        <v>56</v>
      </c>
      <c r="X915" s="1" t="d">
        <v>2014-05-11</v>
      </c>
      <c r="Z915" t="s">
        <v>63</v>
      </c>
      <c r="AA915" t="s">
        <v>46</v>
      </c>
      <c r="AB915">
        <v>5</v>
      </c>
      <c r="AC915">
        <v>0</v>
      </c>
      <c r="AD915" t="s">
        <v>32</v>
      </c>
      <c r="AE915" t="s">
        <v>62</v>
      </c>
      <c r="AF915" t="s">
        <v>48</v>
      </c>
      <c r="AG915">
        <f>IF(HR_Data[[#This Row],[Attrition]]="Yes",1,0)</f>
        <v>0</v>
      </c>
      <c r="AH915" t="str">
        <f>IF(HR_Data[Date_of_termination]="","Active","Left")</f>
        <v>Active</v>
      </c>
      <c r="AI915" t="str">
        <f>IF(HR_Data[YearsAtCompany]&lt;=2,"Fresher", IF(HR_Data[YearsAtCompany]&lt;=5,"Junior", IF(HR_Data[YearsAtCompany]&lt;=10, "Mid","Senior")))</f>
        <v>Mid</v>
      </c>
      <c r="AJ915" s="2" t="str">
        <f>IF(HR_Data[MonthlyIncome]&lt;=300,"Low", IF(HR_Data[MonthlyIncome]&lt;=7000,"Medium", "High"))</f>
        <v>High</v>
      </c>
      <c r="AK915" s="2" t="str">
        <f>VLOOKUP(HR_Data[JobRole], JobRole_Map[], 2, FALSE)</f>
        <v>Operations</v>
      </c>
    </row>
    <row r="916" spans="1:37" x14ac:dyDescent="0.25">
      <c r="A916" s="2">
        <v>32</v>
      </c>
      <c r="B916" t="s">
        <v>41</v>
      </c>
      <c r="C916" t="s">
        <v>33</v>
      </c>
      <c r="D916" t="s">
        <v>34</v>
      </c>
      <c r="E916">
        <v>5</v>
      </c>
      <c r="F916" t="s">
        <v>58</v>
      </c>
      <c r="G916">
        <v>2</v>
      </c>
      <c r="H916">
        <v>2</v>
      </c>
      <c r="I916" t="s">
        <v>44</v>
      </c>
      <c r="J916">
        <v>2</v>
      </c>
      <c r="K916" t="s">
        <v>50</v>
      </c>
      <c r="L916">
        <v>5878</v>
      </c>
      <c r="M916">
        <v>3</v>
      </c>
      <c r="N916" t="s">
        <v>41</v>
      </c>
      <c r="O916">
        <v>12</v>
      </c>
      <c r="P916">
        <v>3</v>
      </c>
      <c r="Q916">
        <v>1</v>
      </c>
      <c r="R916">
        <v>12</v>
      </c>
      <c r="S916">
        <v>2</v>
      </c>
      <c r="T916">
        <v>7</v>
      </c>
      <c r="U916">
        <v>2</v>
      </c>
      <c r="V916">
        <v>5</v>
      </c>
      <c r="W916" t="s">
        <v>51</v>
      </c>
      <c r="X916" s="1" t="d">
        <v>2014-06-22</v>
      </c>
      <c r="Z916" t="s">
        <v>63</v>
      </c>
      <c r="AA916" t="s">
        <v>40</v>
      </c>
      <c r="AB916">
        <v>3</v>
      </c>
      <c r="AC916">
        <v>1</v>
      </c>
      <c r="AD916" t="s">
        <v>32</v>
      </c>
      <c r="AE916" t="s">
        <v>60</v>
      </c>
      <c r="AF916" t="s">
        <v>48</v>
      </c>
      <c r="AG916">
        <f>IF(HR_Data[[#This Row],[Attrition]]="Yes",1,0)</f>
        <v>0</v>
      </c>
      <c r="AH916" t="str">
        <f>IF(HR_Data[Date_of_termination]="","Active","Left")</f>
        <v>Active</v>
      </c>
      <c r="AI916" t="str">
        <f>IF(HR_Data[YearsAtCompany]&lt;=2,"Fresher", IF(HR_Data[YearsAtCompany]&lt;=5,"Junior", IF(HR_Data[YearsAtCompany]&lt;=10, "Mid","Senior")))</f>
        <v>Mid</v>
      </c>
      <c r="AJ916" s="2" t="str">
        <f>IF(HR_Data[MonthlyIncome]&lt;=300,"Low", IF(HR_Data[MonthlyIncome]&lt;=7000,"Medium", "High"))</f>
        <v>Medium</v>
      </c>
      <c r="AK916" s="2" t="str">
        <f>VLOOKUP(HR_Data[JobRole], JobRole_Map[], 2, FALSE)</f>
        <v>Technical</v>
      </c>
    </row>
    <row r="917" spans="1:37" x14ac:dyDescent="0.25">
      <c r="A917" s="2">
        <v>39</v>
      </c>
      <c r="B917" t="s">
        <v>41</v>
      </c>
      <c r="C917" t="s">
        <v>33</v>
      </c>
      <c r="D917" t="s">
        <v>53</v>
      </c>
      <c r="E917">
        <v>6</v>
      </c>
      <c r="F917" t="s">
        <v>35</v>
      </c>
      <c r="G917">
        <v>4</v>
      </c>
      <c r="H917">
        <v>3</v>
      </c>
      <c r="I917" t="s">
        <v>64</v>
      </c>
      <c r="J917">
        <v>3</v>
      </c>
      <c r="K917" t="s">
        <v>50</v>
      </c>
      <c r="L917">
        <v>8237</v>
      </c>
      <c r="M917">
        <v>2</v>
      </c>
      <c r="N917" t="s">
        <v>41</v>
      </c>
      <c r="O917">
        <v>11</v>
      </c>
      <c r="P917">
        <v>3</v>
      </c>
      <c r="Q917">
        <v>1</v>
      </c>
      <c r="R917">
        <v>11</v>
      </c>
      <c r="S917">
        <v>3</v>
      </c>
      <c r="T917">
        <v>7</v>
      </c>
      <c r="U917">
        <v>7</v>
      </c>
      <c r="V917">
        <v>6</v>
      </c>
      <c r="W917" t="s">
        <v>38</v>
      </c>
      <c r="X917" s="1" t="d">
        <v>2014-03-09</v>
      </c>
      <c r="Z917" t="s">
        <v>52</v>
      </c>
      <c r="AA917" t="s">
        <v>40</v>
      </c>
      <c r="AB917">
        <v>2</v>
      </c>
      <c r="AC917">
        <v>0</v>
      </c>
      <c r="AD917" t="s">
        <v>32</v>
      </c>
      <c r="AE917" t="s">
        <v>47</v>
      </c>
      <c r="AF917" t="s">
        <v>48</v>
      </c>
      <c r="AG917">
        <f>IF(HR_Data[[#This Row],[Attrition]]="Yes",1,0)</f>
        <v>0</v>
      </c>
      <c r="AH917" t="str">
        <f>IF(HR_Data[Date_of_termination]="","Active","Left")</f>
        <v>Active</v>
      </c>
      <c r="AI917" t="str">
        <f>IF(HR_Data[YearsAtCompany]&lt;=2,"Fresher", IF(HR_Data[YearsAtCompany]&lt;=5,"Junior", IF(HR_Data[YearsAtCompany]&lt;=10, "Mid","Senior")))</f>
        <v>Mid</v>
      </c>
      <c r="AJ917" s="2" t="str">
        <f>IF(HR_Data[MonthlyIncome]&lt;=300,"Low", IF(HR_Data[MonthlyIncome]&lt;=7000,"Medium", "High"))</f>
        <v>High</v>
      </c>
      <c r="AK917" s="2" t="str">
        <f>VLOOKUP(HR_Data[JobRole], JobRole_Map[], 2, FALSE)</f>
        <v>Sales</v>
      </c>
    </row>
    <row r="918" spans="1:37" x14ac:dyDescent="0.25">
      <c r="A918" s="2">
        <v>39</v>
      </c>
      <c r="B918" t="s">
        <v>41</v>
      </c>
      <c r="C918" t="s">
        <v>33</v>
      </c>
      <c r="D918" t="s">
        <v>34</v>
      </c>
      <c r="E918">
        <v>10</v>
      </c>
      <c r="F918" t="s">
        <v>35</v>
      </c>
      <c r="G918">
        <v>3</v>
      </c>
      <c r="H918">
        <v>2</v>
      </c>
      <c r="I918" t="s">
        <v>67</v>
      </c>
      <c r="J918">
        <v>1</v>
      </c>
      <c r="K918" t="s">
        <v>50</v>
      </c>
      <c r="L918">
        <v>5377</v>
      </c>
      <c r="M918">
        <v>2</v>
      </c>
      <c r="N918" t="s">
        <v>41</v>
      </c>
      <c r="O918">
        <v>13</v>
      </c>
      <c r="P918">
        <v>3</v>
      </c>
      <c r="Q918">
        <v>3</v>
      </c>
      <c r="R918">
        <v>10</v>
      </c>
      <c r="S918">
        <v>3</v>
      </c>
      <c r="T918">
        <v>7</v>
      </c>
      <c r="U918">
        <v>7</v>
      </c>
      <c r="V918">
        <v>7</v>
      </c>
      <c r="W918" t="s">
        <v>56</v>
      </c>
      <c r="X918" s="1" t="d">
        <v>2014-02-14</v>
      </c>
      <c r="Z918" t="s">
        <v>59</v>
      </c>
      <c r="AA918" t="s">
        <v>46</v>
      </c>
      <c r="AB918">
        <v>5</v>
      </c>
      <c r="AC918">
        <v>3</v>
      </c>
      <c r="AD918" t="s">
        <v>32</v>
      </c>
      <c r="AE918" t="s">
        <v>60</v>
      </c>
      <c r="AF918" t="s">
        <v>48</v>
      </c>
      <c r="AG918">
        <f>IF(HR_Data[[#This Row],[Attrition]]="Yes",1,0)</f>
        <v>0</v>
      </c>
      <c r="AH918" t="str">
        <f>IF(HR_Data[Date_of_termination]="","Active","Left")</f>
        <v>Active</v>
      </c>
      <c r="AI918" t="str">
        <f>IF(HR_Data[YearsAtCompany]&lt;=2,"Fresher", IF(HR_Data[YearsAtCompany]&lt;=5,"Junior", IF(HR_Data[YearsAtCompany]&lt;=10, "Mid","Senior")))</f>
        <v>Mid</v>
      </c>
      <c r="AJ918" s="2" t="str">
        <f>IF(HR_Data[MonthlyIncome]&lt;=300,"Low", IF(HR_Data[MonthlyIncome]&lt;=7000,"Medium", "High"))</f>
        <v>Medium</v>
      </c>
      <c r="AK918" s="2" t="str">
        <f>VLOOKUP(HR_Data[JobRole], JobRole_Map[], 2, FALSE)</f>
        <v>Operations</v>
      </c>
    </row>
    <row r="919" spans="1:37" x14ac:dyDescent="0.25">
      <c r="A919" s="2">
        <v>27</v>
      </c>
      <c r="B919" t="s">
        <v>41</v>
      </c>
      <c r="C919" t="s">
        <v>33</v>
      </c>
      <c r="D919" t="s">
        <v>34</v>
      </c>
      <c r="E919">
        <v>19</v>
      </c>
      <c r="F919" t="s">
        <v>35</v>
      </c>
      <c r="G919">
        <v>2</v>
      </c>
      <c r="H919">
        <v>1</v>
      </c>
      <c r="I919" t="s">
        <v>36</v>
      </c>
      <c r="J919">
        <v>1</v>
      </c>
      <c r="K919" t="s">
        <v>55</v>
      </c>
      <c r="L919">
        <v>4066</v>
      </c>
      <c r="M919">
        <v>1</v>
      </c>
      <c r="N919" t="s">
        <v>41</v>
      </c>
      <c r="O919">
        <v>11</v>
      </c>
      <c r="P919">
        <v>3</v>
      </c>
      <c r="Q919">
        <v>2</v>
      </c>
      <c r="R919">
        <v>7</v>
      </c>
      <c r="S919">
        <v>3</v>
      </c>
      <c r="T919">
        <v>7</v>
      </c>
      <c r="U919">
        <v>0</v>
      </c>
      <c r="V919">
        <v>7</v>
      </c>
      <c r="W919" t="s">
        <v>65</v>
      </c>
      <c r="X919" s="1" t="d">
        <v>2014-03-12</v>
      </c>
      <c r="Z919" t="s">
        <v>39</v>
      </c>
      <c r="AA919" t="s">
        <v>40</v>
      </c>
      <c r="AB919">
        <v>3</v>
      </c>
      <c r="AC919">
        <v>2</v>
      </c>
      <c r="AD919" t="s">
        <v>41</v>
      </c>
      <c r="AE919" t="s">
        <v>42</v>
      </c>
      <c r="AF919" t="s">
        <v>57</v>
      </c>
      <c r="AG919">
        <f>IF(HR_Data[[#This Row],[Attrition]]="Yes",1,0)</f>
        <v>0</v>
      </c>
      <c r="AH919" t="str">
        <f>IF(HR_Data[Date_of_termination]="","Active","Left")</f>
        <v>Active</v>
      </c>
      <c r="AI919" t="str">
        <f>IF(HR_Data[YearsAtCompany]&lt;=2,"Fresher", IF(HR_Data[YearsAtCompany]&lt;=5,"Junior", IF(HR_Data[YearsAtCompany]&lt;=10, "Mid","Senior")))</f>
        <v>Mid</v>
      </c>
      <c r="AJ919" s="2" t="str">
        <f>IF(HR_Data[MonthlyIncome]&lt;=300,"Low", IF(HR_Data[MonthlyIncome]&lt;=7000,"Medium", "High"))</f>
        <v>Medium</v>
      </c>
      <c r="AK919" s="2" t="str">
        <f>VLOOKUP(HR_Data[JobRole], JobRole_Map[], 2, FALSE)</f>
        <v>Technical</v>
      </c>
    </row>
    <row r="920" spans="1:37" x14ac:dyDescent="0.25">
      <c r="A920" s="2">
        <v>25</v>
      </c>
      <c r="B920" t="s">
        <v>41</v>
      </c>
      <c r="C920" t="s">
        <v>61</v>
      </c>
      <c r="D920" t="s">
        <v>34</v>
      </c>
      <c r="E920">
        <v>2</v>
      </c>
      <c r="F920" t="s">
        <v>35</v>
      </c>
      <c r="G920">
        <v>4</v>
      </c>
      <c r="H920">
        <v>2</v>
      </c>
      <c r="I920" t="s">
        <v>67</v>
      </c>
      <c r="J920">
        <v>3</v>
      </c>
      <c r="K920" t="s">
        <v>55</v>
      </c>
      <c r="L920">
        <v>5206</v>
      </c>
      <c r="M920">
        <v>1</v>
      </c>
      <c r="N920" t="s">
        <v>41</v>
      </c>
      <c r="O920">
        <v>17</v>
      </c>
      <c r="P920">
        <v>3</v>
      </c>
      <c r="Q920">
        <v>2</v>
      </c>
      <c r="R920">
        <v>7</v>
      </c>
      <c r="S920">
        <v>6</v>
      </c>
      <c r="T920">
        <v>7</v>
      </c>
      <c r="U920">
        <v>0</v>
      </c>
      <c r="V920">
        <v>7</v>
      </c>
      <c r="W920" t="s">
        <v>56</v>
      </c>
      <c r="X920" s="1" t="d">
        <v>2014-06-05</v>
      </c>
      <c r="Z920" t="s">
        <v>59</v>
      </c>
      <c r="AA920" t="s">
        <v>40</v>
      </c>
      <c r="AB920">
        <v>5</v>
      </c>
      <c r="AC920">
        <v>3</v>
      </c>
      <c r="AD920" t="s">
        <v>41</v>
      </c>
      <c r="AE920" t="s">
        <v>60</v>
      </c>
      <c r="AF920" t="s">
        <v>48</v>
      </c>
      <c r="AG920">
        <f>IF(HR_Data[[#This Row],[Attrition]]="Yes",1,0)</f>
        <v>0</v>
      </c>
      <c r="AH920" t="str">
        <f>IF(HR_Data[Date_of_termination]="","Active","Left")</f>
        <v>Active</v>
      </c>
      <c r="AI920" t="str">
        <f>IF(HR_Data[YearsAtCompany]&lt;=2,"Fresher", IF(HR_Data[YearsAtCompany]&lt;=5,"Junior", IF(HR_Data[YearsAtCompany]&lt;=10, "Mid","Senior")))</f>
        <v>Mid</v>
      </c>
      <c r="AJ920" s="2" t="str">
        <f>IF(HR_Data[MonthlyIncome]&lt;=300,"Low", IF(HR_Data[MonthlyIncome]&lt;=7000,"Medium", "High"))</f>
        <v>Medium</v>
      </c>
      <c r="AK920" s="2" t="str">
        <f>VLOOKUP(HR_Data[JobRole], JobRole_Map[], 2, FALSE)</f>
        <v>Operations</v>
      </c>
    </row>
    <row r="921" spans="1:37" x14ac:dyDescent="0.25">
      <c r="A921" s="2">
        <v>26</v>
      </c>
      <c r="B921" t="s">
        <v>41</v>
      </c>
      <c r="C921" t="s">
        <v>68</v>
      </c>
      <c r="D921" t="s">
        <v>34</v>
      </c>
      <c r="E921">
        <v>7</v>
      </c>
      <c r="F921" t="s">
        <v>35</v>
      </c>
      <c r="G921">
        <v>3</v>
      </c>
      <c r="H921">
        <v>1</v>
      </c>
      <c r="I921" t="s">
        <v>36</v>
      </c>
      <c r="J921">
        <v>4</v>
      </c>
      <c r="K921" t="s">
        <v>37</v>
      </c>
      <c r="L921">
        <v>2570</v>
      </c>
      <c r="M921">
        <v>1</v>
      </c>
      <c r="N921" t="s">
        <v>41</v>
      </c>
      <c r="O921">
        <v>20</v>
      </c>
      <c r="P921">
        <v>4</v>
      </c>
      <c r="Q921">
        <v>0</v>
      </c>
      <c r="R921">
        <v>7</v>
      </c>
      <c r="S921">
        <v>5</v>
      </c>
      <c r="T921">
        <v>7</v>
      </c>
      <c r="U921">
        <v>5</v>
      </c>
      <c r="V921">
        <v>7</v>
      </c>
      <c r="W921" t="s">
        <v>56</v>
      </c>
      <c r="X921" s="1" t="d">
        <v>2014-02-11</v>
      </c>
      <c r="Z921" t="s">
        <v>39</v>
      </c>
      <c r="AA921" t="s">
        <v>40</v>
      </c>
      <c r="AB921">
        <v>3</v>
      </c>
      <c r="AC921">
        <v>1</v>
      </c>
      <c r="AD921" t="s">
        <v>32</v>
      </c>
      <c r="AE921" t="s">
        <v>42</v>
      </c>
      <c r="AF921" t="s">
        <v>48</v>
      </c>
      <c r="AG921">
        <f>IF(HR_Data[[#This Row],[Attrition]]="Yes",1,0)</f>
        <v>0</v>
      </c>
      <c r="AH921" t="str">
        <f>IF(HR_Data[Date_of_termination]="","Active","Left")</f>
        <v>Active</v>
      </c>
      <c r="AI921" t="str">
        <f>IF(HR_Data[YearsAtCompany]&lt;=2,"Fresher", IF(HR_Data[YearsAtCompany]&lt;=5,"Junior", IF(HR_Data[YearsAtCompany]&lt;=10, "Mid","Senior")))</f>
        <v>Mid</v>
      </c>
      <c r="AJ921" s="2" t="str">
        <f>IF(HR_Data[MonthlyIncome]&lt;=300,"Low", IF(HR_Data[MonthlyIncome]&lt;=7000,"Medium", "High"))</f>
        <v>Medium</v>
      </c>
      <c r="AK921" s="2" t="str">
        <f>VLOOKUP(HR_Data[JobRole], JobRole_Map[], 2, FALSE)</f>
        <v>Technical</v>
      </c>
    </row>
    <row r="922" spans="1:37" x14ac:dyDescent="0.25">
      <c r="A922" s="2">
        <v>35</v>
      </c>
      <c r="B922" t="s">
        <v>41</v>
      </c>
      <c r="C922" t="s">
        <v>33</v>
      </c>
      <c r="D922" t="s">
        <v>34</v>
      </c>
      <c r="E922">
        <v>27</v>
      </c>
      <c r="F922" t="s">
        <v>35</v>
      </c>
      <c r="G922">
        <v>3</v>
      </c>
      <c r="H922">
        <v>2</v>
      </c>
      <c r="I922" t="s">
        <v>67</v>
      </c>
      <c r="J922">
        <v>3</v>
      </c>
      <c r="K922" t="s">
        <v>50</v>
      </c>
      <c r="L922">
        <v>6883</v>
      </c>
      <c r="M922">
        <v>2</v>
      </c>
      <c r="N922" t="s">
        <v>41</v>
      </c>
      <c r="O922">
        <v>16</v>
      </c>
      <c r="P922">
        <v>3</v>
      </c>
      <c r="Q922">
        <v>1</v>
      </c>
      <c r="R922">
        <v>17</v>
      </c>
      <c r="S922">
        <v>3</v>
      </c>
      <c r="T922">
        <v>7</v>
      </c>
      <c r="U922">
        <v>0</v>
      </c>
      <c r="V922">
        <v>7</v>
      </c>
      <c r="W922" t="s">
        <v>38</v>
      </c>
      <c r="X922" s="1" t="d">
        <v>2014-06-28</v>
      </c>
      <c r="Z922" t="s">
        <v>39</v>
      </c>
      <c r="AA922" t="s">
        <v>40</v>
      </c>
      <c r="AB922">
        <v>2</v>
      </c>
      <c r="AC922">
        <v>3</v>
      </c>
      <c r="AD922" t="s">
        <v>32</v>
      </c>
      <c r="AE922" t="s">
        <v>47</v>
      </c>
      <c r="AF922" t="s">
        <v>43</v>
      </c>
      <c r="AG922">
        <f>IF(HR_Data[[#This Row],[Attrition]]="Yes",1,0)</f>
        <v>0</v>
      </c>
      <c r="AH922" t="str">
        <f>IF(HR_Data[Date_of_termination]="","Active","Left")</f>
        <v>Active</v>
      </c>
      <c r="AI922" t="str">
        <f>IF(HR_Data[YearsAtCompany]&lt;=2,"Fresher", IF(HR_Data[YearsAtCompany]&lt;=5,"Junior", IF(HR_Data[YearsAtCompany]&lt;=10, "Mid","Senior")))</f>
        <v>Mid</v>
      </c>
      <c r="AJ922" s="2" t="str">
        <f>IF(HR_Data[MonthlyIncome]&lt;=300,"Low", IF(HR_Data[MonthlyIncome]&lt;=7000,"Medium", "High"))</f>
        <v>Medium</v>
      </c>
      <c r="AK922" s="2" t="str">
        <f>VLOOKUP(HR_Data[JobRole], JobRole_Map[], 2, FALSE)</f>
        <v>Operations</v>
      </c>
    </row>
    <row r="923" spans="1:37" x14ac:dyDescent="0.25">
      <c r="A923" s="2">
        <v>30</v>
      </c>
      <c r="B923" t="s">
        <v>41</v>
      </c>
      <c r="C923" t="s">
        <v>33</v>
      </c>
      <c r="D923" t="s">
        <v>53</v>
      </c>
      <c r="E923">
        <v>15</v>
      </c>
      <c r="F923" t="s">
        <v>35</v>
      </c>
      <c r="G923">
        <v>2</v>
      </c>
      <c r="H923">
        <v>3</v>
      </c>
      <c r="I923" t="s">
        <v>64</v>
      </c>
      <c r="J923">
        <v>1</v>
      </c>
      <c r="K923" t="s">
        <v>55</v>
      </c>
      <c r="L923">
        <v>7140</v>
      </c>
      <c r="M923">
        <v>2</v>
      </c>
      <c r="N923" t="s">
        <v>41</v>
      </c>
      <c r="O923">
        <v>11</v>
      </c>
      <c r="P923">
        <v>3</v>
      </c>
      <c r="Q923">
        <v>1</v>
      </c>
      <c r="R923">
        <v>12</v>
      </c>
      <c r="S923">
        <v>2</v>
      </c>
      <c r="T923">
        <v>7</v>
      </c>
      <c r="U923">
        <v>1</v>
      </c>
      <c r="V923">
        <v>7</v>
      </c>
      <c r="W923" t="s">
        <v>38</v>
      </c>
      <c r="X923" s="1" t="d">
        <v>2014-05-14</v>
      </c>
      <c r="Z923" t="s">
        <v>45</v>
      </c>
      <c r="AA923" t="s">
        <v>40</v>
      </c>
      <c r="AB923">
        <v>3</v>
      </c>
      <c r="AC923">
        <v>3</v>
      </c>
      <c r="AD923" t="s">
        <v>41</v>
      </c>
      <c r="AE923" t="s">
        <v>60</v>
      </c>
      <c r="AF923" t="s">
        <v>57</v>
      </c>
      <c r="AG923">
        <f>IF(HR_Data[[#This Row],[Attrition]]="Yes",1,0)</f>
        <v>0</v>
      </c>
      <c r="AH923" t="str">
        <f>IF(HR_Data[Date_of_termination]="","Active","Left")</f>
        <v>Active</v>
      </c>
      <c r="AI923" t="str">
        <f>IF(HR_Data[YearsAtCompany]&lt;=2,"Fresher", IF(HR_Data[YearsAtCompany]&lt;=5,"Junior", IF(HR_Data[YearsAtCompany]&lt;=10, "Mid","Senior")))</f>
        <v>Mid</v>
      </c>
      <c r="AJ923" s="2" t="str">
        <f>IF(HR_Data[MonthlyIncome]&lt;=300,"Low", IF(HR_Data[MonthlyIncome]&lt;=7000,"Medium", "High"))</f>
        <v>High</v>
      </c>
      <c r="AK923" s="2" t="str">
        <f>VLOOKUP(HR_Data[JobRole], JobRole_Map[], 2, FALSE)</f>
        <v>Sales</v>
      </c>
    </row>
    <row r="924" spans="1:37" x14ac:dyDescent="0.25">
      <c r="A924" s="2">
        <v>30</v>
      </c>
      <c r="B924" t="s">
        <v>41</v>
      </c>
      <c r="C924" t="s">
        <v>33</v>
      </c>
      <c r="D924" t="s">
        <v>34</v>
      </c>
      <c r="E924">
        <v>16</v>
      </c>
      <c r="F924" t="s">
        <v>35</v>
      </c>
      <c r="G924">
        <v>4</v>
      </c>
      <c r="H924">
        <v>2</v>
      </c>
      <c r="I924" t="s">
        <v>69</v>
      </c>
      <c r="J924">
        <v>3</v>
      </c>
      <c r="K924" t="s">
        <v>50</v>
      </c>
      <c r="L924">
        <v>5294</v>
      </c>
      <c r="M924">
        <v>3</v>
      </c>
      <c r="N924" t="s">
        <v>41</v>
      </c>
      <c r="O924">
        <v>16</v>
      </c>
      <c r="P924">
        <v>3</v>
      </c>
      <c r="Q924">
        <v>1</v>
      </c>
      <c r="R924">
        <v>10</v>
      </c>
      <c r="S924">
        <v>3</v>
      </c>
      <c r="T924">
        <v>7</v>
      </c>
      <c r="U924">
        <v>1</v>
      </c>
      <c r="V924">
        <v>7</v>
      </c>
      <c r="W924" t="s">
        <v>38</v>
      </c>
      <c r="X924" s="1" t="d">
        <v>2014-05-14</v>
      </c>
      <c r="Z924" t="s">
        <v>45</v>
      </c>
      <c r="AA924" t="s">
        <v>40</v>
      </c>
      <c r="AB924">
        <v>4</v>
      </c>
      <c r="AC924">
        <v>1</v>
      </c>
      <c r="AD924" t="s">
        <v>32</v>
      </c>
      <c r="AE924" t="s">
        <v>42</v>
      </c>
      <c r="AF924" t="s">
        <v>48</v>
      </c>
      <c r="AG924">
        <f>IF(HR_Data[[#This Row],[Attrition]]="Yes",1,0)</f>
        <v>0</v>
      </c>
      <c r="AH924" t="str">
        <f>IF(HR_Data[Date_of_termination]="","Active","Left")</f>
        <v>Active</v>
      </c>
      <c r="AI924" t="str">
        <f>IF(HR_Data[YearsAtCompany]&lt;=2,"Fresher", IF(HR_Data[YearsAtCompany]&lt;=5,"Junior", IF(HR_Data[YearsAtCompany]&lt;=10, "Mid","Senior")))</f>
        <v>Mid</v>
      </c>
      <c r="AJ924" s="2" t="str">
        <f>IF(HR_Data[MonthlyIncome]&lt;=300,"Low", IF(HR_Data[MonthlyIncome]&lt;=7000,"Medium", "High"))</f>
        <v>Medium</v>
      </c>
      <c r="AK924" s="2" t="str">
        <f>VLOOKUP(HR_Data[JobRole], JobRole_Map[], 2, FALSE)</f>
        <v>Operations</v>
      </c>
    </row>
    <row r="925" spans="1:37" x14ac:dyDescent="0.25">
      <c r="A925" s="2">
        <v>35</v>
      </c>
      <c r="B925" t="s">
        <v>41</v>
      </c>
      <c r="C925" t="s">
        <v>68</v>
      </c>
      <c r="D925" t="s">
        <v>34</v>
      </c>
      <c r="E925">
        <v>2</v>
      </c>
      <c r="F925" t="s">
        <v>35</v>
      </c>
      <c r="G925">
        <v>3</v>
      </c>
      <c r="H925">
        <v>2</v>
      </c>
      <c r="I925" t="s">
        <v>67</v>
      </c>
      <c r="J925">
        <v>4</v>
      </c>
      <c r="K925" t="s">
        <v>55</v>
      </c>
      <c r="L925">
        <v>5762</v>
      </c>
      <c r="M925">
        <v>2</v>
      </c>
      <c r="N925" t="s">
        <v>41</v>
      </c>
      <c r="O925">
        <v>14</v>
      </c>
      <c r="P925">
        <v>3</v>
      </c>
      <c r="Q925">
        <v>1</v>
      </c>
      <c r="R925">
        <v>15</v>
      </c>
      <c r="S925">
        <v>6</v>
      </c>
      <c r="T925">
        <v>7</v>
      </c>
      <c r="U925">
        <v>1</v>
      </c>
      <c r="V925">
        <v>7</v>
      </c>
      <c r="W925" t="s">
        <v>56</v>
      </c>
      <c r="X925" s="1" t="d">
        <v>2014-02-22</v>
      </c>
      <c r="Z925" t="s">
        <v>52</v>
      </c>
      <c r="AA925" t="s">
        <v>46</v>
      </c>
      <c r="AB925">
        <v>3</v>
      </c>
      <c r="AC925">
        <v>1</v>
      </c>
      <c r="AD925" t="s">
        <v>32</v>
      </c>
      <c r="AE925" t="s">
        <v>47</v>
      </c>
      <c r="AF925" t="s">
        <v>48</v>
      </c>
      <c r="AG925">
        <f>IF(HR_Data[[#This Row],[Attrition]]="Yes",1,0)</f>
        <v>0</v>
      </c>
      <c r="AH925" t="str">
        <f>IF(HR_Data[Date_of_termination]="","Active","Left")</f>
        <v>Active</v>
      </c>
      <c r="AI925" t="str">
        <f>IF(HR_Data[YearsAtCompany]&lt;=2,"Fresher", IF(HR_Data[YearsAtCompany]&lt;=5,"Junior", IF(HR_Data[YearsAtCompany]&lt;=10, "Mid","Senior")))</f>
        <v>Mid</v>
      </c>
      <c r="AJ925" s="2" t="str">
        <f>IF(HR_Data[MonthlyIncome]&lt;=300,"Low", IF(HR_Data[MonthlyIncome]&lt;=7000,"Medium", "High"))</f>
        <v>Medium</v>
      </c>
      <c r="AK925" s="2" t="str">
        <f>VLOOKUP(HR_Data[JobRole], JobRole_Map[], 2, FALSE)</f>
        <v>Operations</v>
      </c>
    </row>
    <row r="926" spans="1:37" x14ac:dyDescent="0.25">
      <c r="A926" s="2">
        <v>34</v>
      </c>
      <c r="B926" t="s">
        <v>32</v>
      </c>
      <c r="C926" t="s">
        <v>61</v>
      </c>
      <c r="D926" t="s">
        <v>34</v>
      </c>
      <c r="E926">
        <v>9</v>
      </c>
      <c r="F926" t="s">
        <v>35</v>
      </c>
      <c r="G926">
        <v>3</v>
      </c>
      <c r="H926">
        <v>2</v>
      </c>
      <c r="I926" t="s">
        <v>36</v>
      </c>
      <c r="J926">
        <v>1</v>
      </c>
      <c r="K926" t="s">
        <v>50</v>
      </c>
      <c r="L926">
        <v>5346</v>
      </c>
      <c r="M926">
        <v>4</v>
      </c>
      <c r="N926" t="s">
        <v>41</v>
      </c>
      <c r="O926">
        <v>17</v>
      </c>
      <c r="P926">
        <v>3</v>
      </c>
      <c r="Q926">
        <v>1</v>
      </c>
      <c r="R926">
        <v>11</v>
      </c>
      <c r="S926">
        <v>3</v>
      </c>
      <c r="T926">
        <v>7</v>
      </c>
      <c r="U926">
        <v>0</v>
      </c>
      <c r="V926">
        <v>7</v>
      </c>
      <c r="W926" t="s">
        <v>65</v>
      </c>
      <c r="X926" s="1" t="d">
        <v>2014-06-02</v>
      </c>
      <c r="Z926" t="s">
        <v>45</v>
      </c>
      <c r="AA926" t="s">
        <v>46</v>
      </c>
      <c r="AB926">
        <v>2</v>
      </c>
      <c r="AC926">
        <v>3</v>
      </c>
      <c r="AD926" t="s">
        <v>32</v>
      </c>
      <c r="AE926" t="s">
        <v>42</v>
      </c>
      <c r="AF926" t="s">
        <v>43</v>
      </c>
      <c r="AG926">
        <f>IF(HR_Data[[#This Row],[Attrition]]="Yes",1,0)</f>
        <v>1</v>
      </c>
      <c r="AH926" t="str">
        <f>IF(HR_Data[Date_of_termination]="","Active","Left")</f>
        <v>Active</v>
      </c>
      <c r="AI926" t="str">
        <f>IF(HR_Data[YearsAtCompany]&lt;=2,"Fresher", IF(HR_Data[YearsAtCompany]&lt;=5,"Junior", IF(HR_Data[YearsAtCompany]&lt;=10, "Mid","Senior")))</f>
        <v>Mid</v>
      </c>
      <c r="AJ926" s="2" t="str">
        <f>IF(HR_Data[MonthlyIncome]&lt;=300,"Low", IF(HR_Data[MonthlyIncome]&lt;=7000,"Medium", "High"))</f>
        <v>Medium</v>
      </c>
      <c r="AK926" s="2" t="str">
        <f>VLOOKUP(HR_Data[JobRole], JobRole_Map[], 2, FALSE)</f>
        <v>Technical</v>
      </c>
    </row>
    <row r="927" spans="1:37" x14ac:dyDescent="0.25">
      <c r="A927" s="2">
        <v>30</v>
      </c>
      <c r="B927" t="s">
        <v>41</v>
      </c>
      <c r="C927" t="s">
        <v>33</v>
      </c>
      <c r="D927" t="s">
        <v>34</v>
      </c>
      <c r="E927">
        <v>10</v>
      </c>
      <c r="F927" t="s">
        <v>58</v>
      </c>
      <c r="G927">
        <v>3</v>
      </c>
      <c r="H927">
        <v>3</v>
      </c>
      <c r="I927" t="s">
        <v>67</v>
      </c>
      <c r="J927">
        <v>3</v>
      </c>
      <c r="K927" t="s">
        <v>37</v>
      </c>
      <c r="L927">
        <v>9667</v>
      </c>
      <c r="M927">
        <v>9</v>
      </c>
      <c r="N927" t="s">
        <v>41</v>
      </c>
      <c r="O927">
        <v>14</v>
      </c>
      <c r="P927">
        <v>3</v>
      </c>
      <c r="Q927">
        <v>0</v>
      </c>
      <c r="R927">
        <v>9</v>
      </c>
      <c r="S927">
        <v>3</v>
      </c>
      <c r="T927">
        <v>7</v>
      </c>
      <c r="U927">
        <v>0</v>
      </c>
      <c r="V927">
        <v>2</v>
      </c>
      <c r="W927" t="s">
        <v>65</v>
      </c>
      <c r="X927" s="1" t="d">
        <v>2014-04-14</v>
      </c>
      <c r="Z927" t="s">
        <v>59</v>
      </c>
      <c r="AA927" t="s">
        <v>46</v>
      </c>
      <c r="AB927">
        <v>3</v>
      </c>
      <c r="AC927">
        <v>3</v>
      </c>
      <c r="AD927" t="s">
        <v>32</v>
      </c>
      <c r="AE927" t="s">
        <v>47</v>
      </c>
      <c r="AF927" t="s">
        <v>48</v>
      </c>
      <c r="AG927">
        <f>IF(HR_Data[[#This Row],[Attrition]]="Yes",1,0)</f>
        <v>0</v>
      </c>
      <c r="AH927" t="str">
        <f>IF(HR_Data[Date_of_termination]="","Active","Left")</f>
        <v>Active</v>
      </c>
      <c r="AI927" t="str">
        <f>IF(HR_Data[YearsAtCompany]&lt;=2,"Fresher", IF(HR_Data[YearsAtCompany]&lt;=5,"Junior", IF(HR_Data[YearsAtCompany]&lt;=10, "Mid","Senior")))</f>
        <v>Mid</v>
      </c>
      <c r="AJ927" s="2" t="str">
        <f>IF(HR_Data[MonthlyIncome]&lt;=300,"Low", IF(HR_Data[MonthlyIncome]&lt;=7000,"Medium", "High"))</f>
        <v>High</v>
      </c>
      <c r="AK927" s="2" t="str">
        <f>VLOOKUP(HR_Data[JobRole], JobRole_Map[], 2, FALSE)</f>
        <v>Operations</v>
      </c>
    </row>
    <row r="928" spans="1:37" x14ac:dyDescent="0.25">
      <c r="A928" s="2">
        <v>40</v>
      </c>
      <c r="B928" t="s">
        <v>41</v>
      </c>
      <c r="C928" t="s">
        <v>33</v>
      </c>
      <c r="D928" t="s">
        <v>34</v>
      </c>
      <c r="E928">
        <v>12</v>
      </c>
      <c r="F928" t="s">
        <v>58</v>
      </c>
      <c r="G928">
        <v>3</v>
      </c>
      <c r="H928">
        <v>2</v>
      </c>
      <c r="I928" t="s">
        <v>69</v>
      </c>
      <c r="J928">
        <v>1</v>
      </c>
      <c r="K928" t="s">
        <v>55</v>
      </c>
      <c r="L928">
        <v>4448</v>
      </c>
      <c r="M928">
        <v>2</v>
      </c>
      <c r="N928" t="s">
        <v>41</v>
      </c>
      <c r="O928">
        <v>12</v>
      </c>
      <c r="P928">
        <v>3</v>
      </c>
      <c r="Q928">
        <v>1</v>
      </c>
      <c r="R928">
        <v>15</v>
      </c>
      <c r="S928">
        <v>3</v>
      </c>
      <c r="T928">
        <v>7</v>
      </c>
      <c r="U928">
        <v>7</v>
      </c>
      <c r="V928">
        <v>7</v>
      </c>
      <c r="W928" t="s">
        <v>65</v>
      </c>
      <c r="X928" s="1" t="d">
        <v>2014-04-06</v>
      </c>
      <c r="Z928" t="s">
        <v>63</v>
      </c>
      <c r="AA928" t="s">
        <v>46</v>
      </c>
      <c r="AB928">
        <v>3</v>
      </c>
      <c r="AC928">
        <v>3</v>
      </c>
      <c r="AD928" t="s">
        <v>32</v>
      </c>
      <c r="AE928" t="s">
        <v>62</v>
      </c>
      <c r="AF928" t="s">
        <v>43</v>
      </c>
      <c r="AG928">
        <f>IF(HR_Data[[#This Row],[Attrition]]="Yes",1,0)</f>
        <v>0</v>
      </c>
      <c r="AH928" t="str">
        <f>IF(HR_Data[Date_of_termination]="","Active","Left")</f>
        <v>Active</v>
      </c>
      <c r="AI928" t="str">
        <f>IF(HR_Data[YearsAtCompany]&lt;=2,"Fresher", IF(HR_Data[YearsAtCompany]&lt;=5,"Junior", IF(HR_Data[YearsAtCompany]&lt;=10, "Mid","Senior")))</f>
        <v>Mid</v>
      </c>
      <c r="AJ928" s="2" t="str">
        <f>IF(HR_Data[MonthlyIncome]&lt;=300,"Low", IF(HR_Data[MonthlyIncome]&lt;=7000,"Medium", "High"))</f>
        <v>Medium</v>
      </c>
      <c r="AK928" s="2" t="str">
        <f>VLOOKUP(HR_Data[JobRole], JobRole_Map[], 2, FALSE)</f>
        <v>Operations</v>
      </c>
    </row>
    <row r="929" spans="1:37" x14ac:dyDescent="0.25">
      <c r="A929" s="2">
        <v>54</v>
      </c>
      <c r="B929" t="s">
        <v>41</v>
      </c>
      <c r="C929" t="s">
        <v>33</v>
      </c>
      <c r="D929" t="s">
        <v>34</v>
      </c>
      <c r="E929">
        <v>7</v>
      </c>
      <c r="F929" t="s">
        <v>58</v>
      </c>
      <c r="G929">
        <v>3</v>
      </c>
      <c r="H929">
        <v>2</v>
      </c>
      <c r="I929" t="s">
        <v>44</v>
      </c>
      <c r="J929">
        <v>4</v>
      </c>
      <c r="K929" t="s">
        <v>50</v>
      </c>
      <c r="L929">
        <v>6854</v>
      </c>
      <c r="M929">
        <v>4</v>
      </c>
      <c r="N929" t="s">
        <v>41</v>
      </c>
      <c r="O929">
        <v>15</v>
      </c>
      <c r="P929">
        <v>3</v>
      </c>
      <c r="Q929">
        <v>1</v>
      </c>
      <c r="R929">
        <v>14</v>
      </c>
      <c r="S929">
        <v>2</v>
      </c>
      <c r="T929">
        <v>7</v>
      </c>
      <c r="U929">
        <v>1</v>
      </c>
      <c r="V929">
        <v>7</v>
      </c>
      <c r="W929" t="s">
        <v>38</v>
      </c>
      <c r="X929" s="1" t="d">
        <v>2014-02-18</v>
      </c>
      <c r="Z929" t="s">
        <v>39</v>
      </c>
      <c r="AA929" t="s">
        <v>46</v>
      </c>
      <c r="AB929">
        <v>1</v>
      </c>
      <c r="AC929">
        <v>3</v>
      </c>
      <c r="AD929" t="s">
        <v>41</v>
      </c>
      <c r="AE929" t="s">
        <v>60</v>
      </c>
      <c r="AF929" t="s">
        <v>48</v>
      </c>
      <c r="AG929">
        <f>IF(HR_Data[[#This Row],[Attrition]]="Yes",1,0)</f>
        <v>0</v>
      </c>
      <c r="AH929" t="str">
        <f>IF(HR_Data[Date_of_termination]="","Active","Left")</f>
        <v>Active</v>
      </c>
      <c r="AI929" t="str">
        <f>IF(HR_Data[YearsAtCompany]&lt;=2,"Fresher", IF(HR_Data[YearsAtCompany]&lt;=5,"Junior", IF(HR_Data[YearsAtCompany]&lt;=10, "Mid","Senior")))</f>
        <v>Mid</v>
      </c>
      <c r="AJ929" s="2" t="str">
        <f>IF(HR_Data[MonthlyIncome]&lt;=300,"Low", IF(HR_Data[MonthlyIncome]&lt;=7000,"Medium", "High"))</f>
        <v>Medium</v>
      </c>
      <c r="AK929" s="2" t="str">
        <f>VLOOKUP(HR_Data[JobRole], JobRole_Map[], 2, FALSE)</f>
        <v>Technical</v>
      </c>
    </row>
    <row r="930" spans="1:37" x14ac:dyDescent="0.25">
      <c r="A930" s="2">
        <v>43</v>
      </c>
      <c r="B930" t="s">
        <v>41</v>
      </c>
      <c r="C930" t="s">
        <v>61</v>
      </c>
      <c r="D930" t="s">
        <v>53</v>
      </c>
      <c r="E930">
        <v>2</v>
      </c>
      <c r="F930" t="s">
        <v>35</v>
      </c>
      <c r="G930">
        <v>3</v>
      </c>
      <c r="H930">
        <v>2</v>
      </c>
      <c r="I930" t="s">
        <v>64</v>
      </c>
      <c r="J930">
        <v>4</v>
      </c>
      <c r="K930" t="s">
        <v>50</v>
      </c>
      <c r="L930">
        <v>5675</v>
      </c>
      <c r="M930">
        <v>1</v>
      </c>
      <c r="N930" t="s">
        <v>41</v>
      </c>
      <c r="O930">
        <v>20</v>
      </c>
      <c r="P930">
        <v>4</v>
      </c>
      <c r="Q930">
        <v>1</v>
      </c>
      <c r="R930">
        <v>7</v>
      </c>
      <c r="S930">
        <v>5</v>
      </c>
      <c r="T930">
        <v>7</v>
      </c>
      <c r="U930">
        <v>7</v>
      </c>
      <c r="V930">
        <v>7</v>
      </c>
      <c r="W930" t="s">
        <v>56</v>
      </c>
      <c r="X930" s="1" t="d">
        <v>2014-04-15</v>
      </c>
      <c r="Z930" t="s">
        <v>63</v>
      </c>
      <c r="AA930" t="s">
        <v>40</v>
      </c>
      <c r="AB930">
        <v>2</v>
      </c>
      <c r="AC930">
        <v>3</v>
      </c>
      <c r="AD930" t="s">
        <v>41</v>
      </c>
      <c r="AE930" t="s">
        <v>60</v>
      </c>
      <c r="AF930" t="s">
        <v>43</v>
      </c>
      <c r="AG930">
        <f>IF(HR_Data[[#This Row],[Attrition]]="Yes",1,0)</f>
        <v>0</v>
      </c>
      <c r="AH930" t="str">
        <f>IF(HR_Data[Date_of_termination]="","Active","Left")</f>
        <v>Active</v>
      </c>
      <c r="AI930" t="str">
        <f>IF(HR_Data[YearsAtCompany]&lt;=2,"Fresher", IF(HR_Data[YearsAtCompany]&lt;=5,"Junior", IF(HR_Data[YearsAtCompany]&lt;=10, "Mid","Senior")))</f>
        <v>Mid</v>
      </c>
      <c r="AJ930" s="2" t="str">
        <f>IF(HR_Data[MonthlyIncome]&lt;=300,"Low", IF(HR_Data[MonthlyIncome]&lt;=7000,"Medium", "High"))</f>
        <v>Medium</v>
      </c>
      <c r="AK930" s="2" t="str">
        <f>VLOOKUP(HR_Data[JobRole], JobRole_Map[], 2, FALSE)</f>
        <v>Sales</v>
      </c>
    </row>
    <row r="931" spans="1:37" x14ac:dyDescent="0.25">
      <c r="A931" s="2">
        <v>29</v>
      </c>
      <c r="B931" t="s">
        <v>41</v>
      </c>
      <c r="C931" t="s">
        <v>33</v>
      </c>
      <c r="D931" t="s">
        <v>34</v>
      </c>
      <c r="E931">
        <v>29</v>
      </c>
      <c r="F931" t="s">
        <v>35</v>
      </c>
      <c r="G931">
        <v>1</v>
      </c>
      <c r="H931">
        <v>2</v>
      </c>
      <c r="I931" t="s">
        <v>69</v>
      </c>
      <c r="J931">
        <v>3</v>
      </c>
      <c r="K931" t="s">
        <v>55</v>
      </c>
      <c r="L931">
        <v>6384</v>
      </c>
      <c r="M931">
        <v>8</v>
      </c>
      <c r="N931" t="s">
        <v>41</v>
      </c>
      <c r="O931">
        <v>17</v>
      </c>
      <c r="P931">
        <v>3</v>
      </c>
      <c r="Q931">
        <v>2</v>
      </c>
      <c r="R931">
        <v>11</v>
      </c>
      <c r="S931">
        <v>3</v>
      </c>
      <c r="T931">
        <v>7</v>
      </c>
      <c r="U931">
        <v>1</v>
      </c>
      <c r="V931">
        <v>6</v>
      </c>
      <c r="W931" t="s">
        <v>51</v>
      </c>
      <c r="X931" s="1" t="d">
        <v>2014-04-25</v>
      </c>
      <c r="Z931" t="s">
        <v>45</v>
      </c>
      <c r="AA931" t="s">
        <v>46</v>
      </c>
      <c r="AB931">
        <v>0</v>
      </c>
      <c r="AC931">
        <v>1</v>
      </c>
      <c r="AD931" t="s">
        <v>32</v>
      </c>
      <c r="AE931" t="s">
        <v>62</v>
      </c>
      <c r="AF931" t="s">
        <v>43</v>
      </c>
      <c r="AG931">
        <f>IF(HR_Data[[#This Row],[Attrition]]="Yes",1,0)</f>
        <v>0</v>
      </c>
      <c r="AH931" t="str">
        <f>IF(HR_Data[Date_of_termination]="","Active","Left")</f>
        <v>Active</v>
      </c>
      <c r="AI931" t="str">
        <f>IF(HR_Data[YearsAtCompany]&lt;=2,"Fresher", IF(HR_Data[YearsAtCompany]&lt;=5,"Junior", IF(HR_Data[YearsAtCompany]&lt;=10, "Mid","Senior")))</f>
        <v>Mid</v>
      </c>
      <c r="AJ931" s="2" t="str">
        <f>IF(HR_Data[MonthlyIncome]&lt;=300,"Low", IF(HR_Data[MonthlyIncome]&lt;=7000,"Medium", "High"))</f>
        <v>Medium</v>
      </c>
      <c r="AK931" s="2" t="str">
        <f>VLOOKUP(HR_Data[JobRole], JobRole_Map[], 2, FALSE)</f>
        <v>Operations</v>
      </c>
    </row>
    <row r="932" spans="1:37" x14ac:dyDescent="0.25">
      <c r="A932" s="2">
        <v>27</v>
      </c>
      <c r="B932" t="s">
        <v>41</v>
      </c>
      <c r="C932" t="s">
        <v>61</v>
      </c>
      <c r="D932" t="s">
        <v>34</v>
      </c>
      <c r="E932">
        <v>15</v>
      </c>
      <c r="F932" t="s">
        <v>58</v>
      </c>
      <c r="G932">
        <v>2</v>
      </c>
      <c r="H932">
        <v>1</v>
      </c>
      <c r="I932" t="s">
        <v>44</v>
      </c>
      <c r="J932">
        <v>1</v>
      </c>
      <c r="K932" t="s">
        <v>50</v>
      </c>
      <c r="L932">
        <v>4774</v>
      </c>
      <c r="M932">
        <v>0</v>
      </c>
      <c r="N932" t="s">
        <v>41</v>
      </c>
      <c r="O932">
        <v>19</v>
      </c>
      <c r="P932">
        <v>3</v>
      </c>
      <c r="Q932">
        <v>1</v>
      </c>
      <c r="R932">
        <v>8</v>
      </c>
      <c r="S932">
        <v>2</v>
      </c>
      <c r="T932">
        <v>7</v>
      </c>
      <c r="U932">
        <v>7</v>
      </c>
      <c r="V932">
        <v>3</v>
      </c>
      <c r="W932" t="s">
        <v>51</v>
      </c>
      <c r="X932" s="1" t="d">
        <v>2014-03-19</v>
      </c>
      <c r="Z932" t="s">
        <v>52</v>
      </c>
      <c r="AA932" t="s">
        <v>46</v>
      </c>
      <c r="AB932">
        <v>2</v>
      </c>
      <c r="AC932">
        <v>1</v>
      </c>
      <c r="AD932" t="s">
        <v>32</v>
      </c>
      <c r="AE932" t="s">
        <v>60</v>
      </c>
      <c r="AF932" t="s">
        <v>48</v>
      </c>
      <c r="AG932">
        <f>IF(HR_Data[[#This Row],[Attrition]]="Yes",1,0)</f>
        <v>0</v>
      </c>
      <c r="AH932" t="str">
        <f>IF(HR_Data[Date_of_termination]="","Active","Left")</f>
        <v>Active</v>
      </c>
      <c r="AI932" t="str">
        <f>IF(HR_Data[YearsAtCompany]&lt;=2,"Fresher", IF(HR_Data[YearsAtCompany]&lt;=5,"Junior", IF(HR_Data[YearsAtCompany]&lt;=10, "Mid","Senior")))</f>
        <v>Mid</v>
      </c>
      <c r="AJ932" s="2" t="str">
        <f>IF(HR_Data[MonthlyIncome]&lt;=300,"Low", IF(HR_Data[MonthlyIncome]&lt;=7000,"Medium", "High"))</f>
        <v>Medium</v>
      </c>
      <c r="AK932" s="2" t="str">
        <f>VLOOKUP(HR_Data[JobRole], JobRole_Map[], 2, FALSE)</f>
        <v>Technical</v>
      </c>
    </row>
    <row r="933" spans="1:37" x14ac:dyDescent="0.25">
      <c r="A933" s="2">
        <v>26</v>
      </c>
      <c r="B933" t="s">
        <v>41</v>
      </c>
      <c r="C933" t="s">
        <v>61</v>
      </c>
      <c r="D933" t="s">
        <v>34</v>
      </c>
      <c r="E933">
        <v>6</v>
      </c>
      <c r="F933" t="s">
        <v>35</v>
      </c>
      <c r="G933">
        <v>4</v>
      </c>
      <c r="H933">
        <v>1</v>
      </c>
      <c r="I933" t="s">
        <v>36</v>
      </c>
      <c r="J933">
        <v>4</v>
      </c>
      <c r="K933" t="s">
        <v>50</v>
      </c>
      <c r="L933">
        <v>2544</v>
      </c>
      <c r="M933">
        <v>0</v>
      </c>
      <c r="N933" t="s">
        <v>41</v>
      </c>
      <c r="O933">
        <v>18</v>
      </c>
      <c r="P933">
        <v>3</v>
      </c>
      <c r="Q933">
        <v>1</v>
      </c>
      <c r="R933">
        <v>8</v>
      </c>
      <c r="S933">
        <v>3</v>
      </c>
      <c r="T933">
        <v>7</v>
      </c>
      <c r="U933">
        <v>7</v>
      </c>
      <c r="V933">
        <v>7</v>
      </c>
      <c r="W933" t="s">
        <v>38</v>
      </c>
      <c r="X933" s="1" t="d">
        <v>2014-02-19</v>
      </c>
      <c r="Z933" t="s">
        <v>39</v>
      </c>
      <c r="AA933" t="s">
        <v>46</v>
      </c>
      <c r="AB933">
        <v>5</v>
      </c>
      <c r="AC933">
        <v>0</v>
      </c>
      <c r="AD933" t="s">
        <v>41</v>
      </c>
      <c r="AE933" t="s">
        <v>42</v>
      </c>
      <c r="AF933" t="s">
        <v>57</v>
      </c>
      <c r="AG933">
        <f>IF(HR_Data[[#This Row],[Attrition]]="Yes",1,0)</f>
        <v>0</v>
      </c>
      <c r="AH933" t="str">
        <f>IF(HR_Data[Date_of_termination]="","Active","Left")</f>
        <v>Active</v>
      </c>
      <c r="AI933" t="str">
        <f>IF(HR_Data[YearsAtCompany]&lt;=2,"Fresher", IF(HR_Data[YearsAtCompany]&lt;=5,"Junior", IF(HR_Data[YearsAtCompany]&lt;=10, "Mid","Senior")))</f>
        <v>Mid</v>
      </c>
      <c r="AJ933" s="2" t="str">
        <f>IF(HR_Data[MonthlyIncome]&lt;=300,"Low", IF(HR_Data[MonthlyIncome]&lt;=7000,"Medium", "High"))</f>
        <v>Medium</v>
      </c>
      <c r="AK933" s="2" t="str">
        <f>VLOOKUP(HR_Data[JobRole], JobRole_Map[], 2, FALSE)</f>
        <v>Technical</v>
      </c>
    </row>
    <row r="934" spans="1:37" x14ac:dyDescent="0.25">
      <c r="A934" s="2">
        <v>28</v>
      </c>
      <c r="B934" t="s">
        <v>41</v>
      </c>
      <c r="C934" t="s">
        <v>61</v>
      </c>
      <c r="D934" t="s">
        <v>53</v>
      </c>
      <c r="E934">
        <v>1</v>
      </c>
      <c r="F934" t="s">
        <v>35</v>
      </c>
      <c r="G934">
        <v>2</v>
      </c>
      <c r="H934">
        <v>2</v>
      </c>
      <c r="I934" t="s">
        <v>64</v>
      </c>
      <c r="J934">
        <v>4</v>
      </c>
      <c r="K934" t="s">
        <v>50</v>
      </c>
      <c r="L934">
        <v>6834</v>
      </c>
      <c r="M934">
        <v>1</v>
      </c>
      <c r="N934" t="s">
        <v>32</v>
      </c>
      <c r="O934">
        <v>12</v>
      </c>
      <c r="P934">
        <v>3</v>
      </c>
      <c r="Q934">
        <v>1</v>
      </c>
      <c r="R934">
        <v>7</v>
      </c>
      <c r="S934">
        <v>2</v>
      </c>
      <c r="T934">
        <v>7</v>
      </c>
      <c r="U934">
        <v>0</v>
      </c>
      <c r="V934">
        <v>7</v>
      </c>
      <c r="W934" t="s">
        <v>51</v>
      </c>
      <c r="X934" s="1" t="d">
        <v>2014-03-23</v>
      </c>
      <c r="Z934" t="s">
        <v>63</v>
      </c>
      <c r="AA934" t="s">
        <v>46</v>
      </c>
      <c r="AB934">
        <v>2</v>
      </c>
      <c r="AC934">
        <v>0</v>
      </c>
      <c r="AD934" t="s">
        <v>41</v>
      </c>
      <c r="AE934" t="s">
        <v>42</v>
      </c>
      <c r="AF934" t="s">
        <v>48</v>
      </c>
      <c r="AG934">
        <f>IF(HR_Data[[#This Row],[Attrition]]="Yes",1,0)</f>
        <v>0</v>
      </c>
      <c r="AH934" t="str">
        <f>IF(HR_Data[Date_of_termination]="","Active","Left")</f>
        <v>Active</v>
      </c>
      <c r="AI934" t="str">
        <f>IF(HR_Data[YearsAtCompany]&lt;=2,"Fresher", IF(HR_Data[YearsAtCompany]&lt;=5,"Junior", IF(HR_Data[YearsAtCompany]&lt;=10, "Mid","Senior")))</f>
        <v>Mid</v>
      </c>
      <c r="AJ934" s="2" t="str">
        <f>IF(HR_Data[MonthlyIncome]&lt;=300,"Low", IF(HR_Data[MonthlyIncome]&lt;=7000,"Medium", "High"))</f>
        <v>Medium</v>
      </c>
      <c r="AK934" s="2" t="str">
        <f>VLOOKUP(HR_Data[JobRole], JobRole_Map[], 2, FALSE)</f>
        <v>Sales</v>
      </c>
    </row>
    <row r="935" spans="1:37" x14ac:dyDescent="0.25">
      <c r="A935" s="2">
        <v>26</v>
      </c>
      <c r="B935" t="s">
        <v>41</v>
      </c>
      <c r="C935" t="s">
        <v>33</v>
      </c>
      <c r="D935" t="s">
        <v>34</v>
      </c>
      <c r="E935">
        <v>1</v>
      </c>
      <c r="F935" t="s">
        <v>35</v>
      </c>
      <c r="G935">
        <v>3</v>
      </c>
      <c r="H935">
        <v>1</v>
      </c>
      <c r="I935" t="s">
        <v>36</v>
      </c>
      <c r="J935">
        <v>1</v>
      </c>
      <c r="K935" t="s">
        <v>37</v>
      </c>
      <c r="L935">
        <v>2867</v>
      </c>
      <c r="M935">
        <v>0</v>
      </c>
      <c r="N935" t="s">
        <v>41</v>
      </c>
      <c r="O935">
        <v>13</v>
      </c>
      <c r="P935">
        <v>3</v>
      </c>
      <c r="Q935">
        <v>0</v>
      </c>
      <c r="R935">
        <v>8</v>
      </c>
      <c r="S935">
        <v>6</v>
      </c>
      <c r="T935">
        <v>7</v>
      </c>
      <c r="U935">
        <v>7</v>
      </c>
      <c r="V935">
        <v>6</v>
      </c>
      <c r="W935" t="s">
        <v>38</v>
      </c>
      <c r="X935" s="1" t="d">
        <v>2014-03-20</v>
      </c>
      <c r="Z935" t="s">
        <v>45</v>
      </c>
      <c r="AA935" t="s">
        <v>40</v>
      </c>
      <c r="AB935">
        <v>1</v>
      </c>
      <c r="AC935">
        <v>0</v>
      </c>
      <c r="AD935" t="s">
        <v>41</v>
      </c>
      <c r="AE935" t="s">
        <v>60</v>
      </c>
      <c r="AF935" t="s">
        <v>57</v>
      </c>
      <c r="AG935">
        <f>IF(HR_Data[[#This Row],[Attrition]]="Yes",1,0)</f>
        <v>0</v>
      </c>
      <c r="AH935" t="str">
        <f>IF(HR_Data[Date_of_termination]="","Active","Left")</f>
        <v>Active</v>
      </c>
      <c r="AI935" t="str">
        <f>IF(HR_Data[YearsAtCompany]&lt;=2,"Fresher", IF(HR_Data[YearsAtCompany]&lt;=5,"Junior", IF(HR_Data[YearsAtCompany]&lt;=10, "Mid","Senior")))</f>
        <v>Mid</v>
      </c>
      <c r="AJ935" s="2" t="str">
        <f>IF(HR_Data[MonthlyIncome]&lt;=300,"Low", IF(HR_Data[MonthlyIncome]&lt;=7000,"Medium", "High"))</f>
        <v>Medium</v>
      </c>
      <c r="AK935" s="2" t="str">
        <f>VLOOKUP(HR_Data[JobRole], JobRole_Map[], 2, FALSE)</f>
        <v>Technical</v>
      </c>
    </row>
    <row r="936" spans="1:37" x14ac:dyDescent="0.25">
      <c r="A936" s="2">
        <v>27</v>
      </c>
      <c r="B936" t="s">
        <v>41</v>
      </c>
      <c r="C936" t="s">
        <v>33</v>
      </c>
      <c r="D936" t="s">
        <v>53</v>
      </c>
      <c r="E936">
        <v>9</v>
      </c>
      <c r="F936" t="s">
        <v>35</v>
      </c>
      <c r="G936">
        <v>3</v>
      </c>
      <c r="H936">
        <v>2</v>
      </c>
      <c r="I936" t="s">
        <v>64</v>
      </c>
      <c r="J936">
        <v>4</v>
      </c>
      <c r="K936" t="s">
        <v>37</v>
      </c>
      <c r="L936">
        <v>4105</v>
      </c>
      <c r="M936">
        <v>1</v>
      </c>
      <c r="N936" t="s">
        <v>41</v>
      </c>
      <c r="O936">
        <v>14</v>
      </c>
      <c r="P936">
        <v>3</v>
      </c>
      <c r="Q936">
        <v>0</v>
      </c>
      <c r="R936">
        <v>7</v>
      </c>
      <c r="S936">
        <v>5</v>
      </c>
      <c r="T936">
        <v>7</v>
      </c>
      <c r="U936">
        <v>0</v>
      </c>
      <c r="V936">
        <v>7</v>
      </c>
      <c r="W936" t="s">
        <v>65</v>
      </c>
      <c r="X936" s="1" t="d">
        <v>2014-01-31</v>
      </c>
      <c r="Z936" t="s">
        <v>52</v>
      </c>
      <c r="AA936" t="s">
        <v>40</v>
      </c>
      <c r="AB936">
        <v>4</v>
      </c>
      <c r="AC936">
        <v>1</v>
      </c>
      <c r="AD936" t="s">
        <v>41</v>
      </c>
      <c r="AE936" t="s">
        <v>42</v>
      </c>
      <c r="AF936" t="s">
        <v>57</v>
      </c>
      <c r="AG936">
        <f>IF(HR_Data[[#This Row],[Attrition]]="Yes",1,0)</f>
        <v>0</v>
      </c>
      <c r="AH936" t="str">
        <f>IF(HR_Data[Date_of_termination]="","Active","Left")</f>
        <v>Active</v>
      </c>
      <c r="AI936" t="str">
        <f>IF(HR_Data[YearsAtCompany]&lt;=2,"Fresher", IF(HR_Data[YearsAtCompany]&lt;=5,"Junior", IF(HR_Data[YearsAtCompany]&lt;=10, "Mid","Senior")))</f>
        <v>Mid</v>
      </c>
      <c r="AJ936" s="2" t="str">
        <f>IF(HR_Data[MonthlyIncome]&lt;=300,"Low", IF(HR_Data[MonthlyIncome]&lt;=7000,"Medium", "High"))</f>
        <v>Medium</v>
      </c>
      <c r="AK936" s="2" t="str">
        <f>VLOOKUP(HR_Data[JobRole], JobRole_Map[], 2, FALSE)</f>
        <v>Sales</v>
      </c>
    </row>
    <row r="937" spans="1:37" x14ac:dyDescent="0.25">
      <c r="A937" s="2">
        <v>39</v>
      </c>
      <c r="B937" t="s">
        <v>41</v>
      </c>
      <c r="C937" t="s">
        <v>33</v>
      </c>
      <c r="D937" t="s">
        <v>34</v>
      </c>
      <c r="E937">
        <v>24</v>
      </c>
      <c r="F937" t="s">
        <v>35</v>
      </c>
      <c r="G937">
        <v>3</v>
      </c>
      <c r="H937">
        <v>2</v>
      </c>
      <c r="I937" t="s">
        <v>44</v>
      </c>
      <c r="J937">
        <v>4</v>
      </c>
      <c r="K937" t="s">
        <v>37</v>
      </c>
      <c r="L937">
        <v>4108</v>
      </c>
      <c r="M937">
        <v>7</v>
      </c>
      <c r="N937" t="s">
        <v>41</v>
      </c>
      <c r="O937">
        <v>13</v>
      </c>
      <c r="P937">
        <v>3</v>
      </c>
      <c r="Q937">
        <v>0</v>
      </c>
      <c r="R937">
        <v>18</v>
      </c>
      <c r="S937">
        <v>2</v>
      </c>
      <c r="T937">
        <v>7</v>
      </c>
      <c r="U937">
        <v>1</v>
      </c>
      <c r="V937">
        <v>7</v>
      </c>
      <c r="W937" t="s">
        <v>38</v>
      </c>
      <c r="X937" s="1" t="d">
        <v>2014-05-15</v>
      </c>
      <c r="Z937" t="s">
        <v>39</v>
      </c>
      <c r="AA937" t="s">
        <v>40</v>
      </c>
      <c r="AB937">
        <v>2</v>
      </c>
      <c r="AC937">
        <v>0</v>
      </c>
      <c r="AD937" t="s">
        <v>32</v>
      </c>
      <c r="AE937" t="s">
        <v>47</v>
      </c>
      <c r="AF937" t="s">
        <v>43</v>
      </c>
      <c r="AG937">
        <f>IF(HR_Data[[#This Row],[Attrition]]="Yes",1,0)</f>
        <v>0</v>
      </c>
      <c r="AH937" t="str">
        <f>IF(HR_Data[Date_of_termination]="","Active","Left")</f>
        <v>Active</v>
      </c>
      <c r="AI937" t="str">
        <f>IF(HR_Data[YearsAtCompany]&lt;=2,"Fresher", IF(HR_Data[YearsAtCompany]&lt;=5,"Junior", IF(HR_Data[YearsAtCompany]&lt;=10, "Mid","Senior")))</f>
        <v>Mid</v>
      </c>
      <c r="AJ937" s="2" t="str">
        <f>IF(HR_Data[MonthlyIncome]&lt;=300,"Low", IF(HR_Data[MonthlyIncome]&lt;=7000,"Medium", "High"))</f>
        <v>Medium</v>
      </c>
      <c r="AK937" s="2" t="str">
        <f>VLOOKUP(HR_Data[JobRole], JobRole_Map[], 2, FALSE)</f>
        <v>Technical</v>
      </c>
    </row>
    <row r="938" spans="1:37" x14ac:dyDescent="0.25">
      <c r="A938" s="2">
        <v>39</v>
      </c>
      <c r="B938" t="s">
        <v>41</v>
      </c>
      <c r="C938" t="s">
        <v>33</v>
      </c>
      <c r="D938" t="s">
        <v>34</v>
      </c>
      <c r="E938">
        <v>6</v>
      </c>
      <c r="F938" t="s">
        <v>35</v>
      </c>
      <c r="G938">
        <v>2</v>
      </c>
      <c r="H938">
        <v>3</v>
      </c>
      <c r="I938" t="s">
        <v>69</v>
      </c>
      <c r="J938">
        <v>1</v>
      </c>
      <c r="K938" t="s">
        <v>50</v>
      </c>
      <c r="L938">
        <v>9991</v>
      </c>
      <c r="M938">
        <v>4</v>
      </c>
      <c r="N938" t="s">
        <v>41</v>
      </c>
      <c r="O938">
        <v>15</v>
      </c>
      <c r="P938">
        <v>3</v>
      </c>
      <c r="Q938">
        <v>1</v>
      </c>
      <c r="R938">
        <v>9</v>
      </c>
      <c r="S938">
        <v>5</v>
      </c>
      <c r="T938">
        <v>7</v>
      </c>
      <c r="U938">
        <v>1</v>
      </c>
      <c r="V938">
        <v>7</v>
      </c>
      <c r="W938" t="s">
        <v>51</v>
      </c>
      <c r="X938" s="1" t="d">
        <v>2014-02-22</v>
      </c>
      <c r="Z938" t="s">
        <v>45</v>
      </c>
      <c r="AA938" t="s">
        <v>40</v>
      </c>
      <c r="AB938">
        <v>5</v>
      </c>
      <c r="AC938">
        <v>2</v>
      </c>
      <c r="AD938" t="s">
        <v>32</v>
      </c>
      <c r="AE938" t="s">
        <v>60</v>
      </c>
      <c r="AF938" t="s">
        <v>57</v>
      </c>
      <c r="AG938">
        <f>IF(HR_Data[[#This Row],[Attrition]]="Yes",1,0)</f>
        <v>0</v>
      </c>
      <c r="AH938" t="str">
        <f>IF(HR_Data[Date_of_termination]="","Active","Left")</f>
        <v>Active</v>
      </c>
      <c r="AI938" t="str">
        <f>IF(HR_Data[YearsAtCompany]&lt;=2,"Fresher", IF(HR_Data[YearsAtCompany]&lt;=5,"Junior", IF(HR_Data[YearsAtCompany]&lt;=10, "Mid","Senior")))</f>
        <v>Mid</v>
      </c>
      <c r="AJ938" s="2" t="str">
        <f>IF(HR_Data[MonthlyIncome]&lt;=300,"Low", IF(HR_Data[MonthlyIncome]&lt;=7000,"Medium", "High"))</f>
        <v>High</v>
      </c>
      <c r="AK938" s="2" t="str">
        <f>VLOOKUP(HR_Data[JobRole], JobRole_Map[], 2, FALSE)</f>
        <v>Operations</v>
      </c>
    </row>
    <row r="939" spans="1:37" x14ac:dyDescent="0.25">
      <c r="A939" s="2">
        <v>33</v>
      </c>
      <c r="B939" t="s">
        <v>41</v>
      </c>
      <c r="C939" t="s">
        <v>61</v>
      </c>
      <c r="D939" t="s">
        <v>34</v>
      </c>
      <c r="E939">
        <v>3</v>
      </c>
      <c r="F939" t="s">
        <v>58</v>
      </c>
      <c r="G939">
        <v>3</v>
      </c>
      <c r="H939">
        <v>1</v>
      </c>
      <c r="I939" t="s">
        <v>44</v>
      </c>
      <c r="J939">
        <v>3</v>
      </c>
      <c r="K939" t="s">
        <v>50</v>
      </c>
      <c r="L939">
        <v>2909</v>
      </c>
      <c r="M939">
        <v>1</v>
      </c>
      <c r="N939" t="s">
        <v>32</v>
      </c>
      <c r="O939">
        <v>11</v>
      </c>
      <c r="P939">
        <v>3</v>
      </c>
      <c r="Q939">
        <v>0</v>
      </c>
      <c r="R939">
        <v>8</v>
      </c>
      <c r="S939">
        <v>3</v>
      </c>
      <c r="T939">
        <v>8</v>
      </c>
      <c r="U939">
        <v>3</v>
      </c>
      <c r="V939">
        <v>0</v>
      </c>
      <c r="W939" t="s">
        <v>38</v>
      </c>
      <c r="X939" s="1" t="d">
        <v>2013-04-26</v>
      </c>
      <c r="Z939" t="s">
        <v>52</v>
      </c>
      <c r="AA939" t="s">
        <v>46</v>
      </c>
      <c r="AB939">
        <v>2</v>
      </c>
      <c r="AC939">
        <v>0</v>
      </c>
      <c r="AD939" t="s">
        <v>41</v>
      </c>
      <c r="AE939" t="s">
        <v>62</v>
      </c>
      <c r="AF939" t="s">
        <v>43</v>
      </c>
      <c r="AG939">
        <f>IF(HR_Data[[#This Row],[Attrition]]="Yes",1,0)</f>
        <v>0</v>
      </c>
      <c r="AH939" t="str">
        <f>IF(HR_Data[Date_of_termination]="","Active","Left")</f>
        <v>Active</v>
      </c>
      <c r="AI939" t="str">
        <f>IF(HR_Data[YearsAtCompany]&lt;=2,"Fresher", IF(HR_Data[YearsAtCompany]&lt;=5,"Junior", IF(HR_Data[YearsAtCompany]&lt;=10, "Mid","Senior")))</f>
        <v>Mid</v>
      </c>
      <c r="AJ939" s="2" t="str">
        <f>IF(HR_Data[MonthlyIncome]&lt;=300,"Low", IF(HR_Data[MonthlyIncome]&lt;=7000,"Medium", "High"))</f>
        <v>Medium</v>
      </c>
      <c r="AK939" s="2" t="str">
        <f>VLOOKUP(HR_Data[JobRole], JobRole_Map[], 2, FALSE)</f>
        <v>Technical</v>
      </c>
    </row>
    <row r="940" spans="1:37" x14ac:dyDescent="0.25">
      <c r="A940" s="2">
        <v>50</v>
      </c>
      <c r="B940" t="s">
        <v>41</v>
      </c>
      <c r="C940" t="s">
        <v>61</v>
      </c>
      <c r="D940" t="s">
        <v>34</v>
      </c>
      <c r="E940">
        <v>1</v>
      </c>
      <c r="F940" t="s">
        <v>58</v>
      </c>
      <c r="G940">
        <v>3</v>
      </c>
      <c r="H940">
        <v>5</v>
      </c>
      <c r="I940" t="s">
        <v>49</v>
      </c>
      <c r="J940">
        <v>2</v>
      </c>
      <c r="K940" t="s">
        <v>50</v>
      </c>
      <c r="L940">
        <v>18172</v>
      </c>
      <c r="M940">
        <v>3</v>
      </c>
      <c r="N940" t="s">
        <v>32</v>
      </c>
      <c r="O940">
        <v>19</v>
      </c>
      <c r="P940">
        <v>3</v>
      </c>
      <c r="Q940">
        <v>0</v>
      </c>
      <c r="R940">
        <v>28</v>
      </c>
      <c r="S940">
        <v>1</v>
      </c>
      <c r="T940">
        <v>8</v>
      </c>
      <c r="U940">
        <v>0</v>
      </c>
      <c r="V940">
        <v>7</v>
      </c>
      <c r="W940" t="s">
        <v>51</v>
      </c>
      <c r="X940" s="1" t="d">
        <v>2013-03-30</v>
      </c>
      <c r="Z940" t="s">
        <v>45</v>
      </c>
      <c r="AA940" t="s">
        <v>46</v>
      </c>
      <c r="AB940">
        <v>5</v>
      </c>
      <c r="AC940">
        <v>3</v>
      </c>
      <c r="AD940" t="s">
        <v>32</v>
      </c>
      <c r="AE940" t="s">
        <v>62</v>
      </c>
      <c r="AF940" t="s">
        <v>57</v>
      </c>
      <c r="AG940">
        <f>IF(HR_Data[[#This Row],[Attrition]]="Yes",1,0)</f>
        <v>0</v>
      </c>
      <c r="AH940" t="str">
        <f>IF(HR_Data[Date_of_termination]="","Active","Left")</f>
        <v>Active</v>
      </c>
      <c r="AI940" t="str">
        <f>IF(HR_Data[YearsAtCompany]&lt;=2,"Fresher", IF(HR_Data[YearsAtCompany]&lt;=5,"Junior", IF(HR_Data[YearsAtCompany]&lt;=10, "Mid","Senior")))</f>
        <v>Mid</v>
      </c>
      <c r="AJ940" s="2" t="str">
        <f>IF(HR_Data[MonthlyIncome]&lt;=300,"Low", IF(HR_Data[MonthlyIncome]&lt;=7000,"Medium", "High"))</f>
        <v>High</v>
      </c>
      <c r="AK940" s="2" t="str">
        <f>VLOOKUP(HR_Data[JobRole], JobRole_Map[], 2, FALSE)</f>
        <v>Management</v>
      </c>
    </row>
    <row r="941" spans="1:37" x14ac:dyDescent="0.25">
      <c r="A941" s="2">
        <v>26</v>
      </c>
      <c r="B941" t="s">
        <v>41</v>
      </c>
      <c r="C941" t="s">
        <v>33</v>
      </c>
      <c r="D941" t="s">
        <v>70</v>
      </c>
      <c r="E941">
        <v>25</v>
      </c>
      <c r="F941" t="s">
        <v>58</v>
      </c>
      <c r="G941">
        <v>3</v>
      </c>
      <c r="H941">
        <v>1</v>
      </c>
      <c r="I941" t="s">
        <v>70</v>
      </c>
      <c r="J941">
        <v>3</v>
      </c>
      <c r="K941" t="s">
        <v>50</v>
      </c>
      <c r="L941">
        <v>2942</v>
      </c>
      <c r="M941">
        <v>1</v>
      </c>
      <c r="N941" t="s">
        <v>41</v>
      </c>
      <c r="O941">
        <v>23</v>
      </c>
      <c r="P941">
        <v>4</v>
      </c>
      <c r="Q941">
        <v>1</v>
      </c>
      <c r="R941">
        <v>8</v>
      </c>
      <c r="S941">
        <v>3</v>
      </c>
      <c r="T941">
        <v>8</v>
      </c>
      <c r="U941">
        <v>5</v>
      </c>
      <c r="V941">
        <v>7</v>
      </c>
      <c r="W941" t="s">
        <v>65</v>
      </c>
      <c r="X941" s="1" t="d">
        <v>2013-02-13</v>
      </c>
      <c r="Z941" t="s">
        <v>39</v>
      </c>
      <c r="AA941" t="s">
        <v>40</v>
      </c>
      <c r="AB941">
        <v>0</v>
      </c>
      <c r="AC941">
        <v>2</v>
      </c>
      <c r="AD941" t="s">
        <v>41</v>
      </c>
      <c r="AE941" t="s">
        <v>62</v>
      </c>
      <c r="AF941" t="s">
        <v>48</v>
      </c>
      <c r="AG941">
        <f>IF(HR_Data[[#This Row],[Attrition]]="Yes",1,0)</f>
        <v>0</v>
      </c>
      <c r="AH941" t="str">
        <f>IF(HR_Data[Date_of_termination]="","Active","Left")</f>
        <v>Active</v>
      </c>
      <c r="AI941" t="str">
        <f>IF(HR_Data[YearsAtCompany]&lt;=2,"Fresher", IF(HR_Data[YearsAtCompany]&lt;=5,"Junior", IF(HR_Data[YearsAtCompany]&lt;=10, "Mid","Senior")))</f>
        <v>Mid</v>
      </c>
      <c r="AJ941" s="2" t="str">
        <f>IF(HR_Data[MonthlyIncome]&lt;=300,"Low", IF(HR_Data[MonthlyIncome]&lt;=7000,"Medium", "High"))</f>
        <v>Medium</v>
      </c>
      <c r="AK941" s="2" t="str">
        <f>VLOOKUP(HR_Data[JobRole], JobRole_Map[], 2, FALSE)</f>
        <v>HR</v>
      </c>
    </row>
    <row r="942" spans="1:37" x14ac:dyDescent="0.25">
      <c r="A942" s="2">
        <v>32</v>
      </c>
      <c r="B942" t="s">
        <v>41</v>
      </c>
      <c r="C942" t="s">
        <v>61</v>
      </c>
      <c r="D942" t="s">
        <v>53</v>
      </c>
      <c r="E942">
        <v>9</v>
      </c>
      <c r="F942" t="s">
        <v>35</v>
      </c>
      <c r="G942">
        <v>1</v>
      </c>
      <c r="H942">
        <v>2</v>
      </c>
      <c r="I942" t="s">
        <v>64</v>
      </c>
      <c r="J942">
        <v>4</v>
      </c>
      <c r="K942" t="s">
        <v>55</v>
      </c>
      <c r="L942">
        <v>4668</v>
      </c>
      <c r="M942">
        <v>0</v>
      </c>
      <c r="N942" t="s">
        <v>41</v>
      </c>
      <c r="O942">
        <v>17</v>
      </c>
      <c r="P942">
        <v>3</v>
      </c>
      <c r="Q942">
        <v>3</v>
      </c>
      <c r="R942">
        <v>9</v>
      </c>
      <c r="S942">
        <v>2</v>
      </c>
      <c r="T942">
        <v>8</v>
      </c>
      <c r="U942">
        <v>0</v>
      </c>
      <c r="V942">
        <v>7</v>
      </c>
      <c r="W942" t="s">
        <v>65</v>
      </c>
      <c r="X942" s="1" t="d">
        <v>2013-03-27</v>
      </c>
      <c r="Z942" t="s">
        <v>63</v>
      </c>
      <c r="AA942" t="s">
        <v>40</v>
      </c>
      <c r="AB942">
        <v>5</v>
      </c>
      <c r="AC942">
        <v>3</v>
      </c>
      <c r="AD942" t="s">
        <v>32</v>
      </c>
      <c r="AE942" t="s">
        <v>42</v>
      </c>
      <c r="AF942" t="s">
        <v>57</v>
      </c>
      <c r="AG942">
        <f>IF(HR_Data[[#This Row],[Attrition]]="Yes",1,0)</f>
        <v>0</v>
      </c>
      <c r="AH942" t="str">
        <f>IF(HR_Data[Date_of_termination]="","Active","Left")</f>
        <v>Active</v>
      </c>
      <c r="AI942" t="str">
        <f>IF(HR_Data[YearsAtCompany]&lt;=2,"Fresher", IF(HR_Data[YearsAtCompany]&lt;=5,"Junior", IF(HR_Data[YearsAtCompany]&lt;=10, "Mid","Senior")))</f>
        <v>Mid</v>
      </c>
      <c r="AJ942" s="2" t="str">
        <f>IF(HR_Data[MonthlyIncome]&lt;=300,"Low", IF(HR_Data[MonthlyIncome]&lt;=7000,"Medium", "High"))</f>
        <v>Medium</v>
      </c>
      <c r="AK942" s="2" t="str">
        <f>VLOOKUP(HR_Data[JobRole], JobRole_Map[], 2, FALSE)</f>
        <v>Sales</v>
      </c>
    </row>
    <row r="943" spans="1:37" x14ac:dyDescent="0.25">
      <c r="A943" s="2">
        <v>38</v>
      </c>
      <c r="B943" t="s">
        <v>41</v>
      </c>
      <c r="C943" t="s">
        <v>33</v>
      </c>
      <c r="D943" t="s">
        <v>53</v>
      </c>
      <c r="E943">
        <v>1</v>
      </c>
      <c r="F943" t="s">
        <v>58</v>
      </c>
      <c r="G943">
        <v>2</v>
      </c>
      <c r="H943">
        <v>2</v>
      </c>
      <c r="I943" t="s">
        <v>64</v>
      </c>
      <c r="J943">
        <v>4</v>
      </c>
      <c r="K943" t="s">
        <v>37</v>
      </c>
      <c r="L943">
        <v>8686</v>
      </c>
      <c r="M943">
        <v>4</v>
      </c>
      <c r="N943" t="s">
        <v>41</v>
      </c>
      <c r="O943">
        <v>22</v>
      </c>
      <c r="P943">
        <v>4</v>
      </c>
      <c r="Q943">
        <v>0</v>
      </c>
      <c r="R943">
        <v>12</v>
      </c>
      <c r="S943">
        <v>2</v>
      </c>
      <c r="T943">
        <v>8</v>
      </c>
      <c r="U943">
        <v>0</v>
      </c>
      <c r="V943">
        <v>7</v>
      </c>
      <c r="W943" t="s">
        <v>65</v>
      </c>
      <c r="X943" s="1" t="d">
        <v>2013-01-22</v>
      </c>
      <c r="Z943" t="s">
        <v>59</v>
      </c>
      <c r="AA943" t="s">
        <v>46</v>
      </c>
      <c r="AB943">
        <v>0</v>
      </c>
      <c r="AC943">
        <v>1</v>
      </c>
      <c r="AD943" t="s">
        <v>41</v>
      </c>
      <c r="AE943" t="s">
        <v>42</v>
      </c>
      <c r="AF943" t="s">
        <v>43</v>
      </c>
      <c r="AG943">
        <f>IF(HR_Data[[#This Row],[Attrition]]="Yes",1,0)</f>
        <v>0</v>
      </c>
      <c r="AH943" t="str">
        <f>IF(HR_Data[Date_of_termination]="","Active","Left")</f>
        <v>Active</v>
      </c>
      <c r="AI943" t="str">
        <f>IF(HR_Data[YearsAtCompany]&lt;=2,"Fresher", IF(HR_Data[YearsAtCompany]&lt;=5,"Junior", IF(HR_Data[YearsAtCompany]&lt;=10, "Mid","Senior")))</f>
        <v>Mid</v>
      </c>
      <c r="AJ943" s="2" t="str">
        <f>IF(HR_Data[MonthlyIncome]&lt;=300,"Low", IF(HR_Data[MonthlyIncome]&lt;=7000,"Medium", "High"))</f>
        <v>High</v>
      </c>
      <c r="AK943" s="2" t="str">
        <f>VLOOKUP(HR_Data[JobRole], JobRole_Map[], 2, FALSE)</f>
        <v>Sales</v>
      </c>
    </row>
    <row r="944" spans="1:37" x14ac:dyDescent="0.25">
      <c r="A944" s="2">
        <v>36</v>
      </c>
      <c r="B944" t="s">
        <v>41</v>
      </c>
      <c r="C944" t="s">
        <v>61</v>
      </c>
      <c r="D944" t="s">
        <v>34</v>
      </c>
      <c r="E944">
        <v>3</v>
      </c>
      <c r="F944" t="s">
        <v>35</v>
      </c>
      <c r="G944">
        <v>3</v>
      </c>
      <c r="H944">
        <v>1</v>
      </c>
      <c r="I944" t="s">
        <v>36</v>
      </c>
      <c r="J944">
        <v>2</v>
      </c>
      <c r="K944" t="s">
        <v>37</v>
      </c>
      <c r="L944">
        <v>2088</v>
      </c>
      <c r="M944">
        <v>4</v>
      </c>
      <c r="N944" t="s">
        <v>41</v>
      </c>
      <c r="O944">
        <v>12</v>
      </c>
      <c r="P944">
        <v>3</v>
      </c>
      <c r="Q944">
        <v>0</v>
      </c>
      <c r="R944">
        <v>13</v>
      </c>
      <c r="S944">
        <v>3</v>
      </c>
      <c r="T944">
        <v>8</v>
      </c>
      <c r="U944">
        <v>7</v>
      </c>
      <c r="V944">
        <v>2</v>
      </c>
      <c r="W944" t="s">
        <v>38</v>
      </c>
      <c r="X944" s="1" t="d">
        <v>2013-04-18</v>
      </c>
      <c r="Z944" t="s">
        <v>52</v>
      </c>
      <c r="AA944" t="s">
        <v>46</v>
      </c>
      <c r="AB944">
        <v>5</v>
      </c>
      <c r="AC944">
        <v>1</v>
      </c>
      <c r="AD944" t="s">
        <v>32</v>
      </c>
      <c r="AE944" t="s">
        <v>42</v>
      </c>
      <c r="AF944" t="s">
        <v>57</v>
      </c>
      <c r="AG944">
        <f>IF(HR_Data[[#This Row],[Attrition]]="Yes",1,0)</f>
        <v>0</v>
      </c>
      <c r="AH944" t="str">
        <f>IF(HR_Data[Date_of_termination]="","Active","Left")</f>
        <v>Active</v>
      </c>
      <c r="AI944" t="str">
        <f>IF(HR_Data[YearsAtCompany]&lt;=2,"Fresher", IF(HR_Data[YearsAtCompany]&lt;=5,"Junior", IF(HR_Data[YearsAtCompany]&lt;=10, "Mid","Senior")))</f>
        <v>Mid</v>
      </c>
      <c r="AJ944" s="2" t="str">
        <f>IF(HR_Data[MonthlyIncome]&lt;=300,"Low", IF(HR_Data[MonthlyIncome]&lt;=7000,"Medium", "High"))</f>
        <v>Medium</v>
      </c>
      <c r="AK944" s="2" t="str">
        <f>VLOOKUP(HR_Data[JobRole], JobRole_Map[], 2, FALSE)</f>
        <v>Technical</v>
      </c>
    </row>
    <row r="945" spans="1:37" x14ac:dyDescent="0.25">
      <c r="A945" s="2">
        <v>33</v>
      </c>
      <c r="B945" t="s">
        <v>41</v>
      </c>
      <c r="C945" t="s">
        <v>33</v>
      </c>
      <c r="D945" t="s">
        <v>34</v>
      </c>
      <c r="E945">
        <v>14</v>
      </c>
      <c r="F945" t="s">
        <v>58</v>
      </c>
      <c r="G945">
        <v>3</v>
      </c>
      <c r="H945">
        <v>1</v>
      </c>
      <c r="I945" t="s">
        <v>44</v>
      </c>
      <c r="J945">
        <v>2</v>
      </c>
      <c r="K945" t="s">
        <v>50</v>
      </c>
      <c r="L945">
        <v>2756</v>
      </c>
      <c r="M945">
        <v>1</v>
      </c>
      <c r="N945" t="s">
        <v>41</v>
      </c>
      <c r="O945">
        <v>13</v>
      </c>
      <c r="P945">
        <v>3</v>
      </c>
      <c r="Q945">
        <v>1</v>
      </c>
      <c r="R945">
        <v>8</v>
      </c>
      <c r="S945">
        <v>5</v>
      </c>
      <c r="T945">
        <v>8</v>
      </c>
      <c r="U945">
        <v>1</v>
      </c>
      <c r="V945">
        <v>6</v>
      </c>
      <c r="W945" t="s">
        <v>56</v>
      </c>
      <c r="X945" s="1" t="d">
        <v>2013-01-23</v>
      </c>
      <c r="Z945" t="s">
        <v>63</v>
      </c>
      <c r="AA945" t="s">
        <v>40</v>
      </c>
      <c r="AB945">
        <v>4</v>
      </c>
      <c r="AC945">
        <v>1</v>
      </c>
      <c r="AD945" t="s">
        <v>41</v>
      </c>
      <c r="AE945" t="s">
        <v>47</v>
      </c>
      <c r="AF945" t="s">
        <v>43</v>
      </c>
      <c r="AG945">
        <f>IF(HR_Data[[#This Row],[Attrition]]="Yes",1,0)</f>
        <v>0</v>
      </c>
      <c r="AH945" t="str">
        <f>IF(HR_Data[Date_of_termination]="","Active","Left")</f>
        <v>Active</v>
      </c>
      <c r="AI945" t="str">
        <f>IF(HR_Data[YearsAtCompany]&lt;=2,"Fresher", IF(HR_Data[YearsAtCompany]&lt;=5,"Junior", IF(HR_Data[YearsAtCompany]&lt;=10, "Mid","Senior")))</f>
        <v>Mid</v>
      </c>
      <c r="AJ945" s="2" t="str">
        <f>IF(HR_Data[MonthlyIncome]&lt;=300,"Low", IF(HR_Data[MonthlyIncome]&lt;=7000,"Medium", "High"))</f>
        <v>Medium</v>
      </c>
      <c r="AK945" s="2" t="str">
        <f>VLOOKUP(HR_Data[JobRole], JobRole_Map[], 2, FALSE)</f>
        <v>Technical</v>
      </c>
    </row>
    <row r="946" spans="1:37" x14ac:dyDescent="0.25">
      <c r="A946" s="2">
        <v>37</v>
      </c>
      <c r="B946" t="s">
        <v>41</v>
      </c>
      <c r="C946" t="s">
        <v>33</v>
      </c>
      <c r="D946" t="s">
        <v>34</v>
      </c>
      <c r="E946">
        <v>21</v>
      </c>
      <c r="F946" t="s">
        <v>35</v>
      </c>
      <c r="G946">
        <v>4</v>
      </c>
      <c r="H946">
        <v>1</v>
      </c>
      <c r="I946" t="s">
        <v>44</v>
      </c>
      <c r="J946">
        <v>1</v>
      </c>
      <c r="K946" t="s">
        <v>50</v>
      </c>
      <c r="L946">
        <v>3564</v>
      </c>
      <c r="M946">
        <v>1</v>
      </c>
      <c r="N946" t="s">
        <v>32</v>
      </c>
      <c r="O946">
        <v>12</v>
      </c>
      <c r="P946">
        <v>3</v>
      </c>
      <c r="Q946">
        <v>1</v>
      </c>
      <c r="R946">
        <v>8</v>
      </c>
      <c r="S946">
        <v>3</v>
      </c>
      <c r="T946">
        <v>8</v>
      </c>
      <c r="U946">
        <v>1</v>
      </c>
      <c r="V946">
        <v>7</v>
      </c>
      <c r="W946" t="s">
        <v>56</v>
      </c>
      <c r="X946" s="1" t="d">
        <v>2013-05-11</v>
      </c>
      <c r="Z946" t="s">
        <v>52</v>
      </c>
      <c r="AA946" t="s">
        <v>40</v>
      </c>
      <c r="AB946">
        <v>3</v>
      </c>
      <c r="AC946">
        <v>0</v>
      </c>
      <c r="AD946" t="s">
        <v>32</v>
      </c>
      <c r="AE946" t="s">
        <v>62</v>
      </c>
      <c r="AF946" t="s">
        <v>57</v>
      </c>
      <c r="AG946">
        <f>IF(HR_Data[[#This Row],[Attrition]]="Yes",1,0)</f>
        <v>0</v>
      </c>
      <c r="AH946" t="str">
        <f>IF(HR_Data[Date_of_termination]="","Active","Left")</f>
        <v>Active</v>
      </c>
      <c r="AI946" t="str">
        <f>IF(HR_Data[YearsAtCompany]&lt;=2,"Fresher", IF(HR_Data[YearsAtCompany]&lt;=5,"Junior", IF(HR_Data[YearsAtCompany]&lt;=10, "Mid","Senior")))</f>
        <v>Mid</v>
      </c>
      <c r="AJ946" s="2" t="str">
        <f>IF(HR_Data[MonthlyIncome]&lt;=300,"Low", IF(HR_Data[MonthlyIncome]&lt;=7000,"Medium", "High"))</f>
        <v>Medium</v>
      </c>
      <c r="AK946" s="2" t="str">
        <f>VLOOKUP(HR_Data[JobRole], JobRole_Map[], 2, FALSE)</f>
        <v>Technical</v>
      </c>
    </row>
    <row r="947" spans="1:37" x14ac:dyDescent="0.25">
      <c r="A947" s="2">
        <v>36</v>
      </c>
      <c r="B947" t="s">
        <v>41</v>
      </c>
      <c r="C947" t="s">
        <v>61</v>
      </c>
      <c r="D947" t="s">
        <v>34</v>
      </c>
      <c r="E947">
        <v>18</v>
      </c>
      <c r="F947" t="s">
        <v>58</v>
      </c>
      <c r="G947">
        <v>3</v>
      </c>
      <c r="H947">
        <v>1</v>
      </c>
      <c r="I947" t="s">
        <v>36</v>
      </c>
      <c r="J947">
        <v>4</v>
      </c>
      <c r="K947" t="s">
        <v>37</v>
      </c>
      <c r="L947">
        <v>2153</v>
      </c>
      <c r="M947">
        <v>1</v>
      </c>
      <c r="N947" t="s">
        <v>41</v>
      </c>
      <c r="O947">
        <v>13</v>
      </c>
      <c r="P947">
        <v>3</v>
      </c>
      <c r="Q947">
        <v>0</v>
      </c>
      <c r="R947">
        <v>8</v>
      </c>
      <c r="S947">
        <v>2</v>
      </c>
      <c r="T947">
        <v>8</v>
      </c>
      <c r="U947">
        <v>1</v>
      </c>
      <c r="V947">
        <v>7</v>
      </c>
      <c r="W947" t="s">
        <v>51</v>
      </c>
      <c r="X947" s="1" t="d">
        <v>2013-06-24</v>
      </c>
      <c r="Z947" t="s">
        <v>63</v>
      </c>
      <c r="AA947" t="s">
        <v>40</v>
      </c>
      <c r="AB947">
        <v>4</v>
      </c>
      <c r="AC947">
        <v>3</v>
      </c>
      <c r="AD947" t="s">
        <v>32</v>
      </c>
      <c r="AE947" t="s">
        <v>47</v>
      </c>
      <c r="AF947" t="s">
        <v>48</v>
      </c>
      <c r="AG947">
        <f>IF(HR_Data[[#This Row],[Attrition]]="Yes",1,0)</f>
        <v>0</v>
      </c>
      <c r="AH947" t="str">
        <f>IF(HR_Data[Date_of_termination]="","Active","Left")</f>
        <v>Active</v>
      </c>
      <c r="AI947" t="str">
        <f>IF(HR_Data[YearsAtCompany]&lt;=2,"Fresher", IF(HR_Data[YearsAtCompany]&lt;=5,"Junior", IF(HR_Data[YearsAtCompany]&lt;=10, "Mid","Senior")))</f>
        <v>Mid</v>
      </c>
      <c r="AJ947" s="2" t="str">
        <f>IF(HR_Data[MonthlyIncome]&lt;=300,"Low", IF(HR_Data[MonthlyIncome]&lt;=7000,"Medium", "High"))</f>
        <v>Medium</v>
      </c>
      <c r="AK947" s="2" t="str">
        <f>VLOOKUP(HR_Data[JobRole], JobRole_Map[], 2, FALSE)</f>
        <v>Technical</v>
      </c>
    </row>
    <row r="948" spans="1:37" x14ac:dyDescent="0.25">
      <c r="A948" s="2">
        <v>38</v>
      </c>
      <c r="B948" t="s">
        <v>41</v>
      </c>
      <c r="C948" t="s">
        <v>68</v>
      </c>
      <c r="D948" t="s">
        <v>53</v>
      </c>
      <c r="E948">
        <v>2</v>
      </c>
      <c r="F948" t="s">
        <v>35</v>
      </c>
      <c r="G948">
        <v>2</v>
      </c>
      <c r="H948">
        <v>2</v>
      </c>
      <c r="I948" t="s">
        <v>64</v>
      </c>
      <c r="J948">
        <v>4</v>
      </c>
      <c r="K948" t="s">
        <v>50</v>
      </c>
      <c r="L948">
        <v>5249</v>
      </c>
      <c r="M948">
        <v>3</v>
      </c>
      <c r="N948" t="s">
        <v>41</v>
      </c>
      <c r="O948">
        <v>18</v>
      </c>
      <c r="P948">
        <v>3</v>
      </c>
      <c r="Q948">
        <v>1</v>
      </c>
      <c r="R948">
        <v>13</v>
      </c>
      <c r="S948">
        <v>0</v>
      </c>
      <c r="T948">
        <v>8</v>
      </c>
      <c r="U948">
        <v>7</v>
      </c>
      <c r="V948">
        <v>5</v>
      </c>
      <c r="W948" t="s">
        <v>56</v>
      </c>
      <c r="X948" s="1" t="d">
        <v>2013-01-26</v>
      </c>
      <c r="Z948" t="s">
        <v>39</v>
      </c>
      <c r="AA948" t="s">
        <v>46</v>
      </c>
      <c r="AB948">
        <v>1</v>
      </c>
      <c r="AC948">
        <v>0</v>
      </c>
      <c r="AD948" t="s">
        <v>32</v>
      </c>
      <c r="AE948" t="s">
        <v>62</v>
      </c>
      <c r="AF948" t="s">
        <v>48</v>
      </c>
      <c r="AG948">
        <f>IF(HR_Data[[#This Row],[Attrition]]="Yes",1,0)</f>
        <v>0</v>
      </c>
      <c r="AH948" t="str">
        <f>IF(HR_Data[Date_of_termination]="","Active","Left")</f>
        <v>Active</v>
      </c>
      <c r="AI948" t="str">
        <f>IF(HR_Data[YearsAtCompany]&lt;=2,"Fresher", IF(HR_Data[YearsAtCompany]&lt;=5,"Junior", IF(HR_Data[YearsAtCompany]&lt;=10, "Mid","Senior")))</f>
        <v>Mid</v>
      </c>
      <c r="AJ948" s="2" t="str">
        <f>IF(HR_Data[MonthlyIncome]&lt;=300,"Low", IF(HR_Data[MonthlyIncome]&lt;=7000,"Medium", "High"))</f>
        <v>Medium</v>
      </c>
      <c r="AK948" s="2" t="str">
        <f>VLOOKUP(HR_Data[JobRole], JobRole_Map[], 2, FALSE)</f>
        <v>Sales</v>
      </c>
    </row>
    <row r="949" spans="1:37" x14ac:dyDescent="0.25">
      <c r="A949" s="2">
        <v>38</v>
      </c>
      <c r="B949" t="s">
        <v>41</v>
      </c>
      <c r="C949" t="s">
        <v>33</v>
      </c>
      <c r="D949" t="s">
        <v>53</v>
      </c>
      <c r="E949">
        <v>7</v>
      </c>
      <c r="F949" t="s">
        <v>58</v>
      </c>
      <c r="G949">
        <v>4</v>
      </c>
      <c r="H949">
        <v>2</v>
      </c>
      <c r="I949" t="s">
        <v>64</v>
      </c>
      <c r="J949">
        <v>1</v>
      </c>
      <c r="K949" t="s">
        <v>55</v>
      </c>
      <c r="L949">
        <v>5605</v>
      </c>
      <c r="M949">
        <v>1</v>
      </c>
      <c r="N949" t="s">
        <v>32</v>
      </c>
      <c r="O949">
        <v>24</v>
      </c>
      <c r="P949">
        <v>4</v>
      </c>
      <c r="Q949">
        <v>1</v>
      </c>
      <c r="R949">
        <v>8</v>
      </c>
      <c r="S949">
        <v>3</v>
      </c>
      <c r="T949">
        <v>8</v>
      </c>
      <c r="U949">
        <v>7</v>
      </c>
      <c r="V949">
        <v>7</v>
      </c>
      <c r="W949" t="s">
        <v>65</v>
      </c>
      <c r="X949" s="1" t="d">
        <v>2013-01-09</v>
      </c>
      <c r="Z949" t="s">
        <v>52</v>
      </c>
      <c r="AA949" t="s">
        <v>46</v>
      </c>
      <c r="AB949">
        <v>5</v>
      </c>
      <c r="AC949">
        <v>3</v>
      </c>
      <c r="AD949" t="s">
        <v>41</v>
      </c>
      <c r="AE949" t="s">
        <v>62</v>
      </c>
      <c r="AF949" t="s">
        <v>43</v>
      </c>
      <c r="AG949">
        <f>IF(HR_Data[[#This Row],[Attrition]]="Yes",1,0)</f>
        <v>0</v>
      </c>
      <c r="AH949" t="str">
        <f>IF(HR_Data[Date_of_termination]="","Active","Left")</f>
        <v>Active</v>
      </c>
      <c r="AI949" t="str">
        <f>IF(HR_Data[YearsAtCompany]&lt;=2,"Fresher", IF(HR_Data[YearsAtCompany]&lt;=5,"Junior", IF(HR_Data[YearsAtCompany]&lt;=10, "Mid","Senior")))</f>
        <v>Mid</v>
      </c>
      <c r="AJ949" s="2" t="str">
        <f>IF(HR_Data[MonthlyIncome]&lt;=300,"Low", IF(HR_Data[MonthlyIncome]&lt;=7000,"Medium", "High"))</f>
        <v>Medium</v>
      </c>
      <c r="AK949" s="2" t="str">
        <f>VLOOKUP(HR_Data[JobRole], JobRole_Map[], 2, FALSE)</f>
        <v>Sales</v>
      </c>
    </row>
    <row r="950" spans="1:37" x14ac:dyDescent="0.25">
      <c r="A950" s="2">
        <v>36</v>
      </c>
      <c r="B950" t="s">
        <v>41</v>
      </c>
      <c r="C950" t="s">
        <v>33</v>
      </c>
      <c r="D950" t="s">
        <v>34</v>
      </c>
      <c r="E950">
        <v>3</v>
      </c>
      <c r="F950" t="s">
        <v>35</v>
      </c>
      <c r="G950">
        <v>3</v>
      </c>
      <c r="H950">
        <v>2</v>
      </c>
      <c r="I950" t="s">
        <v>44</v>
      </c>
      <c r="J950">
        <v>2</v>
      </c>
      <c r="K950" t="s">
        <v>37</v>
      </c>
      <c r="L950">
        <v>4485</v>
      </c>
      <c r="M950">
        <v>4</v>
      </c>
      <c r="N950" t="s">
        <v>41</v>
      </c>
      <c r="O950">
        <v>12</v>
      </c>
      <c r="P950">
        <v>3</v>
      </c>
      <c r="Q950">
        <v>0</v>
      </c>
      <c r="R950">
        <v>10</v>
      </c>
      <c r="S950">
        <v>2</v>
      </c>
      <c r="T950">
        <v>8</v>
      </c>
      <c r="U950">
        <v>7</v>
      </c>
      <c r="V950">
        <v>7</v>
      </c>
      <c r="W950" t="s">
        <v>65</v>
      </c>
      <c r="X950" s="1" t="d">
        <v>2013-02-17</v>
      </c>
      <c r="Z950" t="s">
        <v>52</v>
      </c>
      <c r="AA950" t="s">
        <v>46</v>
      </c>
      <c r="AB950">
        <v>5</v>
      </c>
      <c r="AC950">
        <v>2</v>
      </c>
      <c r="AD950" t="s">
        <v>41</v>
      </c>
      <c r="AE950" t="s">
        <v>47</v>
      </c>
      <c r="AF950" t="s">
        <v>57</v>
      </c>
      <c r="AG950">
        <f>IF(HR_Data[[#This Row],[Attrition]]="Yes",1,0)</f>
        <v>0</v>
      </c>
      <c r="AH950" t="str">
        <f>IF(HR_Data[Date_of_termination]="","Active","Left")</f>
        <v>Active</v>
      </c>
      <c r="AI950" t="str">
        <f>IF(HR_Data[YearsAtCompany]&lt;=2,"Fresher", IF(HR_Data[YearsAtCompany]&lt;=5,"Junior", IF(HR_Data[YearsAtCompany]&lt;=10, "Mid","Senior")))</f>
        <v>Mid</v>
      </c>
      <c r="AJ950" s="2" t="str">
        <f>IF(HR_Data[MonthlyIncome]&lt;=300,"Low", IF(HR_Data[MonthlyIncome]&lt;=7000,"Medium", "High"))</f>
        <v>Medium</v>
      </c>
      <c r="AK950" s="2" t="str">
        <f>VLOOKUP(HR_Data[JobRole], JobRole_Map[], 2, FALSE)</f>
        <v>Technical</v>
      </c>
    </row>
    <row r="951" spans="1:37" x14ac:dyDescent="0.25">
      <c r="A951" s="2">
        <v>26</v>
      </c>
      <c r="B951" t="s">
        <v>32</v>
      </c>
      <c r="C951" t="s">
        <v>33</v>
      </c>
      <c r="D951" t="s">
        <v>53</v>
      </c>
      <c r="E951">
        <v>4</v>
      </c>
      <c r="F951" t="s">
        <v>35</v>
      </c>
      <c r="G951">
        <v>2</v>
      </c>
      <c r="H951">
        <v>2</v>
      </c>
      <c r="I951" t="s">
        <v>64</v>
      </c>
      <c r="J951">
        <v>4</v>
      </c>
      <c r="K951" t="s">
        <v>37</v>
      </c>
      <c r="L951">
        <v>5828</v>
      </c>
      <c r="M951">
        <v>1</v>
      </c>
      <c r="N951" t="s">
        <v>32</v>
      </c>
      <c r="O951">
        <v>12</v>
      </c>
      <c r="P951">
        <v>3</v>
      </c>
      <c r="Q951">
        <v>0</v>
      </c>
      <c r="R951">
        <v>8</v>
      </c>
      <c r="S951">
        <v>0</v>
      </c>
      <c r="T951">
        <v>8</v>
      </c>
      <c r="U951">
        <v>7</v>
      </c>
      <c r="V951">
        <v>4</v>
      </c>
      <c r="W951" t="s">
        <v>65</v>
      </c>
      <c r="X951" s="1" t="d">
        <v>2013-03-28</v>
      </c>
      <c r="Z951" t="s">
        <v>45</v>
      </c>
      <c r="AA951" t="s">
        <v>46</v>
      </c>
      <c r="AB951">
        <v>3</v>
      </c>
      <c r="AC951">
        <v>3</v>
      </c>
      <c r="AD951" t="s">
        <v>32</v>
      </c>
      <c r="AE951" t="s">
        <v>47</v>
      </c>
      <c r="AF951" t="s">
        <v>48</v>
      </c>
      <c r="AG951">
        <f>IF(HR_Data[[#This Row],[Attrition]]="Yes",1,0)</f>
        <v>1</v>
      </c>
      <c r="AH951" t="str">
        <f>IF(HR_Data[Date_of_termination]="","Active","Left")</f>
        <v>Active</v>
      </c>
      <c r="AI951" t="str">
        <f>IF(HR_Data[YearsAtCompany]&lt;=2,"Fresher", IF(HR_Data[YearsAtCompany]&lt;=5,"Junior", IF(HR_Data[YearsAtCompany]&lt;=10, "Mid","Senior")))</f>
        <v>Mid</v>
      </c>
      <c r="AJ951" s="2" t="str">
        <f>IF(HR_Data[MonthlyIncome]&lt;=300,"Low", IF(HR_Data[MonthlyIncome]&lt;=7000,"Medium", "High"))</f>
        <v>Medium</v>
      </c>
      <c r="AK951" s="2" t="str">
        <f>VLOOKUP(HR_Data[JobRole], JobRole_Map[], 2, FALSE)</f>
        <v>Sales</v>
      </c>
    </row>
    <row r="952" spans="1:37" x14ac:dyDescent="0.25">
      <c r="A952" s="2">
        <v>28</v>
      </c>
      <c r="B952" t="s">
        <v>41</v>
      </c>
      <c r="C952" t="s">
        <v>33</v>
      </c>
      <c r="D952" t="s">
        <v>34</v>
      </c>
      <c r="E952">
        <v>16</v>
      </c>
      <c r="F952" t="s">
        <v>35</v>
      </c>
      <c r="G952">
        <v>4</v>
      </c>
      <c r="H952">
        <v>2</v>
      </c>
      <c r="I952" t="s">
        <v>69</v>
      </c>
      <c r="J952">
        <v>1</v>
      </c>
      <c r="K952" t="s">
        <v>37</v>
      </c>
      <c r="L952">
        <v>5661</v>
      </c>
      <c r="M952">
        <v>0</v>
      </c>
      <c r="N952" t="s">
        <v>41</v>
      </c>
      <c r="O952">
        <v>19</v>
      </c>
      <c r="P952">
        <v>3</v>
      </c>
      <c r="Q952">
        <v>0</v>
      </c>
      <c r="R952">
        <v>9</v>
      </c>
      <c r="S952">
        <v>2</v>
      </c>
      <c r="T952">
        <v>8</v>
      </c>
      <c r="U952">
        <v>0</v>
      </c>
      <c r="V952">
        <v>7</v>
      </c>
      <c r="W952" t="s">
        <v>65</v>
      </c>
      <c r="X952" s="1" t="d">
        <v>2013-06-25</v>
      </c>
      <c r="Z952" t="s">
        <v>59</v>
      </c>
      <c r="AA952" t="s">
        <v>40</v>
      </c>
      <c r="AB952">
        <v>2</v>
      </c>
      <c r="AC952">
        <v>2</v>
      </c>
      <c r="AD952" t="s">
        <v>41</v>
      </c>
      <c r="AE952" t="s">
        <v>42</v>
      </c>
      <c r="AF952" t="s">
        <v>48</v>
      </c>
      <c r="AG952">
        <f>IF(HR_Data[[#This Row],[Attrition]]="Yes",1,0)</f>
        <v>0</v>
      </c>
      <c r="AH952" t="str">
        <f>IF(HR_Data[Date_of_termination]="","Active","Left")</f>
        <v>Active</v>
      </c>
      <c r="AI952" t="str">
        <f>IF(HR_Data[YearsAtCompany]&lt;=2,"Fresher", IF(HR_Data[YearsAtCompany]&lt;=5,"Junior", IF(HR_Data[YearsAtCompany]&lt;=10, "Mid","Senior")))</f>
        <v>Mid</v>
      </c>
      <c r="AJ952" s="2" t="str">
        <f>IF(HR_Data[MonthlyIncome]&lt;=300,"Low", IF(HR_Data[MonthlyIncome]&lt;=7000,"Medium", "High"))</f>
        <v>Medium</v>
      </c>
      <c r="AK952" s="2" t="str">
        <f>VLOOKUP(HR_Data[JobRole], JobRole_Map[], 2, FALSE)</f>
        <v>Operations</v>
      </c>
    </row>
    <row r="953" spans="1:37" x14ac:dyDescent="0.25">
      <c r="A953" s="2">
        <v>31</v>
      </c>
      <c r="B953" t="s">
        <v>41</v>
      </c>
      <c r="C953" t="s">
        <v>33</v>
      </c>
      <c r="D953" t="s">
        <v>53</v>
      </c>
      <c r="E953">
        <v>7</v>
      </c>
      <c r="F953" t="s">
        <v>35</v>
      </c>
      <c r="G953">
        <v>4</v>
      </c>
      <c r="H953">
        <v>2</v>
      </c>
      <c r="I953" t="s">
        <v>64</v>
      </c>
      <c r="J953">
        <v>4</v>
      </c>
      <c r="K953" t="s">
        <v>50</v>
      </c>
      <c r="L953">
        <v>6929</v>
      </c>
      <c r="M953">
        <v>4</v>
      </c>
      <c r="N953" t="s">
        <v>41</v>
      </c>
      <c r="O953">
        <v>11</v>
      </c>
      <c r="P953">
        <v>3</v>
      </c>
      <c r="Q953">
        <v>1</v>
      </c>
      <c r="R953">
        <v>10</v>
      </c>
      <c r="S953">
        <v>3</v>
      </c>
      <c r="T953">
        <v>8</v>
      </c>
      <c r="U953">
        <v>7</v>
      </c>
      <c r="V953">
        <v>7</v>
      </c>
      <c r="W953" t="s">
        <v>51</v>
      </c>
      <c r="X953" s="1" t="d">
        <v>2013-04-08</v>
      </c>
      <c r="Z953" t="s">
        <v>45</v>
      </c>
      <c r="AA953" t="s">
        <v>46</v>
      </c>
      <c r="AB953">
        <v>2</v>
      </c>
      <c r="AC953">
        <v>2</v>
      </c>
      <c r="AD953" t="s">
        <v>32</v>
      </c>
      <c r="AE953" t="s">
        <v>62</v>
      </c>
      <c r="AF953" t="s">
        <v>57</v>
      </c>
      <c r="AG953">
        <f>IF(HR_Data[[#This Row],[Attrition]]="Yes",1,0)</f>
        <v>0</v>
      </c>
      <c r="AH953" t="str">
        <f>IF(HR_Data[Date_of_termination]="","Active","Left")</f>
        <v>Active</v>
      </c>
      <c r="AI953" t="str">
        <f>IF(HR_Data[YearsAtCompany]&lt;=2,"Fresher", IF(HR_Data[YearsAtCompany]&lt;=5,"Junior", IF(HR_Data[YearsAtCompany]&lt;=10, "Mid","Senior")))</f>
        <v>Mid</v>
      </c>
      <c r="AJ953" s="2" t="str">
        <f>IF(HR_Data[MonthlyIncome]&lt;=300,"Low", IF(HR_Data[MonthlyIncome]&lt;=7000,"Medium", "High"))</f>
        <v>Medium</v>
      </c>
      <c r="AK953" s="2" t="str">
        <f>VLOOKUP(HR_Data[JobRole], JobRole_Map[], 2, FALSE)</f>
        <v>Sales</v>
      </c>
    </row>
    <row r="954" spans="1:37" x14ac:dyDescent="0.25">
      <c r="A954" s="2">
        <v>43</v>
      </c>
      <c r="B954" t="s">
        <v>41</v>
      </c>
      <c r="C954" t="s">
        <v>61</v>
      </c>
      <c r="D954" t="s">
        <v>34</v>
      </c>
      <c r="E954">
        <v>10</v>
      </c>
      <c r="F954" t="s">
        <v>58</v>
      </c>
      <c r="G954">
        <v>3</v>
      </c>
      <c r="H954">
        <v>1</v>
      </c>
      <c r="I954" t="s">
        <v>36</v>
      </c>
      <c r="J954">
        <v>4</v>
      </c>
      <c r="K954" t="s">
        <v>37</v>
      </c>
      <c r="L954">
        <v>2455</v>
      </c>
      <c r="M954">
        <v>0</v>
      </c>
      <c r="N954" t="s">
        <v>41</v>
      </c>
      <c r="O954">
        <v>19</v>
      </c>
      <c r="P954">
        <v>3</v>
      </c>
      <c r="Q954">
        <v>0</v>
      </c>
      <c r="R954">
        <v>9</v>
      </c>
      <c r="S954">
        <v>5</v>
      </c>
      <c r="T954">
        <v>8</v>
      </c>
      <c r="U954">
        <v>1</v>
      </c>
      <c r="V954">
        <v>7</v>
      </c>
      <c r="W954" t="s">
        <v>65</v>
      </c>
      <c r="X954" s="1" t="d">
        <v>2013-06-28</v>
      </c>
      <c r="Z954" t="s">
        <v>59</v>
      </c>
      <c r="AA954" t="s">
        <v>46</v>
      </c>
      <c r="AB954">
        <v>0</v>
      </c>
      <c r="AC954">
        <v>1</v>
      </c>
      <c r="AD954" t="s">
        <v>41</v>
      </c>
      <c r="AE954" t="s">
        <v>42</v>
      </c>
      <c r="AF954" t="s">
        <v>48</v>
      </c>
      <c r="AG954">
        <f>IF(HR_Data[[#This Row],[Attrition]]="Yes",1,0)</f>
        <v>0</v>
      </c>
      <c r="AH954" t="str">
        <f>IF(HR_Data[Date_of_termination]="","Active","Left")</f>
        <v>Active</v>
      </c>
      <c r="AI954" t="str">
        <f>IF(HR_Data[YearsAtCompany]&lt;=2,"Fresher", IF(HR_Data[YearsAtCompany]&lt;=5,"Junior", IF(HR_Data[YearsAtCompany]&lt;=10, "Mid","Senior")))</f>
        <v>Mid</v>
      </c>
      <c r="AJ954" s="2" t="str">
        <f>IF(HR_Data[MonthlyIncome]&lt;=300,"Low", IF(HR_Data[MonthlyIncome]&lt;=7000,"Medium", "High"))</f>
        <v>Medium</v>
      </c>
      <c r="AK954" s="2" t="str">
        <f>VLOOKUP(HR_Data[JobRole], JobRole_Map[], 2, FALSE)</f>
        <v>Technical</v>
      </c>
    </row>
    <row r="955" spans="1:37" x14ac:dyDescent="0.25">
      <c r="A955" s="2">
        <v>52</v>
      </c>
      <c r="B955" t="s">
        <v>32</v>
      </c>
      <c r="C955" t="s">
        <v>33</v>
      </c>
      <c r="D955" t="s">
        <v>34</v>
      </c>
      <c r="E955">
        <v>8</v>
      </c>
      <c r="F955" t="s">
        <v>35</v>
      </c>
      <c r="G955">
        <v>2</v>
      </c>
      <c r="H955">
        <v>2</v>
      </c>
      <c r="I955" t="s">
        <v>44</v>
      </c>
      <c r="J955">
        <v>2</v>
      </c>
      <c r="K955" t="s">
        <v>50</v>
      </c>
      <c r="L955">
        <v>4941</v>
      </c>
      <c r="M955">
        <v>2</v>
      </c>
      <c r="N955" t="s">
        <v>41</v>
      </c>
      <c r="O955">
        <v>15</v>
      </c>
      <c r="P955">
        <v>3</v>
      </c>
      <c r="Q955">
        <v>0</v>
      </c>
      <c r="R955">
        <v>11</v>
      </c>
      <c r="S955">
        <v>3</v>
      </c>
      <c r="T955">
        <v>8</v>
      </c>
      <c r="U955">
        <v>7</v>
      </c>
      <c r="V955">
        <v>7</v>
      </c>
      <c r="W955" t="s">
        <v>65</v>
      </c>
      <c r="X955" s="1" t="d">
        <v>2013-04-25</v>
      </c>
      <c r="Z955" t="s">
        <v>52</v>
      </c>
      <c r="AA955" t="s">
        <v>40</v>
      </c>
      <c r="AB955">
        <v>5</v>
      </c>
      <c r="AC955">
        <v>2</v>
      </c>
      <c r="AD955" t="s">
        <v>41</v>
      </c>
      <c r="AE955" t="s">
        <v>42</v>
      </c>
      <c r="AF955" t="s">
        <v>43</v>
      </c>
      <c r="AG955">
        <f>IF(HR_Data[[#This Row],[Attrition]]="Yes",1,0)</f>
        <v>1</v>
      </c>
      <c r="AH955" t="str">
        <f>IF(HR_Data[Date_of_termination]="","Active","Left")</f>
        <v>Active</v>
      </c>
      <c r="AI955" t="str">
        <f>IF(HR_Data[YearsAtCompany]&lt;=2,"Fresher", IF(HR_Data[YearsAtCompany]&lt;=5,"Junior", IF(HR_Data[YearsAtCompany]&lt;=10, "Mid","Senior")))</f>
        <v>Mid</v>
      </c>
      <c r="AJ955" s="2" t="str">
        <f>IF(HR_Data[MonthlyIncome]&lt;=300,"Low", IF(HR_Data[MonthlyIncome]&lt;=7000,"Medium", "High"))</f>
        <v>Medium</v>
      </c>
      <c r="AK955" s="2" t="str">
        <f>VLOOKUP(HR_Data[JobRole], JobRole_Map[], 2, FALSE)</f>
        <v>Technical</v>
      </c>
    </row>
    <row r="956" spans="1:37" x14ac:dyDescent="0.25">
      <c r="A956" s="2">
        <v>27</v>
      </c>
      <c r="B956" t="s">
        <v>41</v>
      </c>
      <c r="C956" t="s">
        <v>33</v>
      </c>
      <c r="D956" t="s">
        <v>53</v>
      </c>
      <c r="E956">
        <v>8</v>
      </c>
      <c r="F956" t="s">
        <v>58</v>
      </c>
      <c r="G956">
        <v>3</v>
      </c>
      <c r="H956">
        <v>2</v>
      </c>
      <c r="I956" t="s">
        <v>64</v>
      </c>
      <c r="J956">
        <v>2</v>
      </c>
      <c r="K956" t="s">
        <v>50</v>
      </c>
      <c r="L956">
        <v>6214</v>
      </c>
      <c r="M956">
        <v>1</v>
      </c>
      <c r="N956" t="s">
        <v>41</v>
      </c>
      <c r="O956">
        <v>18</v>
      </c>
      <c r="P956">
        <v>3</v>
      </c>
      <c r="Q956">
        <v>1</v>
      </c>
      <c r="R956">
        <v>8</v>
      </c>
      <c r="S956">
        <v>3</v>
      </c>
      <c r="T956">
        <v>8</v>
      </c>
      <c r="U956">
        <v>0</v>
      </c>
      <c r="V956">
        <v>7</v>
      </c>
      <c r="W956" t="s">
        <v>56</v>
      </c>
      <c r="X956" s="1" t="d">
        <v>2013-04-04</v>
      </c>
      <c r="Z956" t="s">
        <v>63</v>
      </c>
      <c r="AA956" t="s">
        <v>40</v>
      </c>
      <c r="AB956">
        <v>5</v>
      </c>
      <c r="AC956">
        <v>2</v>
      </c>
      <c r="AD956" t="s">
        <v>32</v>
      </c>
      <c r="AE956" t="s">
        <v>62</v>
      </c>
      <c r="AF956" t="s">
        <v>48</v>
      </c>
      <c r="AG956">
        <f>IF(HR_Data[[#This Row],[Attrition]]="Yes",1,0)</f>
        <v>0</v>
      </c>
      <c r="AH956" t="str">
        <f>IF(HR_Data[Date_of_termination]="","Active","Left")</f>
        <v>Active</v>
      </c>
      <c r="AI956" t="str">
        <f>IF(HR_Data[YearsAtCompany]&lt;=2,"Fresher", IF(HR_Data[YearsAtCompany]&lt;=5,"Junior", IF(HR_Data[YearsAtCompany]&lt;=10, "Mid","Senior")))</f>
        <v>Mid</v>
      </c>
      <c r="AJ956" s="2" t="str">
        <f>IF(HR_Data[MonthlyIncome]&lt;=300,"Low", IF(HR_Data[MonthlyIncome]&lt;=7000,"Medium", "High"))</f>
        <v>Medium</v>
      </c>
      <c r="AK956" s="2" t="str">
        <f>VLOOKUP(HR_Data[JobRole], JobRole_Map[], 2, FALSE)</f>
        <v>Sales</v>
      </c>
    </row>
    <row r="957" spans="1:37" x14ac:dyDescent="0.25">
      <c r="A957" s="2">
        <v>32</v>
      </c>
      <c r="B957" t="s">
        <v>41</v>
      </c>
      <c r="C957" t="s">
        <v>33</v>
      </c>
      <c r="D957" t="s">
        <v>34</v>
      </c>
      <c r="E957">
        <v>2</v>
      </c>
      <c r="F957" t="s">
        <v>58</v>
      </c>
      <c r="G957">
        <v>3</v>
      </c>
      <c r="H957">
        <v>1</v>
      </c>
      <c r="I957" t="s">
        <v>36</v>
      </c>
      <c r="J957">
        <v>2</v>
      </c>
      <c r="K957" t="s">
        <v>50</v>
      </c>
      <c r="L957">
        <v>2370</v>
      </c>
      <c r="M957">
        <v>1</v>
      </c>
      <c r="N957" t="s">
        <v>41</v>
      </c>
      <c r="O957">
        <v>13</v>
      </c>
      <c r="P957">
        <v>3</v>
      </c>
      <c r="Q957">
        <v>1</v>
      </c>
      <c r="R957">
        <v>8</v>
      </c>
      <c r="S957">
        <v>4</v>
      </c>
      <c r="T957">
        <v>8</v>
      </c>
      <c r="U957">
        <v>0</v>
      </c>
      <c r="V957">
        <v>7</v>
      </c>
      <c r="W957" t="s">
        <v>56</v>
      </c>
      <c r="X957" s="1" t="d">
        <v>2013-03-25</v>
      </c>
      <c r="Z957" t="s">
        <v>63</v>
      </c>
      <c r="AA957" t="s">
        <v>40</v>
      </c>
      <c r="AB957">
        <v>3</v>
      </c>
      <c r="AC957">
        <v>1</v>
      </c>
      <c r="AD957" t="s">
        <v>32</v>
      </c>
      <c r="AE957" t="s">
        <v>60</v>
      </c>
      <c r="AF957" t="s">
        <v>48</v>
      </c>
      <c r="AG957">
        <f>IF(HR_Data[[#This Row],[Attrition]]="Yes",1,0)</f>
        <v>0</v>
      </c>
      <c r="AH957" t="str">
        <f>IF(HR_Data[Date_of_termination]="","Active","Left")</f>
        <v>Active</v>
      </c>
      <c r="AI957" t="str">
        <f>IF(HR_Data[YearsAtCompany]&lt;=2,"Fresher", IF(HR_Data[YearsAtCompany]&lt;=5,"Junior", IF(HR_Data[YearsAtCompany]&lt;=10, "Mid","Senior")))</f>
        <v>Mid</v>
      </c>
      <c r="AJ957" s="2" t="str">
        <f>IF(HR_Data[MonthlyIncome]&lt;=300,"Low", IF(HR_Data[MonthlyIncome]&lt;=7000,"Medium", "High"))</f>
        <v>Medium</v>
      </c>
      <c r="AK957" s="2" t="str">
        <f>VLOOKUP(HR_Data[JobRole], JobRole_Map[], 2, FALSE)</f>
        <v>Technical</v>
      </c>
    </row>
    <row r="958" spans="1:37" x14ac:dyDescent="0.25">
      <c r="A958" s="2">
        <v>26</v>
      </c>
      <c r="B958" t="s">
        <v>41</v>
      </c>
      <c r="C958" t="s">
        <v>33</v>
      </c>
      <c r="D958" t="s">
        <v>53</v>
      </c>
      <c r="E958">
        <v>1</v>
      </c>
      <c r="F958" t="s">
        <v>35</v>
      </c>
      <c r="G958">
        <v>3</v>
      </c>
      <c r="H958">
        <v>2</v>
      </c>
      <c r="I958" t="s">
        <v>64</v>
      </c>
      <c r="J958">
        <v>3</v>
      </c>
      <c r="K958" t="s">
        <v>50</v>
      </c>
      <c r="L958">
        <v>5296</v>
      </c>
      <c r="M958">
        <v>1</v>
      </c>
      <c r="N958" t="s">
        <v>41</v>
      </c>
      <c r="O958">
        <v>17</v>
      </c>
      <c r="P958">
        <v>3</v>
      </c>
      <c r="Q958">
        <v>1</v>
      </c>
      <c r="R958">
        <v>8</v>
      </c>
      <c r="S958">
        <v>3</v>
      </c>
      <c r="T958">
        <v>8</v>
      </c>
      <c r="U958">
        <v>7</v>
      </c>
      <c r="V958">
        <v>7</v>
      </c>
      <c r="W958" t="s">
        <v>56</v>
      </c>
      <c r="X958" s="1" t="d">
        <v>2013-05-13</v>
      </c>
      <c r="Z958" t="s">
        <v>52</v>
      </c>
      <c r="AA958" t="s">
        <v>46</v>
      </c>
      <c r="AB958">
        <v>0</v>
      </c>
      <c r="AC958">
        <v>2</v>
      </c>
      <c r="AD958" t="s">
        <v>32</v>
      </c>
      <c r="AE958" t="s">
        <v>62</v>
      </c>
      <c r="AF958" t="s">
        <v>43</v>
      </c>
      <c r="AG958">
        <f>IF(HR_Data[[#This Row],[Attrition]]="Yes",1,0)</f>
        <v>0</v>
      </c>
      <c r="AH958" t="str">
        <f>IF(HR_Data[Date_of_termination]="","Active","Left")</f>
        <v>Active</v>
      </c>
      <c r="AI958" t="str">
        <f>IF(HR_Data[YearsAtCompany]&lt;=2,"Fresher", IF(HR_Data[YearsAtCompany]&lt;=5,"Junior", IF(HR_Data[YearsAtCompany]&lt;=10, "Mid","Senior")))</f>
        <v>Mid</v>
      </c>
      <c r="AJ958" s="2" t="str">
        <f>IF(HR_Data[MonthlyIncome]&lt;=300,"Low", IF(HR_Data[MonthlyIncome]&lt;=7000,"Medium", "High"))</f>
        <v>Medium</v>
      </c>
      <c r="AK958" s="2" t="str">
        <f>VLOOKUP(HR_Data[JobRole], JobRole_Map[], 2, FALSE)</f>
        <v>Sales</v>
      </c>
    </row>
    <row r="959" spans="1:37" x14ac:dyDescent="0.25">
      <c r="A959" s="2">
        <v>41</v>
      </c>
      <c r="B959" t="s">
        <v>32</v>
      </c>
      <c r="C959" t="s">
        <v>61</v>
      </c>
      <c r="D959" t="s">
        <v>53</v>
      </c>
      <c r="E959">
        <v>4</v>
      </c>
      <c r="F959" t="s">
        <v>35</v>
      </c>
      <c r="G959">
        <v>3</v>
      </c>
      <c r="H959">
        <v>2</v>
      </c>
      <c r="I959" t="s">
        <v>64</v>
      </c>
      <c r="J959">
        <v>2</v>
      </c>
      <c r="K959" t="s">
        <v>37</v>
      </c>
      <c r="L959">
        <v>9355</v>
      </c>
      <c r="M959">
        <v>1</v>
      </c>
      <c r="N959" t="s">
        <v>41</v>
      </c>
      <c r="O959">
        <v>18</v>
      </c>
      <c r="P959">
        <v>3</v>
      </c>
      <c r="Q959">
        <v>0</v>
      </c>
      <c r="R959">
        <v>8</v>
      </c>
      <c r="S959">
        <v>5</v>
      </c>
      <c r="T959">
        <v>8</v>
      </c>
      <c r="U959">
        <v>7</v>
      </c>
      <c r="V959">
        <v>7</v>
      </c>
      <c r="W959" t="s">
        <v>56</v>
      </c>
      <c r="X959" s="1" t="d">
        <v>2013-03-26</v>
      </c>
      <c r="Z959" t="s">
        <v>45</v>
      </c>
      <c r="AA959" t="s">
        <v>46</v>
      </c>
      <c r="AB959">
        <v>1</v>
      </c>
      <c r="AC959">
        <v>1</v>
      </c>
      <c r="AD959" t="s">
        <v>32</v>
      </c>
      <c r="AE959" t="s">
        <v>42</v>
      </c>
      <c r="AF959" t="s">
        <v>48</v>
      </c>
      <c r="AG959">
        <f>IF(HR_Data[[#This Row],[Attrition]]="Yes",1,0)</f>
        <v>1</v>
      </c>
      <c r="AH959" t="str">
        <f>IF(HR_Data[Date_of_termination]="","Active","Left")</f>
        <v>Active</v>
      </c>
      <c r="AI959" t="str">
        <f>IF(HR_Data[YearsAtCompany]&lt;=2,"Fresher", IF(HR_Data[YearsAtCompany]&lt;=5,"Junior", IF(HR_Data[YearsAtCompany]&lt;=10, "Mid","Senior")))</f>
        <v>Mid</v>
      </c>
      <c r="AJ959" s="2" t="str">
        <f>IF(HR_Data[MonthlyIncome]&lt;=300,"Low", IF(HR_Data[MonthlyIncome]&lt;=7000,"Medium", "High"))</f>
        <v>High</v>
      </c>
      <c r="AK959" s="2" t="str">
        <f>VLOOKUP(HR_Data[JobRole], JobRole_Map[], 2, FALSE)</f>
        <v>Sales</v>
      </c>
    </row>
    <row r="960" spans="1:37" x14ac:dyDescent="0.25">
      <c r="A960" s="2">
        <v>35</v>
      </c>
      <c r="B960" t="s">
        <v>41</v>
      </c>
      <c r="C960" t="s">
        <v>33</v>
      </c>
      <c r="D960" t="s">
        <v>34</v>
      </c>
      <c r="E960">
        <v>16</v>
      </c>
      <c r="F960" t="s">
        <v>35</v>
      </c>
      <c r="G960">
        <v>3</v>
      </c>
      <c r="H960">
        <v>3</v>
      </c>
      <c r="I960" t="s">
        <v>69</v>
      </c>
      <c r="J960">
        <v>3</v>
      </c>
      <c r="K960" t="s">
        <v>50</v>
      </c>
      <c r="L960">
        <v>7632</v>
      </c>
      <c r="M960">
        <v>4</v>
      </c>
      <c r="N960" t="s">
        <v>32</v>
      </c>
      <c r="O960">
        <v>12</v>
      </c>
      <c r="P960">
        <v>3</v>
      </c>
      <c r="Q960">
        <v>0</v>
      </c>
      <c r="R960">
        <v>10</v>
      </c>
      <c r="S960">
        <v>2</v>
      </c>
      <c r="T960">
        <v>8</v>
      </c>
      <c r="U960">
        <v>0</v>
      </c>
      <c r="V960">
        <v>0</v>
      </c>
      <c r="W960" t="s">
        <v>38</v>
      </c>
      <c r="X960" s="1" t="d">
        <v>2013-03-13</v>
      </c>
      <c r="Z960" t="s">
        <v>39</v>
      </c>
      <c r="AA960" t="s">
        <v>46</v>
      </c>
      <c r="AB960">
        <v>2</v>
      </c>
      <c r="AC960">
        <v>1</v>
      </c>
      <c r="AD960" t="s">
        <v>32</v>
      </c>
      <c r="AE960" t="s">
        <v>62</v>
      </c>
      <c r="AF960" t="s">
        <v>48</v>
      </c>
      <c r="AG960">
        <f>IF(HR_Data[[#This Row],[Attrition]]="Yes",1,0)</f>
        <v>0</v>
      </c>
      <c r="AH960" t="str">
        <f>IF(HR_Data[Date_of_termination]="","Active","Left")</f>
        <v>Active</v>
      </c>
      <c r="AI960" t="str">
        <f>IF(HR_Data[YearsAtCompany]&lt;=2,"Fresher", IF(HR_Data[YearsAtCompany]&lt;=5,"Junior", IF(HR_Data[YearsAtCompany]&lt;=10, "Mid","Senior")))</f>
        <v>Mid</v>
      </c>
      <c r="AJ960" s="2" t="str">
        <f>IF(HR_Data[MonthlyIncome]&lt;=300,"Low", IF(HR_Data[MonthlyIncome]&lt;=7000,"Medium", "High"))</f>
        <v>High</v>
      </c>
      <c r="AK960" s="2" t="str">
        <f>VLOOKUP(HR_Data[JobRole], JobRole_Map[], 2, FALSE)</f>
        <v>Operations</v>
      </c>
    </row>
    <row r="961" spans="1:37" x14ac:dyDescent="0.25">
      <c r="A961" s="2">
        <v>39</v>
      </c>
      <c r="B961" t="s">
        <v>41</v>
      </c>
      <c r="C961" t="s">
        <v>61</v>
      </c>
      <c r="D961" t="s">
        <v>34</v>
      </c>
      <c r="E961">
        <v>8</v>
      </c>
      <c r="F961" t="s">
        <v>58</v>
      </c>
      <c r="G961">
        <v>3</v>
      </c>
      <c r="H961">
        <v>1</v>
      </c>
      <c r="I961" t="s">
        <v>36</v>
      </c>
      <c r="J961">
        <v>3</v>
      </c>
      <c r="K961" t="s">
        <v>50</v>
      </c>
      <c r="L961">
        <v>3755</v>
      </c>
      <c r="M961">
        <v>1</v>
      </c>
      <c r="N961" t="s">
        <v>41</v>
      </c>
      <c r="O961">
        <v>11</v>
      </c>
      <c r="P961">
        <v>3</v>
      </c>
      <c r="Q961">
        <v>1</v>
      </c>
      <c r="R961">
        <v>8</v>
      </c>
      <c r="S961">
        <v>3</v>
      </c>
      <c r="T961">
        <v>8</v>
      </c>
      <c r="U961">
        <v>0</v>
      </c>
      <c r="V961">
        <v>7</v>
      </c>
      <c r="W961" t="s">
        <v>51</v>
      </c>
      <c r="X961" s="1" t="d">
        <v>2013-04-25</v>
      </c>
      <c r="Z961" t="s">
        <v>59</v>
      </c>
      <c r="AA961" t="s">
        <v>40</v>
      </c>
      <c r="AB961">
        <v>1</v>
      </c>
      <c r="AC961">
        <v>3</v>
      </c>
      <c r="AD961" t="s">
        <v>32</v>
      </c>
      <c r="AE961" t="s">
        <v>62</v>
      </c>
      <c r="AF961" t="s">
        <v>57</v>
      </c>
      <c r="AG961">
        <f>IF(HR_Data[[#This Row],[Attrition]]="Yes",1,0)</f>
        <v>0</v>
      </c>
      <c r="AH961" t="str">
        <f>IF(HR_Data[Date_of_termination]="","Active","Left")</f>
        <v>Active</v>
      </c>
      <c r="AI961" t="str">
        <f>IF(HR_Data[YearsAtCompany]&lt;=2,"Fresher", IF(HR_Data[YearsAtCompany]&lt;=5,"Junior", IF(HR_Data[YearsAtCompany]&lt;=10, "Mid","Senior")))</f>
        <v>Mid</v>
      </c>
      <c r="AJ961" s="2" t="str">
        <f>IF(HR_Data[MonthlyIncome]&lt;=300,"Low", IF(HR_Data[MonthlyIncome]&lt;=7000,"Medium", "High"))</f>
        <v>Medium</v>
      </c>
      <c r="AK961" s="2" t="str">
        <f>VLOOKUP(HR_Data[JobRole], JobRole_Map[], 2, FALSE)</f>
        <v>Technical</v>
      </c>
    </row>
    <row r="962" spans="1:37" x14ac:dyDescent="0.25">
      <c r="A962" s="2">
        <v>45</v>
      </c>
      <c r="B962" t="s">
        <v>41</v>
      </c>
      <c r="C962" t="s">
        <v>33</v>
      </c>
      <c r="D962" t="s">
        <v>53</v>
      </c>
      <c r="E962">
        <v>2</v>
      </c>
      <c r="F962" t="s">
        <v>35</v>
      </c>
      <c r="G962">
        <v>3</v>
      </c>
      <c r="H962">
        <v>2</v>
      </c>
      <c r="I962" t="s">
        <v>64</v>
      </c>
      <c r="J962">
        <v>2</v>
      </c>
      <c r="K962" t="s">
        <v>50</v>
      </c>
      <c r="L962">
        <v>4805</v>
      </c>
      <c r="M962">
        <v>0</v>
      </c>
      <c r="N962" t="s">
        <v>41</v>
      </c>
      <c r="O962">
        <v>19</v>
      </c>
      <c r="P962">
        <v>3</v>
      </c>
      <c r="Q962">
        <v>1</v>
      </c>
      <c r="R962">
        <v>9</v>
      </c>
      <c r="S962">
        <v>3</v>
      </c>
      <c r="T962">
        <v>8</v>
      </c>
      <c r="U962">
        <v>3</v>
      </c>
      <c r="V962">
        <v>7</v>
      </c>
      <c r="W962" t="s">
        <v>51</v>
      </c>
      <c r="X962" s="1" t="d">
        <v>2013-01-20</v>
      </c>
      <c r="Z962" t="s">
        <v>63</v>
      </c>
      <c r="AA962" t="s">
        <v>46</v>
      </c>
      <c r="AB962">
        <v>5</v>
      </c>
      <c r="AC962">
        <v>3</v>
      </c>
      <c r="AD962" t="s">
        <v>32</v>
      </c>
      <c r="AE962" t="s">
        <v>42</v>
      </c>
      <c r="AF962" t="s">
        <v>57</v>
      </c>
      <c r="AG962">
        <f>IF(HR_Data[[#This Row],[Attrition]]="Yes",1,0)</f>
        <v>0</v>
      </c>
      <c r="AH962" t="str">
        <f>IF(HR_Data[Date_of_termination]="","Active","Left")</f>
        <v>Active</v>
      </c>
      <c r="AI962" t="str">
        <f>IF(HR_Data[YearsAtCompany]&lt;=2,"Fresher", IF(HR_Data[YearsAtCompany]&lt;=5,"Junior", IF(HR_Data[YearsAtCompany]&lt;=10, "Mid","Senior")))</f>
        <v>Mid</v>
      </c>
      <c r="AJ962" s="2" t="str">
        <f>IF(HR_Data[MonthlyIncome]&lt;=300,"Low", IF(HR_Data[MonthlyIncome]&lt;=7000,"Medium", "High"))</f>
        <v>Medium</v>
      </c>
      <c r="AK962" s="2" t="str">
        <f>VLOOKUP(HR_Data[JobRole], JobRole_Map[], 2, FALSE)</f>
        <v>Sales</v>
      </c>
    </row>
    <row r="963" spans="1:37" x14ac:dyDescent="0.25">
      <c r="A963" s="2">
        <v>41</v>
      </c>
      <c r="B963" t="s">
        <v>41</v>
      </c>
      <c r="C963" t="s">
        <v>68</v>
      </c>
      <c r="D963" t="s">
        <v>34</v>
      </c>
      <c r="E963">
        <v>2</v>
      </c>
      <c r="F963" t="s">
        <v>58</v>
      </c>
      <c r="G963">
        <v>2</v>
      </c>
      <c r="H963">
        <v>2</v>
      </c>
      <c r="I963" t="s">
        <v>69</v>
      </c>
      <c r="J963">
        <v>3</v>
      </c>
      <c r="K963" t="s">
        <v>37</v>
      </c>
      <c r="L963">
        <v>6811</v>
      </c>
      <c r="M963">
        <v>2</v>
      </c>
      <c r="N963" t="s">
        <v>32</v>
      </c>
      <c r="O963">
        <v>17</v>
      </c>
      <c r="P963">
        <v>3</v>
      </c>
      <c r="Q963">
        <v>0</v>
      </c>
      <c r="R963">
        <v>10</v>
      </c>
      <c r="S963">
        <v>3</v>
      </c>
      <c r="T963">
        <v>8</v>
      </c>
      <c r="U963">
        <v>0</v>
      </c>
      <c r="V963">
        <v>7</v>
      </c>
      <c r="W963" t="s">
        <v>38</v>
      </c>
      <c r="X963" s="1" t="d">
        <v>2013-02-13</v>
      </c>
      <c r="Z963" t="s">
        <v>63</v>
      </c>
      <c r="AA963" t="s">
        <v>40</v>
      </c>
      <c r="AB963">
        <v>3</v>
      </c>
      <c r="AC963">
        <v>0</v>
      </c>
      <c r="AD963" t="s">
        <v>41</v>
      </c>
      <c r="AE963" t="s">
        <v>42</v>
      </c>
      <c r="AF963" t="s">
        <v>57</v>
      </c>
      <c r="AG963">
        <f>IF(HR_Data[[#This Row],[Attrition]]="Yes",1,0)</f>
        <v>0</v>
      </c>
      <c r="AH963" t="str">
        <f>IF(HR_Data[Date_of_termination]="","Active","Left")</f>
        <v>Active</v>
      </c>
      <c r="AI963" t="str">
        <f>IF(HR_Data[YearsAtCompany]&lt;=2,"Fresher", IF(HR_Data[YearsAtCompany]&lt;=5,"Junior", IF(HR_Data[YearsAtCompany]&lt;=10, "Mid","Senior")))</f>
        <v>Mid</v>
      </c>
      <c r="AJ963" s="2" t="str">
        <f>IF(HR_Data[MonthlyIncome]&lt;=300,"Low", IF(HR_Data[MonthlyIncome]&lt;=7000,"Medium", "High"))</f>
        <v>Medium</v>
      </c>
      <c r="AK963" s="2" t="str">
        <f>VLOOKUP(HR_Data[JobRole], JobRole_Map[], 2, FALSE)</f>
        <v>Operations</v>
      </c>
    </row>
    <row r="964" spans="1:37" x14ac:dyDescent="0.25">
      <c r="A964" s="2">
        <v>43</v>
      </c>
      <c r="B964" t="s">
        <v>41</v>
      </c>
      <c r="C964" t="s">
        <v>61</v>
      </c>
      <c r="D964" t="s">
        <v>34</v>
      </c>
      <c r="E964">
        <v>9</v>
      </c>
      <c r="F964" t="s">
        <v>35</v>
      </c>
      <c r="G964">
        <v>3</v>
      </c>
      <c r="H964">
        <v>2</v>
      </c>
      <c r="I964" t="s">
        <v>36</v>
      </c>
      <c r="J964">
        <v>3</v>
      </c>
      <c r="K964" t="s">
        <v>55</v>
      </c>
      <c r="L964">
        <v>5679</v>
      </c>
      <c r="M964">
        <v>3</v>
      </c>
      <c r="N964" t="s">
        <v>32</v>
      </c>
      <c r="O964">
        <v>13</v>
      </c>
      <c r="P964">
        <v>3</v>
      </c>
      <c r="Q964">
        <v>1</v>
      </c>
      <c r="R964">
        <v>10</v>
      </c>
      <c r="S964">
        <v>3</v>
      </c>
      <c r="T964">
        <v>8</v>
      </c>
      <c r="U964">
        <v>4</v>
      </c>
      <c r="V964">
        <v>7</v>
      </c>
      <c r="W964" t="s">
        <v>56</v>
      </c>
      <c r="X964" s="1" t="d">
        <v>2013-02-24</v>
      </c>
      <c r="Z964" t="s">
        <v>39</v>
      </c>
      <c r="AA964" t="s">
        <v>46</v>
      </c>
      <c r="AB964">
        <v>4</v>
      </c>
      <c r="AC964">
        <v>2</v>
      </c>
      <c r="AD964" t="s">
        <v>41</v>
      </c>
      <c r="AE964" t="s">
        <v>60</v>
      </c>
      <c r="AF964" t="s">
        <v>48</v>
      </c>
      <c r="AG964">
        <f>IF(HR_Data[[#This Row],[Attrition]]="Yes",1,0)</f>
        <v>0</v>
      </c>
      <c r="AH964" t="str">
        <f>IF(HR_Data[Date_of_termination]="","Active","Left")</f>
        <v>Active</v>
      </c>
      <c r="AI964" t="str">
        <f>IF(HR_Data[YearsAtCompany]&lt;=2,"Fresher", IF(HR_Data[YearsAtCompany]&lt;=5,"Junior", IF(HR_Data[YearsAtCompany]&lt;=10, "Mid","Senior")))</f>
        <v>Mid</v>
      </c>
      <c r="AJ964" s="2" t="str">
        <f>IF(HR_Data[MonthlyIncome]&lt;=300,"Low", IF(HR_Data[MonthlyIncome]&lt;=7000,"Medium", "High"))</f>
        <v>Medium</v>
      </c>
      <c r="AK964" s="2" t="str">
        <f>VLOOKUP(HR_Data[JobRole], JobRole_Map[], 2, FALSE)</f>
        <v>Technical</v>
      </c>
    </row>
    <row r="965" spans="1:37" x14ac:dyDescent="0.25">
      <c r="A965" s="2">
        <v>34</v>
      </c>
      <c r="B965" t="s">
        <v>41</v>
      </c>
      <c r="C965" t="s">
        <v>33</v>
      </c>
      <c r="D965" t="s">
        <v>53</v>
      </c>
      <c r="E965">
        <v>14</v>
      </c>
      <c r="F965" t="s">
        <v>58</v>
      </c>
      <c r="G965">
        <v>3</v>
      </c>
      <c r="H965">
        <v>1</v>
      </c>
      <c r="I965" t="s">
        <v>54</v>
      </c>
      <c r="J965">
        <v>3</v>
      </c>
      <c r="K965" t="s">
        <v>55</v>
      </c>
      <c r="L965">
        <v>2579</v>
      </c>
      <c r="M965">
        <v>1</v>
      </c>
      <c r="N965" t="s">
        <v>32</v>
      </c>
      <c r="O965">
        <v>18</v>
      </c>
      <c r="P965">
        <v>3</v>
      </c>
      <c r="Q965">
        <v>2</v>
      </c>
      <c r="R965">
        <v>8</v>
      </c>
      <c r="S965">
        <v>3</v>
      </c>
      <c r="T965">
        <v>8</v>
      </c>
      <c r="U965">
        <v>0</v>
      </c>
      <c r="V965">
        <v>6</v>
      </c>
      <c r="W965" t="s">
        <v>56</v>
      </c>
      <c r="X965" s="1" t="d">
        <v>2013-01-24</v>
      </c>
      <c r="Z965" t="s">
        <v>59</v>
      </c>
      <c r="AA965" t="s">
        <v>46</v>
      </c>
      <c r="AB965">
        <v>3</v>
      </c>
      <c r="AC965">
        <v>0</v>
      </c>
      <c r="AD965" t="s">
        <v>32</v>
      </c>
      <c r="AE965" t="s">
        <v>62</v>
      </c>
      <c r="AF965" t="s">
        <v>48</v>
      </c>
      <c r="AG965">
        <f>IF(HR_Data[[#This Row],[Attrition]]="Yes",1,0)</f>
        <v>0</v>
      </c>
      <c r="AH965" t="str">
        <f>IF(HR_Data[Date_of_termination]="","Active","Left")</f>
        <v>Active</v>
      </c>
      <c r="AI965" t="str">
        <f>IF(HR_Data[YearsAtCompany]&lt;=2,"Fresher", IF(HR_Data[YearsAtCompany]&lt;=5,"Junior", IF(HR_Data[YearsAtCompany]&lt;=10, "Mid","Senior")))</f>
        <v>Mid</v>
      </c>
      <c r="AJ965" s="2" t="str">
        <f>IF(HR_Data[MonthlyIncome]&lt;=300,"Low", IF(HR_Data[MonthlyIncome]&lt;=7000,"Medium", "High"))</f>
        <v>Medium</v>
      </c>
      <c r="AK965" s="2" t="str">
        <f>VLOOKUP(HR_Data[JobRole], JobRole_Map[], 2, FALSE)</f>
        <v>Sales</v>
      </c>
    </row>
    <row r="966" spans="1:37" x14ac:dyDescent="0.25">
      <c r="A966" s="2">
        <v>34</v>
      </c>
      <c r="B966" t="s">
        <v>41</v>
      </c>
      <c r="C966" t="s">
        <v>33</v>
      </c>
      <c r="D966" t="s">
        <v>34</v>
      </c>
      <c r="E966">
        <v>9</v>
      </c>
      <c r="F966" t="s">
        <v>58</v>
      </c>
      <c r="G966">
        <v>2</v>
      </c>
      <c r="H966">
        <v>3</v>
      </c>
      <c r="I966" t="s">
        <v>69</v>
      </c>
      <c r="J966">
        <v>2</v>
      </c>
      <c r="K966" t="s">
        <v>37</v>
      </c>
      <c r="L966">
        <v>8621</v>
      </c>
      <c r="M966">
        <v>1</v>
      </c>
      <c r="N966" t="s">
        <v>41</v>
      </c>
      <c r="O966">
        <v>14</v>
      </c>
      <c r="P966">
        <v>3</v>
      </c>
      <c r="Q966">
        <v>0</v>
      </c>
      <c r="R966">
        <v>9</v>
      </c>
      <c r="S966">
        <v>3</v>
      </c>
      <c r="T966">
        <v>8</v>
      </c>
      <c r="U966">
        <v>7</v>
      </c>
      <c r="V966">
        <v>7</v>
      </c>
      <c r="W966" t="s">
        <v>38</v>
      </c>
      <c r="X966" s="1" t="d">
        <v>2013-05-02</v>
      </c>
      <c r="Z966" t="s">
        <v>63</v>
      </c>
      <c r="AA966" t="s">
        <v>46</v>
      </c>
      <c r="AB966">
        <v>0</v>
      </c>
      <c r="AC966">
        <v>2</v>
      </c>
      <c r="AD966" t="s">
        <v>32</v>
      </c>
      <c r="AE966" t="s">
        <v>47</v>
      </c>
      <c r="AF966" t="s">
        <v>43</v>
      </c>
      <c r="AG966">
        <f>IF(HR_Data[[#This Row],[Attrition]]="Yes",1,0)</f>
        <v>0</v>
      </c>
      <c r="AH966" t="str">
        <f>IF(HR_Data[Date_of_termination]="","Active","Left")</f>
        <v>Active</v>
      </c>
      <c r="AI966" t="str">
        <f>IF(HR_Data[YearsAtCompany]&lt;=2,"Fresher", IF(HR_Data[YearsAtCompany]&lt;=5,"Junior", IF(HR_Data[YearsAtCompany]&lt;=10, "Mid","Senior")))</f>
        <v>Mid</v>
      </c>
      <c r="AJ966" s="2" t="str">
        <f>IF(HR_Data[MonthlyIncome]&lt;=300,"Low", IF(HR_Data[MonthlyIncome]&lt;=7000,"Medium", "High"))</f>
        <v>High</v>
      </c>
      <c r="AK966" s="2" t="str">
        <f>VLOOKUP(HR_Data[JobRole], JobRole_Map[], 2, FALSE)</f>
        <v>Operations</v>
      </c>
    </row>
    <row r="967" spans="1:37" x14ac:dyDescent="0.25">
      <c r="A967" s="2">
        <v>36</v>
      </c>
      <c r="B967" t="s">
        <v>41</v>
      </c>
      <c r="C967" t="s">
        <v>68</v>
      </c>
      <c r="D967" t="s">
        <v>34</v>
      </c>
      <c r="E967">
        <v>8</v>
      </c>
      <c r="F967" t="s">
        <v>58</v>
      </c>
      <c r="G967">
        <v>4</v>
      </c>
      <c r="H967">
        <v>3</v>
      </c>
      <c r="I967" t="s">
        <v>49</v>
      </c>
      <c r="J967">
        <v>1</v>
      </c>
      <c r="K967" t="s">
        <v>50</v>
      </c>
      <c r="L967">
        <v>11713</v>
      </c>
      <c r="M967">
        <v>9</v>
      </c>
      <c r="N967" t="s">
        <v>41</v>
      </c>
      <c r="O967">
        <v>14</v>
      </c>
      <c r="P967">
        <v>3</v>
      </c>
      <c r="Q967">
        <v>1</v>
      </c>
      <c r="R967">
        <v>10</v>
      </c>
      <c r="S967">
        <v>2</v>
      </c>
      <c r="T967">
        <v>8</v>
      </c>
      <c r="U967">
        <v>0</v>
      </c>
      <c r="V967">
        <v>5</v>
      </c>
      <c r="W967" t="s">
        <v>38</v>
      </c>
      <c r="X967" s="1" t="d">
        <v>2013-03-17</v>
      </c>
      <c r="Z967" t="s">
        <v>52</v>
      </c>
      <c r="AA967" t="s">
        <v>40</v>
      </c>
      <c r="AB967">
        <v>1</v>
      </c>
      <c r="AC967">
        <v>0</v>
      </c>
      <c r="AD967" t="s">
        <v>32</v>
      </c>
      <c r="AE967" t="s">
        <v>47</v>
      </c>
      <c r="AF967" t="s">
        <v>43</v>
      </c>
      <c r="AG967">
        <f>IF(HR_Data[[#This Row],[Attrition]]="Yes",1,0)</f>
        <v>0</v>
      </c>
      <c r="AH967" t="str">
        <f>IF(HR_Data[Date_of_termination]="","Active","Left")</f>
        <v>Active</v>
      </c>
      <c r="AI967" t="str">
        <f>IF(HR_Data[YearsAtCompany]&lt;=2,"Fresher", IF(HR_Data[YearsAtCompany]&lt;=5,"Junior", IF(HR_Data[YearsAtCompany]&lt;=10, "Mid","Senior")))</f>
        <v>Mid</v>
      </c>
      <c r="AJ967" s="2" t="str">
        <f>IF(HR_Data[MonthlyIncome]&lt;=300,"Low", IF(HR_Data[MonthlyIncome]&lt;=7000,"Medium", "High"))</f>
        <v>High</v>
      </c>
      <c r="AK967" s="2" t="str">
        <f>VLOOKUP(HR_Data[JobRole], JobRole_Map[], 2, FALSE)</f>
        <v>Management</v>
      </c>
    </row>
    <row r="968" spans="1:37" x14ac:dyDescent="0.25">
      <c r="A968" s="2">
        <v>30</v>
      </c>
      <c r="B968" t="s">
        <v>41</v>
      </c>
      <c r="C968" t="s">
        <v>33</v>
      </c>
      <c r="D968" t="s">
        <v>53</v>
      </c>
      <c r="E968">
        <v>27</v>
      </c>
      <c r="F968" t="s">
        <v>35</v>
      </c>
      <c r="G968">
        <v>3</v>
      </c>
      <c r="H968">
        <v>2</v>
      </c>
      <c r="I968" t="s">
        <v>64</v>
      </c>
      <c r="J968">
        <v>4</v>
      </c>
      <c r="K968" t="s">
        <v>55</v>
      </c>
      <c r="L968">
        <v>5304</v>
      </c>
      <c r="M968">
        <v>7</v>
      </c>
      <c r="N968" t="s">
        <v>41</v>
      </c>
      <c r="O968">
        <v>23</v>
      </c>
      <c r="P968">
        <v>4</v>
      </c>
      <c r="Q968">
        <v>1</v>
      </c>
      <c r="R968">
        <v>10</v>
      </c>
      <c r="S968">
        <v>2</v>
      </c>
      <c r="T968">
        <v>8</v>
      </c>
      <c r="U968">
        <v>7</v>
      </c>
      <c r="V968">
        <v>7</v>
      </c>
      <c r="W968" t="s">
        <v>38</v>
      </c>
      <c r="X968" s="1" t="d">
        <v>2013-03-31</v>
      </c>
      <c r="Z968" t="s">
        <v>52</v>
      </c>
      <c r="AA968" t="s">
        <v>40</v>
      </c>
      <c r="AB968">
        <v>2</v>
      </c>
      <c r="AC968">
        <v>2</v>
      </c>
      <c r="AD968" t="s">
        <v>41</v>
      </c>
      <c r="AE968" t="s">
        <v>60</v>
      </c>
      <c r="AF968" t="s">
        <v>43</v>
      </c>
      <c r="AG968">
        <f>IF(HR_Data[[#This Row],[Attrition]]="Yes",1,0)</f>
        <v>0</v>
      </c>
      <c r="AH968" t="str">
        <f>IF(HR_Data[Date_of_termination]="","Active","Left")</f>
        <v>Active</v>
      </c>
      <c r="AI968" t="str">
        <f>IF(HR_Data[YearsAtCompany]&lt;=2,"Fresher", IF(HR_Data[YearsAtCompany]&lt;=5,"Junior", IF(HR_Data[YearsAtCompany]&lt;=10, "Mid","Senior")))</f>
        <v>Mid</v>
      </c>
      <c r="AJ968" s="2" t="str">
        <f>IF(HR_Data[MonthlyIncome]&lt;=300,"Low", IF(HR_Data[MonthlyIncome]&lt;=7000,"Medium", "High"))</f>
        <v>Medium</v>
      </c>
      <c r="AK968" s="2" t="str">
        <f>VLOOKUP(HR_Data[JobRole], JobRole_Map[], 2, FALSE)</f>
        <v>Sales</v>
      </c>
    </row>
    <row r="969" spans="1:37" x14ac:dyDescent="0.25">
      <c r="A969" s="2">
        <v>39</v>
      </c>
      <c r="B969" t="s">
        <v>41</v>
      </c>
      <c r="C969" t="s">
        <v>33</v>
      </c>
      <c r="D969" t="s">
        <v>70</v>
      </c>
      <c r="E969">
        <v>3</v>
      </c>
      <c r="F969" t="s">
        <v>58</v>
      </c>
      <c r="G969">
        <v>4</v>
      </c>
      <c r="H969">
        <v>2</v>
      </c>
      <c r="I969" t="s">
        <v>70</v>
      </c>
      <c r="J969">
        <v>2</v>
      </c>
      <c r="K969" t="s">
        <v>50</v>
      </c>
      <c r="L969">
        <v>6389</v>
      </c>
      <c r="M969">
        <v>9</v>
      </c>
      <c r="N969" t="s">
        <v>41</v>
      </c>
      <c r="O969">
        <v>15</v>
      </c>
      <c r="P969">
        <v>3</v>
      </c>
      <c r="Q969">
        <v>1</v>
      </c>
      <c r="R969">
        <v>12</v>
      </c>
      <c r="S969">
        <v>3</v>
      </c>
      <c r="T969">
        <v>8</v>
      </c>
      <c r="U969">
        <v>3</v>
      </c>
      <c r="V969">
        <v>6</v>
      </c>
      <c r="W969" t="s">
        <v>38</v>
      </c>
      <c r="X969" s="1" t="d">
        <v>2013-05-17</v>
      </c>
      <c r="Z969" t="s">
        <v>39</v>
      </c>
      <c r="AA969" t="s">
        <v>46</v>
      </c>
      <c r="AB969">
        <v>3</v>
      </c>
      <c r="AC969">
        <v>3</v>
      </c>
      <c r="AD969" t="s">
        <v>41</v>
      </c>
      <c r="AE969" t="s">
        <v>47</v>
      </c>
      <c r="AF969" t="s">
        <v>43</v>
      </c>
      <c r="AG969">
        <f>IF(HR_Data[[#This Row],[Attrition]]="Yes",1,0)</f>
        <v>0</v>
      </c>
      <c r="AH969" t="str">
        <f>IF(HR_Data[Date_of_termination]="","Active","Left")</f>
        <v>Active</v>
      </c>
      <c r="AI969" t="str">
        <f>IF(HR_Data[YearsAtCompany]&lt;=2,"Fresher", IF(HR_Data[YearsAtCompany]&lt;=5,"Junior", IF(HR_Data[YearsAtCompany]&lt;=10, "Mid","Senior")))</f>
        <v>Mid</v>
      </c>
      <c r="AJ969" s="2" t="str">
        <f>IF(HR_Data[MonthlyIncome]&lt;=300,"Low", IF(HR_Data[MonthlyIncome]&lt;=7000,"Medium", "High"))</f>
        <v>Medium</v>
      </c>
      <c r="AK969" s="2" t="str">
        <f>VLOOKUP(HR_Data[JobRole], JobRole_Map[], 2, FALSE)</f>
        <v>HR</v>
      </c>
    </row>
    <row r="970" spans="1:37" x14ac:dyDescent="0.25">
      <c r="A970" s="2">
        <v>45</v>
      </c>
      <c r="B970" t="s">
        <v>41</v>
      </c>
      <c r="C970" t="s">
        <v>33</v>
      </c>
      <c r="D970" t="s">
        <v>53</v>
      </c>
      <c r="E970">
        <v>2</v>
      </c>
      <c r="F970" t="s">
        <v>35</v>
      </c>
      <c r="G970">
        <v>1</v>
      </c>
      <c r="H970">
        <v>2</v>
      </c>
      <c r="I970" t="s">
        <v>54</v>
      </c>
      <c r="J970">
        <v>3</v>
      </c>
      <c r="K970" t="s">
        <v>37</v>
      </c>
      <c r="L970">
        <v>6632</v>
      </c>
      <c r="M970">
        <v>0</v>
      </c>
      <c r="N970" t="s">
        <v>41</v>
      </c>
      <c r="O970">
        <v>13</v>
      </c>
      <c r="P970">
        <v>3</v>
      </c>
      <c r="Q970">
        <v>0</v>
      </c>
      <c r="R970">
        <v>9</v>
      </c>
      <c r="S970">
        <v>3</v>
      </c>
      <c r="T970">
        <v>8</v>
      </c>
      <c r="U970">
        <v>3</v>
      </c>
      <c r="V970">
        <v>1</v>
      </c>
      <c r="W970" t="s">
        <v>65</v>
      </c>
      <c r="X970" s="1" t="d">
        <v>2013-02-23</v>
      </c>
      <c r="Z970" t="s">
        <v>39</v>
      </c>
      <c r="AA970" t="s">
        <v>46</v>
      </c>
      <c r="AB970">
        <v>4</v>
      </c>
      <c r="AC970">
        <v>0</v>
      </c>
      <c r="AD970" t="s">
        <v>41</v>
      </c>
      <c r="AE970" t="s">
        <v>62</v>
      </c>
      <c r="AF970" t="s">
        <v>57</v>
      </c>
      <c r="AG970">
        <f>IF(HR_Data[[#This Row],[Attrition]]="Yes",1,0)</f>
        <v>0</v>
      </c>
      <c r="AH970" t="str">
        <f>IF(HR_Data[Date_of_termination]="","Active","Left")</f>
        <v>Active</v>
      </c>
      <c r="AI970" t="str">
        <f>IF(HR_Data[YearsAtCompany]&lt;=2,"Fresher", IF(HR_Data[YearsAtCompany]&lt;=5,"Junior", IF(HR_Data[YearsAtCompany]&lt;=10, "Mid","Senior")))</f>
        <v>Mid</v>
      </c>
      <c r="AJ970" s="2" t="str">
        <f>IF(HR_Data[MonthlyIncome]&lt;=300,"Low", IF(HR_Data[MonthlyIncome]&lt;=7000,"Medium", "High"))</f>
        <v>Medium</v>
      </c>
      <c r="AK970" s="2" t="str">
        <f>VLOOKUP(HR_Data[JobRole], JobRole_Map[], 2, FALSE)</f>
        <v>Sales</v>
      </c>
    </row>
    <row r="971" spans="1:37" x14ac:dyDescent="0.25">
      <c r="A971" s="2">
        <v>29</v>
      </c>
      <c r="B971" t="s">
        <v>41</v>
      </c>
      <c r="C971" t="s">
        <v>33</v>
      </c>
      <c r="D971" t="s">
        <v>34</v>
      </c>
      <c r="E971">
        <v>27</v>
      </c>
      <c r="F971" t="s">
        <v>58</v>
      </c>
      <c r="G971">
        <v>3</v>
      </c>
      <c r="H971">
        <v>2</v>
      </c>
      <c r="I971" t="s">
        <v>69</v>
      </c>
      <c r="J971">
        <v>3</v>
      </c>
      <c r="K971" t="s">
        <v>50</v>
      </c>
      <c r="L971">
        <v>4335</v>
      </c>
      <c r="M971">
        <v>4</v>
      </c>
      <c r="N971" t="s">
        <v>41</v>
      </c>
      <c r="O971">
        <v>12</v>
      </c>
      <c r="P971">
        <v>3</v>
      </c>
      <c r="Q971">
        <v>1</v>
      </c>
      <c r="R971">
        <v>11</v>
      </c>
      <c r="S971">
        <v>3</v>
      </c>
      <c r="T971">
        <v>8</v>
      </c>
      <c r="U971">
        <v>1</v>
      </c>
      <c r="V971">
        <v>1</v>
      </c>
      <c r="W971" t="s">
        <v>56</v>
      </c>
      <c r="X971" s="1" t="d">
        <v>2013-03-31</v>
      </c>
      <c r="Z971" t="s">
        <v>39</v>
      </c>
      <c r="AA971" t="s">
        <v>46</v>
      </c>
      <c r="AB971">
        <v>5</v>
      </c>
      <c r="AC971">
        <v>1</v>
      </c>
      <c r="AD971" t="s">
        <v>41</v>
      </c>
      <c r="AE971" t="s">
        <v>42</v>
      </c>
      <c r="AF971" t="s">
        <v>48</v>
      </c>
      <c r="AG971">
        <f>IF(HR_Data[[#This Row],[Attrition]]="Yes",1,0)</f>
        <v>0</v>
      </c>
      <c r="AH971" t="str">
        <f>IF(HR_Data[Date_of_termination]="","Active","Left")</f>
        <v>Active</v>
      </c>
      <c r="AI971" t="str">
        <f>IF(HR_Data[YearsAtCompany]&lt;=2,"Fresher", IF(HR_Data[YearsAtCompany]&lt;=5,"Junior", IF(HR_Data[YearsAtCompany]&lt;=10, "Mid","Senior")))</f>
        <v>Mid</v>
      </c>
      <c r="AJ971" s="2" t="str">
        <f>IF(HR_Data[MonthlyIncome]&lt;=300,"Low", IF(HR_Data[MonthlyIncome]&lt;=7000,"Medium", "High"))</f>
        <v>Medium</v>
      </c>
      <c r="AK971" s="2" t="str">
        <f>VLOOKUP(HR_Data[JobRole], JobRole_Map[], 2, FALSE)</f>
        <v>Operations</v>
      </c>
    </row>
    <row r="972" spans="1:37" x14ac:dyDescent="0.25">
      <c r="A972" s="2">
        <v>40</v>
      </c>
      <c r="B972" t="s">
        <v>41</v>
      </c>
      <c r="C972" t="s">
        <v>61</v>
      </c>
      <c r="D972" t="s">
        <v>34</v>
      </c>
      <c r="E972">
        <v>2</v>
      </c>
      <c r="F972" t="s">
        <v>58</v>
      </c>
      <c r="G972">
        <v>4</v>
      </c>
      <c r="H972">
        <v>2</v>
      </c>
      <c r="I972" t="s">
        <v>69</v>
      </c>
      <c r="J972">
        <v>2</v>
      </c>
      <c r="K972" t="s">
        <v>50</v>
      </c>
      <c r="L972">
        <v>4244</v>
      </c>
      <c r="M972">
        <v>1</v>
      </c>
      <c r="N972" t="s">
        <v>41</v>
      </c>
      <c r="O972">
        <v>24</v>
      </c>
      <c r="P972">
        <v>4</v>
      </c>
      <c r="Q972">
        <v>1</v>
      </c>
      <c r="R972">
        <v>8</v>
      </c>
      <c r="S972">
        <v>2</v>
      </c>
      <c r="T972">
        <v>8</v>
      </c>
      <c r="U972">
        <v>3</v>
      </c>
      <c r="V972">
        <v>7</v>
      </c>
      <c r="W972" t="s">
        <v>51</v>
      </c>
      <c r="X972" s="1" t="d">
        <v>2013-04-27</v>
      </c>
      <c r="Z972" t="s">
        <v>39</v>
      </c>
      <c r="AA972" t="s">
        <v>46</v>
      </c>
      <c r="AB972">
        <v>5</v>
      </c>
      <c r="AC972">
        <v>1</v>
      </c>
      <c r="AD972" t="s">
        <v>32</v>
      </c>
      <c r="AE972" t="s">
        <v>42</v>
      </c>
      <c r="AF972" t="s">
        <v>48</v>
      </c>
      <c r="AG972">
        <f>IF(HR_Data[[#This Row],[Attrition]]="Yes",1,0)</f>
        <v>0</v>
      </c>
      <c r="AH972" t="str">
        <f>IF(HR_Data[Date_of_termination]="","Active","Left")</f>
        <v>Active</v>
      </c>
      <c r="AI972" t="str">
        <f>IF(HR_Data[YearsAtCompany]&lt;=2,"Fresher", IF(HR_Data[YearsAtCompany]&lt;=5,"Junior", IF(HR_Data[YearsAtCompany]&lt;=10, "Mid","Senior")))</f>
        <v>Mid</v>
      </c>
      <c r="AJ972" s="2" t="str">
        <f>IF(HR_Data[MonthlyIncome]&lt;=300,"Low", IF(HR_Data[MonthlyIncome]&lt;=7000,"Medium", "High"))</f>
        <v>Medium</v>
      </c>
      <c r="AK972" s="2" t="str">
        <f>VLOOKUP(HR_Data[JobRole], JobRole_Map[], 2, FALSE)</f>
        <v>Operations</v>
      </c>
    </row>
    <row r="973" spans="1:37" x14ac:dyDescent="0.25">
      <c r="A973" s="2">
        <v>35</v>
      </c>
      <c r="B973" t="s">
        <v>41</v>
      </c>
      <c r="C973" t="s">
        <v>33</v>
      </c>
      <c r="D973" t="s">
        <v>34</v>
      </c>
      <c r="E973">
        <v>7</v>
      </c>
      <c r="F973" t="s">
        <v>35</v>
      </c>
      <c r="G973">
        <v>3</v>
      </c>
      <c r="H973">
        <v>3</v>
      </c>
      <c r="I973" t="s">
        <v>67</v>
      </c>
      <c r="J973">
        <v>3</v>
      </c>
      <c r="K973" t="s">
        <v>37</v>
      </c>
      <c r="L973">
        <v>10221</v>
      </c>
      <c r="M973">
        <v>3</v>
      </c>
      <c r="N973" t="s">
        <v>41</v>
      </c>
      <c r="O973">
        <v>21</v>
      </c>
      <c r="P973">
        <v>4</v>
      </c>
      <c r="Q973">
        <v>0</v>
      </c>
      <c r="R973">
        <v>17</v>
      </c>
      <c r="S973">
        <v>3</v>
      </c>
      <c r="T973">
        <v>8</v>
      </c>
      <c r="U973">
        <v>1</v>
      </c>
      <c r="V973">
        <v>6</v>
      </c>
      <c r="W973" t="s">
        <v>56</v>
      </c>
      <c r="X973" s="1" t="d">
        <v>2013-01-30</v>
      </c>
      <c r="Z973" t="s">
        <v>39</v>
      </c>
      <c r="AA973" t="s">
        <v>46</v>
      </c>
      <c r="AB973">
        <v>1</v>
      </c>
      <c r="AC973">
        <v>1</v>
      </c>
      <c r="AD973" t="s">
        <v>41</v>
      </c>
      <c r="AE973" t="s">
        <v>42</v>
      </c>
      <c r="AF973" t="s">
        <v>48</v>
      </c>
      <c r="AG973">
        <f>IF(HR_Data[[#This Row],[Attrition]]="Yes",1,0)</f>
        <v>0</v>
      </c>
      <c r="AH973" t="str">
        <f>IF(HR_Data[Date_of_termination]="","Active","Left")</f>
        <v>Active</v>
      </c>
      <c r="AI973" t="str">
        <f>IF(HR_Data[YearsAtCompany]&lt;=2,"Fresher", IF(HR_Data[YearsAtCompany]&lt;=5,"Junior", IF(HR_Data[YearsAtCompany]&lt;=10, "Mid","Senior")))</f>
        <v>Mid</v>
      </c>
      <c r="AJ973" s="2" t="str">
        <f>IF(HR_Data[MonthlyIncome]&lt;=300,"Low", IF(HR_Data[MonthlyIncome]&lt;=7000,"Medium", "High"))</f>
        <v>High</v>
      </c>
      <c r="AK973" s="2" t="str">
        <f>VLOOKUP(HR_Data[JobRole], JobRole_Map[], 2, FALSE)</f>
        <v>Operations</v>
      </c>
    </row>
    <row r="974" spans="1:37" x14ac:dyDescent="0.25">
      <c r="A974" s="2">
        <v>28</v>
      </c>
      <c r="B974" t="s">
        <v>41</v>
      </c>
      <c r="C974" t="s">
        <v>33</v>
      </c>
      <c r="D974" t="s">
        <v>53</v>
      </c>
      <c r="E974">
        <v>2</v>
      </c>
      <c r="F974" t="s">
        <v>58</v>
      </c>
      <c r="G974">
        <v>3</v>
      </c>
      <c r="H974">
        <v>2</v>
      </c>
      <c r="I974" t="s">
        <v>64</v>
      </c>
      <c r="J974">
        <v>2</v>
      </c>
      <c r="K974" t="s">
        <v>50</v>
      </c>
      <c r="L974">
        <v>4779</v>
      </c>
      <c r="M974">
        <v>1</v>
      </c>
      <c r="N974" t="s">
        <v>32</v>
      </c>
      <c r="O974">
        <v>20</v>
      </c>
      <c r="P974">
        <v>4</v>
      </c>
      <c r="Q974">
        <v>0</v>
      </c>
      <c r="R974">
        <v>8</v>
      </c>
      <c r="S974">
        <v>2</v>
      </c>
      <c r="T974">
        <v>8</v>
      </c>
      <c r="U974">
        <v>7</v>
      </c>
      <c r="V974">
        <v>5</v>
      </c>
      <c r="W974" t="s">
        <v>38</v>
      </c>
      <c r="X974" s="1" t="d">
        <v>2013-02-13</v>
      </c>
      <c r="Z974" t="s">
        <v>39</v>
      </c>
      <c r="AA974" t="s">
        <v>40</v>
      </c>
      <c r="AB974">
        <v>0</v>
      </c>
      <c r="AC974">
        <v>1</v>
      </c>
      <c r="AD974" t="s">
        <v>41</v>
      </c>
      <c r="AE974" t="s">
        <v>60</v>
      </c>
      <c r="AF974" t="s">
        <v>43</v>
      </c>
      <c r="AG974">
        <f>IF(HR_Data[[#This Row],[Attrition]]="Yes",1,0)</f>
        <v>0</v>
      </c>
      <c r="AH974" t="str">
        <f>IF(HR_Data[Date_of_termination]="","Active","Left")</f>
        <v>Active</v>
      </c>
      <c r="AI974" t="str">
        <f>IF(HR_Data[YearsAtCompany]&lt;=2,"Fresher", IF(HR_Data[YearsAtCompany]&lt;=5,"Junior", IF(HR_Data[YearsAtCompany]&lt;=10, "Mid","Senior")))</f>
        <v>Mid</v>
      </c>
      <c r="AJ974" s="2" t="str">
        <f>IF(HR_Data[MonthlyIncome]&lt;=300,"Low", IF(HR_Data[MonthlyIncome]&lt;=7000,"Medium", "High"))</f>
        <v>Medium</v>
      </c>
      <c r="AK974" s="2" t="str">
        <f>VLOOKUP(HR_Data[JobRole], JobRole_Map[], 2, FALSE)</f>
        <v>Sales</v>
      </c>
    </row>
    <row r="975" spans="1:37" x14ac:dyDescent="0.25">
      <c r="A975" s="2">
        <v>26</v>
      </c>
      <c r="B975" t="s">
        <v>32</v>
      </c>
      <c r="C975" t="s">
        <v>61</v>
      </c>
      <c r="D975" t="s">
        <v>34</v>
      </c>
      <c r="E975">
        <v>5</v>
      </c>
      <c r="F975" t="s">
        <v>58</v>
      </c>
      <c r="G975">
        <v>2</v>
      </c>
      <c r="H975">
        <v>1</v>
      </c>
      <c r="I975" t="s">
        <v>44</v>
      </c>
      <c r="J975">
        <v>3</v>
      </c>
      <c r="K975" t="s">
        <v>50</v>
      </c>
      <c r="L975">
        <v>2366</v>
      </c>
      <c r="M975">
        <v>1</v>
      </c>
      <c r="N975" t="s">
        <v>32</v>
      </c>
      <c r="O975">
        <v>14</v>
      </c>
      <c r="P975">
        <v>3</v>
      </c>
      <c r="Q975">
        <v>1</v>
      </c>
      <c r="R975">
        <v>8</v>
      </c>
      <c r="S975">
        <v>2</v>
      </c>
      <c r="T975">
        <v>8</v>
      </c>
      <c r="U975">
        <v>1</v>
      </c>
      <c r="V975">
        <v>7</v>
      </c>
      <c r="W975" t="s">
        <v>38</v>
      </c>
      <c r="X975" s="1" t="d">
        <v>2013-04-16</v>
      </c>
      <c r="Z975" t="s">
        <v>59</v>
      </c>
      <c r="AA975" t="s">
        <v>40</v>
      </c>
      <c r="AB975">
        <v>5</v>
      </c>
      <c r="AC975">
        <v>0</v>
      </c>
      <c r="AD975" t="s">
        <v>32</v>
      </c>
      <c r="AE975" t="s">
        <v>47</v>
      </c>
      <c r="AF975" t="s">
        <v>48</v>
      </c>
      <c r="AG975">
        <f>IF(HR_Data[[#This Row],[Attrition]]="Yes",1,0)</f>
        <v>1</v>
      </c>
      <c r="AH975" t="str">
        <f>IF(HR_Data[Date_of_termination]="","Active","Left")</f>
        <v>Active</v>
      </c>
      <c r="AI975" t="str">
        <f>IF(HR_Data[YearsAtCompany]&lt;=2,"Fresher", IF(HR_Data[YearsAtCompany]&lt;=5,"Junior", IF(HR_Data[YearsAtCompany]&lt;=10, "Mid","Senior")))</f>
        <v>Mid</v>
      </c>
      <c r="AJ975" s="2" t="str">
        <f>IF(HR_Data[MonthlyIncome]&lt;=300,"Low", IF(HR_Data[MonthlyIncome]&lt;=7000,"Medium", "High"))</f>
        <v>Medium</v>
      </c>
      <c r="AK975" s="2" t="str">
        <f>VLOOKUP(HR_Data[JobRole], JobRole_Map[], 2, FALSE)</f>
        <v>Technical</v>
      </c>
    </row>
    <row r="976" spans="1:37" x14ac:dyDescent="0.25">
      <c r="A976" s="2">
        <v>44</v>
      </c>
      <c r="B976" t="s">
        <v>41</v>
      </c>
      <c r="C976" t="s">
        <v>33</v>
      </c>
      <c r="D976" t="s">
        <v>34</v>
      </c>
      <c r="E976">
        <v>9</v>
      </c>
      <c r="F976" t="s">
        <v>35</v>
      </c>
      <c r="G976">
        <v>3</v>
      </c>
      <c r="H976">
        <v>1</v>
      </c>
      <c r="I976" t="s">
        <v>44</v>
      </c>
      <c r="J976">
        <v>1</v>
      </c>
      <c r="K976" t="s">
        <v>50</v>
      </c>
      <c r="L976">
        <v>2559</v>
      </c>
      <c r="M976">
        <v>1</v>
      </c>
      <c r="N976" t="s">
        <v>32</v>
      </c>
      <c r="O976">
        <v>13</v>
      </c>
      <c r="P976">
        <v>3</v>
      </c>
      <c r="Q976">
        <v>0</v>
      </c>
      <c r="R976">
        <v>8</v>
      </c>
      <c r="S976">
        <v>0</v>
      </c>
      <c r="T976">
        <v>8</v>
      </c>
      <c r="U976">
        <v>7</v>
      </c>
      <c r="V976">
        <v>1</v>
      </c>
      <c r="W976" t="s">
        <v>56</v>
      </c>
      <c r="X976" s="1" t="d">
        <v>2013-04-26</v>
      </c>
      <c r="Z976" t="s">
        <v>63</v>
      </c>
      <c r="AA976" t="s">
        <v>46</v>
      </c>
      <c r="AB976">
        <v>3</v>
      </c>
      <c r="AC976">
        <v>1</v>
      </c>
      <c r="AD976" t="s">
        <v>32</v>
      </c>
      <c r="AE976" t="s">
        <v>47</v>
      </c>
      <c r="AF976" t="s">
        <v>48</v>
      </c>
      <c r="AG976">
        <f>IF(HR_Data[[#This Row],[Attrition]]="Yes",1,0)</f>
        <v>0</v>
      </c>
      <c r="AH976" t="str">
        <f>IF(HR_Data[Date_of_termination]="","Active","Left")</f>
        <v>Active</v>
      </c>
      <c r="AI976" t="str">
        <f>IF(HR_Data[YearsAtCompany]&lt;=2,"Fresher", IF(HR_Data[YearsAtCompany]&lt;=5,"Junior", IF(HR_Data[YearsAtCompany]&lt;=10, "Mid","Senior")))</f>
        <v>Mid</v>
      </c>
      <c r="AJ976" s="2" t="str">
        <f>IF(HR_Data[MonthlyIncome]&lt;=300,"Low", IF(HR_Data[MonthlyIncome]&lt;=7000,"Medium", "High"))</f>
        <v>Medium</v>
      </c>
      <c r="AK976" s="2" t="str">
        <f>VLOOKUP(HR_Data[JobRole], JobRole_Map[], 2, FALSE)</f>
        <v>Technical</v>
      </c>
    </row>
    <row r="977" spans="1:37" x14ac:dyDescent="0.25">
      <c r="A977" s="2">
        <v>32</v>
      </c>
      <c r="B977" t="s">
        <v>41</v>
      </c>
      <c r="C977" t="s">
        <v>33</v>
      </c>
      <c r="D977" t="s">
        <v>34</v>
      </c>
      <c r="E977">
        <v>3</v>
      </c>
      <c r="F977" t="s">
        <v>58</v>
      </c>
      <c r="G977">
        <v>3</v>
      </c>
      <c r="H977">
        <v>2</v>
      </c>
      <c r="I977" t="s">
        <v>67</v>
      </c>
      <c r="J977">
        <v>1</v>
      </c>
      <c r="K977" t="s">
        <v>50</v>
      </c>
      <c r="L977">
        <v>6725</v>
      </c>
      <c r="M977">
        <v>1</v>
      </c>
      <c r="N977" t="s">
        <v>41</v>
      </c>
      <c r="O977">
        <v>12</v>
      </c>
      <c r="P977">
        <v>3</v>
      </c>
      <c r="Q977">
        <v>1</v>
      </c>
      <c r="R977">
        <v>8</v>
      </c>
      <c r="S977">
        <v>2</v>
      </c>
      <c r="T977">
        <v>8</v>
      </c>
      <c r="U977">
        <v>6</v>
      </c>
      <c r="V977">
        <v>3</v>
      </c>
      <c r="W977" t="s">
        <v>51</v>
      </c>
      <c r="X977" s="1" t="d">
        <v>2013-02-20</v>
      </c>
      <c r="Z977" t="s">
        <v>59</v>
      </c>
      <c r="AA977" t="s">
        <v>46</v>
      </c>
      <c r="AB977">
        <v>3</v>
      </c>
      <c r="AC977">
        <v>0</v>
      </c>
      <c r="AD977" t="s">
        <v>32</v>
      </c>
      <c r="AE977" t="s">
        <v>42</v>
      </c>
      <c r="AF977" t="s">
        <v>57</v>
      </c>
      <c r="AG977">
        <f>IF(HR_Data[[#This Row],[Attrition]]="Yes",1,0)</f>
        <v>0</v>
      </c>
      <c r="AH977" t="str">
        <f>IF(HR_Data[Date_of_termination]="","Active","Left")</f>
        <v>Active</v>
      </c>
      <c r="AI977" t="str">
        <f>IF(HR_Data[YearsAtCompany]&lt;=2,"Fresher", IF(HR_Data[YearsAtCompany]&lt;=5,"Junior", IF(HR_Data[YearsAtCompany]&lt;=10, "Mid","Senior")))</f>
        <v>Mid</v>
      </c>
      <c r="AJ977" s="2" t="str">
        <f>IF(HR_Data[MonthlyIncome]&lt;=300,"Low", IF(HR_Data[MonthlyIncome]&lt;=7000,"Medium", "High"))</f>
        <v>Medium</v>
      </c>
      <c r="AK977" s="2" t="str">
        <f>VLOOKUP(HR_Data[JobRole], JobRole_Map[], 2, FALSE)</f>
        <v>Operations</v>
      </c>
    </row>
    <row r="978" spans="1:37" x14ac:dyDescent="0.25">
      <c r="A978" s="2">
        <v>30</v>
      </c>
      <c r="B978" t="s">
        <v>41</v>
      </c>
      <c r="C978" t="s">
        <v>33</v>
      </c>
      <c r="D978" t="s">
        <v>53</v>
      </c>
      <c r="E978">
        <v>8</v>
      </c>
      <c r="F978" t="s">
        <v>35</v>
      </c>
      <c r="G978">
        <v>3</v>
      </c>
      <c r="H978">
        <v>3</v>
      </c>
      <c r="I978" t="s">
        <v>64</v>
      </c>
      <c r="J978">
        <v>3</v>
      </c>
      <c r="K978" t="s">
        <v>55</v>
      </c>
      <c r="L978">
        <v>7264</v>
      </c>
      <c r="M978">
        <v>5</v>
      </c>
      <c r="N978" t="s">
        <v>41</v>
      </c>
      <c r="O978">
        <v>11</v>
      </c>
      <c r="P978">
        <v>3</v>
      </c>
      <c r="Q978">
        <v>1</v>
      </c>
      <c r="R978">
        <v>10</v>
      </c>
      <c r="S978">
        <v>2</v>
      </c>
      <c r="T978">
        <v>8</v>
      </c>
      <c r="U978">
        <v>7</v>
      </c>
      <c r="V978">
        <v>7</v>
      </c>
      <c r="W978" t="s">
        <v>56</v>
      </c>
      <c r="X978" s="1" t="d">
        <v>2013-03-19</v>
      </c>
      <c r="Z978" t="s">
        <v>39</v>
      </c>
      <c r="AA978" t="s">
        <v>46</v>
      </c>
      <c r="AB978">
        <v>5</v>
      </c>
      <c r="AC978">
        <v>2</v>
      </c>
      <c r="AD978" t="s">
        <v>32</v>
      </c>
      <c r="AE978" t="s">
        <v>47</v>
      </c>
      <c r="AF978" t="s">
        <v>48</v>
      </c>
      <c r="AG978">
        <f>IF(HR_Data[[#This Row],[Attrition]]="Yes",1,0)</f>
        <v>0</v>
      </c>
      <c r="AH978" t="str">
        <f>IF(HR_Data[Date_of_termination]="","Active","Left")</f>
        <v>Active</v>
      </c>
      <c r="AI978" t="str">
        <f>IF(HR_Data[YearsAtCompany]&lt;=2,"Fresher", IF(HR_Data[YearsAtCompany]&lt;=5,"Junior", IF(HR_Data[YearsAtCompany]&lt;=10, "Mid","Senior")))</f>
        <v>Mid</v>
      </c>
      <c r="AJ978" s="2" t="str">
        <f>IF(HR_Data[MonthlyIncome]&lt;=300,"Low", IF(HR_Data[MonthlyIncome]&lt;=7000,"Medium", "High"))</f>
        <v>High</v>
      </c>
      <c r="AK978" s="2" t="str">
        <f>VLOOKUP(HR_Data[JobRole], JobRole_Map[], 2, FALSE)</f>
        <v>Sales</v>
      </c>
    </row>
    <row r="979" spans="1:37" x14ac:dyDescent="0.25">
      <c r="A979" s="2">
        <v>39</v>
      </c>
      <c r="B979" t="s">
        <v>41</v>
      </c>
      <c r="C979" t="s">
        <v>33</v>
      </c>
      <c r="D979" t="s">
        <v>53</v>
      </c>
      <c r="E979">
        <v>2</v>
      </c>
      <c r="F979" t="s">
        <v>35</v>
      </c>
      <c r="G979">
        <v>4</v>
      </c>
      <c r="H979">
        <v>3</v>
      </c>
      <c r="I979" t="s">
        <v>64</v>
      </c>
      <c r="J979">
        <v>3</v>
      </c>
      <c r="K979" t="s">
        <v>37</v>
      </c>
      <c r="L979">
        <v>7880</v>
      </c>
      <c r="M979">
        <v>0</v>
      </c>
      <c r="N979" t="s">
        <v>41</v>
      </c>
      <c r="O979">
        <v>18</v>
      </c>
      <c r="P979">
        <v>3</v>
      </c>
      <c r="Q979">
        <v>0</v>
      </c>
      <c r="R979">
        <v>9</v>
      </c>
      <c r="S979">
        <v>3</v>
      </c>
      <c r="T979">
        <v>8</v>
      </c>
      <c r="U979">
        <v>0</v>
      </c>
      <c r="V979">
        <v>7</v>
      </c>
      <c r="W979" t="s">
        <v>65</v>
      </c>
      <c r="X979" s="1" t="d">
        <v>2013-02-17</v>
      </c>
      <c r="Z979" t="s">
        <v>52</v>
      </c>
      <c r="AA979" t="s">
        <v>40</v>
      </c>
      <c r="AB979">
        <v>1</v>
      </c>
      <c r="AC979">
        <v>1</v>
      </c>
      <c r="AD979" t="s">
        <v>32</v>
      </c>
      <c r="AE979" t="s">
        <v>62</v>
      </c>
      <c r="AF979" t="s">
        <v>57</v>
      </c>
      <c r="AG979">
        <f>IF(HR_Data[[#This Row],[Attrition]]="Yes",1,0)</f>
        <v>0</v>
      </c>
      <c r="AH979" t="str">
        <f>IF(HR_Data[Date_of_termination]="","Active","Left")</f>
        <v>Active</v>
      </c>
      <c r="AI979" t="str">
        <f>IF(HR_Data[YearsAtCompany]&lt;=2,"Fresher", IF(HR_Data[YearsAtCompany]&lt;=5,"Junior", IF(HR_Data[YearsAtCompany]&lt;=10, "Mid","Senior")))</f>
        <v>Mid</v>
      </c>
      <c r="AJ979" s="2" t="str">
        <f>IF(HR_Data[MonthlyIncome]&lt;=300,"Low", IF(HR_Data[MonthlyIncome]&lt;=7000,"Medium", "High"))</f>
        <v>High</v>
      </c>
      <c r="AK979" s="2" t="str">
        <f>VLOOKUP(HR_Data[JobRole], JobRole_Map[], 2, FALSE)</f>
        <v>Sales</v>
      </c>
    </row>
    <row r="980" spans="1:37" x14ac:dyDescent="0.25">
      <c r="A980" s="2">
        <v>46</v>
      </c>
      <c r="B980" t="s">
        <v>41</v>
      </c>
      <c r="C980" t="s">
        <v>33</v>
      </c>
      <c r="D980" t="s">
        <v>34</v>
      </c>
      <c r="E980">
        <v>7</v>
      </c>
      <c r="F980" t="s">
        <v>35</v>
      </c>
      <c r="G980">
        <v>3</v>
      </c>
      <c r="H980">
        <v>3</v>
      </c>
      <c r="I980" t="s">
        <v>67</v>
      </c>
      <c r="J980">
        <v>3</v>
      </c>
      <c r="K980" t="s">
        <v>55</v>
      </c>
      <c r="L980">
        <v>10845</v>
      </c>
      <c r="M980">
        <v>6</v>
      </c>
      <c r="N980" t="s">
        <v>41</v>
      </c>
      <c r="O980">
        <v>13</v>
      </c>
      <c r="P980">
        <v>3</v>
      </c>
      <c r="Q980">
        <v>1</v>
      </c>
      <c r="R980">
        <v>13</v>
      </c>
      <c r="S980">
        <v>3</v>
      </c>
      <c r="T980">
        <v>8</v>
      </c>
      <c r="U980">
        <v>0</v>
      </c>
      <c r="V980">
        <v>7</v>
      </c>
      <c r="W980" t="s">
        <v>51</v>
      </c>
      <c r="X980" s="1" t="d">
        <v>2013-04-26</v>
      </c>
      <c r="Z980" t="s">
        <v>45</v>
      </c>
      <c r="AA980" t="s">
        <v>46</v>
      </c>
      <c r="AB980">
        <v>2</v>
      </c>
      <c r="AC980">
        <v>0</v>
      </c>
      <c r="AD980" t="s">
        <v>41</v>
      </c>
      <c r="AE980" t="s">
        <v>42</v>
      </c>
      <c r="AF980" t="s">
        <v>43</v>
      </c>
      <c r="AG980">
        <f>IF(HR_Data[[#This Row],[Attrition]]="Yes",1,0)</f>
        <v>0</v>
      </c>
      <c r="AH980" t="str">
        <f>IF(HR_Data[Date_of_termination]="","Active","Left")</f>
        <v>Active</v>
      </c>
      <c r="AI980" t="str">
        <f>IF(HR_Data[YearsAtCompany]&lt;=2,"Fresher", IF(HR_Data[YearsAtCompany]&lt;=5,"Junior", IF(HR_Data[YearsAtCompany]&lt;=10, "Mid","Senior")))</f>
        <v>Mid</v>
      </c>
      <c r="AJ980" s="2" t="str">
        <f>IF(HR_Data[MonthlyIncome]&lt;=300,"Low", IF(HR_Data[MonthlyIncome]&lt;=7000,"Medium", "High"))</f>
        <v>High</v>
      </c>
      <c r="AK980" s="2" t="str">
        <f>VLOOKUP(HR_Data[JobRole], JobRole_Map[], 2, FALSE)</f>
        <v>Operations</v>
      </c>
    </row>
    <row r="981" spans="1:37" x14ac:dyDescent="0.25">
      <c r="A981" s="2">
        <v>30</v>
      </c>
      <c r="B981" t="s">
        <v>41</v>
      </c>
      <c r="C981" t="s">
        <v>33</v>
      </c>
      <c r="D981" t="s">
        <v>34</v>
      </c>
      <c r="E981">
        <v>8</v>
      </c>
      <c r="F981" t="s">
        <v>58</v>
      </c>
      <c r="G981">
        <v>4</v>
      </c>
      <c r="H981">
        <v>3</v>
      </c>
      <c r="I981" t="s">
        <v>49</v>
      </c>
      <c r="J981">
        <v>1</v>
      </c>
      <c r="K981" t="s">
        <v>50</v>
      </c>
      <c r="L981">
        <v>11416</v>
      </c>
      <c r="M981">
        <v>0</v>
      </c>
      <c r="N981" t="s">
        <v>32</v>
      </c>
      <c r="O981">
        <v>12</v>
      </c>
      <c r="P981">
        <v>3</v>
      </c>
      <c r="Q981">
        <v>3</v>
      </c>
      <c r="R981">
        <v>9</v>
      </c>
      <c r="S981">
        <v>4</v>
      </c>
      <c r="T981">
        <v>8</v>
      </c>
      <c r="U981">
        <v>1</v>
      </c>
      <c r="V981">
        <v>7</v>
      </c>
      <c r="W981" t="s">
        <v>51</v>
      </c>
      <c r="X981" s="1" t="d">
        <v>2013-05-25</v>
      </c>
      <c r="Z981" t="s">
        <v>52</v>
      </c>
      <c r="AA981" t="s">
        <v>46</v>
      </c>
      <c r="AB981">
        <v>2</v>
      </c>
      <c r="AC981">
        <v>2</v>
      </c>
      <c r="AD981" t="s">
        <v>41</v>
      </c>
      <c r="AE981" t="s">
        <v>62</v>
      </c>
      <c r="AF981" t="s">
        <v>48</v>
      </c>
      <c r="AG981">
        <f>IF(HR_Data[[#This Row],[Attrition]]="Yes",1,0)</f>
        <v>0</v>
      </c>
      <c r="AH981" t="str">
        <f>IF(HR_Data[Date_of_termination]="","Active","Left")</f>
        <v>Active</v>
      </c>
      <c r="AI981" t="str">
        <f>IF(HR_Data[YearsAtCompany]&lt;=2,"Fresher", IF(HR_Data[YearsAtCompany]&lt;=5,"Junior", IF(HR_Data[YearsAtCompany]&lt;=10, "Mid","Senior")))</f>
        <v>Mid</v>
      </c>
      <c r="AJ981" s="2" t="str">
        <f>IF(HR_Data[MonthlyIncome]&lt;=300,"Low", IF(HR_Data[MonthlyIncome]&lt;=7000,"Medium", "High"))</f>
        <v>High</v>
      </c>
      <c r="AK981" s="2" t="str">
        <f>VLOOKUP(HR_Data[JobRole], JobRole_Map[], 2, FALSE)</f>
        <v>Management</v>
      </c>
    </row>
    <row r="982" spans="1:37" x14ac:dyDescent="0.25">
      <c r="A982" s="2">
        <v>26</v>
      </c>
      <c r="B982" t="s">
        <v>41</v>
      </c>
      <c r="C982" t="s">
        <v>33</v>
      </c>
      <c r="D982" t="s">
        <v>34</v>
      </c>
      <c r="E982">
        <v>2</v>
      </c>
      <c r="F982" t="s">
        <v>35</v>
      </c>
      <c r="G982">
        <v>4</v>
      </c>
      <c r="H982">
        <v>2</v>
      </c>
      <c r="I982" t="s">
        <v>67</v>
      </c>
      <c r="J982">
        <v>4</v>
      </c>
      <c r="K982" t="s">
        <v>50</v>
      </c>
      <c r="L982">
        <v>5472</v>
      </c>
      <c r="M982">
        <v>1</v>
      </c>
      <c r="N982" t="s">
        <v>41</v>
      </c>
      <c r="O982">
        <v>12</v>
      </c>
      <c r="P982">
        <v>3</v>
      </c>
      <c r="Q982">
        <v>0</v>
      </c>
      <c r="R982">
        <v>8</v>
      </c>
      <c r="S982">
        <v>2</v>
      </c>
      <c r="T982">
        <v>8</v>
      </c>
      <c r="U982">
        <v>1</v>
      </c>
      <c r="V982">
        <v>3</v>
      </c>
      <c r="W982" t="s">
        <v>56</v>
      </c>
      <c r="X982" s="1" t="d">
        <v>2013-01-15</v>
      </c>
      <c r="Z982" t="s">
        <v>59</v>
      </c>
      <c r="AA982" t="s">
        <v>46</v>
      </c>
      <c r="AB982">
        <v>5</v>
      </c>
      <c r="AC982">
        <v>0</v>
      </c>
      <c r="AD982" t="s">
        <v>41</v>
      </c>
      <c r="AE982" t="s">
        <v>47</v>
      </c>
      <c r="AF982" t="s">
        <v>57</v>
      </c>
      <c r="AG982">
        <f>IF(HR_Data[[#This Row],[Attrition]]="Yes",1,0)</f>
        <v>0</v>
      </c>
      <c r="AH982" t="str">
        <f>IF(HR_Data[Date_of_termination]="","Active","Left")</f>
        <v>Active</v>
      </c>
      <c r="AI982" t="str">
        <f>IF(HR_Data[YearsAtCompany]&lt;=2,"Fresher", IF(HR_Data[YearsAtCompany]&lt;=5,"Junior", IF(HR_Data[YearsAtCompany]&lt;=10, "Mid","Senior")))</f>
        <v>Mid</v>
      </c>
      <c r="AJ982" s="2" t="str">
        <f>IF(HR_Data[MonthlyIncome]&lt;=300,"Low", IF(HR_Data[MonthlyIncome]&lt;=7000,"Medium", "High"))</f>
        <v>Medium</v>
      </c>
      <c r="AK982" s="2" t="str">
        <f>VLOOKUP(HR_Data[JobRole], JobRole_Map[], 2, FALSE)</f>
        <v>Operations</v>
      </c>
    </row>
    <row r="983" spans="1:37" x14ac:dyDescent="0.25">
      <c r="A983" s="2">
        <v>55</v>
      </c>
      <c r="B983" t="s">
        <v>41</v>
      </c>
      <c r="C983" t="s">
        <v>61</v>
      </c>
      <c r="D983" t="s">
        <v>34</v>
      </c>
      <c r="E983">
        <v>18</v>
      </c>
      <c r="F983" t="s">
        <v>35</v>
      </c>
      <c r="G983">
        <v>3</v>
      </c>
      <c r="H983">
        <v>2</v>
      </c>
      <c r="I983" t="s">
        <v>69</v>
      </c>
      <c r="J983">
        <v>2</v>
      </c>
      <c r="K983" t="s">
        <v>50</v>
      </c>
      <c r="L983">
        <v>6385</v>
      </c>
      <c r="M983">
        <v>3</v>
      </c>
      <c r="N983" t="s">
        <v>32</v>
      </c>
      <c r="O983">
        <v>14</v>
      </c>
      <c r="P983">
        <v>3</v>
      </c>
      <c r="Q983">
        <v>2</v>
      </c>
      <c r="R983">
        <v>17</v>
      </c>
      <c r="S983">
        <v>3</v>
      </c>
      <c r="T983">
        <v>8</v>
      </c>
      <c r="U983">
        <v>6</v>
      </c>
      <c r="V983">
        <v>7</v>
      </c>
      <c r="W983" t="s">
        <v>38</v>
      </c>
      <c r="X983" s="1" t="d">
        <v>2013-03-16</v>
      </c>
      <c r="Z983" t="s">
        <v>59</v>
      </c>
      <c r="AA983" t="s">
        <v>46</v>
      </c>
      <c r="AB983">
        <v>1</v>
      </c>
      <c r="AC983">
        <v>2</v>
      </c>
      <c r="AD983" t="s">
        <v>41</v>
      </c>
      <c r="AE983" t="s">
        <v>42</v>
      </c>
      <c r="AF983" t="s">
        <v>57</v>
      </c>
      <c r="AG983">
        <f>IF(HR_Data[[#This Row],[Attrition]]="Yes",1,0)</f>
        <v>0</v>
      </c>
      <c r="AH983" t="str">
        <f>IF(HR_Data[Date_of_termination]="","Active","Left")</f>
        <v>Active</v>
      </c>
      <c r="AI983" t="str">
        <f>IF(HR_Data[YearsAtCompany]&lt;=2,"Fresher", IF(HR_Data[YearsAtCompany]&lt;=5,"Junior", IF(HR_Data[YearsAtCompany]&lt;=10, "Mid","Senior")))</f>
        <v>Mid</v>
      </c>
      <c r="AJ983" s="2" t="str">
        <f>IF(HR_Data[MonthlyIncome]&lt;=300,"Low", IF(HR_Data[MonthlyIncome]&lt;=7000,"Medium", "High"))</f>
        <v>Medium</v>
      </c>
      <c r="AK983" s="2" t="str">
        <f>VLOOKUP(HR_Data[JobRole], JobRole_Map[], 2, FALSE)</f>
        <v>Operations</v>
      </c>
    </row>
    <row r="984" spans="1:37" x14ac:dyDescent="0.25">
      <c r="A984" s="2">
        <v>32</v>
      </c>
      <c r="B984" t="s">
        <v>41</v>
      </c>
      <c r="C984" t="s">
        <v>68</v>
      </c>
      <c r="D984" t="s">
        <v>34</v>
      </c>
      <c r="E984">
        <v>29</v>
      </c>
      <c r="F984" t="s">
        <v>58</v>
      </c>
      <c r="G984">
        <v>3</v>
      </c>
      <c r="H984">
        <v>1</v>
      </c>
      <c r="I984" t="s">
        <v>36</v>
      </c>
      <c r="J984">
        <v>3</v>
      </c>
      <c r="K984" t="s">
        <v>37</v>
      </c>
      <c r="L984">
        <v>4025</v>
      </c>
      <c r="M984">
        <v>9</v>
      </c>
      <c r="N984" t="s">
        <v>41</v>
      </c>
      <c r="O984">
        <v>12</v>
      </c>
      <c r="P984">
        <v>3</v>
      </c>
      <c r="Q984">
        <v>0</v>
      </c>
      <c r="R984">
        <v>10</v>
      </c>
      <c r="S984">
        <v>2</v>
      </c>
      <c r="T984">
        <v>8</v>
      </c>
      <c r="U984">
        <v>7</v>
      </c>
      <c r="V984">
        <v>7</v>
      </c>
      <c r="W984" t="s">
        <v>56</v>
      </c>
      <c r="X984" s="1" t="d">
        <v>2013-01-21</v>
      </c>
      <c r="Z984" t="s">
        <v>52</v>
      </c>
      <c r="AA984" t="s">
        <v>46</v>
      </c>
      <c r="AB984">
        <v>2</v>
      </c>
      <c r="AC984">
        <v>3</v>
      </c>
      <c r="AD984" t="s">
        <v>41</v>
      </c>
      <c r="AE984" t="s">
        <v>42</v>
      </c>
      <c r="AF984" t="s">
        <v>57</v>
      </c>
      <c r="AG984">
        <f>IF(HR_Data[[#This Row],[Attrition]]="Yes",1,0)</f>
        <v>0</v>
      </c>
      <c r="AH984" t="str">
        <f>IF(HR_Data[Date_of_termination]="","Active","Left")</f>
        <v>Active</v>
      </c>
      <c r="AI984" t="str">
        <f>IF(HR_Data[YearsAtCompany]&lt;=2,"Fresher", IF(HR_Data[YearsAtCompany]&lt;=5,"Junior", IF(HR_Data[YearsAtCompany]&lt;=10, "Mid","Senior")))</f>
        <v>Mid</v>
      </c>
      <c r="AJ984" s="2" t="str">
        <f>IF(HR_Data[MonthlyIncome]&lt;=300,"Low", IF(HR_Data[MonthlyIncome]&lt;=7000,"Medium", "High"))</f>
        <v>Medium</v>
      </c>
      <c r="AK984" s="2" t="str">
        <f>VLOOKUP(HR_Data[JobRole], JobRole_Map[], 2, FALSE)</f>
        <v>Technical</v>
      </c>
    </row>
    <row r="985" spans="1:37" x14ac:dyDescent="0.25">
      <c r="A985" s="2">
        <v>50</v>
      </c>
      <c r="B985" t="s">
        <v>41</v>
      </c>
      <c r="C985" t="s">
        <v>33</v>
      </c>
      <c r="D985" t="s">
        <v>34</v>
      </c>
      <c r="E985">
        <v>2</v>
      </c>
      <c r="F985" t="s">
        <v>35</v>
      </c>
      <c r="G985">
        <v>3</v>
      </c>
      <c r="H985">
        <v>5</v>
      </c>
      <c r="I985" t="s">
        <v>49</v>
      </c>
      <c r="J985">
        <v>3</v>
      </c>
      <c r="K985" t="s">
        <v>50</v>
      </c>
      <c r="L985">
        <v>19237</v>
      </c>
      <c r="M985">
        <v>2</v>
      </c>
      <c r="N985" t="s">
        <v>32</v>
      </c>
      <c r="O985">
        <v>11</v>
      </c>
      <c r="P985">
        <v>3</v>
      </c>
      <c r="Q985">
        <v>1</v>
      </c>
      <c r="R985">
        <v>29</v>
      </c>
      <c r="S985">
        <v>2</v>
      </c>
      <c r="T985">
        <v>8</v>
      </c>
      <c r="U985">
        <v>7</v>
      </c>
      <c r="V985">
        <v>7</v>
      </c>
      <c r="W985" t="s">
        <v>56</v>
      </c>
      <c r="X985" s="1" t="d">
        <v>2013-05-12</v>
      </c>
      <c r="Z985" t="s">
        <v>45</v>
      </c>
      <c r="AA985" t="s">
        <v>40</v>
      </c>
      <c r="AB985">
        <v>4</v>
      </c>
      <c r="AC985">
        <v>1</v>
      </c>
      <c r="AD985" t="s">
        <v>41</v>
      </c>
      <c r="AE985" t="s">
        <v>47</v>
      </c>
      <c r="AF985" t="s">
        <v>57</v>
      </c>
      <c r="AG985">
        <f>IF(HR_Data[[#This Row],[Attrition]]="Yes",1,0)</f>
        <v>0</v>
      </c>
      <c r="AH985" t="str">
        <f>IF(HR_Data[Date_of_termination]="","Active","Left")</f>
        <v>Active</v>
      </c>
      <c r="AI985" t="str">
        <f>IF(HR_Data[YearsAtCompany]&lt;=2,"Fresher", IF(HR_Data[YearsAtCompany]&lt;=5,"Junior", IF(HR_Data[YearsAtCompany]&lt;=10, "Mid","Senior")))</f>
        <v>Mid</v>
      </c>
      <c r="AJ985" s="2" t="str">
        <f>IF(HR_Data[MonthlyIncome]&lt;=300,"Low", IF(HR_Data[MonthlyIncome]&lt;=7000,"Medium", "High"))</f>
        <v>High</v>
      </c>
      <c r="AK985" s="2" t="str">
        <f>VLOOKUP(HR_Data[JobRole], JobRole_Map[], 2, FALSE)</f>
        <v>Management</v>
      </c>
    </row>
    <row r="986" spans="1:37" x14ac:dyDescent="0.25">
      <c r="A986" s="2">
        <v>28</v>
      </c>
      <c r="B986" t="s">
        <v>41</v>
      </c>
      <c r="C986" t="s">
        <v>33</v>
      </c>
      <c r="D986" t="s">
        <v>34</v>
      </c>
      <c r="E986">
        <v>10</v>
      </c>
      <c r="F986" t="s">
        <v>58</v>
      </c>
      <c r="G986">
        <v>3</v>
      </c>
      <c r="H986">
        <v>2</v>
      </c>
      <c r="I986" t="s">
        <v>44</v>
      </c>
      <c r="J986">
        <v>3</v>
      </c>
      <c r="K986" t="s">
        <v>37</v>
      </c>
      <c r="L986">
        <v>3660</v>
      </c>
      <c r="M986">
        <v>3</v>
      </c>
      <c r="N986" t="s">
        <v>41</v>
      </c>
      <c r="O986">
        <v>13</v>
      </c>
      <c r="P986">
        <v>3</v>
      </c>
      <c r="Q986">
        <v>0</v>
      </c>
      <c r="R986">
        <v>10</v>
      </c>
      <c r="S986">
        <v>4</v>
      </c>
      <c r="T986">
        <v>8</v>
      </c>
      <c r="U986">
        <v>1</v>
      </c>
      <c r="V986">
        <v>7</v>
      </c>
      <c r="W986" t="s">
        <v>51</v>
      </c>
      <c r="X986" s="1" t="d">
        <v>2013-03-05</v>
      </c>
      <c r="Z986" t="s">
        <v>59</v>
      </c>
      <c r="AA986" t="s">
        <v>46</v>
      </c>
      <c r="AB986">
        <v>0</v>
      </c>
      <c r="AC986">
        <v>2</v>
      </c>
      <c r="AD986" t="s">
        <v>32</v>
      </c>
      <c r="AE986" t="s">
        <v>47</v>
      </c>
      <c r="AF986" t="s">
        <v>48</v>
      </c>
      <c r="AG986">
        <f>IF(HR_Data[[#This Row],[Attrition]]="Yes",1,0)</f>
        <v>0</v>
      </c>
      <c r="AH986" t="str">
        <f>IF(HR_Data[Date_of_termination]="","Active","Left")</f>
        <v>Active</v>
      </c>
      <c r="AI986" t="str">
        <f>IF(HR_Data[YearsAtCompany]&lt;=2,"Fresher", IF(HR_Data[YearsAtCompany]&lt;=5,"Junior", IF(HR_Data[YearsAtCompany]&lt;=10, "Mid","Senior")))</f>
        <v>Mid</v>
      </c>
      <c r="AJ986" s="2" t="str">
        <f>IF(HR_Data[MonthlyIncome]&lt;=300,"Low", IF(HR_Data[MonthlyIncome]&lt;=7000,"Medium", "High"))</f>
        <v>Medium</v>
      </c>
      <c r="AK986" s="2" t="str">
        <f>VLOOKUP(HR_Data[JobRole], JobRole_Map[], 2, FALSE)</f>
        <v>Technical</v>
      </c>
    </row>
    <row r="987" spans="1:37" x14ac:dyDescent="0.25">
      <c r="A987" s="2">
        <v>35</v>
      </c>
      <c r="B987" t="s">
        <v>32</v>
      </c>
      <c r="C987" t="s">
        <v>33</v>
      </c>
      <c r="D987" t="s">
        <v>53</v>
      </c>
      <c r="E987">
        <v>4</v>
      </c>
      <c r="F987" t="s">
        <v>35</v>
      </c>
      <c r="G987">
        <v>3</v>
      </c>
      <c r="H987">
        <v>3</v>
      </c>
      <c r="I987" t="s">
        <v>64</v>
      </c>
      <c r="J987">
        <v>1</v>
      </c>
      <c r="K987" t="s">
        <v>37</v>
      </c>
      <c r="L987">
        <v>9582</v>
      </c>
      <c r="M987">
        <v>0</v>
      </c>
      <c r="N987" t="s">
        <v>32</v>
      </c>
      <c r="O987">
        <v>22</v>
      </c>
      <c r="P987">
        <v>4</v>
      </c>
      <c r="Q987">
        <v>0</v>
      </c>
      <c r="R987">
        <v>9</v>
      </c>
      <c r="S987">
        <v>2</v>
      </c>
      <c r="T987">
        <v>8</v>
      </c>
      <c r="U987">
        <v>4</v>
      </c>
      <c r="V987">
        <v>7</v>
      </c>
      <c r="W987" t="s">
        <v>51</v>
      </c>
      <c r="X987" s="1" t="d">
        <v>2013-05-16</v>
      </c>
      <c r="Z987" t="s">
        <v>52</v>
      </c>
      <c r="AA987" t="s">
        <v>46</v>
      </c>
      <c r="AB987">
        <v>5</v>
      </c>
      <c r="AC987">
        <v>0</v>
      </c>
      <c r="AD987" t="s">
        <v>32</v>
      </c>
      <c r="AE987" t="s">
        <v>42</v>
      </c>
      <c r="AF987" t="s">
        <v>43</v>
      </c>
      <c r="AG987">
        <f>IF(HR_Data[[#This Row],[Attrition]]="Yes",1,0)</f>
        <v>1</v>
      </c>
      <c r="AH987" t="str">
        <f>IF(HR_Data[Date_of_termination]="","Active","Left")</f>
        <v>Active</v>
      </c>
      <c r="AI987" t="str">
        <f>IF(HR_Data[YearsAtCompany]&lt;=2,"Fresher", IF(HR_Data[YearsAtCompany]&lt;=5,"Junior", IF(HR_Data[YearsAtCompany]&lt;=10, "Mid","Senior")))</f>
        <v>Mid</v>
      </c>
      <c r="AJ987" s="2" t="str">
        <f>IF(HR_Data[MonthlyIncome]&lt;=300,"Low", IF(HR_Data[MonthlyIncome]&lt;=7000,"Medium", "High"))</f>
        <v>High</v>
      </c>
      <c r="AK987" s="2" t="str">
        <f>VLOOKUP(HR_Data[JobRole], JobRole_Map[], 2, FALSE)</f>
        <v>Sales</v>
      </c>
    </row>
    <row r="988" spans="1:37" x14ac:dyDescent="0.25">
      <c r="A988" s="2">
        <v>52</v>
      </c>
      <c r="B988" t="s">
        <v>41</v>
      </c>
      <c r="C988" t="s">
        <v>33</v>
      </c>
      <c r="D988" t="s">
        <v>34</v>
      </c>
      <c r="E988">
        <v>7</v>
      </c>
      <c r="F988" t="s">
        <v>35</v>
      </c>
      <c r="G988">
        <v>3</v>
      </c>
      <c r="H988">
        <v>3</v>
      </c>
      <c r="I988" t="s">
        <v>69</v>
      </c>
      <c r="J988">
        <v>2</v>
      </c>
      <c r="K988" t="s">
        <v>37</v>
      </c>
      <c r="L988">
        <v>10445</v>
      </c>
      <c r="M988">
        <v>7</v>
      </c>
      <c r="N988" t="s">
        <v>41</v>
      </c>
      <c r="O988">
        <v>19</v>
      </c>
      <c r="P988">
        <v>3</v>
      </c>
      <c r="Q988">
        <v>0</v>
      </c>
      <c r="R988">
        <v>18</v>
      </c>
      <c r="S988">
        <v>4</v>
      </c>
      <c r="T988">
        <v>8</v>
      </c>
      <c r="U988">
        <v>4</v>
      </c>
      <c r="V988">
        <v>0</v>
      </c>
      <c r="W988" t="s">
        <v>51</v>
      </c>
      <c r="X988" s="1" t="d">
        <v>2013-03-02</v>
      </c>
      <c r="Z988" t="s">
        <v>39</v>
      </c>
      <c r="AA988" t="s">
        <v>40</v>
      </c>
      <c r="AB988">
        <v>0</v>
      </c>
      <c r="AC988">
        <v>3</v>
      </c>
      <c r="AD988" t="s">
        <v>32</v>
      </c>
      <c r="AE988" t="s">
        <v>62</v>
      </c>
      <c r="AF988" t="s">
        <v>57</v>
      </c>
      <c r="AG988">
        <f>IF(HR_Data[[#This Row],[Attrition]]="Yes",1,0)</f>
        <v>0</v>
      </c>
      <c r="AH988" t="str">
        <f>IF(HR_Data[Date_of_termination]="","Active","Left")</f>
        <v>Active</v>
      </c>
      <c r="AI988" t="str">
        <f>IF(HR_Data[YearsAtCompany]&lt;=2,"Fresher", IF(HR_Data[YearsAtCompany]&lt;=5,"Junior", IF(HR_Data[YearsAtCompany]&lt;=10, "Mid","Senior")))</f>
        <v>Mid</v>
      </c>
      <c r="AJ988" s="2" t="str">
        <f>IF(HR_Data[MonthlyIncome]&lt;=300,"Low", IF(HR_Data[MonthlyIncome]&lt;=7000,"Medium", "High"))</f>
        <v>High</v>
      </c>
      <c r="AK988" s="2" t="str">
        <f>VLOOKUP(HR_Data[JobRole], JobRole_Map[], 2, FALSE)</f>
        <v>Operations</v>
      </c>
    </row>
    <row r="989" spans="1:37" x14ac:dyDescent="0.25">
      <c r="A989" s="2">
        <v>38</v>
      </c>
      <c r="B989" t="s">
        <v>41</v>
      </c>
      <c r="C989" t="s">
        <v>33</v>
      </c>
      <c r="D989" t="s">
        <v>53</v>
      </c>
      <c r="E989">
        <v>10</v>
      </c>
      <c r="F989" t="s">
        <v>35</v>
      </c>
      <c r="G989">
        <v>2</v>
      </c>
      <c r="H989">
        <v>3</v>
      </c>
      <c r="I989" t="s">
        <v>64</v>
      </c>
      <c r="J989">
        <v>3</v>
      </c>
      <c r="K989" t="s">
        <v>55</v>
      </c>
      <c r="L989">
        <v>8740</v>
      </c>
      <c r="M989">
        <v>0</v>
      </c>
      <c r="N989" t="s">
        <v>32</v>
      </c>
      <c r="O989">
        <v>14</v>
      </c>
      <c r="P989">
        <v>3</v>
      </c>
      <c r="Q989">
        <v>2</v>
      </c>
      <c r="R989">
        <v>9</v>
      </c>
      <c r="S989">
        <v>2</v>
      </c>
      <c r="T989">
        <v>8</v>
      </c>
      <c r="U989">
        <v>2</v>
      </c>
      <c r="V989">
        <v>7</v>
      </c>
      <c r="W989" t="s">
        <v>51</v>
      </c>
      <c r="X989" s="1" t="d">
        <v>2013-02-01</v>
      </c>
      <c r="Z989" t="s">
        <v>63</v>
      </c>
      <c r="AA989" t="s">
        <v>46</v>
      </c>
      <c r="AB989">
        <v>4</v>
      </c>
      <c r="AC989">
        <v>2</v>
      </c>
      <c r="AD989" t="s">
        <v>41</v>
      </c>
      <c r="AE989" t="s">
        <v>42</v>
      </c>
      <c r="AF989" t="s">
        <v>48</v>
      </c>
      <c r="AG989">
        <f>IF(HR_Data[[#This Row],[Attrition]]="Yes",1,0)</f>
        <v>0</v>
      </c>
      <c r="AH989" t="str">
        <f>IF(HR_Data[Date_of_termination]="","Active","Left")</f>
        <v>Active</v>
      </c>
      <c r="AI989" t="str">
        <f>IF(HR_Data[YearsAtCompany]&lt;=2,"Fresher", IF(HR_Data[YearsAtCompany]&lt;=5,"Junior", IF(HR_Data[YearsAtCompany]&lt;=10, "Mid","Senior")))</f>
        <v>Mid</v>
      </c>
      <c r="AJ989" s="2" t="str">
        <f>IF(HR_Data[MonthlyIncome]&lt;=300,"Low", IF(HR_Data[MonthlyIncome]&lt;=7000,"Medium", "High"))</f>
        <v>High</v>
      </c>
      <c r="AK989" s="2" t="str">
        <f>VLOOKUP(HR_Data[JobRole], JobRole_Map[], 2, FALSE)</f>
        <v>Sales</v>
      </c>
    </row>
    <row r="990" spans="1:37" x14ac:dyDescent="0.25">
      <c r="A990" s="2">
        <v>43</v>
      </c>
      <c r="B990" t="s">
        <v>41</v>
      </c>
      <c r="C990" t="s">
        <v>61</v>
      </c>
      <c r="D990" t="s">
        <v>34</v>
      </c>
      <c r="E990">
        <v>27</v>
      </c>
      <c r="F990" t="s">
        <v>58</v>
      </c>
      <c r="G990">
        <v>3</v>
      </c>
      <c r="H990">
        <v>3</v>
      </c>
      <c r="I990" t="s">
        <v>67</v>
      </c>
      <c r="J990">
        <v>1</v>
      </c>
      <c r="K990" t="s">
        <v>50</v>
      </c>
      <c r="L990">
        <v>10820</v>
      </c>
      <c r="M990">
        <v>8</v>
      </c>
      <c r="N990" t="s">
        <v>41</v>
      </c>
      <c r="O990">
        <v>11</v>
      </c>
      <c r="P990">
        <v>3</v>
      </c>
      <c r="Q990">
        <v>1</v>
      </c>
      <c r="R990">
        <v>18</v>
      </c>
      <c r="S990">
        <v>1</v>
      </c>
      <c r="T990">
        <v>8</v>
      </c>
      <c r="U990">
        <v>0</v>
      </c>
      <c r="V990">
        <v>1</v>
      </c>
      <c r="W990" t="s">
        <v>65</v>
      </c>
      <c r="X990" s="1" t="d">
        <v>2013-05-23</v>
      </c>
      <c r="Z990" t="s">
        <v>39</v>
      </c>
      <c r="AA990" t="s">
        <v>40</v>
      </c>
      <c r="AB990">
        <v>1</v>
      </c>
      <c r="AC990">
        <v>1</v>
      </c>
      <c r="AD990" t="s">
        <v>32</v>
      </c>
      <c r="AE990" t="s">
        <v>62</v>
      </c>
      <c r="AF990" t="s">
        <v>57</v>
      </c>
      <c r="AG990">
        <f>IF(HR_Data[[#This Row],[Attrition]]="Yes",1,0)</f>
        <v>0</v>
      </c>
      <c r="AH990" t="str">
        <f>IF(HR_Data[Date_of_termination]="","Active","Left")</f>
        <v>Active</v>
      </c>
      <c r="AI990" t="str">
        <f>IF(HR_Data[YearsAtCompany]&lt;=2,"Fresher", IF(HR_Data[YearsAtCompany]&lt;=5,"Junior", IF(HR_Data[YearsAtCompany]&lt;=10, "Mid","Senior")))</f>
        <v>Mid</v>
      </c>
      <c r="AJ990" s="2" t="str">
        <f>IF(HR_Data[MonthlyIncome]&lt;=300,"Low", IF(HR_Data[MonthlyIncome]&lt;=7000,"Medium", "High"))</f>
        <v>High</v>
      </c>
      <c r="AK990" s="2" t="str">
        <f>VLOOKUP(HR_Data[JobRole], JobRole_Map[], 2, FALSE)</f>
        <v>Operations</v>
      </c>
    </row>
    <row r="991" spans="1:37" x14ac:dyDescent="0.25">
      <c r="A991" s="2">
        <v>35</v>
      </c>
      <c r="B991" t="s">
        <v>41</v>
      </c>
      <c r="C991" t="s">
        <v>33</v>
      </c>
      <c r="D991" t="s">
        <v>34</v>
      </c>
      <c r="E991">
        <v>1</v>
      </c>
      <c r="F991" t="s">
        <v>35</v>
      </c>
      <c r="G991">
        <v>2</v>
      </c>
      <c r="H991">
        <v>1</v>
      </c>
      <c r="I991" t="s">
        <v>36</v>
      </c>
      <c r="J991">
        <v>3</v>
      </c>
      <c r="K991" t="s">
        <v>50</v>
      </c>
      <c r="L991">
        <v>2258</v>
      </c>
      <c r="M991">
        <v>6</v>
      </c>
      <c r="N991" t="s">
        <v>41</v>
      </c>
      <c r="O991">
        <v>12</v>
      </c>
      <c r="P991">
        <v>3</v>
      </c>
      <c r="Q991">
        <v>1</v>
      </c>
      <c r="R991">
        <v>10</v>
      </c>
      <c r="S991">
        <v>2</v>
      </c>
      <c r="T991">
        <v>8</v>
      </c>
      <c r="U991">
        <v>1</v>
      </c>
      <c r="V991">
        <v>7</v>
      </c>
      <c r="W991" t="s">
        <v>51</v>
      </c>
      <c r="X991" s="1" t="d">
        <v>2013-04-20</v>
      </c>
      <c r="Z991" t="s">
        <v>45</v>
      </c>
      <c r="AA991" t="s">
        <v>46</v>
      </c>
      <c r="AB991">
        <v>0</v>
      </c>
      <c r="AC991">
        <v>3</v>
      </c>
      <c r="AD991" t="s">
        <v>32</v>
      </c>
      <c r="AE991" t="s">
        <v>62</v>
      </c>
      <c r="AF991" t="s">
        <v>43</v>
      </c>
      <c r="AG991">
        <f>IF(HR_Data[[#This Row],[Attrition]]="Yes",1,0)</f>
        <v>0</v>
      </c>
      <c r="AH991" t="str">
        <f>IF(HR_Data[Date_of_termination]="","Active","Left")</f>
        <v>Active</v>
      </c>
      <c r="AI991" t="str">
        <f>IF(HR_Data[YearsAtCompany]&lt;=2,"Fresher", IF(HR_Data[YearsAtCompany]&lt;=5,"Junior", IF(HR_Data[YearsAtCompany]&lt;=10, "Mid","Senior")))</f>
        <v>Mid</v>
      </c>
      <c r="AJ991" s="2" t="str">
        <f>IF(HR_Data[MonthlyIncome]&lt;=300,"Low", IF(HR_Data[MonthlyIncome]&lt;=7000,"Medium", "High"))</f>
        <v>Medium</v>
      </c>
      <c r="AK991" s="2" t="str">
        <f>VLOOKUP(HR_Data[JobRole], JobRole_Map[], 2, FALSE)</f>
        <v>Technical</v>
      </c>
    </row>
    <row r="992" spans="1:37" x14ac:dyDescent="0.25">
      <c r="A992" s="2">
        <v>26</v>
      </c>
      <c r="B992" t="s">
        <v>41</v>
      </c>
      <c r="C992" t="s">
        <v>33</v>
      </c>
      <c r="D992" t="s">
        <v>34</v>
      </c>
      <c r="E992">
        <v>3</v>
      </c>
      <c r="F992" t="s">
        <v>35</v>
      </c>
      <c r="G992">
        <v>4</v>
      </c>
      <c r="H992">
        <v>1</v>
      </c>
      <c r="I992" t="s">
        <v>36</v>
      </c>
      <c r="J992">
        <v>4</v>
      </c>
      <c r="K992" t="s">
        <v>50</v>
      </c>
      <c r="L992">
        <v>4420</v>
      </c>
      <c r="M992">
        <v>1</v>
      </c>
      <c r="N992" t="s">
        <v>41</v>
      </c>
      <c r="O992">
        <v>22</v>
      </c>
      <c r="P992">
        <v>4</v>
      </c>
      <c r="Q992">
        <v>1</v>
      </c>
      <c r="R992">
        <v>8</v>
      </c>
      <c r="S992">
        <v>2</v>
      </c>
      <c r="T992">
        <v>8</v>
      </c>
      <c r="U992">
        <v>0</v>
      </c>
      <c r="V992">
        <v>7</v>
      </c>
      <c r="W992" t="s">
        <v>56</v>
      </c>
      <c r="X992" s="1" t="d">
        <v>2013-01-15</v>
      </c>
      <c r="Z992" t="s">
        <v>63</v>
      </c>
      <c r="AA992" t="s">
        <v>40</v>
      </c>
      <c r="AB992">
        <v>0</v>
      </c>
      <c r="AC992">
        <v>0</v>
      </c>
      <c r="AD992" t="s">
        <v>32</v>
      </c>
      <c r="AE992" t="s">
        <v>47</v>
      </c>
      <c r="AF992" t="s">
        <v>43</v>
      </c>
      <c r="AG992">
        <f>IF(HR_Data[[#This Row],[Attrition]]="Yes",1,0)</f>
        <v>0</v>
      </c>
      <c r="AH992" t="str">
        <f>IF(HR_Data[Date_of_termination]="","Active","Left")</f>
        <v>Active</v>
      </c>
      <c r="AI992" t="str">
        <f>IF(HR_Data[YearsAtCompany]&lt;=2,"Fresher", IF(HR_Data[YearsAtCompany]&lt;=5,"Junior", IF(HR_Data[YearsAtCompany]&lt;=10, "Mid","Senior")))</f>
        <v>Mid</v>
      </c>
      <c r="AJ992" s="2" t="str">
        <f>IF(HR_Data[MonthlyIncome]&lt;=300,"Low", IF(HR_Data[MonthlyIncome]&lt;=7000,"Medium", "High"))</f>
        <v>Medium</v>
      </c>
      <c r="AK992" s="2" t="str">
        <f>VLOOKUP(HR_Data[JobRole], JobRole_Map[], 2, FALSE)</f>
        <v>Technical</v>
      </c>
    </row>
    <row r="993" spans="1:37" x14ac:dyDescent="0.25">
      <c r="A993" s="2">
        <v>32</v>
      </c>
      <c r="B993" t="s">
        <v>41</v>
      </c>
      <c r="C993" t="s">
        <v>61</v>
      </c>
      <c r="D993" t="s">
        <v>34</v>
      </c>
      <c r="E993">
        <v>2</v>
      </c>
      <c r="F993" t="s">
        <v>58</v>
      </c>
      <c r="G993">
        <v>3</v>
      </c>
      <c r="H993">
        <v>2</v>
      </c>
      <c r="I993" t="s">
        <v>44</v>
      </c>
      <c r="J993">
        <v>3</v>
      </c>
      <c r="K993" t="s">
        <v>37</v>
      </c>
      <c r="L993">
        <v>4998</v>
      </c>
      <c r="M993">
        <v>4</v>
      </c>
      <c r="N993" t="s">
        <v>32</v>
      </c>
      <c r="O993">
        <v>14</v>
      </c>
      <c r="P993">
        <v>3</v>
      </c>
      <c r="Q993">
        <v>0</v>
      </c>
      <c r="R993">
        <v>10</v>
      </c>
      <c r="S993">
        <v>2</v>
      </c>
      <c r="T993">
        <v>8</v>
      </c>
      <c r="U993">
        <v>0</v>
      </c>
      <c r="V993">
        <v>7</v>
      </c>
      <c r="W993" t="s">
        <v>51</v>
      </c>
      <c r="X993" s="1" t="d">
        <v>2013-05-09</v>
      </c>
      <c r="Z993" t="s">
        <v>39</v>
      </c>
      <c r="AA993" t="s">
        <v>40</v>
      </c>
      <c r="AB993">
        <v>1</v>
      </c>
      <c r="AC993">
        <v>3</v>
      </c>
      <c r="AD993" t="s">
        <v>32</v>
      </c>
      <c r="AE993" t="s">
        <v>47</v>
      </c>
      <c r="AF993" t="s">
        <v>43</v>
      </c>
      <c r="AG993">
        <f>IF(HR_Data[[#This Row],[Attrition]]="Yes",1,0)</f>
        <v>0</v>
      </c>
      <c r="AH993" t="str">
        <f>IF(HR_Data[Date_of_termination]="","Active","Left")</f>
        <v>Active</v>
      </c>
      <c r="AI993" t="str">
        <f>IF(HR_Data[YearsAtCompany]&lt;=2,"Fresher", IF(HR_Data[YearsAtCompany]&lt;=5,"Junior", IF(HR_Data[YearsAtCompany]&lt;=10, "Mid","Senior")))</f>
        <v>Mid</v>
      </c>
      <c r="AJ993" s="2" t="str">
        <f>IF(HR_Data[MonthlyIncome]&lt;=300,"Low", IF(HR_Data[MonthlyIncome]&lt;=7000,"Medium", "High"))</f>
        <v>Medium</v>
      </c>
      <c r="AK993" s="2" t="str">
        <f>VLOOKUP(HR_Data[JobRole], JobRole_Map[], 2, FALSE)</f>
        <v>Technical</v>
      </c>
    </row>
    <row r="994" spans="1:37" x14ac:dyDescent="0.25">
      <c r="A994" s="2">
        <v>43</v>
      </c>
      <c r="B994" t="s">
        <v>41</v>
      </c>
      <c r="C994" t="s">
        <v>33</v>
      </c>
      <c r="D994" t="s">
        <v>34</v>
      </c>
      <c r="E994">
        <v>3</v>
      </c>
      <c r="F994" t="s">
        <v>35</v>
      </c>
      <c r="G994">
        <v>1</v>
      </c>
      <c r="H994">
        <v>5</v>
      </c>
      <c r="I994" t="s">
        <v>49</v>
      </c>
      <c r="J994">
        <v>4</v>
      </c>
      <c r="K994" t="s">
        <v>50</v>
      </c>
      <c r="L994">
        <v>19740</v>
      </c>
      <c r="M994">
        <v>3</v>
      </c>
      <c r="N994" t="s">
        <v>41</v>
      </c>
      <c r="O994">
        <v>14</v>
      </c>
      <c r="P994">
        <v>3</v>
      </c>
      <c r="Q994">
        <v>1</v>
      </c>
      <c r="R994">
        <v>25</v>
      </c>
      <c r="S994">
        <v>2</v>
      </c>
      <c r="T994">
        <v>8</v>
      </c>
      <c r="U994">
        <v>0</v>
      </c>
      <c r="V994">
        <v>7</v>
      </c>
      <c r="W994" t="s">
        <v>51</v>
      </c>
      <c r="X994" s="1" t="d">
        <v>2013-03-10</v>
      </c>
      <c r="Z994" t="s">
        <v>59</v>
      </c>
      <c r="AA994" t="s">
        <v>40</v>
      </c>
      <c r="AB994">
        <v>2</v>
      </c>
      <c r="AC994">
        <v>0</v>
      </c>
      <c r="AD994" t="s">
        <v>32</v>
      </c>
      <c r="AE994" t="s">
        <v>47</v>
      </c>
      <c r="AF994" t="s">
        <v>48</v>
      </c>
      <c r="AG994">
        <f>IF(HR_Data[[#This Row],[Attrition]]="Yes",1,0)</f>
        <v>0</v>
      </c>
      <c r="AH994" t="str">
        <f>IF(HR_Data[Date_of_termination]="","Active","Left")</f>
        <v>Active</v>
      </c>
      <c r="AI994" t="str">
        <f>IF(HR_Data[YearsAtCompany]&lt;=2,"Fresher", IF(HR_Data[YearsAtCompany]&lt;=5,"Junior", IF(HR_Data[YearsAtCompany]&lt;=10, "Mid","Senior")))</f>
        <v>Mid</v>
      </c>
      <c r="AJ994" s="2" t="str">
        <f>IF(HR_Data[MonthlyIncome]&lt;=300,"Low", IF(HR_Data[MonthlyIncome]&lt;=7000,"Medium", "High"))</f>
        <v>High</v>
      </c>
      <c r="AK994" s="2" t="str">
        <f>VLOOKUP(HR_Data[JobRole], JobRole_Map[], 2, FALSE)</f>
        <v>Management</v>
      </c>
    </row>
    <row r="995" spans="1:37" x14ac:dyDescent="0.25">
      <c r="A995" s="2">
        <v>26</v>
      </c>
      <c r="B995" t="s">
        <v>41</v>
      </c>
      <c r="C995" t="s">
        <v>33</v>
      </c>
      <c r="D995" t="s">
        <v>34</v>
      </c>
      <c r="E995">
        <v>4</v>
      </c>
      <c r="F995" t="s">
        <v>35</v>
      </c>
      <c r="G995">
        <v>3</v>
      </c>
      <c r="H995">
        <v>1</v>
      </c>
      <c r="I995" t="s">
        <v>44</v>
      </c>
      <c r="J995">
        <v>4</v>
      </c>
      <c r="K995" t="s">
        <v>37</v>
      </c>
      <c r="L995">
        <v>2875</v>
      </c>
      <c r="M995">
        <v>1</v>
      </c>
      <c r="N995" t="s">
        <v>32</v>
      </c>
      <c r="O995">
        <v>20</v>
      </c>
      <c r="P995">
        <v>4</v>
      </c>
      <c r="Q995">
        <v>0</v>
      </c>
      <c r="R995">
        <v>8</v>
      </c>
      <c r="S995">
        <v>2</v>
      </c>
      <c r="T995">
        <v>8</v>
      </c>
      <c r="U995">
        <v>2</v>
      </c>
      <c r="V995">
        <v>2</v>
      </c>
      <c r="W995" t="s">
        <v>38</v>
      </c>
      <c r="X995" s="1" t="d">
        <v>2013-06-15</v>
      </c>
      <c r="Z995" t="s">
        <v>59</v>
      </c>
      <c r="AA995" t="s">
        <v>46</v>
      </c>
      <c r="AB995">
        <v>0</v>
      </c>
      <c r="AC995">
        <v>3</v>
      </c>
      <c r="AD995" t="s">
        <v>32</v>
      </c>
      <c r="AE995" t="s">
        <v>47</v>
      </c>
      <c r="AF995" t="s">
        <v>43</v>
      </c>
      <c r="AG995">
        <f>IF(HR_Data[[#This Row],[Attrition]]="Yes",1,0)</f>
        <v>0</v>
      </c>
      <c r="AH995" t="str">
        <f>IF(HR_Data[Date_of_termination]="","Active","Left")</f>
        <v>Active</v>
      </c>
      <c r="AI995" t="str">
        <f>IF(HR_Data[YearsAtCompany]&lt;=2,"Fresher", IF(HR_Data[YearsAtCompany]&lt;=5,"Junior", IF(HR_Data[YearsAtCompany]&lt;=10, "Mid","Senior")))</f>
        <v>Mid</v>
      </c>
      <c r="AJ995" s="2" t="str">
        <f>IF(HR_Data[MonthlyIncome]&lt;=300,"Low", IF(HR_Data[MonthlyIncome]&lt;=7000,"Medium", "High"))</f>
        <v>Medium</v>
      </c>
      <c r="AK995" s="2" t="str">
        <f>VLOOKUP(HR_Data[JobRole], JobRole_Map[], 2, FALSE)</f>
        <v>Technical</v>
      </c>
    </row>
    <row r="996" spans="1:37" x14ac:dyDescent="0.25">
      <c r="A996" s="2">
        <v>30</v>
      </c>
      <c r="B996" t="s">
        <v>41</v>
      </c>
      <c r="C996" t="s">
        <v>68</v>
      </c>
      <c r="D996" t="s">
        <v>34</v>
      </c>
      <c r="E996">
        <v>9</v>
      </c>
      <c r="F996" t="s">
        <v>58</v>
      </c>
      <c r="G996">
        <v>3</v>
      </c>
      <c r="H996">
        <v>2</v>
      </c>
      <c r="I996" t="s">
        <v>67</v>
      </c>
      <c r="J996">
        <v>3</v>
      </c>
      <c r="K996" t="s">
        <v>37</v>
      </c>
      <c r="L996">
        <v>4695</v>
      </c>
      <c r="M996">
        <v>7</v>
      </c>
      <c r="N996" t="s">
        <v>32</v>
      </c>
      <c r="O996">
        <v>18</v>
      </c>
      <c r="P996">
        <v>3</v>
      </c>
      <c r="Q996">
        <v>0</v>
      </c>
      <c r="R996">
        <v>10</v>
      </c>
      <c r="S996">
        <v>3</v>
      </c>
      <c r="T996">
        <v>8</v>
      </c>
      <c r="U996">
        <v>1</v>
      </c>
      <c r="V996">
        <v>7</v>
      </c>
      <c r="W996" t="s">
        <v>56</v>
      </c>
      <c r="X996" s="1" t="d">
        <v>2013-05-09</v>
      </c>
      <c r="Z996" t="s">
        <v>45</v>
      </c>
      <c r="AA996" t="s">
        <v>40</v>
      </c>
      <c r="AB996">
        <v>4</v>
      </c>
      <c r="AC996">
        <v>1</v>
      </c>
      <c r="AD996" t="s">
        <v>41</v>
      </c>
      <c r="AE996" t="s">
        <v>42</v>
      </c>
      <c r="AF996" t="s">
        <v>57</v>
      </c>
      <c r="AG996">
        <f>IF(HR_Data[[#This Row],[Attrition]]="Yes",1,0)</f>
        <v>0</v>
      </c>
      <c r="AH996" t="str">
        <f>IF(HR_Data[Date_of_termination]="","Active","Left")</f>
        <v>Active</v>
      </c>
      <c r="AI996" t="str">
        <f>IF(HR_Data[YearsAtCompany]&lt;=2,"Fresher", IF(HR_Data[YearsAtCompany]&lt;=5,"Junior", IF(HR_Data[YearsAtCompany]&lt;=10, "Mid","Senior")))</f>
        <v>Mid</v>
      </c>
      <c r="AJ996" s="2" t="str">
        <f>IF(HR_Data[MonthlyIncome]&lt;=300,"Low", IF(HR_Data[MonthlyIncome]&lt;=7000,"Medium", "High"))</f>
        <v>Medium</v>
      </c>
      <c r="AK996" s="2" t="str">
        <f>VLOOKUP(HR_Data[JobRole], JobRole_Map[], 2, FALSE)</f>
        <v>Operations</v>
      </c>
    </row>
    <row r="997" spans="1:37" x14ac:dyDescent="0.25">
      <c r="A997" s="2">
        <v>52</v>
      </c>
      <c r="B997" t="s">
        <v>32</v>
      </c>
      <c r="C997" t="s">
        <v>33</v>
      </c>
      <c r="D997" t="s">
        <v>53</v>
      </c>
      <c r="E997">
        <v>5</v>
      </c>
      <c r="F997" t="s">
        <v>35</v>
      </c>
      <c r="G997">
        <v>3</v>
      </c>
      <c r="H997">
        <v>3</v>
      </c>
      <c r="I997" t="s">
        <v>64</v>
      </c>
      <c r="J997">
        <v>2</v>
      </c>
      <c r="K997" t="s">
        <v>37</v>
      </c>
      <c r="L997">
        <v>8446</v>
      </c>
      <c r="M997">
        <v>9</v>
      </c>
      <c r="N997" t="s">
        <v>32</v>
      </c>
      <c r="O997">
        <v>19</v>
      </c>
      <c r="P997">
        <v>3</v>
      </c>
      <c r="Q997">
        <v>0</v>
      </c>
      <c r="R997">
        <v>10</v>
      </c>
      <c r="S997">
        <v>2</v>
      </c>
      <c r="T997">
        <v>8</v>
      </c>
      <c r="U997">
        <v>7</v>
      </c>
      <c r="V997">
        <v>7</v>
      </c>
      <c r="W997" t="s">
        <v>56</v>
      </c>
      <c r="X997" s="1" t="d">
        <v>2013-02-13</v>
      </c>
      <c r="Z997" t="s">
        <v>39</v>
      </c>
      <c r="AA997" t="s">
        <v>40</v>
      </c>
      <c r="AB997">
        <v>4</v>
      </c>
      <c r="AC997">
        <v>0</v>
      </c>
      <c r="AD997" t="s">
        <v>32</v>
      </c>
      <c r="AE997" t="s">
        <v>42</v>
      </c>
      <c r="AF997" t="s">
        <v>57</v>
      </c>
      <c r="AG997">
        <f>IF(HR_Data[[#This Row],[Attrition]]="Yes",1,0)</f>
        <v>1</v>
      </c>
      <c r="AH997" t="str">
        <f>IF(HR_Data[Date_of_termination]="","Active","Left")</f>
        <v>Active</v>
      </c>
      <c r="AI997" t="str">
        <f>IF(HR_Data[YearsAtCompany]&lt;=2,"Fresher", IF(HR_Data[YearsAtCompany]&lt;=5,"Junior", IF(HR_Data[YearsAtCompany]&lt;=10, "Mid","Senior")))</f>
        <v>Mid</v>
      </c>
      <c r="AJ997" s="2" t="str">
        <f>IF(HR_Data[MonthlyIncome]&lt;=300,"Low", IF(HR_Data[MonthlyIncome]&lt;=7000,"Medium", "High"))</f>
        <v>High</v>
      </c>
      <c r="AK997" s="2" t="str">
        <f>VLOOKUP(HR_Data[JobRole], JobRole_Map[], 2, FALSE)</f>
        <v>Sales</v>
      </c>
    </row>
    <row r="998" spans="1:37" x14ac:dyDescent="0.25">
      <c r="A998" s="2">
        <v>39</v>
      </c>
      <c r="B998" t="s">
        <v>41</v>
      </c>
      <c r="C998" t="s">
        <v>33</v>
      </c>
      <c r="D998" t="s">
        <v>34</v>
      </c>
      <c r="E998">
        <v>18</v>
      </c>
      <c r="F998" t="s">
        <v>35</v>
      </c>
      <c r="G998">
        <v>3</v>
      </c>
      <c r="H998">
        <v>2</v>
      </c>
      <c r="I998" t="s">
        <v>67</v>
      </c>
      <c r="J998">
        <v>3</v>
      </c>
      <c r="K998" t="s">
        <v>37</v>
      </c>
      <c r="L998">
        <v>4534</v>
      </c>
      <c r="M998">
        <v>0</v>
      </c>
      <c r="N998" t="s">
        <v>41</v>
      </c>
      <c r="O998">
        <v>11</v>
      </c>
      <c r="P998">
        <v>3</v>
      </c>
      <c r="Q998">
        <v>0</v>
      </c>
      <c r="R998">
        <v>9</v>
      </c>
      <c r="S998">
        <v>6</v>
      </c>
      <c r="T998">
        <v>8</v>
      </c>
      <c r="U998">
        <v>1</v>
      </c>
      <c r="V998">
        <v>7</v>
      </c>
      <c r="W998" t="s">
        <v>38</v>
      </c>
      <c r="X998" s="1" t="d">
        <v>2013-01-03</v>
      </c>
      <c r="Z998" t="s">
        <v>52</v>
      </c>
      <c r="AA998" t="s">
        <v>40</v>
      </c>
      <c r="AB998">
        <v>3</v>
      </c>
      <c r="AC998">
        <v>0</v>
      </c>
      <c r="AD998" t="s">
        <v>32</v>
      </c>
      <c r="AE998" t="s">
        <v>42</v>
      </c>
      <c r="AF998" t="s">
        <v>43</v>
      </c>
      <c r="AG998">
        <f>IF(HR_Data[[#This Row],[Attrition]]="Yes",1,0)</f>
        <v>0</v>
      </c>
      <c r="AH998" t="str">
        <f>IF(HR_Data[Date_of_termination]="","Active","Left")</f>
        <v>Active</v>
      </c>
      <c r="AI998" t="str">
        <f>IF(HR_Data[YearsAtCompany]&lt;=2,"Fresher", IF(HR_Data[YearsAtCompany]&lt;=5,"Junior", IF(HR_Data[YearsAtCompany]&lt;=10, "Mid","Senior")))</f>
        <v>Mid</v>
      </c>
      <c r="AJ998" s="2" t="str">
        <f>IF(HR_Data[MonthlyIncome]&lt;=300,"Low", IF(HR_Data[MonthlyIncome]&lt;=7000,"Medium", "High"))</f>
        <v>Medium</v>
      </c>
      <c r="AK998" s="2" t="str">
        <f>VLOOKUP(HR_Data[JobRole], JobRole_Map[], 2, FALSE)</f>
        <v>Operations</v>
      </c>
    </row>
    <row r="999" spans="1:37" x14ac:dyDescent="0.25">
      <c r="A999" s="2">
        <v>34</v>
      </c>
      <c r="B999" t="s">
        <v>41</v>
      </c>
      <c r="C999" t="s">
        <v>33</v>
      </c>
      <c r="D999" t="s">
        <v>34</v>
      </c>
      <c r="E999">
        <v>29</v>
      </c>
      <c r="F999" t="s">
        <v>35</v>
      </c>
      <c r="G999">
        <v>3</v>
      </c>
      <c r="H999">
        <v>2</v>
      </c>
      <c r="I999" t="s">
        <v>36</v>
      </c>
      <c r="J999">
        <v>3</v>
      </c>
      <c r="K999" t="s">
        <v>50</v>
      </c>
      <c r="L999">
        <v>5429</v>
      </c>
      <c r="M999">
        <v>4</v>
      </c>
      <c r="N999" t="s">
        <v>41</v>
      </c>
      <c r="O999">
        <v>13</v>
      </c>
      <c r="P999">
        <v>3</v>
      </c>
      <c r="Q999">
        <v>2</v>
      </c>
      <c r="R999">
        <v>10</v>
      </c>
      <c r="S999">
        <v>1</v>
      </c>
      <c r="T999">
        <v>8</v>
      </c>
      <c r="U999">
        <v>7</v>
      </c>
      <c r="V999">
        <v>7</v>
      </c>
      <c r="W999" t="s">
        <v>38</v>
      </c>
      <c r="X999" s="1" t="d">
        <v>2013-05-01</v>
      </c>
      <c r="Z999" t="s">
        <v>59</v>
      </c>
      <c r="AA999" t="s">
        <v>40</v>
      </c>
      <c r="AB999">
        <v>3</v>
      </c>
      <c r="AC999">
        <v>1</v>
      </c>
      <c r="AD999" t="s">
        <v>41</v>
      </c>
      <c r="AE999" t="s">
        <v>47</v>
      </c>
      <c r="AF999" t="s">
        <v>57</v>
      </c>
      <c r="AG999">
        <f>IF(HR_Data[[#This Row],[Attrition]]="Yes",1,0)</f>
        <v>0</v>
      </c>
      <c r="AH999" t="str">
        <f>IF(HR_Data[Date_of_termination]="","Active","Left")</f>
        <v>Active</v>
      </c>
      <c r="AI999" t="str">
        <f>IF(HR_Data[YearsAtCompany]&lt;=2,"Fresher", IF(HR_Data[YearsAtCompany]&lt;=5,"Junior", IF(HR_Data[YearsAtCompany]&lt;=10, "Mid","Senior")))</f>
        <v>Mid</v>
      </c>
      <c r="AJ999" s="2" t="str">
        <f>IF(HR_Data[MonthlyIncome]&lt;=300,"Low", IF(HR_Data[MonthlyIncome]&lt;=7000,"Medium", "High"))</f>
        <v>Medium</v>
      </c>
      <c r="AK999" s="2" t="str">
        <f>VLOOKUP(HR_Data[JobRole], JobRole_Map[], 2, FALSE)</f>
        <v>Technical</v>
      </c>
    </row>
    <row r="1000" spans="1:37" x14ac:dyDescent="0.25">
      <c r="A1000" s="2">
        <v>27</v>
      </c>
      <c r="B1000" t="s">
        <v>32</v>
      </c>
      <c r="C1000" t="s">
        <v>33</v>
      </c>
      <c r="D1000" t="s">
        <v>34</v>
      </c>
      <c r="E1000">
        <v>17</v>
      </c>
      <c r="F1000" t="s">
        <v>58</v>
      </c>
      <c r="G1000">
        <v>3</v>
      </c>
      <c r="H1000">
        <v>1</v>
      </c>
      <c r="I1000" t="s">
        <v>44</v>
      </c>
      <c r="J1000">
        <v>3</v>
      </c>
      <c r="K1000" t="s">
        <v>37</v>
      </c>
      <c r="L1000">
        <v>2394</v>
      </c>
      <c r="M1000">
        <v>1</v>
      </c>
      <c r="N1000" t="s">
        <v>32</v>
      </c>
      <c r="O1000">
        <v>13</v>
      </c>
      <c r="P1000">
        <v>3</v>
      </c>
      <c r="Q1000">
        <v>0</v>
      </c>
      <c r="R1000">
        <v>8</v>
      </c>
      <c r="S1000">
        <v>2</v>
      </c>
      <c r="T1000">
        <v>8</v>
      </c>
      <c r="U1000">
        <v>7</v>
      </c>
      <c r="V1000">
        <v>7</v>
      </c>
      <c r="W1000" t="s">
        <v>65</v>
      </c>
      <c r="X1000" s="1" t="d">
        <v>2013-02-04</v>
      </c>
      <c r="Z1000" t="s">
        <v>59</v>
      </c>
      <c r="AA1000" t="s">
        <v>46</v>
      </c>
      <c r="AB1000">
        <v>1</v>
      </c>
      <c r="AC1000">
        <v>0</v>
      </c>
      <c r="AD1000" t="s">
        <v>32</v>
      </c>
      <c r="AE1000" t="s">
        <v>62</v>
      </c>
      <c r="AF1000" t="s">
        <v>43</v>
      </c>
      <c r="AG1000">
        <f>IF(HR_Data[[#This Row],[Attrition]]="Yes",1,0)</f>
        <v>1</v>
      </c>
      <c r="AH1000" t="str">
        <f>IF(HR_Data[Date_of_termination]="","Active","Left")</f>
        <v>Active</v>
      </c>
      <c r="AI1000" t="str">
        <f>IF(HR_Data[YearsAtCompany]&lt;=2,"Fresher", IF(HR_Data[YearsAtCompany]&lt;=5,"Junior", IF(HR_Data[YearsAtCompany]&lt;=10, "Mid","Senior")))</f>
        <v>Mid</v>
      </c>
      <c r="AJ1000" s="2" t="str">
        <f>IF(HR_Data[MonthlyIncome]&lt;=300,"Low", IF(HR_Data[MonthlyIncome]&lt;=7000,"Medium", "High"))</f>
        <v>Medium</v>
      </c>
      <c r="AK1000" s="2" t="str">
        <f>VLOOKUP(HR_Data[JobRole], JobRole_Map[], 2, FALSE)</f>
        <v>Technical</v>
      </c>
    </row>
    <row r="1001" spans="1:37" x14ac:dyDescent="0.25">
      <c r="A1001" s="2">
        <v>29</v>
      </c>
      <c r="B1001" t="s">
        <v>32</v>
      </c>
      <c r="C1001" t="s">
        <v>61</v>
      </c>
      <c r="D1001" t="s">
        <v>34</v>
      </c>
      <c r="E1001">
        <v>14</v>
      </c>
      <c r="F1001" t="s">
        <v>58</v>
      </c>
      <c r="G1001">
        <v>3</v>
      </c>
      <c r="H1001">
        <v>3</v>
      </c>
      <c r="I1001" t="s">
        <v>69</v>
      </c>
      <c r="J1001">
        <v>4</v>
      </c>
      <c r="K1001" t="s">
        <v>37</v>
      </c>
      <c r="L1001">
        <v>7553</v>
      </c>
      <c r="M1001">
        <v>0</v>
      </c>
      <c r="N1001" t="s">
        <v>32</v>
      </c>
      <c r="O1001">
        <v>12</v>
      </c>
      <c r="P1001">
        <v>3</v>
      </c>
      <c r="Q1001">
        <v>0</v>
      </c>
      <c r="R1001">
        <v>9</v>
      </c>
      <c r="S1001">
        <v>1</v>
      </c>
      <c r="T1001">
        <v>8</v>
      </c>
      <c r="U1001">
        <v>7</v>
      </c>
      <c r="V1001">
        <v>7</v>
      </c>
      <c r="W1001" t="s">
        <v>51</v>
      </c>
      <c r="X1001" s="1" t="d">
        <v>2013-01-24</v>
      </c>
      <c r="Z1001" t="s">
        <v>45</v>
      </c>
      <c r="AA1001" t="s">
        <v>46</v>
      </c>
      <c r="AB1001">
        <v>1</v>
      </c>
      <c r="AC1001">
        <v>2</v>
      </c>
      <c r="AD1001" t="s">
        <v>32</v>
      </c>
      <c r="AE1001" t="s">
        <v>62</v>
      </c>
      <c r="AF1001" t="s">
        <v>57</v>
      </c>
      <c r="AG1001">
        <f>IF(HR_Data[[#This Row],[Attrition]]="Yes",1,0)</f>
        <v>1</v>
      </c>
      <c r="AH1001" t="str">
        <f>IF(HR_Data[Date_of_termination]="","Active","Left")</f>
        <v>Active</v>
      </c>
      <c r="AI1001" t="str">
        <f>IF(HR_Data[YearsAtCompany]&lt;=2,"Fresher", IF(HR_Data[YearsAtCompany]&lt;=5,"Junior", IF(HR_Data[YearsAtCompany]&lt;=10, "Mid","Senior")))</f>
        <v>Mid</v>
      </c>
      <c r="AJ1001" s="2" t="str">
        <f>IF(HR_Data[MonthlyIncome]&lt;=300,"Low", IF(HR_Data[MonthlyIncome]&lt;=7000,"Medium", "High"))</f>
        <v>High</v>
      </c>
      <c r="AK1001" s="2" t="str">
        <f>VLOOKUP(HR_Data[JobRole], JobRole_Map[], 2, FALSE)</f>
        <v>Operations</v>
      </c>
    </row>
    <row r="1002" spans="1:37" x14ac:dyDescent="0.25">
      <c r="A1002" s="2">
        <v>40</v>
      </c>
      <c r="B1002" t="s">
        <v>41</v>
      </c>
      <c r="C1002" t="s">
        <v>68</v>
      </c>
      <c r="D1002" t="s">
        <v>34</v>
      </c>
      <c r="E1002">
        <v>9</v>
      </c>
      <c r="F1002" t="s">
        <v>35</v>
      </c>
      <c r="G1002">
        <v>3</v>
      </c>
      <c r="H1002">
        <v>2</v>
      </c>
      <c r="I1002" t="s">
        <v>36</v>
      </c>
      <c r="J1002">
        <v>3</v>
      </c>
      <c r="K1002" t="s">
        <v>55</v>
      </c>
      <c r="L1002">
        <v>3975</v>
      </c>
      <c r="M1002">
        <v>3</v>
      </c>
      <c r="N1002" t="s">
        <v>41</v>
      </c>
      <c r="O1002">
        <v>11</v>
      </c>
      <c r="P1002">
        <v>3</v>
      </c>
      <c r="Q1002">
        <v>2</v>
      </c>
      <c r="R1002">
        <v>11</v>
      </c>
      <c r="S1002">
        <v>2</v>
      </c>
      <c r="T1002">
        <v>8</v>
      </c>
      <c r="U1002">
        <v>0</v>
      </c>
      <c r="V1002">
        <v>7</v>
      </c>
      <c r="W1002" t="s">
        <v>56</v>
      </c>
      <c r="X1002" s="1" t="d">
        <v>2013-04-07</v>
      </c>
      <c r="Z1002" t="s">
        <v>45</v>
      </c>
      <c r="AA1002" t="s">
        <v>40</v>
      </c>
      <c r="AB1002">
        <v>4</v>
      </c>
      <c r="AC1002">
        <v>3</v>
      </c>
      <c r="AD1002" t="s">
        <v>32</v>
      </c>
      <c r="AE1002" t="s">
        <v>62</v>
      </c>
      <c r="AF1002" t="s">
        <v>57</v>
      </c>
      <c r="AG1002">
        <f>IF(HR_Data[[#This Row],[Attrition]]="Yes",1,0)</f>
        <v>0</v>
      </c>
      <c r="AH1002" t="str">
        <f>IF(HR_Data[Date_of_termination]="","Active","Left")</f>
        <v>Active</v>
      </c>
      <c r="AI1002" t="str">
        <f>IF(HR_Data[YearsAtCompany]&lt;=2,"Fresher", IF(HR_Data[YearsAtCompany]&lt;=5,"Junior", IF(HR_Data[YearsAtCompany]&lt;=10, "Mid","Senior")))</f>
        <v>Mid</v>
      </c>
      <c r="AJ1002" s="2" t="str">
        <f>IF(HR_Data[MonthlyIncome]&lt;=300,"Low", IF(HR_Data[MonthlyIncome]&lt;=7000,"Medium", "High"))</f>
        <v>Medium</v>
      </c>
      <c r="AK1002" s="2" t="str">
        <f>VLOOKUP(HR_Data[JobRole], JobRole_Map[], 2, FALSE)</f>
        <v>Technical</v>
      </c>
    </row>
    <row r="1003" spans="1:37" x14ac:dyDescent="0.25">
      <c r="A1003" s="2">
        <v>49</v>
      </c>
      <c r="B1003" t="s">
        <v>41</v>
      </c>
      <c r="C1003" t="s">
        <v>33</v>
      </c>
      <c r="D1003" t="s">
        <v>34</v>
      </c>
      <c r="E1003">
        <v>7</v>
      </c>
      <c r="F1003" t="s">
        <v>35</v>
      </c>
      <c r="G1003">
        <v>3</v>
      </c>
      <c r="H1003">
        <v>3</v>
      </c>
      <c r="I1003" t="s">
        <v>69</v>
      </c>
      <c r="J1003">
        <v>2</v>
      </c>
      <c r="K1003" t="s">
        <v>55</v>
      </c>
      <c r="L1003">
        <v>10466</v>
      </c>
      <c r="M1003">
        <v>3</v>
      </c>
      <c r="N1003" t="s">
        <v>41</v>
      </c>
      <c r="O1003">
        <v>14</v>
      </c>
      <c r="P1003">
        <v>3</v>
      </c>
      <c r="Q1003">
        <v>2</v>
      </c>
      <c r="R1003">
        <v>29</v>
      </c>
      <c r="S1003">
        <v>3</v>
      </c>
      <c r="T1003">
        <v>8</v>
      </c>
      <c r="U1003">
        <v>0</v>
      </c>
      <c r="V1003">
        <v>7</v>
      </c>
      <c r="W1003" t="s">
        <v>56</v>
      </c>
      <c r="X1003" s="1" t="d">
        <v>2013-03-12</v>
      </c>
      <c r="Z1003" t="s">
        <v>45</v>
      </c>
      <c r="AA1003" t="s">
        <v>40</v>
      </c>
      <c r="AB1003">
        <v>4</v>
      </c>
      <c r="AC1003">
        <v>0</v>
      </c>
      <c r="AD1003" t="s">
        <v>32</v>
      </c>
      <c r="AE1003" t="s">
        <v>47</v>
      </c>
      <c r="AF1003" t="s">
        <v>43</v>
      </c>
      <c r="AG1003">
        <f>IF(HR_Data[[#This Row],[Attrition]]="Yes",1,0)</f>
        <v>0</v>
      </c>
      <c r="AH1003" t="str">
        <f>IF(HR_Data[Date_of_termination]="","Active","Left")</f>
        <v>Active</v>
      </c>
      <c r="AI1003" t="str">
        <f>IF(HR_Data[YearsAtCompany]&lt;=2,"Fresher", IF(HR_Data[YearsAtCompany]&lt;=5,"Junior", IF(HR_Data[YearsAtCompany]&lt;=10, "Mid","Senior")))</f>
        <v>Mid</v>
      </c>
      <c r="AJ1003" s="2" t="str">
        <f>IF(HR_Data[MonthlyIncome]&lt;=300,"Low", IF(HR_Data[MonthlyIncome]&lt;=7000,"Medium", "High"))</f>
        <v>High</v>
      </c>
      <c r="AK1003" s="2" t="str">
        <f>VLOOKUP(HR_Data[JobRole], JobRole_Map[], 2, FALSE)</f>
        <v>Operations</v>
      </c>
    </row>
    <row r="1004" spans="1:37" x14ac:dyDescent="0.25">
      <c r="A1004" s="2">
        <v>28</v>
      </c>
      <c r="B1004" t="s">
        <v>41</v>
      </c>
      <c r="C1004" t="s">
        <v>33</v>
      </c>
      <c r="D1004" t="s">
        <v>34</v>
      </c>
      <c r="E1004">
        <v>29</v>
      </c>
      <c r="F1004" t="s">
        <v>35</v>
      </c>
      <c r="G1004">
        <v>1</v>
      </c>
      <c r="H1004">
        <v>2</v>
      </c>
      <c r="I1004" t="s">
        <v>67</v>
      </c>
      <c r="J1004">
        <v>2</v>
      </c>
      <c r="K1004" t="s">
        <v>50</v>
      </c>
      <c r="L1004">
        <v>6549</v>
      </c>
      <c r="M1004">
        <v>1</v>
      </c>
      <c r="N1004" t="s">
        <v>41</v>
      </c>
      <c r="O1004">
        <v>14</v>
      </c>
      <c r="P1004">
        <v>3</v>
      </c>
      <c r="Q1004">
        <v>2</v>
      </c>
      <c r="R1004">
        <v>8</v>
      </c>
      <c r="S1004">
        <v>2</v>
      </c>
      <c r="T1004">
        <v>8</v>
      </c>
      <c r="U1004">
        <v>1</v>
      </c>
      <c r="V1004">
        <v>7</v>
      </c>
      <c r="W1004" t="s">
        <v>56</v>
      </c>
      <c r="X1004" s="1" t="d">
        <v>2013-06-12</v>
      </c>
      <c r="Z1004" t="s">
        <v>39</v>
      </c>
      <c r="AA1004" t="s">
        <v>40</v>
      </c>
      <c r="AB1004">
        <v>3</v>
      </c>
      <c r="AC1004">
        <v>2</v>
      </c>
      <c r="AD1004" t="s">
        <v>32</v>
      </c>
      <c r="AE1004" t="s">
        <v>42</v>
      </c>
      <c r="AF1004" t="s">
        <v>57</v>
      </c>
      <c r="AG1004">
        <f>IF(HR_Data[[#This Row],[Attrition]]="Yes",1,0)</f>
        <v>0</v>
      </c>
      <c r="AH1004" t="str">
        <f>IF(HR_Data[Date_of_termination]="","Active","Left")</f>
        <v>Active</v>
      </c>
      <c r="AI1004" t="str">
        <f>IF(HR_Data[YearsAtCompany]&lt;=2,"Fresher", IF(HR_Data[YearsAtCompany]&lt;=5,"Junior", IF(HR_Data[YearsAtCompany]&lt;=10, "Mid","Senior")))</f>
        <v>Mid</v>
      </c>
      <c r="AJ1004" s="2" t="str">
        <f>IF(HR_Data[MonthlyIncome]&lt;=300,"Low", IF(HR_Data[MonthlyIncome]&lt;=7000,"Medium", "High"))</f>
        <v>Medium</v>
      </c>
      <c r="AK1004" s="2" t="str">
        <f>VLOOKUP(HR_Data[JobRole], JobRole_Map[], 2, FALSE)</f>
        <v>Operations</v>
      </c>
    </row>
    <row r="1005" spans="1:37" x14ac:dyDescent="0.25">
      <c r="A1005" s="2">
        <v>40</v>
      </c>
      <c r="B1005" t="s">
        <v>41</v>
      </c>
      <c r="C1005" t="s">
        <v>33</v>
      </c>
      <c r="D1005" t="s">
        <v>53</v>
      </c>
      <c r="E1005">
        <v>9</v>
      </c>
      <c r="F1005" t="s">
        <v>35</v>
      </c>
      <c r="G1005">
        <v>3</v>
      </c>
      <c r="H1005">
        <v>2</v>
      </c>
      <c r="I1005" t="s">
        <v>64</v>
      </c>
      <c r="J1005">
        <v>1</v>
      </c>
      <c r="K1005" t="s">
        <v>50</v>
      </c>
      <c r="L1005">
        <v>5473</v>
      </c>
      <c r="M1005">
        <v>0</v>
      </c>
      <c r="N1005" t="s">
        <v>41</v>
      </c>
      <c r="O1005">
        <v>12</v>
      </c>
      <c r="P1005">
        <v>3</v>
      </c>
      <c r="Q1005">
        <v>0</v>
      </c>
      <c r="R1005">
        <v>9</v>
      </c>
      <c r="S1005">
        <v>5</v>
      </c>
      <c r="T1005">
        <v>8</v>
      </c>
      <c r="U1005">
        <v>7</v>
      </c>
      <c r="V1005">
        <v>1</v>
      </c>
      <c r="W1005" t="s">
        <v>51</v>
      </c>
      <c r="X1005" s="1" t="d">
        <v>2013-06-13</v>
      </c>
      <c r="Z1005" t="s">
        <v>52</v>
      </c>
      <c r="AA1005" t="s">
        <v>46</v>
      </c>
      <c r="AB1005">
        <v>4</v>
      </c>
      <c r="AC1005">
        <v>0</v>
      </c>
      <c r="AD1005" t="s">
        <v>32</v>
      </c>
      <c r="AE1005" t="s">
        <v>42</v>
      </c>
      <c r="AF1005" t="s">
        <v>48</v>
      </c>
      <c r="AG1005">
        <f>IF(HR_Data[[#This Row],[Attrition]]="Yes",1,0)</f>
        <v>0</v>
      </c>
      <c r="AH1005" t="str">
        <f>IF(HR_Data[Date_of_termination]="","Active","Left")</f>
        <v>Active</v>
      </c>
      <c r="AI1005" t="str">
        <f>IF(HR_Data[YearsAtCompany]&lt;=2,"Fresher", IF(HR_Data[YearsAtCompany]&lt;=5,"Junior", IF(HR_Data[YearsAtCompany]&lt;=10, "Mid","Senior")))</f>
        <v>Mid</v>
      </c>
      <c r="AJ1005" s="2" t="str">
        <f>IF(HR_Data[MonthlyIncome]&lt;=300,"Low", IF(HR_Data[MonthlyIncome]&lt;=7000,"Medium", "High"))</f>
        <v>Medium</v>
      </c>
      <c r="AK1005" s="2" t="str">
        <f>VLOOKUP(HR_Data[JobRole], JobRole_Map[], 2, FALSE)</f>
        <v>Sales</v>
      </c>
    </row>
    <row r="1006" spans="1:37" x14ac:dyDescent="0.25">
      <c r="A1006" s="2">
        <v>48</v>
      </c>
      <c r="B1006" t="s">
        <v>41</v>
      </c>
      <c r="C1006" t="s">
        <v>33</v>
      </c>
      <c r="D1006" t="s">
        <v>53</v>
      </c>
      <c r="E1006">
        <v>16</v>
      </c>
      <c r="F1006" t="s">
        <v>58</v>
      </c>
      <c r="G1006">
        <v>3</v>
      </c>
      <c r="H1006">
        <v>2</v>
      </c>
      <c r="I1006" t="s">
        <v>64</v>
      </c>
      <c r="J1006">
        <v>3</v>
      </c>
      <c r="K1006" t="s">
        <v>55</v>
      </c>
      <c r="L1006">
        <v>6439</v>
      </c>
      <c r="M1006">
        <v>8</v>
      </c>
      <c r="N1006" t="s">
        <v>41</v>
      </c>
      <c r="O1006">
        <v>14</v>
      </c>
      <c r="P1006">
        <v>3</v>
      </c>
      <c r="Q1006">
        <v>1</v>
      </c>
      <c r="R1006">
        <v>18</v>
      </c>
      <c r="S1006">
        <v>2</v>
      </c>
      <c r="T1006">
        <v>8</v>
      </c>
      <c r="U1006">
        <v>7</v>
      </c>
      <c r="V1006">
        <v>7</v>
      </c>
      <c r="W1006" t="s">
        <v>56</v>
      </c>
      <c r="X1006" s="1" t="d">
        <v>2013-05-25</v>
      </c>
      <c r="Z1006" t="s">
        <v>63</v>
      </c>
      <c r="AA1006" t="s">
        <v>40</v>
      </c>
      <c r="AB1006">
        <v>5</v>
      </c>
      <c r="AC1006">
        <v>1</v>
      </c>
      <c r="AD1006" t="s">
        <v>41</v>
      </c>
      <c r="AE1006" t="s">
        <v>60</v>
      </c>
      <c r="AF1006" t="s">
        <v>48</v>
      </c>
      <c r="AG1006">
        <f>IF(HR_Data[[#This Row],[Attrition]]="Yes",1,0)</f>
        <v>0</v>
      </c>
      <c r="AH1006" t="str">
        <f>IF(HR_Data[Date_of_termination]="","Active","Left")</f>
        <v>Active</v>
      </c>
      <c r="AI1006" t="str">
        <f>IF(HR_Data[YearsAtCompany]&lt;=2,"Fresher", IF(HR_Data[YearsAtCompany]&lt;=5,"Junior", IF(HR_Data[YearsAtCompany]&lt;=10, "Mid","Senior")))</f>
        <v>Mid</v>
      </c>
      <c r="AJ1006" s="2" t="str">
        <f>IF(HR_Data[MonthlyIncome]&lt;=300,"Low", IF(HR_Data[MonthlyIncome]&lt;=7000,"Medium", "High"))</f>
        <v>Medium</v>
      </c>
      <c r="AK1006" s="2" t="str">
        <f>VLOOKUP(HR_Data[JobRole], JobRole_Map[], 2, FALSE)</f>
        <v>Sales</v>
      </c>
    </row>
    <row r="1007" spans="1:37" x14ac:dyDescent="0.25">
      <c r="A1007" s="2">
        <v>48</v>
      </c>
      <c r="B1007" t="s">
        <v>41</v>
      </c>
      <c r="C1007" t="s">
        <v>33</v>
      </c>
      <c r="D1007" t="s">
        <v>34</v>
      </c>
      <c r="E1007">
        <v>15</v>
      </c>
      <c r="F1007" t="s">
        <v>58</v>
      </c>
      <c r="G1007">
        <v>3</v>
      </c>
      <c r="H1007">
        <v>1</v>
      </c>
      <c r="I1007" t="s">
        <v>44</v>
      </c>
      <c r="J1007">
        <v>1</v>
      </c>
      <c r="K1007" t="s">
        <v>50</v>
      </c>
      <c r="L1007">
        <v>2367</v>
      </c>
      <c r="M1007">
        <v>8</v>
      </c>
      <c r="N1007" t="s">
        <v>41</v>
      </c>
      <c r="O1007">
        <v>12</v>
      </c>
      <c r="P1007">
        <v>3</v>
      </c>
      <c r="Q1007">
        <v>1</v>
      </c>
      <c r="R1007">
        <v>10</v>
      </c>
      <c r="S1007">
        <v>3</v>
      </c>
      <c r="T1007">
        <v>8</v>
      </c>
      <c r="U1007">
        <v>7</v>
      </c>
      <c r="V1007">
        <v>6</v>
      </c>
      <c r="W1007" t="s">
        <v>65</v>
      </c>
      <c r="X1007" s="1" t="d">
        <v>2013-02-16</v>
      </c>
      <c r="Z1007" t="s">
        <v>39</v>
      </c>
      <c r="AA1007" t="s">
        <v>40</v>
      </c>
      <c r="AB1007">
        <v>0</v>
      </c>
      <c r="AC1007">
        <v>1</v>
      </c>
      <c r="AD1007" t="s">
        <v>32</v>
      </c>
      <c r="AE1007" t="s">
        <v>47</v>
      </c>
      <c r="AF1007" t="s">
        <v>48</v>
      </c>
      <c r="AG1007">
        <f>IF(HR_Data[[#This Row],[Attrition]]="Yes",1,0)</f>
        <v>0</v>
      </c>
      <c r="AH1007" t="str">
        <f>IF(HR_Data[Date_of_termination]="","Active","Left")</f>
        <v>Active</v>
      </c>
      <c r="AI1007" t="str">
        <f>IF(HR_Data[YearsAtCompany]&lt;=2,"Fresher", IF(HR_Data[YearsAtCompany]&lt;=5,"Junior", IF(HR_Data[YearsAtCompany]&lt;=10, "Mid","Senior")))</f>
        <v>Mid</v>
      </c>
      <c r="AJ1007" s="2" t="str">
        <f>IF(HR_Data[MonthlyIncome]&lt;=300,"Low", IF(HR_Data[MonthlyIncome]&lt;=7000,"Medium", "High"))</f>
        <v>Medium</v>
      </c>
      <c r="AK1007" s="2" t="str">
        <f>VLOOKUP(HR_Data[JobRole], JobRole_Map[], 2, FALSE)</f>
        <v>Technical</v>
      </c>
    </row>
    <row r="1008" spans="1:37" x14ac:dyDescent="0.25">
      <c r="A1008" s="2">
        <v>34</v>
      </c>
      <c r="B1008" t="s">
        <v>41</v>
      </c>
      <c r="C1008" t="s">
        <v>61</v>
      </c>
      <c r="D1008" t="s">
        <v>34</v>
      </c>
      <c r="E1008">
        <v>10</v>
      </c>
      <c r="F1008" t="s">
        <v>35</v>
      </c>
      <c r="G1008">
        <v>2</v>
      </c>
      <c r="H1008">
        <v>2</v>
      </c>
      <c r="I1008" t="s">
        <v>69</v>
      </c>
      <c r="J1008">
        <v>3</v>
      </c>
      <c r="K1008" t="s">
        <v>50</v>
      </c>
      <c r="L1008">
        <v>5063</v>
      </c>
      <c r="M1008">
        <v>1</v>
      </c>
      <c r="N1008" t="s">
        <v>41</v>
      </c>
      <c r="O1008">
        <v>14</v>
      </c>
      <c r="P1008">
        <v>3</v>
      </c>
      <c r="Q1008">
        <v>1</v>
      </c>
      <c r="R1008">
        <v>8</v>
      </c>
      <c r="S1008">
        <v>3</v>
      </c>
      <c r="T1008">
        <v>8</v>
      </c>
      <c r="U1008">
        <v>7</v>
      </c>
      <c r="V1008">
        <v>7</v>
      </c>
      <c r="W1008" t="s">
        <v>51</v>
      </c>
      <c r="X1008" s="1" t="d">
        <v>2013-02-03</v>
      </c>
      <c r="Z1008" t="s">
        <v>45</v>
      </c>
      <c r="AA1008" t="s">
        <v>40</v>
      </c>
      <c r="AB1008">
        <v>5</v>
      </c>
      <c r="AC1008">
        <v>0</v>
      </c>
      <c r="AD1008" t="s">
        <v>41</v>
      </c>
      <c r="AE1008" t="s">
        <v>47</v>
      </c>
      <c r="AF1008" t="s">
        <v>57</v>
      </c>
      <c r="AG1008">
        <f>IF(HR_Data[[#This Row],[Attrition]]="Yes",1,0)</f>
        <v>0</v>
      </c>
      <c r="AH1008" t="str">
        <f>IF(HR_Data[Date_of_termination]="","Active","Left")</f>
        <v>Active</v>
      </c>
      <c r="AI1008" t="str">
        <f>IF(HR_Data[YearsAtCompany]&lt;=2,"Fresher", IF(HR_Data[YearsAtCompany]&lt;=5,"Junior", IF(HR_Data[YearsAtCompany]&lt;=10, "Mid","Senior")))</f>
        <v>Mid</v>
      </c>
      <c r="AJ1008" s="2" t="str">
        <f>IF(HR_Data[MonthlyIncome]&lt;=300,"Low", IF(HR_Data[MonthlyIncome]&lt;=7000,"Medium", "High"))</f>
        <v>Medium</v>
      </c>
      <c r="AK1008" s="2" t="str">
        <f>VLOOKUP(HR_Data[JobRole], JobRole_Map[], 2, FALSE)</f>
        <v>Operations</v>
      </c>
    </row>
    <row r="1009" spans="1:37" x14ac:dyDescent="0.25">
      <c r="A1009" s="2">
        <v>37</v>
      </c>
      <c r="B1009" t="s">
        <v>41</v>
      </c>
      <c r="C1009" t="s">
        <v>33</v>
      </c>
      <c r="D1009" t="s">
        <v>34</v>
      </c>
      <c r="E1009">
        <v>10</v>
      </c>
      <c r="F1009" t="s">
        <v>58</v>
      </c>
      <c r="G1009">
        <v>3</v>
      </c>
      <c r="H1009">
        <v>1</v>
      </c>
      <c r="I1009" t="s">
        <v>44</v>
      </c>
      <c r="J1009">
        <v>2</v>
      </c>
      <c r="K1009" t="s">
        <v>50</v>
      </c>
      <c r="L1009">
        <v>3936</v>
      </c>
      <c r="M1009">
        <v>1</v>
      </c>
      <c r="N1009" t="s">
        <v>41</v>
      </c>
      <c r="O1009">
        <v>11</v>
      </c>
      <c r="P1009">
        <v>3</v>
      </c>
      <c r="Q1009">
        <v>1</v>
      </c>
      <c r="R1009">
        <v>8</v>
      </c>
      <c r="S1009">
        <v>2</v>
      </c>
      <c r="T1009">
        <v>8</v>
      </c>
      <c r="U1009">
        <v>7</v>
      </c>
      <c r="V1009">
        <v>7</v>
      </c>
      <c r="W1009" t="s">
        <v>51</v>
      </c>
      <c r="X1009" s="1" t="d">
        <v>2013-03-30</v>
      </c>
      <c r="Z1009" t="s">
        <v>63</v>
      </c>
      <c r="AA1009" t="s">
        <v>46</v>
      </c>
      <c r="AB1009">
        <v>1</v>
      </c>
      <c r="AC1009">
        <v>1</v>
      </c>
      <c r="AD1009" t="s">
        <v>41</v>
      </c>
      <c r="AE1009" t="s">
        <v>62</v>
      </c>
      <c r="AF1009" t="s">
        <v>57</v>
      </c>
      <c r="AG1009">
        <f>IF(HR_Data[[#This Row],[Attrition]]="Yes",1,0)</f>
        <v>0</v>
      </c>
      <c r="AH1009" t="str">
        <f>IF(HR_Data[Date_of_termination]="","Active","Left")</f>
        <v>Active</v>
      </c>
      <c r="AI1009" t="str">
        <f>IF(HR_Data[YearsAtCompany]&lt;=2,"Fresher", IF(HR_Data[YearsAtCompany]&lt;=5,"Junior", IF(HR_Data[YearsAtCompany]&lt;=10, "Mid","Senior")))</f>
        <v>Mid</v>
      </c>
      <c r="AJ1009" s="2" t="str">
        <f>IF(HR_Data[MonthlyIncome]&lt;=300,"Low", IF(HR_Data[MonthlyIncome]&lt;=7000,"Medium", "High"))</f>
        <v>Medium</v>
      </c>
      <c r="AK1009" s="2" t="str">
        <f>VLOOKUP(HR_Data[JobRole], JobRole_Map[], 2, FALSE)</f>
        <v>Technical</v>
      </c>
    </row>
    <row r="1010" spans="1:37" x14ac:dyDescent="0.25">
      <c r="A1010" s="2">
        <v>49</v>
      </c>
      <c r="B1010" t="s">
        <v>41</v>
      </c>
      <c r="C1010" t="s">
        <v>33</v>
      </c>
      <c r="D1010" t="s">
        <v>34</v>
      </c>
      <c r="E1010">
        <v>1</v>
      </c>
      <c r="F1010" t="s">
        <v>35</v>
      </c>
      <c r="G1010">
        <v>3</v>
      </c>
      <c r="H1010">
        <v>4</v>
      </c>
      <c r="I1010" t="s">
        <v>66</v>
      </c>
      <c r="J1010">
        <v>3</v>
      </c>
      <c r="K1010" t="s">
        <v>37</v>
      </c>
      <c r="L1010">
        <v>15379</v>
      </c>
      <c r="M1010">
        <v>4</v>
      </c>
      <c r="N1010" t="s">
        <v>41</v>
      </c>
      <c r="O1010">
        <v>14</v>
      </c>
      <c r="P1010">
        <v>3</v>
      </c>
      <c r="Q1010">
        <v>0</v>
      </c>
      <c r="R1010">
        <v>23</v>
      </c>
      <c r="S1010">
        <v>2</v>
      </c>
      <c r="T1010">
        <v>8</v>
      </c>
      <c r="U1010">
        <v>0</v>
      </c>
      <c r="V1010">
        <v>0</v>
      </c>
      <c r="W1010" t="s">
        <v>56</v>
      </c>
      <c r="X1010" s="1" t="d">
        <v>2013-06-12</v>
      </c>
      <c r="Z1010" t="s">
        <v>52</v>
      </c>
      <c r="AA1010" t="s">
        <v>40</v>
      </c>
      <c r="AB1010">
        <v>3</v>
      </c>
      <c r="AC1010">
        <v>0</v>
      </c>
      <c r="AD1010" t="s">
        <v>32</v>
      </c>
      <c r="AE1010" t="s">
        <v>47</v>
      </c>
      <c r="AF1010" t="s">
        <v>43</v>
      </c>
      <c r="AG1010">
        <f>IF(HR_Data[[#This Row],[Attrition]]="Yes",1,0)</f>
        <v>0</v>
      </c>
      <c r="AH1010" t="str">
        <f>IF(HR_Data[Date_of_termination]="","Active","Left")</f>
        <v>Active</v>
      </c>
      <c r="AI1010" t="str">
        <f>IF(HR_Data[YearsAtCompany]&lt;=2,"Fresher", IF(HR_Data[YearsAtCompany]&lt;=5,"Junior", IF(HR_Data[YearsAtCompany]&lt;=10, "Mid","Senior")))</f>
        <v>Mid</v>
      </c>
      <c r="AJ1010" s="2" t="str">
        <f>IF(HR_Data[MonthlyIncome]&lt;=300,"Low", IF(HR_Data[MonthlyIncome]&lt;=7000,"Medium", "High"))</f>
        <v>High</v>
      </c>
      <c r="AK1010" s="2" t="str">
        <f>VLOOKUP(HR_Data[JobRole], JobRole_Map[], 2, FALSE)</f>
        <v>Management</v>
      </c>
    </row>
    <row r="1011" spans="1:37" x14ac:dyDescent="0.25">
      <c r="A1011" s="2">
        <v>44</v>
      </c>
      <c r="B1011" t="s">
        <v>41</v>
      </c>
      <c r="C1011" t="s">
        <v>33</v>
      </c>
      <c r="D1011" t="s">
        <v>34</v>
      </c>
      <c r="E1011">
        <v>2</v>
      </c>
      <c r="F1011" t="s">
        <v>58</v>
      </c>
      <c r="G1011">
        <v>4</v>
      </c>
      <c r="H1011">
        <v>3</v>
      </c>
      <c r="I1011" t="s">
        <v>69</v>
      </c>
      <c r="J1011">
        <v>4</v>
      </c>
      <c r="K1011" t="s">
        <v>50</v>
      </c>
      <c r="L1011">
        <v>7879</v>
      </c>
      <c r="M1011">
        <v>1</v>
      </c>
      <c r="N1011" t="s">
        <v>32</v>
      </c>
      <c r="O1011">
        <v>19</v>
      </c>
      <c r="P1011">
        <v>3</v>
      </c>
      <c r="Q1011">
        <v>1</v>
      </c>
      <c r="R1011">
        <v>9</v>
      </c>
      <c r="S1011">
        <v>2</v>
      </c>
      <c r="T1011">
        <v>8</v>
      </c>
      <c r="U1011">
        <v>6</v>
      </c>
      <c r="V1011">
        <v>7</v>
      </c>
      <c r="W1011" t="s">
        <v>38</v>
      </c>
      <c r="X1011" s="1" t="d">
        <v>2013-03-25</v>
      </c>
      <c r="Z1011" t="s">
        <v>59</v>
      </c>
      <c r="AA1011" t="s">
        <v>46</v>
      </c>
      <c r="AB1011">
        <v>3</v>
      </c>
      <c r="AC1011">
        <v>3</v>
      </c>
      <c r="AD1011" t="s">
        <v>41</v>
      </c>
      <c r="AE1011" t="s">
        <v>42</v>
      </c>
      <c r="AF1011" t="s">
        <v>48</v>
      </c>
      <c r="AG1011">
        <f>IF(HR_Data[[#This Row],[Attrition]]="Yes",1,0)</f>
        <v>0</v>
      </c>
      <c r="AH1011" t="str">
        <f>IF(HR_Data[Date_of_termination]="","Active","Left")</f>
        <v>Active</v>
      </c>
      <c r="AI1011" t="str">
        <f>IF(HR_Data[YearsAtCompany]&lt;=2,"Fresher", IF(HR_Data[YearsAtCompany]&lt;=5,"Junior", IF(HR_Data[YearsAtCompany]&lt;=10, "Mid","Senior")))</f>
        <v>Mid</v>
      </c>
      <c r="AJ1011" s="2" t="str">
        <f>IF(HR_Data[MonthlyIncome]&lt;=300,"Low", IF(HR_Data[MonthlyIncome]&lt;=7000,"Medium", "High"))</f>
        <v>High</v>
      </c>
      <c r="AK1011" s="2" t="str">
        <f>VLOOKUP(HR_Data[JobRole], JobRole_Map[], 2, FALSE)</f>
        <v>Operations</v>
      </c>
    </row>
    <row r="1012" spans="1:37" x14ac:dyDescent="0.25">
      <c r="A1012" s="2">
        <v>45</v>
      </c>
      <c r="B1012" t="s">
        <v>41</v>
      </c>
      <c r="C1012" t="s">
        <v>68</v>
      </c>
      <c r="D1012" t="s">
        <v>53</v>
      </c>
      <c r="E1012">
        <v>2</v>
      </c>
      <c r="F1012" t="s">
        <v>58</v>
      </c>
      <c r="G1012">
        <v>3</v>
      </c>
      <c r="H1012">
        <v>2</v>
      </c>
      <c r="I1012" t="s">
        <v>64</v>
      </c>
      <c r="J1012">
        <v>3</v>
      </c>
      <c r="K1012" t="s">
        <v>50</v>
      </c>
      <c r="L1012">
        <v>5154</v>
      </c>
      <c r="M1012">
        <v>4</v>
      </c>
      <c r="N1012" t="s">
        <v>41</v>
      </c>
      <c r="O1012">
        <v>22</v>
      </c>
      <c r="P1012">
        <v>4</v>
      </c>
      <c r="Q1012">
        <v>2</v>
      </c>
      <c r="R1012">
        <v>10</v>
      </c>
      <c r="S1012">
        <v>3</v>
      </c>
      <c r="T1012">
        <v>8</v>
      </c>
      <c r="U1012">
        <v>5</v>
      </c>
      <c r="V1012">
        <v>7</v>
      </c>
      <c r="W1012" t="s">
        <v>51</v>
      </c>
      <c r="X1012" s="1" t="d">
        <v>2013-02-18</v>
      </c>
      <c r="Z1012" t="s">
        <v>39</v>
      </c>
      <c r="AA1012" t="s">
        <v>40</v>
      </c>
      <c r="AB1012">
        <v>4</v>
      </c>
      <c r="AC1012">
        <v>2</v>
      </c>
      <c r="AD1012" t="s">
        <v>32</v>
      </c>
      <c r="AE1012" t="s">
        <v>60</v>
      </c>
      <c r="AF1012" t="s">
        <v>48</v>
      </c>
      <c r="AG1012">
        <f>IF(HR_Data[[#This Row],[Attrition]]="Yes",1,0)</f>
        <v>0</v>
      </c>
      <c r="AH1012" t="str">
        <f>IF(HR_Data[Date_of_termination]="","Active","Left")</f>
        <v>Active</v>
      </c>
      <c r="AI1012" t="str">
        <f>IF(HR_Data[YearsAtCompany]&lt;=2,"Fresher", IF(HR_Data[YearsAtCompany]&lt;=5,"Junior", IF(HR_Data[YearsAtCompany]&lt;=10, "Mid","Senior")))</f>
        <v>Mid</v>
      </c>
      <c r="AJ1012" s="2" t="str">
        <f>IF(HR_Data[MonthlyIncome]&lt;=300,"Low", IF(HR_Data[MonthlyIncome]&lt;=7000,"Medium", "High"))</f>
        <v>Medium</v>
      </c>
      <c r="AK1012" s="2" t="str">
        <f>VLOOKUP(HR_Data[JobRole], JobRole_Map[], 2, FALSE)</f>
        <v>Sales</v>
      </c>
    </row>
    <row r="1013" spans="1:37" x14ac:dyDescent="0.25">
      <c r="A1013" s="2">
        <v>46</v>
      </c>
      <c r="B1013" t="s">
        <v>32</v>
      </c>
      <c r="C1013" t="s">
        <v>33</v>
      </c>
      <c r="D1013" t="s">
        <v>53</v>
      </c>
      <c r="E1013">
        <v>10</v>
      </c>
      <c r="F1013" t="s">
        <v>58</v>
      </c>
      <c r="G1013">
        <v>3</v>
      </c>
      <c r="H1013">
        <v>3</v>
      </c>
      <c r="I1013" t="s">
        <v>64</v>
      </c>
      <c r="J1013">
        <v>2</v>
      </c>
      <c r="K1013" t="s">
        <v>50</v>
      </c>
      <c r="L1013">
        <v>7314</v>
      </c>
      <c r="M1013">
        <v>5</v>
      </c>
      <c r="N1013" t="s">
        <v>41</v>
      </c>
      <c r="O1013">
        <v>21</v>
      </c>
      <c r="P1013">
        <v>4</v>
      </c>
      <c r="Q1013">
        <v>3</v>
      </c>
      <c r="R1013">
        <v>14</v>
      </c>
      <c r="S1013">
        <v>2</v>
      </c>
      <c r="T1013">
        <v>8</v>
      </c>
      <c r="U1013">
        <v>0</v>
      </c>
      <c r="V1013">
        <v>7</v>
      </c>
      <c r="W1013" t="s">
        <v>51</v>
      </c>
      <c r="X1013" s="1" t="d">
        <v>2013-06-22</v>
      </c>
      <c r="Z1013" t="s">
        <v>39</v>
      </c>
      <c r="AA1013" t="s">
        <v>40</v>
      </c>
      <c r="AB1013">
        <v>5</v>
      </c>
      <c r="AC1013">
        <v>0</v>
      </c>
      <c r="AD1013" t="s">
        <v>32</v>
      </c>
      <c r="AE1013" t="s">
        <v>62</v>
      </c>
      <c r="AF1013" t="s">
        <v>48</v>
      </c>
      <c r="AG1013">
        <f>IF(HR_Data[[#This Row],[Attrition]]="Yes",1,0)</f>
        <v>1</v>
      </c>
      <c r="AH1013" t="str">
        <f>IF(HR_Data[Date_of_termination]="","Active","Left")</f>
        <v>Active</v>
      </c>
      <c r="AI1013" t="str">
        <f>IF(HR_Data[YearsAtCompany]&lt;=2,"Fresher", IF(HR_Data[YearsAtCompany]&lt;=5,"Junior", IF(HR_Data[YearsAtCompany]&lt;=10, "Mid","Senior")))</f>
        <v>Mid</v>
      </c>
      <c r="AJ1013" s="2" t="str">
        <f>IF(HR_Data[MonthlyIncome]&lt;=300,"Low", IF(HR_Data[MonthlyIncome]&lt;=7000,"Medium", "High"))</f>
        <v>High</v>
      </c>
      <c r="AK1013" s="2" t="str">
        <f>VLOOKUP(HR_Data[JobRole], JobRole_Map[], 2, FALSE)</f>
        <v>Sales</v>
      </c>
    </row>
    <row r="1014" spans="1:37" x14ac:dyDescent="0.25">
      <c r="A1014" s="2">
        <v>27</v>
      </c>
      <c r="B1014" t="s">
        <v>41</v>
      </c>
      <c r="C1014" t="s">
        <v>33</v>
      </c>
      <c r="D1014" t="s">
        <v>53</v>
      </c>
      <c r="E1014">
        <v>2</v>
      </c>
      <c r="F1014" t="s">
        <v>58</v>
      </c>
      <c r="G1014">
        <v>4</v>
      </c>
      <c r="H1014">
        <v>2</v>
      </c>
      <c r="I1014" t="s">
        <v>64</v>
      </c>
      <c r="J1014">
        <v>3</v>
      </c>
      <c r="K1014" t="s">
        <v>37</v>
      </c>
      <c r="L1014">
        <v>6500</v>
      </c>
      <c r="M1014">
        <v>0</v>
      </c>
      <c r="N1014" t="s">
        <v>41</v>
      </c>
      <c r="O1014">
        <v>14</v>
      </c>
      <c r="P1014">
        <v>3</v>
      </c>
      <c r="Q1014">
        <v>0</v>
      </c>
      <c r="R1014">
        <v>9</v>
      </c>
      <c r="S1014">
        <v>5</v>
      </c>
      <c r="T1014">
        <v>8</v>
      </c>
      <c r="U1014">
        <v>0</v>
      </c>
      <c r="V1014">
        <v>7</v>
      </c>
      <c r="W1014" t="s">
        <v>65</v>
      </c>
      <c r="X1014" s="1" t="d">
        <v>2013-02-23</v>
      </c>
      <c r="Z1014" t="s">
        <v>52</v>
      </c>
      <c r="AA1014" t="s">
        <v>46</v>
      </c>
      <c r="AB1014">
        <v>1</v>
      </c>
      <c r="AC1014">
        <v>0</v>
      </c>
      <c r="AD1014" t="s">
        <v>32</v>
      </c>
      <c r="AE1014" t="s">
        <v>47</v>
      </c>
      <c r="AF1014" t="s">
        <v>43</v>
      </c>
      <c r="AG1014">
        <f>IF(HR_Data[[#This Row],[Attrition]]="Yes",1,0)</f>
        <v>0</v>
      </c>
      <c r="AH1014" t="str">
        <f>IF(HR_Data[Date_of_termination]="","Active","Left")</f>
        <v>Active</v>
      </c>
      <c r="AI1014" t="str">
        <f>IF(HR_Data[YearsAtCompany]&lt;=2,"Fresher", IF(HR_Data[YearsAtCompany]&lt;=5,"Junior", IF(HR_Data[YearsAtCompany]&lt;=10, "Mid","Senior")))</f>
        <v>Mid</v>
      </c>
      <c r="AJ1014" s="2" t="str">
        <f>IF(HR_Data[MonthlyIncome]&lt;=300,"Low", IF(HR_Data[MonthlyIncome]&lt;=7000,"Medium", "High"))</f>
        <v>Medium</v>
      </c>
      <c r="AK1014" s="2" t="str">
        <f>VLOOKUP(HR_Data[JobRole], JobRole_Map[], 2, FALSE)</f>
        <v>Sales</v>
      </c>
    </row>
    <row r="1015" spans="1:37" x14ac:dyDescent="0.25">
      <c r="A1015" s="2">
        <v>47</v>
      </c>
      <c r="B1015" t="s">
        <v>41</v>
      </c>
      <c r="C1015" t="s">
        <v>68</v>
      </c>
      <c r="D1015" t="s">
        <v>34</v>
      </c>
      <c r="E1015">
        <v>14</v>
      </c>
      <c r="F1015" t="s">
        <v>35</v>
      </c>
      <c r="G1015">
        <v>3</v>
      </c>
      <c r="H1015">
        <v>2</v>
      </c>
      <c r="I1015" t="s">
        <v>44</v>
      </c>
      <c r="J1015">
        <v>2</v>
      </c>
      <c r="K1015" t="s">
        <v>50</v>
      </c>
      <c r="L1015">
        <v>5467</v>
      </c>
      <c r="M1015">
        <v>8</v>
      </c>
      <c r="N1015" t="s">
        <v>41</v>
      </c>
      <c r="O1015">
        <v>18</v>
      </c>
      <c r="P1015">
        <v>3</v>
      </c>
      <c r="Q1015">
        <v>1</v>
      </c>
      <c r="R1015">
        <v>16</v>
      </c>
      <c r="S1015">
        <v>4</v>
      </c>
      <c r="T1015">
        <v>8</v>
      </c>
      <c r="U1015">
        <v>1</v>
      </c>
      <c r="V1015">
        <v>7</v>
      </c>
      <c r="W1015" t="s">
        <v>51</v>
      </c>
      <c r="X1015" s="1" t="d">
        <v>2013-05-26</v>
      </c>
      <c r="Z1015" t="s">
        <v>63</v>
      </c>
      <c r="AA1015" t="s">
        <v>46</v>
      </c>
      <c r="AB1015">
        <v>0</v>
      </c>
      <c r="AC1015">
        <v>0</v>
      </c>
      <c r="AD1015" t="s">
        <v>41</v>
      </c>
      <c r="AE1015" t="s">
        <v>60</v>
      </c>
      <c r="AF1015" t="s">
        <v>48</v>
      </c>
      <c r="AG1015">
        <f>IF(HR_Data[[#This Row],[Attrition]]="Yes",1,0)</f>
        <v>0</v>
      </c>
      <c r="AH1015" t="str">
        <f>IF(HR_Data[Date_of_termination]="","Active","Left")</f>
        <v>Active</v>
      </c>
      <c r="AI1015" t="str">
        <f>IF(HR_Data[YearsAtCompany]&lt;=2,"Fresher", IF(HR_Data[YearsAtCompany]&lt;=5,"Junior", IF(HR_Data[YearsAtCompany]&lt;=10, "Mid","Senior")))</f>
        <v>Mid</v>
      </c>
      <c r="AJ1015" s="2" t="str">
        <f>IF(HR_Data[MonthlyIncome]&lt;=300,"Low", IF(HR_Data[MonthlyIncome]&lt;=7000,"Medium", "High"))</f>
        <v>Medium</v>
      </c>
      <c r="AK1015" s="2" t="str">
        <f>VLOOKUP(HR_Data[JobRole], JobRole_Map[], 2, FALSE)</f>
        <v>Technical</v>
      </c>
    </row>
    <row r="1016" spans="1:37" x14ac:dyDescent="0.25">
      <c r="A1016" s="2">
        <v>34</v>
      </c>
      <c r="B1016" t="s">
        <v>41</v>
      </c>
      <c r="C1016" t="s">
        <v>33</v>
      </c>
      <c r="D1016" t="s">
        <v>53</v>
      </c>
      <c r="E1016">
        <v>13</v>
      </c>
      <c r="F1016" t="s">
        <v>35</v>
      </c>
      <c r="G1016">
        <v>3</v>
      </c>
      <c r="H1016">
        <v>3</v>
      </c>
      <c r="I1016" t="s">
        <v>64</v>
      </c>
      <c r="J1016">
        <v>3</v>
      </c>
      <c r="K1016" t="s">
        <v>55</v>
      </c>
      <c r="L1016">
        <v>8628</v>
      </c>
      <c r="M1016">
        <v>1</v>
      </c>
      <c r="N1016" t="s">
        <v>41</v>
      </c>
      <c r="O1016">
        <v>18</v>
      </c>
      <c r="P1016">
        <v>3</v>
      </c>
      <c r="Q1016">
        <v>1</v>
      </c>
      <c r="R1016">
        <v>9</v>
      </c>
      <c r="S1016">
        <v>2</v>
      </c>
      <c r="T1016">
        <v>8</v>
      </c>
      <c r="U1016">
        <v>1</v>
      </c>
      <c r="V1016">
        <v>1</v>
      </c>
      <c r="W1016" t="s">
        <v>38</v>
      </c>
      <c r="X1016" s="1" t="d">
        <v>2013-06-02</v>
      </c>
      <c r="Z1016" t="s">
        <v>63</v>
      </c>
      <c r="AA1016" t="s">
        <v>40</v>
      </c>
      <c r="AB1016">
        <v>3</v>
      </c>
      <c r="AC1016">
        <v>1</v>
      </c>
      <c r="AD1016" t="s">
        <v>32</v>
      </c>
      <c r="AE1016" t="s">
        <v>47</v>
      </c>
      <c r="AF1016" t="s">
        <v>48</v>
      </c>
      <c r="AG1016">
        <f>IF(HR_Data[[#This Row],[Attrition]]="Yes",1,0)</f>
        <v>0</v>
      </c>
      <c r="AH1016" t="str">
        <f>IF(HR_Data[Date_of_termination]="","Active","Left")</f>
        <v>Active</v>
      </c>
      <c r="AI1016" t="str">
        <f>IF(HR_Data[YearsAtCompany]&lt;=2,"Fresher", IF(HR_Data[YearsAtCompany]&lt;=5,"Junior", IF(HR_Data[YearsAtCompany]&lt;=10, "Mid","Senior")))</f>
        <v>Mid</v>
      </c>
      <c r="AJ1016" s="2" t="str">
        <f>IF(HR_Data[MonthlyIncome]&lt;=300,"Low", IF(HR_Data[MonthlyIncome]&lt;=7000,"Medium", "High"))</f>
        <v>High</v>
      </c>
      <c r="AK1016" s="2" t="str">
        <f>VLOOKUP(HR_Data[JobRole], JobRole_Map[], 2, FALSE)</f>
        <v>Sales</v>
      </c>
    </row>
    <row r="1017" spans="1:37" x14ac:dyDescent="0.25">
      <c r="A1017" s="2">
        <v>38</v>
      </c>
      <c r="B1017" t="s">
        <v>41</v>
      </c>
      <c r="C1017" t="s">
        <v>61</v>
      </c>
      <c r="D1017" t="s">
        <v>34</v>
      </c>
      <c r="E1017">
        <v>6</v>
      </c>
      <c r="F1017" t="s">
        <v>35</v>
      </c>
      <c r="G1017">
        <v>2</v>
      </c>
      <c r="H1017">
        <v>2</v>
      </c>
      <c r="I1017" t="s">
        <v>67</v>
      </c>
      <c r="J1017">
        <v>3</v>
      </c>
      <c r="K1017" t="s">
        <v>50</v>
      </c>
      <c r="L1017">
        <v>5321</v>
      </c>
      <c r="M1017">
        <v>2</v>
      </c>
      <c r="N1017" t="s">
        <v>41</v>
      </c>
      <c r="O1017">
        <v>11</v>
      </c>
      <c r="P1017">
        <v>3</v>
      </c>
      <c r="Q1017">
        <v>1</v>
      </c>
      <c r="R1017">
        <v>10</v>
      </c>
      <c r="S1017">
        <v>1</v>
      </c>
      <c r="T1017">
        <v>8</v>
      </c>
      <c r="U1017">
        <v>7</v>
      </c>
      <c r="V1017">
        <v>7</v>
      </c>
      <c r="W1017" t="s">
        <v>51</v>
      </c>
      <c r="X1017" s="1" t="d">
        <v>2013-01-15</v>
      </c>
      <c r="Z1017" t="s">
        <v>52</v>
      </c>
      <c r="AA1017" t="s">
        <v>40</v>
      </c>
      <c r="AB1017">
        <v>5</v>
      </c>
      <c r="AC1017">
        <v>0</v>
      </c>
      <c r="AD1017" t="s">
        <v>32</v>
      </c>
      <c r="AE1017" t="s">
        <v>62</v>
      </c>
      <c r="AF1017" t="s">
        <v>57</v>
      </c>
      <c r="AG1017">
        <f>IF(HR_Data[[#This Row],[Attrition]]="Yes",1,0)</f>
        <v>0</v>
      </c>
      <c r="AH1017" t="str">
        <f>IF(HR_Data[Date_of_termination]="","Active","Left")</f>
        <v>Active</v>
      </c>
      <c r="AI1017" t="str">
        <f>IF(HR_Data[YearsAtCompany]&lt;=2,"Fresher", IF(HR_Data[YearsAtCompany]&lt;=5,"Junior", IF(HR_Data[YearsAtCompany]&lt;=10, "Mid","Senior")))</f>
        <v>Mid</v>
      </c>
      <c r="AJ1017" s="2" t="str">
        <f>IF(HR_Data[MonthlyIncome]&lt;=300,"Low", IF(HR_Data[MonthlyIncome]&lt;=7000,"Medium", "High"))</f>
        <v>Medium</v>
      </c>
      <c r="AK1017" s="2" t="str">
        <f>VLOOKUP(HR_Data[JobRole], JobRole_Map[], 2, FALSE)</f>
        <v>Operations</v>
      </c>
    </row>
    <row r="1018" spans="1:37" x14ac:dyDescent="0.25">
      <c r="A1018" s="2">
        <v>38</v>
      </c>
      <c r="B1018" t="s">
        <v>41</v>
      </c>
      <c r="C1018" t="s">
        <v>61</v>
      </c>
      <c r="D1018" t="s">
        <v>34</v>
      </c>
      <c r="E1018">
        <v>23</v>
      </c>
      <c r="F1018" t="s">
        <v>35</v>
      </c>
      <c r="G1018">
        <v>2</v>
      </c>
      <c r="H1018">
        <v>3</v>
      </c>
      <c r="I1018" t="s">
        <v>67</v>
      </c>
      <c r="J1018">
        <v>3</v>
      </c>
      <c r="K1018" t="s">
        <v>37</v>
      </c>
      <c r="L1018">
        <v>9526</v>
      </c>
      <c r="M1018">
        <v>0</v>
      </c>
      <c r="N1018" t="s">
        <v>41</v>
      </c>
      <c r="O1018">
        <v>21</v>
      </c>
      <c r="P1018">
        <v>4</v>
      </c>
      <c r="Q1018">
        <v>0</v>
      </c>
      <c r="R1018">
        <v>10</v>
      </c>
      <c r="S1018">
        <v>2</v>
      </c>
      <c r="T1018">
        <v>9</v>
      </c>
      <c r="U1018">
        <v>1</v>
      </c>
      <c r="V1018">
        <v>8</v>
      </c>
      <c r="W1018" t="s">
        <v>51</v>
      </c>
      <c r="X1018" s="1" t="d">
        <v>2012-05-14</v>
      </c>
      <c r="Z1018" t="s">
        <v>45</v>
      </c>
      <c r="AA1018" t="s">
        <v>46</v>
      </c>
      <c r="AB1018">
        <v>2</v>
      </c>
      <c r="AC1018">
        <v>1</v>
      </c>
      <c r="AD1018" t="s">
        <v>41</v>
      </c>
      <c r="AE1018" t="s">
        <v>60</v>
      </c>
      <c r="AF1018" t="s">
        <v>43</v>
      </c>
      <c r="AG1018">
        <f>IF(HR_Data[[#This Row],[Attrition]]="Yes",1,0)</f>
        <v>0</v>
      </c>
      <c r="AH1018" t="str">
        <f>IF(HR_Data[Date_of_termination]="","Active","Left")</f>
        <v>Active</v>
      </c>
      <c r="AI1018" t="str">
        <f>IF(HR_Data[YearsAtCompany]&lt;=2,"Fresher", IF(HR_Data[YearsAtCompany]&lt;=5,"Junior", IF(HR_Data[YearsAtCompany]&lt;=10, "Mid","Senior")))</f>
        <v>Mid</v>
      </c>
      <c r="AJ1018" s="2" t="str">
        <f>IF(HR_Data[MonthlyIncome]&lt;=300,"Low", IF(HR_Data[MonthlyIncome]&lt;=7000,"Medium", "High"))</f>
        <v>High</v>
      </c>
      <c r="AK1018" s="2" t="str">
        <f>VLOOKUP(HR_Data[JobRole], JobRole_Map[], 2, FALSE)</f>
        <v>Operations</v>
      </c>
    </row>
    <row r="1019" spans="1:37" x14ac:dyDescent="0.25">
      <c r="A1019" s="2">
        <v>29</v>
      </c>
      <c r="B1019" t="s">
        <v>41</v>
      </c>
      <c r="C1019" t="s">
        <v>33</v>
      </c>
      <c r="D1019" t="s">
        <v>34</v>
      </c>
      <c r="E1019">
        <v>15</v>
      </c>
      <c r="F1019" t="s">
        <v>58</v>
      </c>
      <c r="G1019">
        <v>2</v>
      </c>
      <c r="H1019">
        <v>2</v>
      </c>
      <c r="I1019" t="s">
        <v>36</v>
      </c>
      <c r="J1019">
        <v>3</v>
      </c>
      <c r="K1019" t="s">
        <v>37</v>
      </c>
      <c r="L1019">
        <v>4193</v>
      </c>
      <c r="M1019">
        <v>0</v>
      </c>
      <c r="N1019" t="s">
        <v>32</v>
      </c>
      <c r="O1019">
        <v>12</v>
      </c>
      <c r="P1019">
        <v>3</v>
      </c>
      <c r="Q1019">
        <v>0</v>
      </c>
      <c r="R1019">
        <v>10</v>
      </c>
      <c r="S1019">
        <v>3</v>
      </c>
      <c r="T1019">
        <v>9</v>
      </c>
      <c r="U1019">
        <v>0</v>
      </c>
      <c r="V1019">
        <v>8</v>
      </c>
      <c r="W1019" t="s">
        <v>56</v>
      </c>
      <c r="X1019" s="1" t="d">
        <v>2012-04-24</v>
      </c>
      <c r="Z1019" t="s">
        <v>45</v>
      </c>
      <c r="AA1019" t="s">
        <v>46</v>
      </c>
      <c r="AB1019">
        <v>5</v>
      </c>
      <c r="AC1019">
        <v>1</v>
      </c>
      <c r="AD1019" t="s">
        <v>32</v>
      </c>
      <c r="AE1019" t="s">
        <v>60</v>
      </c>
      <c r="AF1019" t="s">
        <v>57</v>
      </c>
      <c r="AG1019">
        <f>IF(HR_Data[[#This Row],[Attrition]]="Yes",1,0)</f>
        <v>0</v>
      </c>
      <c r="AH1019" t="str">
        <f>IF(HR_Data[Date_of_termination]="","Active","Left")</f>
        <v>Active</v>
      </c>
      <c r="AI1019" t="str">
        <f>IF(HR_Data[YearsAtCompany]&lt;=2,"Fresher", IF(HR_Data[YearsAtCompany]&lt;=5,"Junior", IF(HR_Data[YearsAtCompany]&lt;=10, "Mid","Senior")))</f>
        <v>Mid</v>
      </c>
      <c r="AJ1019" s="2" t="str">
        <f>IF(HR_Data[MonthlyIncome]&lt;=300,"Low", IF(HR_Data[MonthlyIncome]&lt;=7000,"Medium", "High"))</f>
        <v>Medium</v>
      </c>
      <c r="AK1019" s="2" t="str">
        <f>VLOOKUP(HR_Data[JobRole], JobRole_Map[], 2, FALSE)</f>
        <v>Technical</v>
      </c>
    </row>
    <row r="1020" spans="1:37" x14ac:dyDescent="0.25">
      <c r="A1020" s="2">
        <v>42</v>
      </c>
      <c r="B1020" t="s">
        <v>41</v>
      </c>
      <c r="C1020" t="s">
        <v>33</v>
      </c>
      <c r="D1020" t="s">
        <v>53</v>
      </c>
      <c r="E1020">
        <v>8</v>
      </c>
      <c r="F1020" t="s">
        <v>35</v>
      </c>
      <c r="G1020">
        <v>3</v>
      </c>
      <c r="H1020">
        <v>2</v>
      </c>
      <c r="I1020" t="s">
        <v>64</v>
      </c>
      <c r="J1020">
        <v>2</v>
      </c>
      <c r="K1020" t="s">
        <v>50</v>
      </c>
      <c r="L1020">
        <v>6825</v>
      </c>
      <c r="M1020">
        <v>0</v>
      </c>
      <c r="N1020" t="s">
        <v>41</v>
      </c>
      <c r="O1020">
        <v>11</v>
      </c>
      <c r="P1020">
        <v>3</v>
      </c>
      <c r="Q1020">
        <v>1</v>
      </c>
      <c r="R1020">
        <v>10</v>
      </c>
      <c r="S1020">
        <v>2</v>
      </c>
      <c r="T1020">
        <v>9</v>
      </c>
      <c r="U1020">
        <v>4</v>
      </c>
      <c r="V1020">
        <v>2</v>
      </c>
      <c r="W1020" t="s">
        <v>38</v>
      </c>
      <c r="X1020" s="1" t="d">
        <v>2012-02-21</v>
      </c>
      <c r="Z1020" t="s">
        <v>63</v>
      </c>
      <c r="AA1020" t="s">
        <v>40</v>
      </c>
      <c r="AB1020">
        <v>0</v>
      </c>
      <c r="AC1020">
        <v>0</v>
      </c>
      <c r="AD1020" t="s">
        <v>41</v>
      </c>
      <c r="AE1020" t="s">
        <v>60</v>
      </c>
      <c r="AF1020" t="s">
        <v>57</v>
      </c>
      <c r="AG1020">
        <f>IF(HR_Data[[#This Row],[Attrition]]="Yes",1,0)</f>
        <v>0</v>
      </c>
      <c r="AH1020" t="str">
        <f>IF(HR_Data[Date_of_termination]="","Active","Left")</f>
        <v>Active</v>
      </c>
      <c r="AI1020" t="str">
        <f>IF(HR_Data[YearsAtCompany]&lt;=2,"Fresher", IF(HR_Data[YearsAtCompany]&lt;=5,"Junior", IF(HR_Data[YearsAtCompany]&lt;=10, "Mid","Senior")))</f>
        <v>Mid</v>
      </c>
      <c r="AJ1020" s="2" t="str">
        <f>IF(HR_Data[MonthlyIncome]&lt;=300,"Low", IF(HR_Data[MonthlyIncome]&lt;=7000,"Medium", "High"))</f>
        <v>Medium</v>
      </c>
      <c r="AK1020" s="2" t="str">
        <f>VLOOKUP(HR_Data[JobRole], JobRole_Map[], 2, FALSE)</f>
        <v>Sales</v>
      </c>
    </row>
    <row r="1021" spans="1:37" x14ac:dyDescent="0.25">
      <c r="A1021" s="2">
        <v>27</v>
      </c>
      <c r="B1021" t="s">
        <v>41</v>
      </c>
      <c r="C1021" t="s">
        <v>61</v>
      </c>
      <c r="D1021" t="s">
        <v>53</v>
      </c>
      <c r="E1021">
        <v>8</v>
      </c>
      <c r="F1021" t="s">
        <v>35</v>
      </c>
      <c r="G1021">
        <v>3</v>
      </c>
      <c r="H1021">
        <v>3</v>
      </c>
      <c r="I1021" t="s">
        <v>64</v>
      </c>
      <c r="J1021">
        <v>3</v>
      </c>
      <c r="K1021" t="s">
        <v>37</v>
      </c>
      <c r="L1021">
        <v>8726</v>
      </c>
      <c r="M1021">
        <v>1</v>
      </c>
      <c r="N1021" t="s">
        <v>41</v>
      </c>
      <c r="O1021">
        <v>15</v>
      </c>
      <c r="P1021">
        <v>3</v>
      </c>
      <c r="Q1021">
        <v>0</v>
      </c>
      <c r="R1021">
        <v>9</v>
      </c>
      <c r="S1021">
        <v>0</v>
      </c>
      <c r="T1021">
        <v>9</v>
      </c>
      <c r="U1021">
        <v>1</v>
      </c>
      <c r="V1021">
        <v>7</v>
      </c>
      <c r="W1021" t="s">
        <v>51</v>
      </c>
      <c r="X1021" s="1" t="d">
        <v>2012-03-10</v>
      </c>
      <c r="Z1021" t="s">
        <v>52</v>
      </c>
      <c r="AA1021" t="s">
        <v>46</v>
      </c>
      <c r="AB1021">
        <v>5</v>
      </c>
      <c r="AC1021">
        <v>1</v>
      </c>
      <c r="AD1021" t="s">
        <v>41</v>
      </c>
      <c r="AE1021" t="s">
        <v>47</v>
      </c>
      <c r="AF1021" t="s">
        <v>57</v>
      </c>
      <c r="AG1021">
        <f>IF(HR_Data[[#This Row],[Attrition]]="Yes",1,0)</f>
        <v>0</v>
      </c>
      <c r="AH1021" t="str">
        <f>IF(HR_Data[Date_of_termination]="","Active","Left")</f>
        <v>Active</v>
      </c>
      <c r="AI1021" t="str">
        <f>IF(HR_Data[YearsAtCompany]&lt;=2,"Fresher", IF(HR_Data[YearsAtCompany]&lt;=5,"Junior", IF(HR_Data[YearsAtCompany]&lt;=10, "Mid","Senior")))</f>
        <v>Mid</v>
      </c>
      <c r="AJ1021" s="2" t="str">
        <f>IF(HR_Data[MonthlyIncome]&lt;=300,"Low", IF(HR_Data[MonthlyIncome]&lt;=7000,"Medium", "High"))</f>
        <v>High</v>
      </c>
      <c r="AK1021" s="2" t="str">
        <f>VLOOKUP(HR_Data[JobRole], JobRole_Map[], 2, FALSE)</f>
        <v>Sales</v>
      </c>
    </row>
    <row r="1022" spans="1:37" x14ac:dyDescent="0.25">
      <c r="A1022" s="2">
        <v>34</v>
      </c>
      <c r="B1022" t="s">
        <v>41</v>
      </c>
      <c r="C1022" t="s">
        <v>68</v>
      </c>
      <c r="D1022" t="s">
        <v>53</v>
      </c>
      <c r="E1022">
        <v>23</v>
      </c>
      <c r="F1022" t="s">
        <v>35</v>
      </c>
      <c r="G1022">
        <v>3</v>
      </c>
      <c r="H1022">
        <v>2</v>
      </c>
      <c r="I1022" t="s">
        <v>64</v>
      </c>
      <c r="J1022">
        <v>3</v>
      </c>
      <c r="K1022" t="s">
        <v>37</v>
      </c>
      <c r="L1022">
        <v>4568</v>
      </c>
      <c r="M1022">
        <v>0</v>
      </c>
      <c r="N1022" t="s">
        <v>41</v>
      </c>
      <c r="O1022">
        <v>20</v>
      </c>
      <c r="P1022">
        <v>4</v>
      </c>
      <c r="Q1022">
        <v>0</v>
      </c>
      <c r="R1022">
        <v>10</v>
      </c>
      <c r="S1022">
        <v>2</v>
      </c>
      <c r="T1022">
        <v>9</v>
      </c>
      <c r="U1022">
        <v>8</v>
      </c>
      <c r="V1022">
        <v>7</v>
      </c>
      <c r="W1022" t="s">
        <v>65</v>
      </c>
      <c r="X1022" s="1" t="d">
        <v>2012-06-27</v>
      </c>
      <c r="Z1022" t="s">
        <v>52</v>
      </c>
      <c r="AA1022" t="s">
        <v>46</v>
      </c>
      <c r="AB1022">
        <v>5</v>
      </c>
      <c r="AC1022">
        <v>3</v>
      </c>
      <c r="AD1022" t="s">
        <v>32</v>
      </c>
      <c r="AE1022" t="s">
        <v>62</v>
      </c>
      <c r="AF1022" t="s">
        <v>48</v>
      </c>
      <c r="AG1022">
        <f>IF(HR_Data[[#This Row],[Attrition]]="Yes",1,0)</f>
        <v>0</v>
      </c>
      <c r="AH1022" t="str">
        <f>IF(HR_Data[Date_of_termination]="","Active","Left")</f>
        <v>Active</v>
      </c>
      <c r="AI1022" t="str">
        <f>IF(HR_Data[YearsAtCompany]&lt;=2,"Fresher", IF(HR_Data[YearsAtCompany]&lt;=5,"Junior", IF(HR_Data[YearsAtCompany]&lt;=10, "Mid","Senior")))</f>
        <v>Mid</v>
      </c>
      <c r="AJ1022" s="2" t="str">
        <f>IF(HR_Data[MonthlyIncome]&lt;=300,"Low", IF(HR_Data[MonthlyIncome]&lt;=7000,"Medium", "High"))</f>
        <v>Medium</v>
      </c>
      <c r="AK1022" s="2" t="str">
        <f>VLOOKUP(HR_Data[JobRole], JobRole_Map[], 2, FALSE)</f>
        <v>Sales</v>
      </c>
    </row>
    <row r="1023" spans="1:37" x14ac:dyDescent="0.25">
      <c r="A1023" s="2">
        <v>46</v>
      </c>
      <c r="B1023" t="s">
        <v>41</v>
      </c>
      <c r="C1023" t="s">
        <v>61</v>
      </c>
      <c r="D1023" t="s">
        <v>53</v>
      </c>
      <c r="E1023">
        <v>5</v>
      </c>
      <c r="F1023" t="s">
        <v>35</v>
      </c>
      <c r="G1023">
        <v>3</v>
      </c>
      <c r="H1023">
        <v>2</v>
      </c>
      <c r="I1023" t="s">
        <v>64</v>
      </c>
      <c r="J1023">
        <v>4</v>
      </c>
      <c r="K1023" t="s">
        <v>37</v>
      </c>
      <c r="L1023">
        <v>5772</v>
      </c>
      <c r="M1023">
        <v>4</v>
      </c>
      <c r="N1023" t="s">
        <v>32</v>
      </c>
      <c r="O1023">
        <v>21</v>
      </c>
      <c r="P1023">
        <v>4</v>
      </c>
      <c r="Q1023">
        <v>0</v>
      </c>
      <c r="R1023">
        <v>14</v>
      </c>
      <c r="S1023">
        <v>4</v>
      </c>
      <c r="T1023">
        <v>9</v>
      </c>
      <c r="U1023">
        <v>0</v>
      </c>
      <c r="V1023">
        <v>8</v>
      </c>
      <c r="W1023" t="s">
        <v>65</v>
      </c>
      <c r="X1023" s="1" t="d">
        <v>2012-02-03</v>
      </c>
      <c r="Z1023" t="s">
        <v>52</v>
      </c>
      <c r="AA1023" t="s">
        <v>40</v>
      </c>
      <c r="AB1023">
        <v>4</v>
      </c>
      <c r="AC1023">
        <v>1</v>
      </c>
      <c r="AD1023" t="s">
        <v>32</v>
      </c>
      <c r="AE1023" t="s">
        <v>60</v>
      </c>
      <c r="AF1023" t="s">
        <v>43</v>
      </c>
      <c r="AG1023">
        <f>IF(HR_Data[[#This Row],[Attrition]]="Yes",1,0)</f>
        <v>0</v>
      </c>
      <c r="AH1023" t="str">
        <f>IF(HR_Data[Date_of_termination]="","Active","Left")</f>
        <v>Active</v>
      </c>
      <c r="AI1023" t="str">
        <f>IF(HR_Data[YearsAtCompany]&lt;=2,"Fresher", IF(HR_Data[YearsAtCompany]&lt;=5,"Junior", IF(HR_Data[YearsAtCompany]&lt;=10, "Mid","Senior")))</f>
        <v>Mid</v>
      </c>
      <c r="AJ1023" s="2" t="str">
        <f>IF(HR_Data[MonthlyIncome]&lt;=300,"Low", IF(HR_Data[MonthlyIncome]&lt;=7000,"Medium", "High"))</f>
        <v>Medium</v>
      </c>
      <c r="AK1023" s="2" t="str">
        <f>VLOOKUP(HR_Data[JobRole], JobRole_Map[], 2, FALSE)</f>
        <v>Sales</v>
      </c>
    </row>
    <row r="1024" spans="1:37" x14ac:dyDescent="0.25">
      <c r="A1024" s="2">
        <v>35</v>
      </c>
      <c r="B1024" t="s">
        <v>41</v>
      </c>
      <c r="C1024" t="s">
        <v>61</v>
      </c>
      <c r="D1024" t="s">
        <v>53</v>
      </c>
      <c r="E1024">
        <v>18</v>
      </c>
      <c r="F1024" t="s">
        <v>35</v>
      </c>
      <c r="G1024">
        <v>3</v>
      </c>
      <c r="H1024">
        <v>3</v>
      </c>
      <c r="I1024" t="s">
        <v>64</v>
      </c>
      <c r="J1024">
        <v>1</v>
      </c>
      <c r="K1024" t="s">
        <v>50</v>
      </c>
      <c r="L1024">
        <v>9069</v>
      </c>
      <c r="M1024">
        <v>1</v>
      </c>
      <c r="N1024" t="s">
        <v>41</v>
      </c>
      <c r="O1024">
        <v>22</v>
      </c>
      <c r="P1024">
        <v>4</v>
      </c>
      <c r="Q1024">
        <v>1</v>
      </c>
      <c r="R1024">
        <v>9</v>
      </c>
      <c r="S1024">
        <v>3</v>
      </c>
      <c r="T1024">
        <v>9</v>
      </c>
      <c r="U1024">
        <v>1</v>
      </c>
      <c r="V1024">
        <v>8</v>
      </c>
      <c r="W1024" t="s">
        <v>51</v>
      </c>
      <c r="X1024" s="1" t="d">
        <v>2012-05-11</v>
      </c>
      <c r="Z1024" t="s">
        <v>52</v>
      </c>
      <c r="AA1024" t="s">
        <v>40</v>
      </c>
      <c r="AB1024">
        <v>4</v>
      </c>
      <c r="AC1024">
        <v>0</v>
      </c>
      <c r="AD1024" t="s">
        <v>41</v>
      </c>
      <c r="AE1024" t="s">
        <v>42</v>
      </c>
      <c r="AF1024" t="s">
        <v>57</v>
      </c>
      <c r="AG1024">
        <f>IF(HR_Data[[#This Row],[Attrition]]="Yes",1,0)</f>
        <v>0</v>
      </c>
      <c r="AH1024" t="str">
        <f>IF(HR_Data[Date_of_termination]="","Active","Left")</f>
        <v>Active</v>
      </c>
      <c r="AI1024" t="str">
        <f>IF(HR_Data[YearsAtCompany]&lt;=2,"Fresher", IF(HR_Data[YearsAtCompany]&lt;=5,"Junior", IF(HR_Data[YearsAtCompany]&lt;=10, "Mid","Senior")))</f>
        <v>Mid</v>
      </c>
      <c r="AJ1024" s="2" t="str">
        <f>IF(HR_Data[MonthlyIncome]&lt;=300,"Low", IF(HR_Data[MonthlyIncome]&lt;=7000,"Medium", "High"))</f>
        <v>High</v>
      </c>
      <c r="AK1024" s="2" t="str">
        <f>VLOOKUP(HR_Data[JobRole], JobRole_Map[], 2, FALSE)</f>
        <v>Sales</v>
      </c>
    </row>
    <row r="1025" spans="1:37" x14ac:dyDescent="0.25">
      <c r="A1025" s="2">
        <v>32</v>
      </c>
      <c r="B1025" t="s">
        <v>41</v>
      </c>
      <c r="C1025" t="s">
        <v>33</v>
      </c>
      <c r="D1025" t="s">
        <v>34</v>
      </c>
      <c r="E1025">
        <v>1</v>
      </c>
      <c r="F1025" t="s">
        <v>35</v>
      </c>
      <c r="G1025">
        <v>3</v>
      </c>
      <c r="H1025">
        <v>2</v>
      </c>
      <c r="I1025" t="s">
        <v>67</v>
      </c>
      <c r="J1025">
        <v>4</v>
      </c>
      <c r="K1025" t="s">
        <v>50</v>
      </c>
      <c r="L1025">
        <v>6162</v>
      </c>
      <c r="M1025">
        <v>1</v>
      </c>
      <c r="N1025" t="s">
        <v>32</v>
      </c>
      <c r="O1025">
        <v>22</v>
      </c>
      <c r="P1025">
        <v>4</v>
      </c>
      <c r="Q1025">
        <v>1</v>
      </c>
      <c r="R1025">
        <v>9</v>
      </c>
      <c r="S1025">
        <v>3</v>
      </c>
      <c r="T1025">
        <v>9</v>
      </c>
      <c r="U1025">
        <v>7</v>
      </c>
      <c r="V1025">
        <v>8</v>
      </c>
      <c r="W1025" t="s">
        <v>38</v>
      </c>
      <c r="X1025" s="1" t="d">
        <v>2012-06-05</v>
      </c>
      <c r="Z1025" t="s">
        <v>63</v>
      </c>
      <c r="AA1025" t="s">
        <v>46</v>
      </c>
      <c r="AB1025">
        <v>0</v>
      </c>
      <c r="AC1025">
        <v>0</v>
      </c>
      <c r="AD1025" t="s">
        <v>32</v>
      </c>
      <c r="AE1025" t="s">
        <v>42</v>
      </c>
      <c r="AF1025" t="s">
        <v>57</v>
      </c>
      <c r="AG1025">
        <f>IF(HR_Data[[#This Row],[Attrition]]="Yes",1,0)</f>
        <v>0</v>
      </c>
      <c r="AH1025" t="str">
        <f>IF(HR_Data[Date_of_termination]="","Active","Left")</f>
        <v>Active</v>
      </c>
      <c r="AI1025" t="str">
        <f>IF(HR_Data[YearsAtCompany]&lt;=2,"Fresher", IF(HR_Data[YearsAtCompany]&lt;=5,"Junior", IF(HR_Data[YearsAtCompany]&lt;=10, "Mid","Senior")))</f>
        <v>Mid</v>
      </c>
      <c r="AJ1025" s="2" t="str">
        <f>IF(HR_Data[MonthlyIncome]&lt;=300,"Low", IF(HR_Data[MonthlyIncome]&lt;=7000,"Medium", "High"))</f>
        <v>Medium</v>
      </c>
      <c r="AK1025" s="2" t="str">
        <f>VLOOKUP(HR_Data[JobRole], JobRole_Map[], 2, FALSE)</f>
        <v>Operations</v>
      </c>
    </row>
    <row r="1026" spans="1:37" x14ac:dyDescent="0.25">
      <c r="A1026" s="2">
        <v>46</v>
      </c>
      <c r="B1026" t="s">
        <v>32</v>
      </c>
      <c r="C1026" t="s">
        <v>33</v>
      </c>
      <c r="D1026" t="s">
        <v>53</v>
      </c>
      <c r="E1026">
        <v>9</v>
      </c>
      <c r="F1026" t="s">
        <v>35</v>
      </c>
      <c r="G1026">
        <v>2</v>
      </c>
      <c r="H1026">
        <v>3</v>
      </c>
      <c r="I1026" t="s">
        <v>64</v>
      </c>
      <c r="J1026">
        <v>4</v>
      </c>
      <c r="K1026" t="s">
        <v>37</v>
      </c>
      <c r="L1026">
        <v>9619</v>
      </c>
      <c r="M1026">
        <v>1</v>
      </c>
      <c r="N1026" t="s">
        <v>41</v>
      </c>
      <c r="O1026">
        <v>16</v>
      </c>
      <c r="P1026">
        <v>3</v>
      </c>
      <c r="Q1026">
        <v>0</v>
      </c>
      <c r="R1026">
        <v>9</v>
      </c>
      <c r="S1026">
        <v>3</v>
      </c>
      <c r="T1026">
        <v>9</v>
      </c>
      <c r="U1026">
        <v>4</v>
      </c>
      <c r="V1026">
        <v>7</v>
      </c>
      <c r="W1026" t="s">
        <v>51</v>
      </c>
      <c r="X1026" s="1" t="d">
        <v>2012-04-25</v>
      </c>
      <c r="Z1026" t="s">
        <v>59</v>
      </c>
      <c r="AA1026" t="s">
        <v>46</v>
      </c>
      <c r="AB1026">
        <v>2</v>
      </c>
      <c r="AC1026">
        <v>3</v>
      </c>
      <c r="AD1026" t="s">
        <v>41</v>
      </c>
      <c r="AE1026" t="s">
        <v>60</v>
      </c>
      <c r="AF1026" t="s">
        <v>57</v>
      </c>
      <c r="AG1026">
        <f>IF(HR_Data[[#This Row],[Attrition]]="Yes",1,0)</f>
        <v>1</v>
      </c>
      <c r="AH1026" t="str">
        <f>IF(HR_Data[Date_of_termination]="","Active","Left")</f>
        <v>Active</v>
      </c>
      <c r="AI1026" t="str">
        <f>IF(HR_Data[YearsAtCompany]&lt;=2,"Fresher", IF(HR_Data[YearsAtCompany]&lt;=5,"Junior", IF(HR_Data[YearsAtCompany]&lt;=10, "Mid","Senior")))</f>
        <v>Mid</v>
      </c>
      <c r="AJ1026" s="2" t="str">
        <f>IF(HR_Data[MonthlyIncome]&lt;=300,"Low", IF(HR_Data[MonthlyIncome]&lt;=7000,"Medium", "High"))</f>
        <v>High</v>
      </c>
      <c r="AK1026" s="2" t="str">
        <f>VLOOKUP(HR_Data[JobRole], JobRole_Map[], 2, FALSE)</f>
        <v>Sales</v>
      </c>
    </row>
    <row r="1027" spans="1:37" x14ac:dyDescent="0.25">
      <c r="A1027" s="2">
        <v>34</v>
      </c>
      <c r="B1027" t="s">
        <v>32</v>
      </c>
      <c r="C1027" t="s">
        <v>61</v>
      </c>
      <c r="D1027" t="s">
        <v>34</v>
      </c>
      <c r="E1027">
        <v>7</v>
      </c>
      <c r="F1027" t="s">
        <v>35</v>
      </c>
      <c r="G1027">
        <v>1</v>
      </c>
      <c r="H1027">
        <v>2</v>
      </c>
      <c r="I1027" t="s">
        <v>36</v>
      </c>
      <c r="J1027">
        <v>3</v>
      </c>
      <c r="K1027" t="s">
        <v>37</v>
      </c>
      <c r="L1027">
        <v>6074</v>
      </c>
      <c r="M1027">
        <v>1</v>
      </c>
      <c r="N1027" t="s">
        <v>32</v>
      </c>
      <c r="O1027">
        <v>24</v>
      </c>
      <c r="P1027">
        <v>4</v>
      </c>
      <c r="Q1027">
        <v>0</v>
      </c>
      <c r="R1027">
        <v>9</v>
      </c>
      <c r="S1027">
        <v>3</v>
      </c>
      <c r="T1027">
        <v>9</v>
      </c>
      <c r="U1027">
        <v>0</v>
      </c>
      <c r="V1027">
        <v>6</v>
      </c>
      <c r="W1027" t="s">
        <v>38</v>
      </c>
      <c r="X1027" s="1" t="d">
        <v>2012-06-05</v>
      </c>
      <c r="Z1027" t="s">
        <v>39</v>
      </c>
      <c r="AA1027" t="s">
        <v>40</v>
      </c>
      <c r="AB1027">
        <v>4</v>
      </c>
      <c r="AC1027">
        <v>1</v>
      </c>
      <c r="AD1027" t="s">
        <v>32</v>
      </c>
      <c r="AE1027" t="s">
        <v>60</v>
      </c>
      <c r="AF1027" t="s">
        <v>48</v>
      </c>
      <c r="AG1027">
        <f>IF(HR_Data[[#This Row],[Attrition]]="Yes",1,0)</f>
        <v>1</v>
      </c>
      <c r="AH1027" t="str">
        <f>IF(HR_Data[Date_of_termination]="","Active","Left")</f>
        <v>Active</v>
      </c>
      <c r="AI1027" t="str">
        <f>IF(HR_Data[YearsAtCompany]&lt;=2,"Fresher", IF(HR_Data[YearsAtCompany]&lt;=5,"Junior", IF(HR_Data[YearsAtCompany]&lt;=10, "Mid","Senior")))</f>
        <v>Mid</v>
      </c>
      <c r="AJ1027" s="2" t="str">
        <f>IF(HR_Data[MonthlyIncome]&lt;=300,"Low", IF(HR_Data[MonthlyIncome]&lt;=7000,"Medium", "High"))</f>
        <v>Medium</v>
      </c>
      <c r="AK1027" s="2" t="str">
        <f>VLOOKUP(HR_Data[JobRole], JobRole_Map[], 2, FALSE)</f>
        <v>Technical</v>
      </c>
    </row>
    <row r="1028" spans="1:37" x14ac:dyDescent="0.25">
      <c r="A1028" s="2">
        <v>36</v>
      </c>
      <c r="B1028" t="s">
        <v>41</v>
      </c>
      <c r="C1028" t="s">
        <v>61</v>
      </c>
      <c r="D1028" t="s">
        <v>53</v>
      </c>
      <c r="E1028">
        <v>11</v>
      </c>
      <c r="F1028" t="s">
        <v>58</v>
      </c>
      <c r="G1028">
        <v>3</v>
      </c>
      <c r="H1028">
        <v>3</v>
      </c>
      <c r="I1028" t="s">
        <v>64</v>
      </c>
      <c r="J1028">
        <v>4</v>
      </c>
      <c r="K1028" t="s">
        <v>50</v>
      </c>
      <c r="L1028">
        <v>9738</v>
      </c>
      <c r="M1028">
        <v>0</v>
      </c>
      <c r="N1028" t="s">
        <v>41</v>
      </c>
      <c r="O1028">
        <v>14</v>
      </c>
      <c r="P1028">
        <v>3</v>
      </c>
      <c r="Q1028">
        <v>1</v>
      </c>
      <c r="R1028">
        <v>10</v>
      </c>
      <c r="S1028">
        <v>6</v>
      </c>
      <c r="T1028">
        <v>9</v>
      </c>
      <c r="U1028">
        <v>2</v>
      </c>
      <c r="V1028">
        <v>8</v>
      </c>
      <c r="W1028" t="s">
        <v>51</v>
      </c>
      <c r="X1028" s="1" t="d">
        <v>2012-02-01</v>
      </c>
      <c r="Z1028" t="s">
        <v>63</v>
      </c>
      <c r="AA1028" t="s">
        <v>46</v>
      </c>
      <c r="AB1028">
        <v>2</v>
      </c>
      <c r="AC1028">
        <v>0</v>
      </c>
      <c r="AD1028" t="s">
        <v>41</v>
      </c>
      <c r="AE1028" t="s">
        <v>62</v>
      </c>
      <c r="AF1028" t="s">
        <v>43</v>
      </c>
      <c r="AG1028">
        <f>IF(HR_Data[[#This Row],[Attrition]]="Yes",1,0)</f>
        <v>0</v>
      </c>
      <c r="AH1028" t="str">
        <f>IF(HR_Data[Date_of_termination]="","Active","Left")</f>
        <v>Active</v>
      </c>
      <c r="AI1028" t="str">
        <f>IF(HR_Data[YearsAtCompany]&lt;=2,"Fresher", IF(HR_Data[YearsAtCompany]&lt;=5,"Junior", IF(HR_Data[YearsAtCompany]&lt;=10, "Mid","Senior")))</f>
        <v>Mid</v>
      </c>
      <c r="AJ1028" s="2" t="str">
        <f>IF(HR_Data[MonthlyIncome]&lt;=300,"Low", IF(HR_Data[MonthlyIncome]&lt;=7000,"Medium", "High"))</f>
        <v>High</v>
      </c>
      <c r="AK1028" s="2" t="str">
        <f>VLOOKUP(HR_Data[JobRole], JobRole_Map[], 2, FALSE)</f>
        <v>Sales</v>
      </c>
    </row>
    <row r="1029" spans="1:37" x14ac:dyDescent="0.25">
      <c r="A1029" s="2">
        <v>41</v>
      </c>
      <c r="B1029" t="s">
        <v>41</v>
      </c>
      <c r="C1029" t="s">
        <v>33</v>
      </c>
      <c r="D1029" t="s">
        <v>53</v>
      </c>
      <c r="E1029">
        <v>9</v>
      </c>
      <c r="F1029" t="s">
        <v>35</v>
      </c>
      <c r="G1029">
        <v>3</v>
      </c>
      <c r="H1029">
        <v>3</v>
      </c>
      <c r="I1029" t="s">
        <v>64</v>
      </c>
      <c r="J1029">
        <v>3</v>
      </c>
      <c r="K1029" t="s">
        <v>55</v>
      </c>
      <c r="L1029">
        <v>8189</v>
      </c>
      <c r="M1029">
        <v>3</v>
      </c>
      <c r="N1029" t="s">
        <v>32</v>
      </c>
      <c r="O1029">
        <v>13</v>
      </c>
      <c r="P1029">
        <v>3</v>
      </c>
      <c r="Q1029">
        <v>1</v>
      </c>
      <c r="R1029">
        <v>12</v>
      </c>
      <c r="S1029">
        <v>2</v>
      </c>
      <c r="T1029">
        <v>9</v>
      </c>
      <c r="U1029">
        <v>0</v>
      </c>
      <c r="V1029">
        <v>7</v>
      </c>
      <c r="W1029" t="s">
        <v>51</v>
      </c>
      <c r="X1029" s="1" t="d">
        <v>2012-03-09</v>
      </c>
      <c r="Z1029" t="s">
        <v>45</v>
      </c>
      <c r="AA1029" t="s">
        <v>40</v>
      </c>
      <c r="AB1029">
        <v>3</v>
      </c>
      <c r="AC1029">
        <v>1</v>
      </c>
      <c r="AD1029" t="s">
        <v>32</v>
      </c>
      <c r="AE1029" t="s">
        <v>62</v>
      </c>
      <c r="AF1029" t="s">
        <v>48</v>
      </c>
      <c r="AG1029">
        <f>IF(HR_Data[[#This Row],[Attrition]]="Yes",1,0)</f>
        <v>0</v>
      </c>
      <c r="AH1029" t="str">
        <f>IF(HR_Data[Date_of_termination]="","Active","Left")</f>
        <v>Active</v>
      </c>
      <c r="AI1029" t="str">
        <f>IF(HR_Data[YearsAtCompany]&lt;=2,"Fresher", IF(HR_Data[YearsAtCompany]&lt;=5,"Junior", IF(HR_Data[YearsAtCompany]&lt;=10, "Mid","Senior")))</f>
        <v>Mid</v>
      </c>
      <c r="AJ1029" s="2" t="str">
        <f>IF(HR_Data[MonthlyIncome]&lt;=300,"Low", IF(HR_Data[MonthlyIncome]&lt;=7000,"Medium", "High"))</f>
        <v>High</v>
      </c>
      <c r="AK1029" s="2" t="str">
        <f>VLOOKUP(HR_Data[JobRole], JobRole_Map[], 2, FALSE)</f>
        <v>Sales</v>
      </c>
    </row>
    <row r="1030" spans="1:37" x14ac:dyDescent="0.25">
      <c r="A1030" s="2">
        <v>32</v>
      </c>
      <c r="B1030" t="s">
        <v>41</v>
      </c>
      <c r="C1030" t="s">
        <v>61</v>
      </c>
      <c r="D1030" t="s">
        <v>53</v>
      </c>
      <c r="E1030">
        <v>8</v>
      </c>
      <c r="F1030" t="s">
        <v>58</v>
      </c>
      <c r="G1030">
        <v>3</v>
      </c>
      <c r="H1030">
        <v>3</v>
      </c>
      <c r="I1030" t="s">
        <v>64</v>
      </c>
      <c r="J1030">
        <v>4</v>
      </c>
      <c r="K1030" t="s">
        <v>37</v>
      </c>
      <c r="L1030">
        <v>8998</v>
      </c>
      <c r="M1030">
        <v>1</v>
      </c>
      <c r="N1030" t="s">
        <v>41</v>
      </c>
      <c r="O1030">
        <v>14</v>
      </c>
      <c r="P1030">
        <v>3</v>
      </c>
      <c r="Q1030">
        <v>0</v>
      </c>
      <c r="R1030">
        <v>9</v>
      </c>
      <c r="S1030">
        <v>2</v>
      </c>
      <c r="T1030">
        <v>9</v>
      </c>
      <c r="U1030">
        <v>3</v>
      </c>
      <c r="V1030">
        <v>7</v>
      </c>
      <c r="W1030" t="s">
        <v>38</v>
      </c>
      <c r="X1030" s="1" t="d">
        <v>2012-04-03</v>
      </c>
      <c r="Z1030" t="s">
        <v>39</v>
      </c>
      <c r="AA1030" t="s">
        <v>40</v>
      </c>
      <c r="AB1030">
        <v>5</v>
      </c>
      <c r="AC1030">
        <v>2</v>
      </c>
      <c r="AD1030" t="s">
        <v>32</v>
      </c>
      <c r="AE1030" t="s">
        <v>47</v>
      </c>
      <c r="AF1030" t="s">
        <v>57</v>
      </c>
      <c r="AG1030">
        <f>IF(HR_Data[[#This Row],[Attrition]]="Yes",1,0)</f>
        <v>0</v>
      </c>
      <c r="AH1030" t="str">
        <f>IF(HR_Data[Date_of_termination]="","Active","Left")</f>
        <v>Active</v>
      </c>
      <c r="AI1030" t="str">
        <f>IF(HR_Data[YearsAtCompany]&lt;=2,"Fresher", IF(HR_Data[YearsAtCompany]&lt;=5,"Junior", IF(HR_Data[YearsAtCompany]&lt;=10, "Mid","Senior")))</f>
        <v>Mid</v>
      </c>
      <c r="AJ1030" s="2" t="str">
        <f>IF(HR_Data[MonthlyIncome]&lt;=300,"Low", IF(HR_Data[MonthlyIncome]&lt;=7000,"Medium", "High"))</f>
        <v>High</v>
      </c>
      <c r="AK1030" s="2" t="str">
        <f>VLOOKUP(HR_Data[JobRole], JobRole_Map[], 2, FALSE)</f>
        <v>Sales</v>
      </c>
    </row>
    <row r="1031" spans="1:37" x14ac:dyDescent="0.25">
      <c r="A1031" s="2">
        <v>41</v>
      </c>
      <c r="B1031" t="s">
        <v>41</v>
      </c>
      <c r="C1031" t="s">
        <v>33</v>
      </c>
      <c r="D1031" t="s">
        <v>34</v>
      </c>
      <c r="E1031">
        <v>14</v>
      </c>
      <c r="F1031" t="s">
        <v>35</v>
      </c>
      <c r="G1031">
        <v>3</v>
      </c>
      <c r="H1031">
        <v>1</v>
      </c>
      <c r="I1031" t="s">
        <v>44</v>
      </c>
      <c r="J1031">
        <v>3</v>
      </c>
      <c r="K1031" t="s">
        <v>55</v>
      </c>
      <c r="L1031">
        <v>2451</v>
      </c>
      <c r="M1031">
        <v>4</v>
      </c>
      <c r="N1031" t="s">
        <v>41</v>
      </c>
      <c r="O1031">
        <v>12</v>
      </c>
      <c r="P1031">
        <v>3</v>
      </c>
      <c r="Q1031">
        <v>1</v>
      </c>
      <c r="R1031">
        <v>13</v>
      </c>
      <c r="S1031">
        <v>2</v>
      </c>
      <c r="T1031">
        <v>9</v>
      </c>
      <c r="U1031">
        <v>1</v>
      </c>
      <c r="V1031">
        <v>8</v>
      </c>
      <c r="W1031" t="s">
        <v>56</v>
      </c>
      <c r="X1031" s="1" t="d">
        <v>2012-05-19</v>
      </c>
      <c r="Z1031" t="s">
        <v>52</v>
      </c>
      <c r="AA1031" t="s">
        <v>46</v>
      </c>
      <c r="AB1031">
        <v>4</v>
      </c>
      <c r="AC1031">
        <v>3</v>
      </c>
      <c r="AD1031" t="s">
        <v>32</v>
      </c>
      <c r="AE1031" t="s">
        <v>62</v>
      </c>
      <c r="AF1031" t="s">
        <v>43</v>
      </c>
      <c r="AG1031">
        <f>IF(HR_Data[[#This Row],[Attrition]]="Yes",1,0)</f>
        <v>0</v>
      </c>
      <c r="AH1031" t="str">
        <f>IF(HR_Data[Date_of_termination]="","Active","Left")</f>
        <v>Active</v>
      </c>
      <c r="AI1031" t="str">
        <f>IF(HR_Data[YearsAtCompany]&lt;=2,"Fresher", IF(HR_Data[YearsAtCompany]&lt;=5,"Junior", IF(HR_Data[YearsAtCompany]&lt;=10, "Mid","Senior")))</f>
        <v>Mid</v>
      </c>
      <c r="AJ1031" s="2" t="str">
        <f>IF(HR_Data[MonthlyIncome]&lt;=300,"Low", IF(HR_Data[MonthlyIncome]&lt;=7000,"Medium", "High"))</f>
        <v>Medium</v>
      </c>
      <c r="AK1031" s="2" t="str">
        <f>VLOOKUP(HR_Data[JobRole], JobRole_Map[], 2, FALSE)</f>
        <v>Technical</v>
      </c>
    </row>
    <row r="1032" spans="1:37" x14ac:dyDescent="0.25">
      <c r="A1032" s="2">
        <v>37</v>
      </c>
      <c r="B1032" t="s">
        <v>41</v>
      </c>
      <c r="C1032" t="s">
        <v>61</v>
      </c>
      <c r="D1032" t="s">
        <v>53</v>
      </c>
      <c r="E1032">
        <v>4</v>
      </c>
      <c r="F1032" t="s">
        <v>35</v>
      </c>
      <c r="G1032">
        <v>3</v>
      </c>
      <c r="H1032">
        <v>1</v>
      </c>
      <c r="I1032" t="s">
        <v>54</v>
      </c>
      <c r="J1032">
        <v>4</v>
      </c>
      <c r="K1032" t="s">
        <v>55</v>
      </c>
      <c r="L1032">
        <v>2793</v>
      </c>
      <c r="M1032">
        <v>4</v>
      </c>
      <c r="N1032" t="s">
        <v>41</v>
      </c>
      <c r="O1032">
        <v>17</v>
      </c>
      <c r="P1032">
        <v>3</v>
      </c>
      <c r="Q1032">
        <v>1</v>
      </c>
      <c r="R1032">
        <v>13</v>
      </c>
      <c r="S1032">
        <v>2</v>
      </c>
      <c r="T1032">
        <v>9</v>
      </c>
      <c r="U1032">
        <v>5</v>
      </c>
      <c r="V1032">
        <v>8</v>
      </c>
      <c r="W1032" t="s">
        <v>56</v>
      </c>
      <c r="X1032" s="1" t="d">
        <v>2012-04-26</v>
      </c>
      <c r="Z1032" t="s">
        <v>59</v>
      </c>
      <c r="AA1032" t="s">
        <v>40</v>
      </c>
      <c r="AB1032">
        <v>2</v>
      </c>
      <c r="AC1032">
        <v>1</v>
      </c>
      <c r="AD1032" t="s">
        <v>32</v>
      </c>
      <c r="AE1032" t="s">
        <v>47</v>
      </c>
      <c r="AF1032" t="s">
        <v>43</v>
      </c>
      <c r="AG1032">
        <f>IF(HR_Data[[#This Row],[Attrition]]="Yes",1,0)</f>
        <v>0</v>
      </c>
      <c r="AH1032" t="str">
        <f>IF(HR_Data[Date_of_termination]="","Active","Left")</f>
        <v>Active</v>
      </c>
      <c r="AI1032" t="str">
        <f>IF(HR_Data[YearsAtCompany]&lt;=2,"Fresher", IF(HR_Data[YearsAtCompany]&lt;=5,"Junior", IF(HR_Data[YearsAtCompany]&lt;=10, "Mid","Senior")))</f>
        <v>Mid</v>
      </c>
      <c r="AJ1032" s="2" t="str">
        <f>IF(HR_Data[MonthlyIncome]&lt;=300,"Low", IF(HR_Data[MonthlyIncome]&lt;=7000,"Medium", "High"))</f>
        <v>Medium</v>
      </c>
      <c r="AK1032" s="2" t="str">
        <f>VLOOKUP(HR_Data[JobRole], JobRole_Map[], 2, FALSE)</f>
        <v>Sales</v>
      </c>
    </row>
    <row r="1033" spans="1:37" x14ac:dyDescent="0.25">
      <c r="A1033" s="2">
        <v>33</v>
      </c>
      <c r="B1033" t="s">
        <v>32</v>
      </c>
      <c r="C1033" t="s">
        <v>33</v>
      </c>
      <c r="D1033" t="s">
        <v>34</v>
      </c>
      <c r="E1033">
        <v>2</v>
      </c>
      <c r="F1033" t="s">
        <v>58</v>
      </c>
      <c r="G1033">
        <v>3</v>
      </c>
      <c r="H1033">
        <v>1</v>
      </c>
      <c r="I1033" t="s">
        <v>36</v>
      </c>
      <c r="J1033">
        <v>1</v>
      </c>
      <c r="K1033" t="s">
        <v>50</v>
      </c>
      <c r="L1033">
        <v>2707</v>
      </c>
      <c r="M1033">
        <v>7</v>
      </c>
      <c r="N1033" t="s">
        <v>41</v>
      </c>
      <c r="O1033">
        <v>20</v>
      </c>
      <c r="P1033">
        <v>4</v>
      </c>
      <c r="Q1033">
        <v>0</v>
      </c>
      <c r="R1033">
        <v>13</v>
      </c>
      <c r="S1033">
        <v>3</v>
      </c>
      <c r="T1033">
        <v>9</v>
      </c>
      <c r="U1033">
        <v>1</v>
      </c>
      <c r="V1033">
        <v>7</v>
      </c>
      <c r="W1033" t="s">
        <v>51</v>
      </c>
      <c r="X1033" s="1" t="d">
        <v>2012-02-20</v>
      </c>
      <c r="Z1033" t="s">
        <v>45</v>
      </c>
      <c r="AA1033" t="s">
        <v>46</v>
      </c>
      <c r="AB1033">
        <v>0</v>
      </c>
      <c r="AC1033">
        <v>1</v>
      </c>
      <c r="AD1033" t="s">
        <v>32</v>
      </c>
      <c r="AE1033" t="s">
        <v>47</v>
      </c>
      <c r="AF1033" t="s">
        <v>57</v>
      </c>
      <c r="AG1033">
        <f>IF(HR_Data[[#This Row],[Attrition]]="Yes",1,0)</f>
        <v>1</v>
      </c>
      <c r="AH1033" t="str">
        <f>IF(HR_Data[Date_of_termination]="","Active","Left")</f>
        <v>Active</v>
      </c>
      <c r="AI1033" t="str">
        <f>IF(HR_Data[YearsAtCompany]&lt;=2,"Fresher", IF(HR_Data[YearsAtCompany]&lt;=5,"Junior", IF(HR_Data[YearsAtCompany]&lt;=10, "Mid","Senior")))</f>
        <v>Mid</v>
      </c>
      <c r="AJ1033" s="2" t="str">
        <f>IF(HR_Data[MonthlyIncome]&lt;=300,"Low", IF(HR_Data[MonthlyIncome]&lt;=7000,"Medium", "High"))</f>
        <v>Medium</v>
      </c>
      <c r="AK1033" s="2" t="str">
        <f>VLOOKUP(HR_Data[JobRole], JobRole_Map[], 2, FALSE)</f>
        <v>Technical</v>
      </c>
    </row>
    <row r="1034" spans="1:37" x14ac:dyDescent="0.25">
      <c r="A1034" s="2">
        <v>40</v>
      </c>
      <c r="B1034" t="s">
        <v>41</v>
      </c>
      <c r="C1034" t="s">
        <v>33</v>
      </c>
      <c r="D1034" t="s">
        <v>34</v>
      </c>
      <c r="E1034">
        <v>24</v>
      </c>
      <c r="F1034" t="s">
        <v>35</v>
      </c>
      <c r="G1034">
        <v>3</v>
      </c>
      <c r="H1034">
        <v>2</v>
      </c>
      <c r="I1034" t="s">
        <v>44</v>
      </c>
      <c r="J1034">
        <v>4</v>
      </c>
      <c r="K1034" t="s">
        <v>55</v>
      </c>
      <c r="L1034">
        <v>3319</v>
      </c>
      <c r="M1034">
        <v>1</v>
      </c>
      <c r="N1034" t="s">
        <v>41</v>
      </c>
      <c r="O1034">
        <v>17</v>
      </c>
      <c r="P1034">
        <v>3</v>
      </c>
      <c r="Q1034">
        <v>2</v>
      </c>
      <c r="R1034">
        <v>9</v>
      </c>
      <c r="S1034">
        <v>3</v>
      </c>
      <c r="T1034">
        <v>9</v>
      </c>
      <c r="U1034">
        <v>4</v>
      </c>
      <c r="V1034">
        <v>7</v>
      </c>
      <c r="W1034" t="s">
        <v>51</v>
      </c>
      <c r="X1034" s="1" t="d">
        <v>2012-05-01</v>
      </c>
      <c r="Z1034" t="s">
        <v>39</v>
      </c>
      <c r="AA1034" t="s">
        <v>46</v>
      </c>
      <c r="AB1034">
        <v>2</v>
      </c>
      <c r="AC1034">
        <v>1</v>
      </c>
      <c r="AD1034" t="s">
        <v>32</v>
      </c>
      <c r="AE1034" t="s">
        <v>60</v>
      </c>
      <c r="AF1034" t="s">
        <v>57</v>
      </c>
      <c r="AG1034">
        <f>IF(HR_Data[[#This Row],[Attrition]]="Yes",1,0)</f>
        <v>0</v>
      </c>
      <c r="AH1034" t="str">
        <f>IF(HR_Data[Date_of_termination]="","Active","Left")</f>
        <v>Active</v>
      </c>
      <c r="AI1034" t="str">
        <f>IF(HR_Data[YearsAtCompany]&lt;=2,"Fresher", IF(HR_Data[YearsAtCompany]&lt;=5,"Junior", IF(HR_Data[YearsAtCompany]&lt;=10, "Mid","Senior")))</f>
        <v>Mid</v>
      </c>
      <c r="AJ1034" s="2" t="str">
        <f>IF(HR_Data[MonthlyIncome]&lt;=300,"Low", IF(HR_Data[MonthlyIncome]&lt;=7000,"Medium", "High"))</f>
        <v>Medium</v>
      </c>
      <c r="AK1034" s="2" t="str">
        <f>VLOOKUP(HR_Data[JobRole], JobRole_Map[], 2, FALSE)</f>
        <v>Technical</v>
      </c>
    </row>
    <row r="1035" spans="1:37" x14ac:dyDescent="0.25">
      <c r="A1035" s="2">
        <v>42</v>
      </c>
      <c r="B1035" t="s">
        <v>41</v>
      </c>
      <c r="C1035" t="s">
        <v>33</v>
      </c>
      <c r="D1035" t="s">
        <v>34</v>
      </c>
      <c r="E1035">
        <v>2</v>
      </c>
      <c r="F1035" t="s">
        <v>58</v>
      </c>
      <c r="G1035">
        <v>2</v>
      </c>
      <c r="H1035">
        <v>1</v>
      </c>
      <c r="I1035" t="s">
        <v>36</v>
      </c>
      <c r="J1035">
        <v>1</v>
      </c>
      <c r="K1035" t="s">
        <v>55</v>
      </c>
      <c r="L1035">
        <v>2593</v>
      </c>
      <c r="M1035">
        <v>0</v>
      </c>
      <c r="N1035" t="s">
        <v>32</v>
      </c>
      <c r="O1035">
        <v>11</v>
      </c>
      <c r="P1035">
        <v>3</v>
      </c>
      <c r="Q1035">
        <v>1</v>
      </c>
      <c r="R1035">
        <v>10</v>
      </c>
      <c r="S1035">
        <v>4</v>
      </c>
      <c r="T1035">
        <v>9</v>
      </c>
      <c r="U1035">
        <v>7</v>
      </c>
      <c r="V1035">
        <v>8</v>
      </c>
      <c r="W1035" t="s">
        <v>65</v>
      </c>
      <c r="X1035" s="1" t="d">
        <v>2012-04-04</v>
      </c>
      <c r="Z1035" t="s">
        <v>63</v>
      </c>
      <c r="AA1035" t="s">
        <v>40</v>
      </c>
      <c r="AB1035">
        <v>4</v>
      </c>
      <c r="AC1035">
        <v>2</v>
      </c>
      <c r="AD1035" t="s">
        <v>41</v>
      </c>
      <c r="AE1035" t="s">
        <v>62</v>
      </c>
      <c r="AF1035" t="s">
        <v>43</v>
      </c>
      <c r="AG1035">
        <f>IF(HR_Data[[#This Row],[Attrition]]="Yes",1,0)</f>
        <v>0</v>
      </c>
      <c r="AH1035" t="str">
        <f>IF(HR_Data[Date_of_termination]="","Active","Left")</f>
        <v>Active</v>
      </c>
      <c r="AI1035" t="str">
        <f>IF(HR_Data[YearsAtCompany]&lt;=2,"Fresher", IF(HR_Data[YearsAtCompany]&lt;=5,"Junior", IF(HR_Data[YearsAtCompany]&lt;=10, "Mid","Senior")))</f>
        <v>Mid</v>
      </c>
      <c r="AJ1035" s="2" t="str">
        <f>IF(HR_Data[MonthlyIncome]&lt;=300,"Low", IF(HR_Data[MonthlyIncome]&lt;=7000,"Medium", "High"))</f>
        <v>Medium</v>
      </c>
      <c r="AK1035" s="2" t="str">
        <f>VLOOKUP(HR_Data[JobRole], JobRole_Map[], 2, FALSE)</f>
        <v>Technical</v>
      </c>
    </row>
    <row r="1036" spans="1:37" x14ac:dyDescent="0.25">
      <c r="A1036" s="2">
        <v>31</v>
      </c>
      <c r="B1036" t="s">
        <v>41</v>
      </c>
      <c r="C1036" t="s">
        <v>33</v>
      </c>
      <c r="D1036" t="s">
        <v>34</v>
      </c>
      <c r="E1036">
        <v>23</v>
      </c>
      <c r="F1036" t="s">
        <v>35</v>
      </c>
      <c r="G1036">
        <v>2</v>
      </c>
      <c r="H1036">
        <v>2</v>
      </c>
      <c r="I1036" t="s">
        <v>69</v>
      </c>
      <c r="J1036">
        <v>4</v>
      </c>
      <c r="K1036" t="s">
        <v>50</v>
      </c>
      <c r="L1036">
        <v>5582</v>
      </c>
      <c r="M1036">
        <v>0</v>
      </c>
      <c r="N1036" t="s">
        <v>41</v>
      </c>
      <c r="O1036">
        <v>21</v>
      </c>
      <c r="P1036">
        <v>4</v>
      </c>
      <c r="Q1036">
        <v>1</v>
      </c>
      <c r="R1036">
        <v>10</v>
      </c>
      <c r="S1036">
        <v>2</v>
      </c>
      <c r="T1036">
        <v>9</v>
      </c>
      <c r="U1036">
        <v>7</v>
      </c>
      <c r="V1036">
        <v>8</v>
      </c>
      <c r="W1036" t="s">
        <v>51</v>
      </c>
      <c r="X1036" s="1" t="d">
        <v>2012-04-22</v>
      </c>
      <c r="Z1036" t="s">
        <v>45</v>
      </c>
      <c r="AA1036" t="s">
        <v>40</v>
      </c>
      <c r="AB1036">
        <v>4</v>
      </c>
      <c r="AC1036">
        <v>1</v>
      </c>
      <c r="AD1036" t="s">
        <v>41</v>
      </c>
      <c r="AE1036" t="s">
        <v>42</v>
      </c>
      <c r="AF1036" t="s">
        <v>57</v>
      </c>
      <c r="AG1036">
        <f>IF(HR_Data[[#This Row],[Attrition]]="Yes",1,0)</f>
        <v>0</v>
      </c>
      <c r="AH1036" t="str">
        <f>IF(HR_Data[Date_of_termination]="","Active","Left")</f>
        <v>Active</v>
      </c>
      <c r="AI1036" t="str">
        <f>IF(HR_Data[YearsAtCompany]&lt;=2,"Fresher", IF(HR_Data[YearsAtCompany]&lt;=5,"Junior", IF(HR_Data[YearsAtCompany]&lt;=10, "Mid","Senior")))</f>
        <v>Mid</v>
      </c>
      <c r="AJ1036" s="2" t="str">
        <f>IF(HR_Data[MonthlyIncome]&lt;=300,"Low", IF(HR_Data[MonthlyIncome]&lt;=7000,"Medium", "High"))</f>
        <v>Medium</v>
      </c>
      <c r="AK1036" s="2" t="str">
        <f>VLOOKUP(HR_Data[JobRole], JobRole_Map[], 2, FALSE)</f>
        <v>Operations</v>
      </c>
    </row>
    <row r="1037" spans="1:37" x14ac:dyDescent="0.25">
      <c r="A1037" s="2">
        <v>36</v>
      </c>
      <c r="B1037" t="s">
        <v>41</v>
      </c>
      <c r="C1037" t="s">
        <v>68</v>
      </c>
      <c r="D1037" t="s">
        <v>34</v>
      </c>
      <c r="E1037">
        <v>24</v>
      </c>
      <c r="F1037" t="s">
        <v>58</v>
      </c>
      <c r="G1037">
        <v>3</v>
      </c>
      <c r="H1037">
        <v>2</v>
      </c>
      <c r="I1037" t="s">
        <v>36</v>
      </c>
      <c r="J1037">
        <v>2</v>
      </c>
      <c r="K1037" t="s">
        <v>50</v>
      </c>
      <c r="L1037">
        <v>5674</v>
      </c>
      <c r="M1037">
        <v>7</v>
      </c>
      <c r="N1037" t="s">
        <v>41</v>
      </c>
      <c r="O1037">
        <v>15</v>
      </c>
      <c r="P1037">
        <v>3</v>
      </c>
      <c r="Q1037">
        <v>1</v>
      </c>
      <c r="R1037">
        <v>11</v>
      </c>
      <c r="S1037">
        <v>3</v>
      </c>
      <c r="T1037">
        <v>9</v>
      </c>
      <c r="U1037">
        <v>0</v>
      </c>
      <c r="V1037">
        <v>8</v>
      </c>
      <c r="W1037" t="s">
        <v>65</v>
      </c>
      <c r="X1037" s="1" t="d">
        <v>2012-02-17</v>
      </c>
      <c r="Z1037" t="s">
        <v>45</v>
      </c>
      <c r="AA1037" t="s">
        <v>46</v>
      </c>
      <c r="AB1037">
        <v>5</v>
      </c>
      <c r="AC1037">
        <v>1</v>
      </c>
      <c r="AD1037" t="s">
        <v>32</v>
      </c>
      <c r="AE1037" t="s">
        <v>47</v>
      </c>
      <c r="AF1037" t="s">
        <v>43</v>
      </c>
      <c r="AG1037">
        <f>IF(HR_Data[[#This Row],[Attrition]]="Yes",1,0)</f>
        <v>0</v>
      </c>
      <c r="AH1037" t="str">
        <f>IF(HR_Data[Date_of_termination]="","Active","Left")</f>
        <v>Active</v>
      </c>
      <c r="AI1037" t="str">
        <f>IF(HR_Data[YearsAtCompany]&lt;=2,"Fresher", IF(HR_Data[YearsAtCompany]&lt;=5,"Junior", IF(HR_Data[YearsAtCompany]&lt;=10, "Mid","Senior")))</f>
        <v>Mid</v>
      </c>
      <c r="AJ1037" s="2" t="str">
        <f>IF(HR_Data[MonthlyIncome]&lt;=300,"Low", IF(HR_Data[MonthlyIncome]&lt;=7000,"Medium", "High"))</f>
        <v>Medium</v>
      </c>
      <c r="AK1037" s="2" t="str">
        <f>VLOOKUP(HR_Data[JobRole], JobRole_Map[], 2, FALSE)</f>
        <v>Technical</v>
      </c>
    </row>
    <row r="1038" spans="1:37" x14ac:dyDescent="0.25">
      <c r="A1038" s="2">
        <v>43</v>
      </c>
      <c r="B1038" t="s">
        <v>41</v>
      </c>
      <c r="C1038" t="s">
        <v>61</v>
      </c>
      <c r="D1038" t="s">
        <v>34</v>
      </c>
      <c r="E1038">
        <v>10</v>
      </c>
      <c r="F1038" t="s">
        <v>58</v>
      </c>
      <c r="G1038">
        <v>2</v>
      </c>
      <c r="H1038">
        <v>2</v>
      </c>
      <c r="I1038" t="s">
        <v>36</v>
      </c>
      <c r="J1038">
        <v>3</v>
      </c>
      <c r="K1038" t="s">
        <v>55</v>
      </c>
      <c r="L1038">
        <v>5257</v>
      </c>
      <c r="M1038">
        <v>1</v>
      </c>
      <c r="N1038" t="s">
        <v>41</v>
      </c>
      <c r="O1038">
        <v>11</v>
      </c>
      <c r="P1038">
        <v>3</v>
      </c>
      <c r="Q1038">
        <v>1</v>
      </c>
      <c r="R1038">
        <v>9</v>
      </c>
      <c r="S1038">
        <v>3</v>
      </c>
      <c r="T1038">
        <v>9</v>
      </c>
      <c r="U1038">
        <v>0</v>
      </c>
      <c r="V1038">
        <v>0</v>
      </c>
      <c r="W1038" t="s">
        <v>38</v>
      </c>
      <c r="X1038" s="1" t="d">
        <v>2012-02-23</v>
      </c>
      <c r="Z1038" t="s">
        <v>59</v>
      </c>
      <c r="AA1038" t="s">
        <v>40</v>
      </c>
      <c r="AB1038">
        <v>3</v>
      </c>
      <c r="AC1038">
        <v>3</v>
      </c>
      <c r="AD1038" t="s">
        <v>41</v>
      </c>
      <c r="AE1038" t="s">
        <v>47</v>
      </c>
      <c r="AF1038" t="s">
        <v>57</v>
      </c>
      <c r="AG1038">
        <f>IF(HR_Data[[#This Row],[Attrition]]="Yes",1,0)</f>
        <v>0</v>
      </c>
      <c r="AH1038" t="str">
        <f>IF(HR_Data[Date_of_termination]="","Active","Left")</f>
        <v>Active</v>
      </c>
      <c r="AI1038" t="str">
        <f>IF(HR_Data[YearsAtCompany]&lt;=2,"Fresher", IF(HR_Data[YearsAtCompany]&lt;=5,"Junior", IF(HR_Data[YearsAtCompany]&lt;=10, "Mid","Senior")))</f>
        <v>Mid</v>
      </c>
      <c r="AJ1038" s="2" t="str">
        <f>IF(HR_Data[MonthlyIncome]&lt;=300,"Low", IF(HR_Data[MonthlyIncome]&lt;=7000,"Medium", "High"))</f>
        <v>Medium</v>
      </c>
      <c r="AK1038" s="2" t="str">
        <f>VLOOKUP(HR_Data[JobRole], JobRole_Map[], 2, FALSE)</f>
        <v>Technical</v>
      </c>
    </row>
    <row r="1039" spans="1:37" x14ac:dyDescent="0.25">
      <c r="A1039" s="2">
        <v>30</v>
      </c>
      <c r="B1039" t="s">
        <v>41</v>
      </c>
      <c r="C1039" t="s">
        <v>68</v>
      </c>
      <c r="D1039" t="s">
        <v>53</v>
      </c>
      <c r="E1039">
        <v>22</v>
      </c>
      <c r="F1039" t="s">
        <v>58</v>
      </c>
      <c r="G1039">
        <v>3</v>
      </c>
      <c r="H1039">
        <v>3</v>
      </c>
      <c r="I1039" t="s">
        <v>64</v>
      </c>
      <c r="J1039">
        <v>1</v>
      </c>
      <c r="K1039" t="s">
        <v>50</v>
      </c>
      <c r="L1039">
        <v>8412</v>
      </c>
      <c r="M1039">
        <v>0</v>
      </c>
      <c r="N1039" t="s">
        <v>41</v>
      </c>
      <c r="O1039">
        <v>11</v>
      </c>
      <c r="P1039">
        <v>3</v>
      </c>
      <c r="Q1039">
        <v>0</v>
      </c>
      <c r="R1039">
        <v>10</v>
      </c>
      <c r="S1039">
        <v>3</v>
      </c>
      <c r="T1039">
        <v>9</v>
      </c>
      <c r="U1039">
        <v>7</v>
      </c>
      <c r="V1039">
        <v>8</v>
      </c>
      <c r="W1039" t="s">
        <v>38</v>
      </c>
      <c r="X1039" s="1" t="d">
        <v>2012-04-13</v>
      </c>
      <c r="Z1039" t="s">
        <v>63</v>
      </c>
      <c r="AA1039" t="s">
        <v>46</v>
      </c>
      <c r="AB1039">
        <v>4</v>
      </c>
      <c r="AC1039">
        <v>2</v>
      </c>
      <c r="AD1039" t="s">
        <v>32</v>
      </c>
      <c r="AE1039" t="s">
        <v>47</v>
      </c>
      <c r="AF1039" t="s">
        <v>48</v>
      </c>
      <c r="AG1039">
        <f>IF(HR_Data[[#This Row],[Attrition]]="Yes",1,0)</f>
        <v>0</v>
      </c>
      <c r="AH1039" t="str">
        <f>IF(HR_Data[Date_of_termination]="","Active","Left")</f>
        <v>Active</v>
      </c>
      <c r="AI1039" t="str">
        <f>IF(HR_Data[YearsAtCompany]&lt;=2,"Fresher", IF(HR_Data[YearsAtCompany]&lt;=5,"Junior", IF(HR_Data[YearsAtCompany]&lt;=10, "Mid","Senior")))</f>
        <v>Mid</v>
      </c>
      <c r="AJ1039" s="2" t="str">
        <f>IF(HR_Data[MonthlyIncome]&lt;=300,"Low", IF(HR_Data[MonthlyIncome]&lt;=7000,"Medium", "High"))</f>
        <v>High</v>
      </c>
      <c r="AK1039" s="2" t="str">
        <f>VLOOKUP(HR_Data[JobRole], JobRole_Map[], 2, FALSE)</f>
        <v>Sales</v>
      </c>
    </row>
    <row r="1040" spans="1:37" x14ac:dyDescent="0.25">
      <c r="A1040" s="2">
        <v>48</v>
      </c>
      <c r="B1040" t="s">
        <v>41</v>
      </c>
      <c r="C1040" t="s">
        <v>33</v>
      </c>
      <c r="D1040" t="s">
        <v>53</v>
      </c>
      <c r="E1040">
        <v>2</v>
      </c>
      <c r="F1040" t="s">
        <v>58</v>
      </c>
      <c r="G1040">
        <v>3</v>
      </c>
      <c r="H1040">
        <v>2</v>
      </c>
      <c r="I1040" t="s">
        <v>64</v>
      </c>
      <c r="J1040">
        <v>4</v>
      </c>
      <c r="K1040" t="s">
        <v>50</v>
      </c>
      <c r="L1040">
        <v>4051</v>
      </c>
      <c r="M1040">
        <v>2</v>
      </c>
      <c r="N1040" t="s">
        <v>41</v>
      </c>
      <c r="O1040">
        <v>14</v>
      </c>
      <c r="P1040">
        <v>3</v>
      </c>
      <c r="Q1040">
        <v>1</v>
      </c>
      <c r="R1040">
        <v>14</v>
      </c>
      <c r="S1040">
        <v>2</v>
      </c>
      <c r="T1040">
        <v>9</v>
      </c>
      <c r="U1040">
        <v>6</v>
      </c>
      <c r="V1040">
        <v>7</v>
      </c>
      <c r="W1040" t="s">
        <v>56</v>
      </c>
      <c r="X1040" s="1" t="d">
        <v>2012-02-15</v>
      </c>
      <c r="Z1040" t="s">
        <v>45</v>
      </c>
      <c r="AA1040" t="s">
        <v>40</v>
      </c>
      <c r="AB1040">
        <v>2</v>
      </c>
      <c r="AC1040">
        <v>0</v>
      </c>
      <c r="AD1040" t="s">
        <v>32</v>
      </c>
      <c r="AE1040" t="s">
        <v>60</v>
      </c>
      <c r="AF1040" t="s">
        <v>48</v>
      </c>
      <c r="AG1040">
        <f>IF(HR_Data[[#This Row],[Attrition]]="Yes",1,0)</f>
        <v>0</v>
      </c>
      <c r="AH1040" t="str">
        <f>IF(HR_Data[Date_of_termination]="","Active","Left")</f>
        <v>Active</v>
      </c>
      <c r="AI1040" t="str">
        <f>IF(HR_Data[YearsAtCompany]&lt;=2,"Fresher", IF(HR_Data[YearsAtCompany]&lt;=5,"Junior", IF(HR_Data[YearsAtCompany]&lt;=10, "Mid","Senior")))</f>
        <v>Mid</v>
      </c>
      <c r="AJ1040" s="2" t="str">
        <f>IF(HR_Data[MonthlyIncome]&lt;=300,"Low", IF(HR_Data[MonthlyIncome]&lt;=7000,"Medium", "High"))</f>
        <v>Medium</v>
      </c>
      <c r="AK1040" s="2" t="str">
        <f>VLOOKUP(HR_Data[JobRole], JobRole_Map[], 2, FALSE)</f>
        <v>Sales</v>
      </c>
    </row>
    <row r="1041" spans="1:37" x14ac:dyDescent="0.25">
      <c r="A1041" s="2">
        <v>37</v>
      </c>
      <c r="B1041" t="s">
        <v>41</v>
      </c>
      <c r="C1041" t="s">
        <v>68</v>
      </c>
      <c r="D1041" t="s">
        <v>53</v>
      </c>
      <c r="E1041">
        <v>9</v>
      </c>
      <c r="F1041" t="s">
        <v>35</v>
      </c>
      <c r="G1041">
        <v>3</v>
      </c>
      <c r="H1041">
        <v>3</v>
      </c>
      <c r="I1041" t="s">
        <v>64</v>
      </c>
      <c r="J1041">
        <v>2</v>
      </c>
      <c r="K1041" t="s">
        <v>55</v>
      </c>
      <c r="L1041">
        <v>8834</v>
      </c>
      <c r="M1041">
        <v>1</v>
      </c>
      <c r="N1041" t="s">
        <v>41</v>
      </c>
      <c r="O1041">
        <v>13</v>
      </c>
      <c r="P1041">
        <v>3</v>
      </c>
      <c r="Q1041">
        <v>1</v>
      </c>
      <c r="R1041">
        <v>9</v>
      </c>
      <c r="S1041">
        <v>6</v>
      </c>
      <c r="T1041">
        <v>9</v>
      </c>
      <c r="U1041">
        <v>7</v>
      </c>
      <c r="V1041">
        <v>7</v>
      </c>
      <c r="W1041" t="s">
        <v>56</v>
      </c>
      <c r="X1041" s="1" t="d">
        <v>2012-01-15</v>
      </c>
      <c r="Z1041" t="s">
        <v>39</v>
      </c>
      <c r="AA1041" t="s">
        <v>46</v>
      </c>
      <c r="AB1041">
        <v>3</v>
      </c>
      <c r="AC1041">
        <v>2</v>
      </c>
      <c r="AD1041" t="s">
        <v>41</v>
      </c>
      <c r="AE1041" t="s">
        <v>42</v>
      </c>
      <c r="AF1041" t="s">
        <v>57</v>
      </c>
      <c r="AG1041">
        <f>IF(HR_Data[[#This Row],[Attrition]]="Yes",1,0)</f>
        <v>0</v>
      </c>
      <c r="AH1041" t="str">
        <f>IF(HR_Data[Date_of_termination]="","Active","Left")</f>
        <v>Active</v>
      </c>
      <c r="AI1041" t="str">
        <f>IF(HR_Data[YearsAtCompany]&lt;=2,"Fresher", IF(HR_Data[YearsAtCompany]&lt;=5,"Junior", IF(HR_Data[YearsAtCompany]&lt;=10, "Mid","Senior")))</f>
        <v>Mid</v>
      </c>
      <c r="AJ1041" s="2" t="str">
        <f>IF(HR_Data[MonthlyIncome]&lt;=300,"Low", IF(HR_Data[MonthlyIncome]&lt;=7000,"Medium", "High"))</f>
        <v>High</v>
      </c>
      <c r="AK1041" s="2" t="str">
        <f>VLOOKUP(HR_Data[JobRole], JobRole_Map[], 2, FALSE)</f>
        <v>Sales</v>
      </c>
    </row>
    <row r="1042" spans="1:37" x14ac:dyDescent="0.25">
      <c r="A1042" s="2">
        <v>54</v>
      </c>
      <c r="B1042" t="s">
        <v>41</v>
      </c>
      <c r="C1042" t="s">
        <v>33</v>
      </c>
      <c r="D1042" t="s">
        <v>70</v>
      </c>
      <c r="E1042">
        <v>19</v>
      </c>
      <c r="F1042" t="s">
        <v>35</v>
      </c>
      <c r="G1042">
        <v>3</v>
      </c>
      <c r="H1042">
        <v>3</v>
      </c>
      <c r="I1042" t="s">
        <v>70</v>
      </c>
      <c r="J1042">
        <v>2</v>
      </c>
      <c r="K1042" t="s">
        <v>50</v>
      </c>
      <c r="L1042">
        <v>10725</v>
      </c>
      <c r="M1042">
        <v>2</v>
      </c>
      <c r="N1042" t="s">
        <v>41</v>
      </c>
      <c r="O1042">
        <v>15</v>
      </c>
      <c r="P1042">
        <v>3</v>
      </c>
      <c r="Q1042">
        <v>1</v>
      </c>
      <c r="R1042">
        <v>16</v>
      </c>
      <c r="S1042">
        <v>1</v>
      </c>
      <c r="T1042">
        <v>9</v>
      </c>
      <c r="U1042">
        <v>7</v>
      </c>
      <c r="V1042">
        <v>1</v>
      </c>
      <c r="W1042" t="s">
        <v>38</v>
      </c>
      <c r="X1042" s="1" t="d">
        <v>2012-01-07</v>
      </c>
      <c r="Z1042" t="s">
        <v>52</v>
      </c>
      <c r="AA1042" t="s">
        <v>40</v>
      </c>
      <c r="AB1042">
        <v>4</v>
      </c>
      <c r="AC1042">
        <v>0</v>
      </c>
      <c r="AD1042" t="s">
        <v>41</v>
      </c>
      <c r="AE1042" t="s">
        <v>60</v>
      </c>
      <c r="AF1042" t="s">
        <v>48</v>
      </c>
      <c r="AG1042">
        <f>IF(HR_Data[[#This Row],[Attrition]]="Yes",1,0)</f>
        <v>0</v>
      </c>
      <c r="AH1042" t="str">
        <f>IF(HR_Data[Date_of_termination]="","Active","Left")</f>
        <v>Active</v>
      </c>
      <c r="AI1042" t="str">
        <f>IF(HR_Data[YearsAtCompany]&lt;=2,"Fresher", IF(HR_Data[YearsAtCompany]&lt;=5,"Junior", IF(HR_Data[YearsAtCompany]&lt;=10, "Mid","Senior")))</f>
        <v>Mid</v>
      </c>
      <c r="AJ1042" s="2" t="str">
        <f>IF(HR_Data[MonthlyIncome]&lt;=300,"Low", IF(HR_Data[MonthlyIncome]&lt;=7000,"Medium", "High"))</f>
        <v>High</v>
      </c>
      <c r="AK1042" s="2" t="str">
        <f>VLOOKUP(HR_Data[JobRole], JobRole_Map[], 2, FALSE)</f>
        <v>HR</v>
      </c>
    </row>
    <row r="1043" spans="1:37" x14ac:dyDescent="0.25">
      <c r="A1043" s="2">
        <v>38</v>
      </c>
      <c r="B1043" t="s">
        <v>41</v>
      </c>
      <c r="C1043" t="s">
        <v>33</v>
      </c>
      <c r="D1043" t="s">
        <v>34</v>
      </c>
      <c r="E1043">
        <v>1</v>
      </c>
      <c r="F1043" t="s">
        <v>58</v>
      </c>
      <c r="G1043">
        <v>4</v>
      </c>
      <c r="H1043">
        <v>2</v>
      </c>
      <c r="I1043" t="s">
        <v>69</v>
      </c>
      <c r="J1043">
        <v>4</v>
      </c>
      <c r="K1043" t="s">
        <v>37</v>
      </c>
      <c r="L1043">
        <v>7625</v>
      </c>
      <c r="M1043">
        <v>0</v>
      </c>
      <c r="N1043" t="s">
        <v>41</v>
      </c>
      <c r="O1043">
        <v>13</v>
      </c>
      <c r="P1043">
        <v>3</v>
      </c>
      <c r="Q1043">
        <v>0</v>
      </c>
      <c r="R1043">
        <v>10</v>
      </c>
      <c r="S1043">
        <v>4</v>
      </c>
      <c r="T1043">
        <v>9</v>
      </c>
      <c r="U1043">
        <v>1</v>
      </c>
      <c r="V1043">
        <v>8</v>
      </c>
      <c r="W1043" t="s">
        <v>65</v>
      </c>
      <c r="X1043" s="1" t="d">
        <v>2012-04-02</v>
      </c>
      <c r="Z1043" t="s">
        <v>59</v>
      </c>
      <c r="AA1043" t="s">
        <v>40</v>
      </c>
      <c r="AB1043">
        <v>3</v>
      </c>
      <c r="AC1043">
        <v>3</v>
      </c>
      <c r="AD1043" t="s">
        <v>41</v>
      </c>
      <c r="AE1043" t="s">
        <v>62</v>
      </c>
      <c r="AF1043" t="s">
        <v>43</v>
      </c>
      <c r="AG1043">
        <f>IF(HR_Data[[#This Row],[Attrition]]="Yes",1,0)</f>
        <v>0</v>
      </c>
      <c r="AH1043" t="str">
        <f>IF(HR_Data[Date_of_termination]="","Active","Left")</f>
        <v>Active</v>
      </c>
      <c r="AI1043" t="str">
        <f>IF(HR_Data[YearsAtCompany]&lt;=2,"Fresher", IF(HR_Data[YearsAtCompany]&lt;=5,"Junior", IF(HR_Data[YearsAtCompany]&lt;=10, "Mid","Senior")))</f>
        <v>Mid</v>
      </c>
      <c r="AJ1043" s="2" t="str">
        <f>IF(HR_Data[MonthlyIncome]&lt;=300,"Low", IF(HR_Data[MonthlyIncome]&lt;=7000,"Medium", "High"))</f>
        <v>High</v>
      </c>
      <c r="AK1043" s="2" t="str">
        <f>VLOOKUP(HR_Data[JobRole], JobRole_Map[], 2, FALSE)</f>
        <v>Operations</v>
      </c>
    </row>
    <row r="1044" spans="1:37" x14ac:dyDescent="0.25">
      <c r="A1044" s="2">
        <v>27</v>
      </c>
      <c r="B1044" t="s">
        <v>41</v>
      </c>
      <c r="C1044" t="s">
        <v>33</v>
      </c>
      <c r="D1044" t="s">
        <v>34</v>
      </c>
      <c r="E1044">
        <v>1</v>
      </c>
      <c r="F1044" t="s">
        <v>58</v>
      </c>
      <c r="G1044">
        <v>3</v>
      </c>
      <c r="H1044">
        <v>3</v>
      </c>
      <c r="I1044" t="s">
        <v>67</v>
      </c>
      <c r="J1044">
        <v>1</v>
      </c>
      <c r="K1044" t="s">
        <v>50</v>
      </c>
      <c r="L1044">
        <v>7412</v>
      </c>
      <c r="M1044">
        <v>1</v>
      </c>
      <c r="N1044" t="s">
        <v>41</v>
      </c>
      <c r="O1044">
        <v>11</v>
      </c>
      <c r="P1044">
        <v>3</v>
      </c>
      <c r="Q1044">
        <v>0</v>
      </c>
      <c r="R1044">
        <v>9</v>
      </c>
      <c r="S1044">
        <v>3</v>
      </c>
      <c r="T1044">
        <v>9</v>
      </c>
      <c r="U1044">
        <v>0</v>
      </c>
      <c r="V1044">
        <v>7</v>
      </c>
      <c r="W1044" t="s">
        <v>51</v>
      </c>
      <c r="X1044" s="1" t="d">
        <v>2012-03-28</v>
      </c>
      <c r="Z1044" t="s">
        <v>59</v>
      </c>
      <c r="AA1044" t="s">
        <v>40</v>
      </c>
      <c r="AB1044">
        <v>2</v>
      </c>
      <c r="AC1044">
        <v>2</v>
      </c>
      <c r="AD1044" t="s">
        <v>32</v>
      </c>
      <c r="AE1044" t="s">
        <v>47</v>
      </c>
      <c r="AF1044" t="s">
        <v>43</v>
      </c>
      <c r="AG1044">
        <f>IF(HR_Data[[#This Row],[Attrition]]="Yes",1,0)</f>
        <v>0</v>
      </c>
      <c r="AH1044" t="str">
        <f>IF(HR_Data[Date_of_termination]="","Active","Left")</f>
        <v>Active</v>
      </c>
      <c r="AI1044" t="str">
        <f>IF(HR_Data[YearsAtCompany]&lt;=2,"Fresher", IF(HR_Data[YearsAtCompany]&lt;=5,"Junior", IF(HR_Data[YearsAtCompany]&lt;=10, "Mid","Senior")))</f>
        <v>Mid</v>
      </c>
      <c r="AJ1044" s="2" t="str">
        <f>IF(HR_Data[MonthlyIncome]&lt;=300,"Low", IF(HR_Data[MonthlyIncome]&lt;=7000,"Medium", "High"))</f>
        <v>High</v>
      </c>
      <c r="AK1044" s="2" t="str">
        <f>VLOOKUP(HR_Data[JobRole], JobRole_Map[], 2, FALSE)</f>
        <v>Operations</v>
      </c>
    </row>
    <row r="1045" spans="1:37" x14ac:dyDescent="0.25">
      <c r="A1045" s="2">
        <v>27</v>
      </c>
      <c r="B1045" t="s">
        <v>41</v>
      </c>
      <c r="C1045" t="s">
        <v>61</v>
      </c>
      <c r="D1045" t="s">
        <v>34</v>
      </c>
      <c r="E1045">
        <v>10</v>
      </c>
      <c r="F1045" t="s">
        <v>35</v>
      </c>
      <c r="G1045">
        <v>3</v>
      </c>
      <c r="H1045">
        <v>3</v>
      </c>
      <c r="I1045" t="s">
        <v>67</v>
      </c>
      <c r="J1045">
        <v>1</v>
      </c>
      <c r="K1045" t="s">
        <v>55</v>
      </c>
      <c r="L1045">
        <v>8793</v>
      </c>
      <c r="M1045">
        <v>1</v>
      </c>
      <c r="N1045" t="s">
        <v>41</v>
      </c>
      <c r="O1045">
        <v>21</v>
      </c>
      <c r="P1045">
        <v>4</v>
      </c>
      <c r="Q1045">
        <v>2</v>
      </c>
      <c r="R1045">
        <v>9</v>
      </c>
      <c r="S1045">
        <v>4</v>
      </c>
      <c r="T1045">
        <v>9</v>
      </c>
      <c r="U1045">
        <v>1</v>
      </c>
      <c r="V1045">
        <v>7</v>
      </c>
      <c r="W1045" t="s">
        <v>56</v>
      </c>
      <c r="X1045" s="1" t="d">
        <v>2012-01-11</v>
      </c>
      <c r="Z1045" t="s">
        <v>52</v>
      </c>
      <c r="AA1045" t="s">
        <v>40</v>
      </c>
      <c r="AB1045">
        <v>1</v>
      </c>
      <c r="AC1045">
        <v>3</v>
      </c>
      <c r="AD1045" t="s">
        <v>41</v>
      </c>
      <c r="AE1045" t="s">
        <v>47</v>
      </c>
      <c r="AF1045" t="s">
        <v>43</v>
      </c>
      <c r="AG1045">
        <f>IF(HR_Data[[#This Row],[Attrition]]="Yes",1,0)</f>
        <v>0</v>
      </c>
      <c r="AH1045" t="str">
        <f>IF(HR_Data[Date_of_termination]="","Active","Left")</f>
        <v>Active</v>
      </c>
      <c r="AI1045" t="str">
        <f>IF(HR_Data[YearsAtCompany]&lt;=2,"Fresher", IF(HR_Data[YearsAtCompany]&lt;=5,"Junior", IF(HR_Data[YearsAtCompany]&lt;=10, "Mid","Senior")))</f>
        <v>Mid</v>
      </c>
      <c r="AJ1045" s="2" t="str">
        <f>IF(HR_Data[MonthlyIncome]&lt;=300,"Low", IF(HR_Data[MonthlyIncome]&lt;=7000,"Medium", "High"))</f>
        <v>High</v>
      </c>
      <c r="AK1045" s="2" t="str">
        <f>VLOOKUP(HR_Data[JobRole], JobRole_Map[], 2, FALSE)</f>
        <v>Operations</v>
      </c>
    </row>
    <row r="1046" spans="1:37" x14ac:dyDescent="0.25">
      <c r="A1046" s="2">
        <v>36</v>
      </c>
      <c r="B1046" t="s">
        <v>41</v>
      </c>
      <c r="C1046" t="s">
        <v>33</v>
      </c>
      <c r="D1046" t="s">
        <v>34</v>
      </c>
      <c r="E1046">
        <v>1</v>
      </c>
      <c r="F1046" t="s">
        <v>58</v>
      </c>
      <c r="G1046">
        <v>3</v>
      </c>
      <c r="H1046">
        <v>2</v>
      </c>
      <c r="I1046" t="s">
        <v>67</v>
      </c>
      <c r="J1046">
        <v>2</v>
      </c>
      <c r="K1046" t="s">
        <v>50</v>
      </c>
      <c r="L1046">
        <v>5228</v>
      </c>
      <c r="M1046">
        <v>0</v>
      </c>
      <c r="N1046" t="s">
        <v>41</v>
      </c>
      <c r="O1046">
        <v>15</v>
      </c>
      <c r="P1046">
        <v>3</v>
      </c>
      <c r="Q1046">
        <v>1</v>
      </c>
      <c r="R1046">
        <v>10</v>
      </c>
      <c r="S1046">
        <v>2</v>
      </c>
      <c r="T1046">
        <v>9</v>
      </c>
      <c r="U1046">
        <v>0</v>
      </c>
      <c r="V1046">
        <v>5</v>
      </c>
      <c r="W1046" t="s">
        <v>51</v>
      </c>
      <c r="X1046" s="1" t="d">
        <v>2012-05-15</v>
      </c>
      <c r="Z1046" t="s">
        <v>52</v>
      </c>
      <c r="AA1046" t="s">
        <v>46</v>
      </c>
      <c r="AB1046">
        <v>0</v>
      </c>
      <c r="AC1046">
        <v>0</v>
      </c>
      <c r="AD1046" t="s">
        <v>32</v>
      </c>
      <c r="AE1046" t="s">
        <v>60</v>
      </c>
      <c r="AF1046" t="s">
        <v>43</v>
      </c>
      <c r="AG1046">
        <f>IF(HR_Data[[#This Row],[Attrition]]="Yes",1,0)</f>
        <v>0</v>
      </c>
      <c r="AH1046" t="str">
        <f>IF(HR_Data[Date_of_termination]="","Active","Left")</f>
        <v>Active</v>
      </c>
      <c r="AI1046" t="str">
        <f>IF(HR_Data[YearsAtCompany]&lt;=2,"Fresher", IF(HR_Data[YearsAtCompany]&lt;=5,"Junior", IF(HR_Data[YearsAtCompany]&lt;=10, "Mid","Senior")))</f>
        <v>Mid</v>
      </c>
      <c r="AJ1046" s="2" t="str">
        <f>IF(HR_Data[MonthlyIncome]&lt;=300,"Low", IF(HR_Data[MonthlyIncome]&lt;=7000,"Medium", "High"))</f>
        <v>Medium</v>
      </c>
      <c r="AK1046" s="2" t="str">
        <f>VLOOKUP(HR_Data[JobRole], JobRole_Map[], 2, FALSE)</f>
        <v>Operations</v>
      </c>
    </row>
    <row r="1047" spans="1:37" x14ac:dyDescent="0.25">
      <c r="A1047" s="2">
        <v>42</v>
      </c>
      <c r="B1047" t="s">
        <v>41</v>
      </c>
      <c r="C1047" t="s">
        <v>33</v>
      </c>
      <c r="D1047" t="s">
        <v>34</v>
      </c>
      <c r="E1047">
        <v>29</v>
      </c>
      <c r="F1047" t="s">
        <v>35</v>
      </c>
      <c r="G1047">
        <v>3</v>
      </c>
      <c r="H1047">
        <v>2</v>
      </c>
      <c r="I1047" t="s">
        <v>67</v>
      </c>
      <c r="J1047">
        <v>2</v>
      </c>
      <c r="K1047" t="s">
        <v>50</v>
      </c>
      <c r="L1047">
        <v>4434</v>
      </c>
      <c r="M1047">
        <v>1</v>
      </c>
      <c r="N1047" t="s">
        <v>41</v>
      </c>
      <c r="O1047">
        <v>13</v>
      </c>
      <c r="P1047">
        <v>3</v>
      </c>
      <c r="Q1047">
        <v>1</v>
      </c>
      <c r="R1047">
        <v>10</v>
      </c>
      <c r="S1047">
        <v>3</v>
      </c>
      <c r="T1047">
        <v>9</v>
      </c>
      <c r="U1047">
        <v>7</v>
      </c>
      <c r="V1047">
        <v>8</v>
      </c>
      <c r="W1047" t="s">
        <v>38</v>
      </c>
      <c r="X1047" s="1" t="d">
        <v>2012-06-13</v>
      </c>
      <c r="Z1047" t="s">
        <v>63</v>
      </c>
      <c r="AA1047" t="s">
        <v>46</v>
      </c>
      <c r="AB1047">
        <v>4</v>
      </c>
      <c r="AC1047">
        <v>3</v>
      </c>
      <c r="AD1047" t="s">
        <v>32</v>
      </c>
      <c r="AE1047" t="s">
        <v>47</v>
      </c>
      <c r="AF1047" t="s">
        <v>57</v>
      </c>
      <c r="AG1047">
        <f>IF(HR_Data[[#This Row],[Attrition]]="Yes",1,0)</f>
        <v>0</v>
      </c>
      <c r="AH1047" t="str">
        <f>IF(HR_Data[Date_of_termination]="","Active","Left")</f>
        <v>Active</v>
      </c>
      <c r="AI1047" t="str">
        <f>IF(HR_Data[YearsAtCompany]&lt;=2,"Fresher", IF(HR_Data[YearsAtCompany]&lt;=5,"Junior", IF(HR_Data[YearsAtCompany]&lt;=10, "Mid","Senior")))</f>
        <v>Mid</v>
      </c>
      <c r="AJ1047" s="2" t="str">
        <f>IF(HR_Data[MonthlyIncome]&lt;=300,"Low", IF(HR_Data[MonthlyIncome]&lt;=7000,"Medium", "High"))</f>
        <v>Medium</v>
      </c>
      <c r="AK1047" s="2" t="str">
        <f>VLOOKUP(HR_Data[JobRole], JobRole_Map[], 2, FALSE)</f>
        <v>Operations</v>
      </c>
    </row>
    <row r="1048" spans="1:37" x14ac:dyDescent="0.25">
      <c r="A1048" s="2">
        <v>49</v>
      </c>
      <c r="B1048" t="s">
        <v>32</v>
      </c>
      <c r="C1048" t="s">
        <v>33</v>
      </c>
      <c r="D1048" t="s">
        <v>53</v>
      </c>
      <c r="E1048">
        <v>11</v>
      </c>
      <c r="F1048" t="s">
        <v>58</v>
      </c>
      <c r="G1048">
        <v>3</v>
      </c>
      <c r="H1048">
        <v>3</v>
      </c>
      <c r="I1048" t="s">
        <v>64</v>
      </c>
      <c r="J1048">
        <v>4</v>
      </c>
      <c r="K1048" t="s">
        <v>50</v>
      </c>
      <c r="L1048">
        <v>7654</v>
      </c>
      <c r="M1048">
        <v>1</v>
      </c>
      <c r="N1048" t="s">
        <v>41</v>
      </c>
      <c r="O1048">
        <v>18</v>
      </c>
      <c r="P1048">
        <v>3</v>
      </c>
      <c r="Q1048">
        <v>2</v>
      </c>
      <c r="R1048">
        <v>9</v>
      </c>
      <c r="S1048">
        <v>3</v>
      </c>
      <c r="T1048">
        <v>9</v>
      </c>
      <c r="U1048">
        <v>7</v>
      </c>
      <c r="V1048">
        <v>7</v>
      </c>
      <c r="W1048" t="s">
        <v>65</v>
      </c>
      <c r="X1048" s="1" t="d">
        <v>2012-01-15</v>
      </c>
      <c r="Z1048" t="s">
        <v>45</v>
      </c>
      <c r="AA1048" t="s">
        <v>40</v>
      </c>
      <c r="AB1048">
        <v>4</v>
      </c>
      <c r="AC1048">
        <v>0</v>
      </c>
      <c r="AD1048" t="s">
        <v>32</v>
      </c>
      <c r="AE1048" t="s">
        <v>42</v>
      </c>
      <c r="AF1048" t="s">
        <v>43</v>
      </c>
      <c r="AG1048">
        <f>IF(HR_Data[[#This Row],[Attrition]]="Yes",1,0)</f>
        <v>1</v>
      </c>
      <c r="AH1048" t="str">
        <f>IF(HR_Data[Date_of_termination]="","Active","Left")</f>
        <v>Active</v>
      </c>
      <c r="AI1048" t="str">
        <f>IF(HR_Data[YearsAtCompany]&lt;=2,"Fresher", IF(HR_Data[YearsAtCompany]&lt;=5,"Junior", IF(HR_Data[YearsAtCompany]&lt;=10, "Mid","Senior")))</f>
        <v>Mid</v>
      </c>
      <c r="AJ1048" s="2" t="str">
        <f>IF(HR_Data[MonthlyIncome]&lt;=300,"Low", IF(HR_Data[MonthlyIncome]&lt;=7000,"Medium", "High"))</f>
        <v>High</v>
      </c>
      <c r="AK1048" s="2" t="str">
        <f>VLOOKUP(HR_Data[JobRole], JobRole_Map[], 2, FALSE)</f>
        <v>Sales</v>
      </c>
    </row>
    <row r="1049" spans="1:37" x14ac:dyDescent="0.25">
      <c r="A1049" s="2">
        <v>55</v>
      </c>
      <c r="B1049" t="s">
        <v>32</v>
      </c>
      <c r="C1049" t="s">
        <v>33</v>
      </c>
      <c r="D1049" t="s">
        <v>53</v>
      </c>
      <c r="E1049">
        <v>2</v>
      </c>
      <c r="F1049" t="s">
        <v>35</v>
      </c>
      <c r="G1049">
        <v>3</v>
      </c>
      <c r="H1049">
        <v>2</v>
      </c>
      <c r="I1049" t="s">
        <v>64</v>
      </c>
      <c r="J1049">
        <v>4</v>
      </c>
      <c r="K1049" t="s">
        <v>37</v>
      </c>
      <c r="L1049">
        <v>5160</v>
      </c>
      <c r="M1049">
        <v>4</v>
      </c>
      <c r="N1049" t="s">
        <v>41</v>
      </c>
      <c r="O1049">
        <v>16</v>
      </c>
      <c r="P1049">
        <v>3</v>
      </c>
      <c r="Q1049">
        <v>0</v>
      </c>
      <c r="R1049">
        <v>12</v>
      </c>
      <c r="S1049">
        <v>3</v>
      </c>
      <c r="T1049">
        <v>9</v>
      </c>
      <c r="U1049">
        <v>7</v>
      </c>
      <c r="V1049">
        <v>3</v>
      </c>
      <c r="W1049" t="s">
        <v>51</v>
      </c>
      <c r="X1049" s="1" t="d">
        <v>2012-02-18</v>
      </c>
      <c r="Z1049" t="s">
        <v>45</v>
      </c>
      <c r="AA1049" t="s">
        <v>46</v>
      </c>
      <c r="AB1049">
        <v>0</v>
      </c>
      <c r="AC1049">
        <v>2</v>
      </c>
      <c r="AD1049" t="s">
        <v>41</v>
      </c>
      <c r="AE1049" t="s">
        <v>42</v>
      </c>
      <c r="AF1049" t="s">
        <v>48</v>
      </c>
      <c r="AG1049">
        <f>IF(HR_Data[[#This Row],[Attrition]]="Yes",1,0)</f>
        <v>1</v>
      </c>
      <c r="AH1049" t="str">
        <f>IF(HR_Data[Date_of_termination]="","Active","Left")</f>
        <v>Active</v>
      </c>
      <c r="AI1049" t="str">
        <f>IF(HR_Data[YearsAtCompany]&lt;=2,"Fresher", IF(HR_Data[YearsAtCompany]&lt;=5,"Junior", IF(HR_Data[YearsAtCompany]&lt;=10, "Mid","Senior")))</f>
        <v>Mid</v>
      </c>
      <c r="AJ1049" s="2" t="str">
        <f>IF(HR_Data[MonthlyIncome]&lt;=300,"Low", IF(HR_Data[MonthlyIncome]&lt;=7000,"Medium", "High"))</f>
        <v>Medium</v>
      </c>
      <c r="AK1049" s="2" t="str">
        <f>VLOOKUP(HR_Data[JobRole], JobRole_Map[], 2, FALSE)</f>
        <v>Sales</v>
      </c>
    </row>
    <row r="1050" spans="1:37" x14ac:dyDescent="0.25">
      <c r="A1050" s="2">
        <v>27</v>
      </c>
      <c r="B1050" t="s">
        <v>41</v>
      </c>
      <c r="C1050" t="s">
        <v>33</v>
      </c>
      <c r="D1050" t="s">
        <v>34</v>
      </c>
      <c r="E1050">
        <v>5</v>
      </c>
      <c r="F1050" t="s">
        <v>35</v>
      </c>
      <c r="G1050">
        <v>2</v>
      </c>
      <c r="H1050">
        <v>3</v>
      </c>
      <c r="I1050" t="s">
        <v>49</v>
      </c>
      <c r="J1050">
        <v>4</v>
      </c>
      <c r="K1050" t="s">
        <v>55</v>
      </c>
      <c r="L1050">
        <v>12808</v>
      </c>
      <c r="M1050">
        <v>1</v>
      </c>
      <c r="N1050" t="s">
        <v>32</v>
      </c>
      <c r="O1050">
        <v>16</v>
      </c>
      <c r="P1050">
        <v>3</v>
      </c>
      <c r="Q1050">
        <v>1</v>
      </c>
      <c r="R1050">
        <v>9</v>
      </c>
      <c r="S1050">
        <v>3</v>
      </c>
      <c r="T1050">
        <v>9</v>
      </c>
      <c r="U1050">
        <v>0</v>
      </c>
      <c r="V1050">
        <v>8</v>
      </c>
      <c r="W1050" t="s">
        <v>65</v>
      </c>
      <c r="X1050" s="1" t="d">
        <v>2012-06-19</v>
      </c>
      <c r="Z1050" t="s">
        <v>45</v>
      </c>
      <c r="AA1050" t="s">
        <v>46</v>
      </c>
      <c r="AB1050">
        <v>4</v>
      </c>
      <c r="AC1050">
        <v>0</v>
      </c>
      <c r="AD1050" t="s">
        <v>32</v>
      </c>
      <c r="AE1050" t="s">
        <v>62</v>
      </c>
      <c r="AF1050" t="s">
        <v>57</v>
      </c>
      <c r="AG1050">
        <f>IF(HR_Data[[#This Row],[Attrition]]="Yes",1,0)</f>
        <v>0</v>
      </c>
      <c r="AH1050" t="str">
        <f>IF(HR_Data[Date_of_termination]="","Active","Left")</f>
        <v>Active</v>
      </c>
      <c r="AI1050" t="str">
        <f>IF(HR_Data[YearsAtCompany]&lt;=2,"Fresher", IF(HR_Data[YearsAtCompany]&lt;=5,"Junior", IF(HR_Data[YearsAtCompany]&lt;=10, "Mid","Senior")))</f>
        <v>Mid</v>
      </c>
      <c r="AJ1050" s="2" t="str">
        <f>IF(HR_Data[MonthlyIncome]&lt;=300,"Low", IF(HR_Data[MonthlyIncome]&lt;=7000,"Medium", "High"))</f>
        <v>High</v>
      </c>
      <c r="AK1050" s="2" t="str">
        <f>VLOOKUP(HR_Data[JobRole], JobRole_Map[], 2, FALSE)</f>
        <v>Management</v>
      </c>
    </row>
    <row r="1051" spans="1:37" x14ac:dyDescent="0.25">
      <c r="A1051" s="2">
        <v>33</v>
      </c>
      <c r="B1051" t="s">
        <v>41</v>
      </c>
      <c r="C1051" t="s">
        <v>33</v>
      </c>
      <c r="D1051" t="s">
        <v>53</v>
      </c>
      <c r="E1051">
        <v>1</v>
      </c>
      <c r="F1051" t="s">
        <v>35</v>
      </c>
      <c r="G1051">
        <v>4</v>
      </c>
      <c r="H1051">
        <v>2</v>
      </c>
      <c r="I1051" t="s">
        <v>64</v>
      </c>
      <c r="J1051">
        <v>1</v>
      </c>
      <c r="K1051" t="s">
        <v>55</v>
      </c>
      <c r="L1051">
        <v>4037</v>
      </c>
      <c r="M1051">
        <v>1</v>
      </c>
      <c r="N1051" t="s">
        <v>41</v>
      </c>
      <c r="O1051">
        <v>22</v>
      </c>
      <c r="P1051">
        <v>4</v>
      </c>
      <c r="Q1051">
        <v>1</v>
      </c>
      <c r="R1051">
        <v>9</v>
      </c>
      <c r="S1051">
        <v>5</v>
      </c>
      <c r="T1051">
        <v>9</v>
      </c>
      <c r="U1051">
        <v>0</v>
      </c>
      <c r="V1051">
        <v>8</v>
      </c>
      <c r="W1051" t="s">
        <v>56</v>
      </c>
      <c r="X1051" s="1" t="d">
        <v>2012-01-03</v>
      </c>
      <c r="Z1051" t="s">
        <v>59</v>
      </c>
      <c r="AA1051" t="s">
        <v>40</v>
      </c>
      <c r="AB1051">
        <v>2</v>
      </c>
      <c r="AC1051">
        <v>3</v>
      </c>
      <c r="AD1051" t="s">
        <v>32</v>
      </c>
      <c r="AE1051" t="s">
        <v>62</v>
      </c>
      <c r="AF1051" t="s">
        <v>57</v>
      </c>
      <c r="AG1051">
        <f>IF(HR_Data[[#This Row],[Attrition]]="Yes",1,0)</f>
        <v>0</v>
      </c>
      <c r="AH1051" t="str">
        <f>IF(HR_Data[Date_of_termination]="","Active","Left")</f>
        <v>Active</v>
      </c>
      <c r="AI1051" t="str">
        <f>IF(HR_Data[YearsAtCompany]&lt;=2,"Fresher", IF(HR_Data[YearsAtCompany]&lt;=5,"Junior", IF(HR_Data[YearsAtCompany]&lt;=10, "Mid","Senior")))</f>
        <v>Mid</v>
      </c>
      <c r="AJ1051" s="2" t="str">
        <f>IF(HR_Data[MonthlyIncome]&lt;=300,"Low", IF(HR_Data[MonthlyIncome]&lt;=7000,"Medium", "High"))</f>
        <v>Medium</v>
      </c>
      <c r="AK1051" s="2" t="str">
        <f>VLOOKUP(HR_Data[JobRole], JobRole_Map[], 2, FALSE)</f>
        <v>Sales</v>
      </c>
    </row>
    <row r="1052" spans="1:37" x14ac:dyDescent="0.25">
      <c r="A1052" s="2">
        <v>52</v>
      </c>
      <c r="B1052" t="s">
        <v>41</v>
      </c>
      <c r="C1052" t="s">
        <v>61</v>
      </c>
      <c r="D1052" t="s">
        <v>34</v>
      </c>
      <c r="E1052">
        <v>25</v>
      </c>
      <c r="F1052" t="s">
        <v>58</v>
      </c>
      <c r="G1052">
        <v>2</v>
      </c>
      <c r="H1052">
        <v>4</v>
      </c>
      <c r="I1052" t="s">
        <v>67</v>
      </c>
      <c r="J1052">
        <v>4</v>
      </c>
      <c r="K1052" t="s">
        <v>50</v>
      </c>
      <c r="L1052">
        <v>13826</v>
      </c>
      <c r="M1052">
        <v>3</v>
      </c>
      <c r="N1052" t="s">
        <v>41</v>
      </c>
      <c r="O1052">
        <v>22</v>
      </c>
      <c r="P1052">
        <v>4</v>
      </c>
      <c r="Q1052">
        <v>0</v>
      </c>
      <c r="R1052">
        <v>31</v>
      </c>
      <c r="S1052">
        <v>3</v>
      </c>
      <c r="T1052">
        <v>9</v>
      </c>
      <c r="U1052">
        <v>0</v>
      </c>
      <c r="V1052">
        <v>0</v>
      </c>
      <c r="W1052" t="s">
        <v>56</v>
      </c>
      <c r="X1052" s="1" t="d">
        <v>2012-04-30</v>
      </c>
      <c r="Z1052" t="s">
        <v>59</v>
      </c>
      <c r="AA1052" t="s">
        <v>40</v>
      </c>
      <c r="AB1052">
        <v>2</v>
      </c>
      <c r="AC1052">
        <v>3</v>
      </c>
      <c r="AD1052" t="s">
        <v>41</v>
      </c>
      <c r="AE1052" t="s">
        <v>42</v>
      </c>
      <c r="AF1052" t="s">
        <v>57</v>
      </c>
      <c r="AG1052">
        <f>IF(HR_Data[[#This Row],[Attrition]]="Yes",1,0)</f>
        <v>0</v>
      </c>
      <c r="AH1052" t="str">
        <f>IF(HR_Data[Date_of_termination]="","Active","Left")</f>
        <v>Active</v>
      </c>
      <c r="AI1052" t="str">
        <f>IF(HR_Data[YearsAtCompany]&lt;=2,"Fresher", IF(HR_Data[YearsAtCompany]&lt;=5,"Junior", IF(HR_Data[YearsAtCompany]&lt;=10, "Mid","Senior")))</f>
        <v>Mid</v>
      </c>
      <c r="AJ1052" s="2" t="str">
        <f>IF(HR_Data[MonthlyIncome]&lt;=300,"Low", IF(HR_Data[MonthlyIncome]&lt;=7000,"Medium", "High"))</f>
        <v>High</v>
      </c>
      <c r="AK1052" s="2" t="str">
        <f>VLOOKUP(HR_Data[JobRole], JobRole_Map[], 2, FALSE)</f>
        <v>Operations</v>
      </c>
    </row>
    <row r="1053" spans="1:37" x14ac:dyDescent="0.25">
      <c r="A1053" s="2">
        <v>31</v>
      </c>
      <c r="B1053" t="s">
        <v>41</v>
      </c>
      <c r="C1053" t="s">
        <v>68</v>
      </c>
      <c r="D1053" t="s">
        <v>53</v>
      </c>
      <c r="E1053">
        <v>20</v>
      </c>
      <c r="F1053" t="s">
        <v>58</v>
      </c>
      <c r="G1053">
        <v>3</v>
      </c>
      <c r="H1053">
        <v>2</v>
      </c>
      <c r="I1053" t="s">
        <v>64</v>
      </c>
      <c r="J1053">
        <v>3</v>
      </c>
      <c r="K1053" t="s">
        <v>50</v>
      </c>
      <c r="L1053">
        <v>6932</v>
      </c>
      <c r="M1053">
        <v>1</v>
      </c>
      <c r="N1053" t="s">
        <v>41</v>
      </c>
      <c r="O1053">
        <v>13</v>
      </c>
      <c r="P1053">
        <v>3</v>
      </c>
      <c r="Q1053">
        <v>1</v>
      </c>
      <c r="R1053">
        <v>9</v>
      </c>
      <c r="S1053">
        <v>2</v>
      </c>
      <c r="T1053">
        <v>9</v>
      </c>
      <c r="U1053">
        <v>0</v>
      </c>
      <c r="V1053">
        <v>0</v>
      </c>
      <c r="W1053" t="s">
        <v>56</v>
      </c>
      <c r="X1053" s="1" t="d">
        <v>2012-02-06</v>
      </c>
      <c r="Z1053" t="s">
        <v>52</v>
      </c>
      <c r="AA1053" t="s">
        <v>46</v>
      </c>
      <c r="AB1053">
        <v>3</v>
      </c>
      <c r="AC1053">
        <v>1</v>
      </c>
      <c r="AD1053" t="s">
        <v>32</v>
      </c>
      <c r="AE1053" t="s">
        <v>60</v>
      </c>
      <c r="AF1053" t="s">
        <v>43</v>
      </c>
      <c r="AG1053">
        <f>IF(HR_Data[[#This Row],[Attrition]]="Yes",1,0)</f>
        <v>0</v>
      </c>
      <c r="AH1053" t="str">
        <f>IF(HR_Data[Date_of_termination]="","Active","Left")</f>
        <v>Active</v>
      </c>
      <c r="AI1053" t="str">
        <f>IF(HR_Data[YearsAtCompany]&lt;=2,"Fresher", IF(HR_Data[YearsAtCompany]&lt;=5,"Junior", IF(HR_Data[YearsAtCompany]&lt;=10, "Mid","Senior")))</f>
        <v>Mid</v>
      </c>
      <c r="AJ1053" s="2" t="str">
        <f>IF(HR_Data[MonthlyIncome]&lt;=300,"Low", IF(HR_Data[MonthlyIncome]&lt;=7000,"Medium", "High"))</f>
        <v>Medium</v>
      </c>
      <c r="AK1053" s="2" t="str">
        <f>VLOOKUP(HR_Data[JobRole], JobRole_Map[], 2, FALSE)</f>
        <v>Sales</v>
      </c>
    </row>
    <row r="1054" spans="1:37" x14ac:dyDescent="0.25">
      <c r="A1054" s="2">
        <v>31</v>
      </c>
      <c r="B1054" t="s">
        <v>41</v>
      </c>
      <c r="C1054" t="s">
        <v>33</v>
      </c>
      <c r="D1054" t="s">
        <v>34</v>
      </c>
      <c r="E1054">
        <v>12</v>
      </c>
      <c r="F1054" t="s">
        <v>58</v>
      </c>
      <c r="G1054">
        <v>3</v>
      </c>
      <c r="H1054">
        <v>2</v>
      </c>
      <c r="I1054" t="s">
        <v>69</v>
      </c>
      <c r="J1054">
        <v>4</v>
      </c>
      <c r="K1054" t="s">
        <v>50</v>
      </c>
      <c r="L1054">
        <v>5855</v>
      </c>
      <c r="M1054">
        <v>0</v>
      </c>
      <c r="N1054" t="s">
        <v>32</v>
      </c>
      <c r="O1054">
        <v>11</v>
      </c>
      <c r="P1054">
        <v>3</v>
      </c>
      <c r="Q1054">
        <v>2</v>
      </c>
      <c r="R1054">
        <v>10</v>
      </c>
      <c r="S1054">
        <v>2</v>
      </c>
      <c r="T1054">
        <v>9</v>
      </c>
      <c r="U1054">
        <v>8</v>
      </c>
      <c r="V1054">
        <v>5</v>
      </c>
      <c r="W1054" t="s">
        <v>38</v>
      </c>
      <c r="X1054" s="1" t="d">
        <v>2012-04-12</v>
      </c>
      <c r="Z1054" t="s">
        <v>52</v>
      </c>
      <c r="AA1054" t="s">
        <v>46</v>
      </c>
      <c r="AB1054">
        <v>3</v>
      </c>
      <c r="AC1054">
        <v>1</v>
      </c>
      <c r="AD1054" t="s">
        <v>32</v>
      </c>
      <c r="AE1054" t="s">
        <v>42</v>
      </c>
      <c r="AF1054" t="s">
        <v>48</v>
      </c>
      <c r="AG1054">
        <f>IF(HR_Data[[#This Row],[Attrition]]="Yes",1,0)</f>
        <v>0</v>
      </c>
      <c r="AH1054" t="str">
        <f>IF(HR_Data[Date_of_termination]="","Active","Left")</f>
        <v>Active</v>
      </c>
      <c r="AI1054" t="str">
        <f>IF(HR_Data[YearsAtCompany]&lt;=2,"Fresher", IF(HR_Data[YearsAtCompany]&lt;=5,"Junior", IF(HR_Data[YearsAtCompany]&lt;=10, "Mid","Senior")))</f>
        <v>Mid</v>
      </c>
      <c r="AJ1054" s="2" t="str">
        <f>IF(HR_Data[MonthlyIncome]&lt;=300,"Low", IF(HR_Data[MonthlyIncome]&lt;=7000,"Medium", "High"))</f>
        <v>Medium</v>
      </c>
      <c r="AK1054" s="2" t="str">
        <f>VLOOKUP(HR_Data[JobRole], JobRole_Map[], 2, FALSE)</f>
        <v>Operations</v>
      </c>
    </row>
    <row r="1055" spans="1:37" x14ac:dyDescent="0.25">
      <c r="A1055" s="2">
        <v>45</v>
      </c>
      <c r="B1055" t="s">
        <v>41</v>
      </c>
      <c r="C1055" t="s">
        <v>68</v>
      </c>
      <c r="D1055" t="s">
        <v>34</v>
      </c>
      <c r="E1055">
        <v>4</v>
      </c>
      <c r="F1055" t="s">
        <v>35</v>
      </c>
      <c r="G1055">
        <v>3</v>
      </c>
      <c r="H1055">
        <v>2</v>
      </c>
      <c r="I1055" t="s">
        <v>36</v>
      </c>
      <c r="J1055">
        <v>2</v>
      </c>
      <c r="K1055" t="s">
        <v>50</v>
      </c>
      <c r="L1055">
        <v>4447</v>
      </c>
      <c r="M1055">
        <v>1</v>
      </c>
      <c r="N1055" t="s">
        <v>41</v>
      </c>
      <c r="O1055">
        <v>12</v>
      </c>
      <c r="P1055">
        <v>3</v>
      </c>
      <c r="Q1055">
        <v>0</v>
      </c>
      <c r="R1055">
        <v>9</v>
      </c>
      <c r="S1055">
        <v>5</v>
      </c>
      <c r="T1055">
        <v>9</v>
      </c>
      <c r="U1055">
        <v>0</v>
      </c>
      <c r="V1055">
        <v>8</v>
      </c>
      <c r="W1055" t="s">
        <v>38</v>
      </c>
      <c r="X1055" s="1" t="d">
        <v>2012-04-25</v>
      </c>
      <c r="Z1055" t="s">
        <v>39</v>
      </c>
      <c r="AA1055" t="s">
        <v>40</v>
      </c>
      <c r="AB1055">
        <v>2</v>
      </c>
      <c r="AC1055">
        <v>2</v>
      </c>
      <c r="AD1055" t="s">
        <v>32</v>
      </c>
      <c r="AE1055" t="s">
        <v>60</v>
      </c>
      <c r="AF1055" t="s">
        <v>57</v>
      </c>
      <c r="AG1055">
        <f>IF(HR_Data[[#This Row],[Attrition]]="Yes",1,0)</f>
        <v>0</v>
      </c>
      <c r="AH1055" t="str">
        <f>IF(HR_Data[Date_of_termination]="","Active","Left")</f>
        <v>Active</v>
      </c>
      <c r="AI1055" t="str">
        <f>IF(HR_Data[YearsAtCompany]&lt;=2,"Fresher", IF(HR_Data[YearsAtCompany]&lt;=5,"Junior", IF(HR_Data[YearsAtCompany]&lt;=10, "Mid","Senior")))</f>
        <v>Mid</v>
      </c>
      <c r="AJ1055" s="2" t="str">
        <f>IF(HR_Data[MonthlyIncome]&lt;=300,"Low", IF(HR_Data[MonthlyIncome]&lt;=7000,"Medium", "High"))</f>
        <v>Medium</v>
      </c>
      <c r="AK1055" s="2" t="str">
        <f>VLOOKUP(HR_Data[JobRole], JobRole_Map[], 2, FALSE)</f>
        <v>Technical</v>
      </c>
    </row>
    <row r="1056" spans="1:37" x14ac:dyDescent="0.25">
      <c r="A1056" s="2">
        <v>52</v>
      </c>
      <c r="B1056" t="s">
        <v>41</v>
      </c>
      <c r="C1056" t="s">
        <v>33</v>
      </c>
      <c r="D1056" t="s">
        <v>34</v>
      </c>
      <c r="E1056">
        <v>1</v>
      </c>
      <c r="F1056" t="s">
        <v>35</v>
      </c>
      <c r="G1056">
        <v>3</v>
      </c>
      <c r="H1056">
        <v>4</v>
      </c>
      <c r="I1056" t="s">
        <v>66</v>
      </c>
      <c r="J1056">
        <v>4</v>
      </c>
      <c r="K1056" t="s">
        <v>50</v>
      </c>
      <c r="L1056">
        <v>17099</v>
      </c>
      <c r="M1056">
        <v>2</v>
      </c>
      <c r="N1056" t="s">
        <v>41</v>
      </c>
      <c r="O1056">
        <v>15</v>
      </c>
      <c r="P1056">
        <v>3</v>
      </c>
      <c r="Q1056">
        <v>1</v>
      </c>
      <c r="R1056">
        <v>26</v>
      </c>
      <c r="S1056">
        <v>2</v>
      </c>
      <c r="T1056">
        <v>9</v>
      </c>
      <c r="U1056">
        <v>7</v>
      </c>
      <c r="V1056">
        <v>8</v>
      </c>
      <c r="W1056" t="s">
        <v>56</v>
      </c>
      <c r="X1056" s="1" t="d">
        <v>2012-06-02</v>
      </c>
      <c r="Z1056" t="s">
        <v>39</v>
      </c>
      <c r="AA1056" t="s">
        <v>40</v>
      </c>
      <c r="AB1056">
        <v>0</v>
      </c>
      <c r="AC1056">
        <v>1</v>
      </c>
      <c r="AD1056" t="s">
        <v>41</v>
      </c>
      <c r="AE1056" t="s">
        <v>62</v>
      </c>
      <c r="AF1056" t="s">
        <v>48</v>
      </c>
      <c r="AG1056">
        <f>IF(HR_Data[[#This Row],[Attrition]]="Yes",1,0)</f>
        <v>0</v>
      </c>
      <c r="AH1056" t="str">
        <f>IF(HR_Data[Date_of_termination]="","Active","Left")</f>
        <v>Active</v>
      </c>
      <c r="AI1056" t="str">
        <f>IF(HR_Data[YearsAtCompany]&lt;=2,"Fresher", IF(HR_Data[YearsAtCompany]&lt;=5,"Junior", IF(HR_Data[YearsAtCompany]&lt;=10, "Mid","Senior")))</f>
        <v>Mid</v>
      </c>
      <c r="AJ1056" s="2" t="str">
        <f>IF(HR_Data[MonthlyIncome]&lt;=300,"Low", IF(HR_Data[MonthlyIncome]&lt;=7000,"Medium", "High"))</f>
        <v>High</v>
      </c>
      <c r="AK1056" s="2" t="str">
        <f>VLOOKUP(HR_Data[JobRole], JobRole_Map[], 2, FALSE)</f>
        <v>Management</v>
      </c>
    </row>
    <row r="1057" spans="1:37" x14ac:dyDescent="0.25">
      <c r="A1057" s="2">
        <v>45</v>
      </c>
      <c r="B1057" t="s">
        <v>41</v>
      </c>
      <c r="C1057" t="s">
        <v>68</v>
      </c>
      <c r="D1057" t="s">
        <v>34</v>
      </c>
      <c r="E1057">
        <v>23</v>
      </c>
      <c r="F1057" t="s">
        <v>35</v>
      </c>
      <c r="G1057">
        <v>3</v>
      </c>
      <c r="H1057">
        <v>2</v>
      </c>
      <c r="I1057" t="s">
        <v>36</v>
      </c>
      <c r="J1057">
        <v>1</v>
      </c>
      <c r="K1057" t="s">
        <v>50</v>
      </c>
      <c r="L1057">
        <v>3633</v>
      </c>
      <c r="M1057">
        <v>1</v>
      </c>
      <c r="N1057" t="s">
        <v>32</v>
      </c>
      <c r="O1057">
        <v>15</v>
      </c>
      <c r="P1057">
        <v>3</v>
      </c>
      <c r="Q1057">
        <v>1</v>
      </c>
      <c r="R1057">
        <v>9</v>
      </c>
      <c r="S1057">
        <v>2</v>
      </c>
      <c r="T1057">
        <v>9</v>
      </c>
      <c r="U1057">
        <v>0</v>
      </c>
      <c r="V1057">
        <v>8</v>
      </c>
      <c r="W1057" t="s">
        <v>38</v>
      </c>
      <c r="X1057" s="1" t="d">
        <v>2012-03-24</v>
      </c>
      <c r="Z1057" t="s">
        <v>52</v>
      </c>
      <c r="AA1057" t="s">
        <v>40</v>
      </c>
      <c r="AB1057">
        <v>1</v>
      </c>
      <c r="AC1057">
        <v>3</v>
      </c>
      <c r="AD1057" t="s">
        <v>32</v>
      </c>
      <c r="AE1057" t="s">
        <v>62</v>
      </c>
      <c r="AF1057" t="s">
        <v>57</v>
      </c>
      <c r="AG1057">
        <f>IF(HR_Data[[#This Row],[Attrition]]="Yes",1,0)</f>
        <v>0</v>
      </c>
      <c r="AH1057" t="str">
        <f>IF(HR_Data[Date_of_termination]="","Active","Left")</f>
        <v>Active</v>
      </c>
      <c r="AI1057" t="str">
        <f>IF(HR_Data[YearsAtCompany]&lt;=2,"Fresher", IF(HR_Data[YearsAtCompany]&lt;=5,"Junior", IF(HR_Data[YearsAtCompany]&lt;=10, "Mid","Senior")))</f>
        <v>Mid</v>
      </c>
      <c r="AJ1057" s="2" t="str">
        <f>IF(HR_Data[MonthlyIncome]&lt;=300,"Low", IF(HR_Data[MonthlyIncome]&lt;=7000,"Medium", "High"))</f>
        <v>Medium</v>
      </c>
      <c r="AK1057" s="2" t="str">
        <f>VLOOKUP(HR_Data[JobRole], JobRole_Map[], 2, FALSE)</f>
        <v>Technical</v>
      </c>
    </row>
    <row r="1058" spans="1:37" x14ac:dyDescent="0.25">
      <c r="A1058" s="2">
        <v>47</v>
      </c>
      <c r="B1058" t="s">
        <v>41</v>
      </c>
      <c r="C1058" t="s">
        <v>33</v>
      </c>
      <c r="D1058" t="s">
        <v>53</v>
      </c>
      <c r="E1058">
        <v>4</v>
      </c>
      <c r="F1058" t="s">
        <v>58</v>
      </c>
      <c r="G1058">
        <v>3</v>
      </c>
      <c r="H1058">
        <v>2</v>
      </c>
      <c r="I1058" t="s">
        <v>64</v>
      </c>
      <c r="J1058">
        <v>4</v>
      </c>
      <c r="K1058" t="s">
        <v>37</v>
      </c>
      <c r="L1058">
        <v>4163</v>
      </c>
      <c r="M1058">
        <v>1</v>
      </c>
      <c r="N1058" t="s">
        <v>32</v>
      </c>
      <c r="O1058">
        <v>17</v>
      </c>
      <c r="P1058">
        <v>3</v>
      </c>
      <c r="Q1058">
        <v>0</v>
      </c>
      <c r="R1058">
        <v>9</v>
      </c>
      <c r="S1058">
        <v>0</v>
      </c>
      <c r="T1058">
        <v>9</v>
      </c>
      <c r="U1058">
        <v>0</v>
      </c>
      <c r="V1058">
        <v>7</v>
      </c>
      <c r="W1058" t="s">
        <v>51</v>
      </c>
      <c r="X1058" s="1" t="d">
        <v>2012-02-23</v>
      </c>
      <c r="Z1058" t="s">
        <v>39</v>
      </c>
      <c r="AA1058" t="s">
        <v>46</v>
      </c>
      <c r="AB1058">
        <v>0</v>
      </c>
      <c r="AC1058">
        <v>0</v>
      </c>
      <c r="AD1058" t="s">
        <v>32</v>
      </c>
      <c r="AE1058" t="s">
        <v>62</v>
      </c>
      <c r="AF1058" t="s">
        <v>48</v>
      </c>
      <c r="AG1058">
        <f>IF(HR_Data[[#This Row],[Attrition]]="Yes",1,0)</f>
        <v>0</v>
      </c>
      <c r="AH1058" t="str">
        <f>IF(HR_Data[Date_of_termination]="","Active","Left")</f>
        <v>Active</v>
      </c>
      <c r="AI1058" t="str">
        <f>IF(HR_Data[YearsAtCompany]&lt;=2,"Fresher", IF(HR_Data[YearsAtCompany]&lt;=5,"Junior", IF(HR_Data[YearsAtCompany]&lt;=10, "Mid","Senior")))</f>
        <v>Mid</v>
      </c>
      <c r="AJ1058" s="2" t="str">
        <f>IF(HR_Data[MonthlyIncome]&lt;=300,"Low", IF(HR_Data[MonthlyIncome]&lt;=7000,"Medium", "High"))</f>
        <v>Medium</v>
      </c>
      <c r="AK1058" s="2" t="str">
        <f>VLOOKUP(HR_Data[JobRole], JobRole_Map[], 2, FALSE)</f>
        <v>Sales</v>
      </c>
    </row>
    <row r="1059" spans="1:37" x14ac:dyDescent="0.25">
      <c r="A1059" s="2">
        <v>45</v>
      </c>
      <c r="B1059" t="s">
        <v>41</v>
      </c>
      <c r="C1059" t="s">
        <v>33</v>
      </c>
      <c r="D1059" t="s">
        <v>53</v>
      </c>
      <c r="E1059">
        <v>11</v>
      </c>
      <c r="F1059" t="s">
        <v>58</v>
      </c>
      <c r="G1059">
        <v>3</v>
      </c>
      <c r="H1059">
        <v>4</v>
      </c>
      <c r="I1059" t="s">
        <v>66</v>
      </c>
      <c r="J1059">
        <v>4</v>
      </c>
      <c r="K1059" t="s">
        <v>50</v>
      </c>
      <c r="L1059">
        <v>17650</v>
      </c>
      <c r="M1059">
        <v>3</v>
      </c>
      <c r="N1059" t="s">
        <v>41</v>
      </c>
      <c r="O1059">
        <v>13</v>
      </c>
      <c r="P1059">
        <v>3</v>
      </c>
      <c r="Q1059">
        <v>1</v>
      </c>
      <c r="R1059">
        <v>26</v>
      </c>
      <c r="S1059">
        <v>4</v>
      </c>
      <c r="T1059">
        <v>9</v>
      </c>
      <c r="U1059">
        <v>1</v>
      </c>
      <c r="V1059">
        <v>1</v>
      </c>
      <c r="W1059" t="s">
        <v>56</v>
      </c>
      <c r="X1059" s="1" t="d">
        <v>2012-05-01</v>
      </c>
      <c r="Z1059" t="s">
        <v>52</v>
      </c>
      <c r="AA1059" t="s">
        <v>46</v>
      </c>
      <c r="AB1059">
        <v>5</v>
      </c>
      <c r="AC1059">
        <v>2</v>
      </c>
      <c r="AD1059" t="s">
        <v>41</v>
      </c>
      <c r="AE1059" t="s">
        <v>47</v>
      </c>
      <c r="AF1059" t="s">
        <v>43</v>
      </c>
      <c r="AG1059">
        <f>IF(HR_Data[[#This Row],[Attrition]]="Yes",1,0)</f>
        <v>0</v>
      </c>
      <c r="AH1059" t="str">
        <f>IF(HR_Data[Date_of_termination]="","Active","Left")</f>
        <v>Active</v>
      </c>
      <c r="AI1059" t="str">
        <f>IF(HR_Data[YearsAtCompany]&lt;=2,"Fresher", IF(HR_Data[YearsAtCompany]&lt;=5,"Junior", IF(HR_Data[YearsAtCompany]&lt;=10, "Mid","Senior")))</f>
        <v>Mid</v>
      </c>
      <c r="AJ1059" s="2" t="str">
        <f>IF(HR_Data[MonthlyIncome]&lt;=300,"Low", IF(HR_Data[MonthlyIncome]&lt;=7000,"Medium", "High"))</f>
        <v>High</v>
      </c>
      <c r="AK1059" s="2" t="str">
        <f>VLOOKUP(HR_Data[JobRole], JobRole_Map[], 2, FALSE)</f>
        <v>Management</v>
      </c>
    </row>
    <row r="1060" spans="1:37" x14ac:dyDescent="0.25">
      <c r="A1060" s="2">
        <v>54</v>
      </c>
      <c r="B1060" t="s">
        <v>41</v>
      </c>
      <c r="C1060" t="s">
        <v>33</v>
      </c>
      <c r="D1060" t="s">
        <v>53</v>
      </c>
      <c r="E1060">
        <v>2</v>
      </c>
      <c r="F1060" t="s">
        <v>58</v>
      </c>
      <c r="G1060">
        <v>2</v>
      </c>
      <c r="H1060">
        <v>3</v>
      </c>
      <c r="I1060" t="s">
        <v>64</v>
      </c>
      <c r="J1060">
        <v>3</v>
      </c>
      <c r="K1060" t="s">
        <v>50</v>
      </c>
      <c r="L1060">
        <v>10686</v>
      </c>
      <c r="M1060">
        <v>6</v>
      </c>
      <c r="N1060" t="s">
        <v>41</v>
      </c>
      <c r="O1060">
        <v>11</v>
      </c>
      <c r="P1060">
        <v>3</v>
      </c>
      <c r="Q1060">
        <v>1</v>
      </c>
      <c r="R1060">
        <v>13</v>
      </c>
      <c r="S1060">
        <v>4</v>
      </c>
      <c r="T1060">
        <v>9</v>
      </c>
      <c r="U1060">
        <v>7</v>
      </c>
      <c r="V1060">
        <v>0</v>
      </c>
      <c r="W1060" t="s">
        <v>56</v>
      </c>
      <c r="X1060" s="1" t="d">
        <v>2012-05-16</v>
      </c>
      <c r="Z1060" t="s">
        <v>52</v>
      </c>
      <c r="AA1060" t="s">
        <v>40</v>
      </c>
      <c r="AB1060">
        <v>3</v>
      </c>
      <c r="AC1060">
        <v>3</v>
      </c>
      <c r="AD1060" t="s">
        <v>41</v>
      </c>
      <c r="AE1060" t="s">
        <v>47</v>
      </c>
      <c r="AF1060" t="s">
        <v>57</v>
      </c>
      <c r="AG1060">
        <f>IF(HR_Data[[#This Row],[Attrition]]="Yes",1,0)</f>
        <v>0</v>
      </c>
      <c r="AH1060" t="str">
        <f>IF(HR_Data[Date_of_termination]="","Active","Left")</f>
        <v>Active</v>
      </c>
      <c r="AI1060" t="str">
        <f>IF(HR_Data[YearsAtCompany]&lt;=2,"Fresher", IF(HR_Data[YearsAtCompany]&lt;=5,"Junior", IF(HR_Data[YearsAtCompany]&lt;=10, "Mid","Senior")))</f>
        <v>Mid</v>
      </c>
      <c r="AJ1060" s="2" t="str">
        <f>IF(HR_Data[MonthlyIncome]&lt;=300,"Low", IF(HR_Data[MonthlyIncome]&lt;=7000,"Medium", "High"))</f>
        <v>High</v>
      </c>
      <c r="AK1060" s="2" t="str">
        <f>VLOOKUP(HR_Data[JobRole], JobRole_Map[], 2, FALSE)</f>
        <v>Sales</v>
      </c>
    </row>
    <row r="1061" spans="1:37" x14ac:dyDescent="0.25">
      <c r="A1061" s="2">
        <v>55</v>
      </c>
      <c r="B1061" t="s">
        <v>41</v>
      </c>
      <c r="C1061" t="s">
        <v>68</v>
      </c>
      <c r="D1061" t="s">
        <v>34</v>
      </c>
      <c r="E1061">
        <v>2</v>
      </c>
      <c r="F1061" t="s">
        <v>35</v>
      </c>
      <c r="G1061">
        <v>2</v>
      </c>
      <c r="H1061">
        <v>4</v>
      </c>
      <c r="I1061" t="s">
        <v>66</v>
      </c>
      <c r="J1061">
        <v>1</v>
      </c>
      <c r="K1061" t="s">
        <v>37</v>
      </c>
      <c r="L1061">
        <v>16756</v>
      </c>
      <c r="M1061">
        <v>7</v>
      </c>
      <c r="N1061" t="s">
        <v>41</v>
      </c>
      <c r="O1061">
        <v>15</v>
      </c>
      <c r="P1061">
        <v>3</v>
      </c>
      <c r="Q1061">
        <v>0</v>
      </c>
      <c r="R1061">
        <v>31</v>
      </c>
      <c r="S1061">
        <v>3</v>
      </c>
      <c r="T1061">
        <v>9</v>
      </c>
      <c r="U1061">
        <v>6</v>
      </c>
      <c r="V1061">
        <v>2</v>
      </c>
      <c r="W1061" t="s">
        <v>51</v>
      </c>
      <c r="X1061" s="1" t="d">
        <v>2012-06-14</v>
      </c>
      <c r="Z1061" t="s">
        <v>52</v>
      </c>
      <c r="AA1061" t="s">
        <v>40</v>
      </c>
      <c r="AB1061">
        <v>4</v>
      </c>
      <c r="AC1061">
        <v>3</v>
      </c>
      <c r="AD1061" t="s">
        <v>32</v>
      </c>
      <c r="AE1061" t="s">
        <v>47</v>
      </c>
      <c r="AF1061" t="s">
        <v>43</v>
      </c>
      <c r="AG1061">
        <f>IF(HR_Data[[#This Row],[Attrition]]="Yes",1,0)</f>
        <v>0</v>
      </c>
      <c r="AH1061" t="str">
        <f>IF(HR_Data[Date_of_termination]="","Active","Left")</f>
        <v>Active</v>
      </c>
      <c r="AI1061" t="str">
        <f>IF(HR_Data[YearsAtCompany]&lt;=2,"Fresher", IF(HR_Data[YearsAtCompany]&lt;=5,"Junior", IF(HR_Data[YearsAtCompany]&lt;=10, "Mid","Senior")))</f>
        <v>Mid</v>
      </c>
      <c r="AJ1061" s="2" t="str">
        <f>IF(HR_Data[MonthlyIncome]&lt;=300,"Low", IF(HR_Data[MonthlyIncome]&lt;=7000,"Medium", "High"))</f>
        <v>High</v>
      </c>
      <c r="AK1061" s="2" t="str">
        <f>VLOOKUP(HR_Data[JobRole], JobRole_Map[], 2, FALSE)</f>
        <v>Management</v>
      </c>
    </row>
    <row r="1062" spans="1:37" x14ac:dyDescent="0.25">
      <c r="A1062" s="2">
        <v>28</v>
      </c>
      <c r="B1062" t="s">
        <v>41</v>
      </c>
      <c r="C1062" t="s">
        <v>33</v>
      </c>
      <c r="D1062" t="s">
        <v>34</v>
      </c>
      <c r="E1062">
        <v>3</v>
      </c>
      <c r="F1062" t="s">
        <v>58</v>
      </c>
      <c r="G1062">
        <v>3</v>
      </c>
      <c r="H1062">
        <v>3</v>
      </c>
      <c r="I1062" t="s">
        <v>67</v>
      </c>
      <c r="J1062">
        <v>2</v>
      </c>
      <c r="K1062" t="s">
        <v>55</v>
      </c>
      <c r="L1062">
        <v>7655</v>
      </c>
      <c r="M1062">
        <v>0</v>
      </c>
      <c r="N1062" t="s">
        <v>41</v>
      </c>
      <c r="O1062">
        <v>17</v>
      </c>
      <c r="P1062">
        <v>3</v>
      </c>
      <c r="Q1062">
        <v>3</v>
      </c>
      <c r="R1062">
        <v>10</v>
      </c>
      <c r="S1062">
        <v>3</v>
      </c>
      <c r="T1062">
        <v>9</v>
      </c>
      <c r="U1062">
        <v>1</v>
      </c>
      <c r="V1062">
        <v>7</v>
      </c>
      <c r="W1062" t="s">
        <v>51</v>
      </c>
      <c r="X1062" s="1" t="d">
        <v>2012-01-10</v>
      </c>
      <c r="Z1062" t="s">
        <v>59</v>
      </c>
      <c r="AA1062" t="s">
        <v>40</v>
      </c>
      <c r="AB1062">
        <v>3</v>
      </c>
      <c r="AC1062">
        <v>2</v>
      </c>
      <c r="AD1062" t="s">
        <v>41</v>
      </c>
      <c r="AE1062" t="s">
        <v>62</v>
      </c>
      <c r="AF1062" t="s">
        <v>57</v>
      </c>
      <c r="AG1062">
        <f>IF(HR_Data[[#This Row],[Attrition]]="Yes",1,0)</f>
        <v>0</v>
      </c>
      <c r="AH1062" t="str">
        <f>IF(HR_Data[Date_of_termination]="","Active","Left")</f>
        <v>Active</v>
      </c>
      <c r="AI1062" t="str">
        <f>IF(HR_Data[YearsAtCompany]&lt;=2,"Fresher", IF(HR_Data[YearsAtCompany]&lt;=5,"Junior", IF(HR_Data[YearsAtCompany]&lt;=10, "Mid","Senior")))</f>
        <v>Mid</v>
      </c>
      <c r="AJ1062" s="2" t="str">
        <f>IF(HR_Data[MonthlyIncome]&lt;=300,"Low", IF(HR_Data[MonthlyIncome]&lt;=7000,"Medium", "High"))</f>
        <v>High</v>
      </c>
      <c r="AK1062" s="2" t="str">
        <f>VLOOKUP(HR_Data[JobRole], JobRole_Map[], 2, FALSE)</f>
        <v>Operations</v>
      </c>
    </row>
    <row r="1063" spans="1:37" x14ac:dyDescent="0.25">
      <c r="A1063" s="2">
        <v>49</v>
      </c>
      <c r="B1063" t="s">
        <v>41</v>
      </c>
      <c r="C1063" t="s">
        <v>33</v>
      </c>
      <c r="D1063" t="s">
        <v>53</v>
      </c>
      <c r="E1063">
        <v>8</v>
      </c>
      <c r="F1063" t="s">
        <v>35</v>
      </c>
      <c r="G1063">
        <v>2</v>
      </c>
      <c r="H1063">
        <v>4</v>
      </c>
      <c r="I1063" t="s">
        <v>64</v>
      </c>
      <c r="J1063">
        <v>2</v>
      </c>
      <c r="K1063" t="s">
        <v>50</v>
      </c>
      <c r="L1063">
        <v>13120</v>
      </c>
      <c r="M1063">
        <v>6</v>
      </c>
      <c r="N1063" t="s">
        <v>41</v>
      </c>
      <c r="O1063">
        <v>17</v>
      </c>
      <c r="P1063">
        <v>3</v>
      </c>
      <c r="Q1063">
        <v>1</v>
      </c>
      <c r="R1063">
        <v>22</v>
      </c>
      <c r="S1063">
        <v>3</v>
      </c>
      <c r="T1063">
        <v>9</v>
      </c>
      <c r="U1063">
        <v>2</v>
      </c>
      <c r="V1063">
        <v>3</v>
      </c>
      <c r="W1063" t="s">
        <v>65</v>
      </c>
      <c r="X1063" s="1" t="d">
        <v>2012-03-20</v>
      </c>
      <c r="Z1063" t="s">
        <v>45</v>
      </c>
      <c r="AA1063" t="s">
        <v>46</v>
      </c>
      <c r="AB1063">
        <v>5</v>
      </c>
      <c r="AC1063">
        <v>1</v>
      </c>
      <c r="AD1063" t="s">
        <v>41</v>
      </c>
      <c r="AE1063" t="s">
        <v>47</v>
      </c>
      <c r="AF1063" t="s">
        <v>48</v>
      </c>
      <c r="AG1063">
        <f>IF(HR_Data[[#This Row],[Attrition]]="Yes",1,0)</f>
        <v>0</v>
      </c>
      <c r="AH1063" t="str">
        <f>IF(HR_Data[Date_of_termination]="","Active","Left")</f>
        <v>Active</v>
      </c>
      <c r="AI1063" t="str">
        <f>IF(HR_Data[YearsAtCompany]&lt;=2,"Fresher", IF(HR_Data[YearsAtCompany]&lt;=5,"Junior", IF(HR_Data[YearsAtCompany]&lt;=10, "Mid","Senior")))</f>
        <v>Mid</v>
      </c>
      <c r="AJ1063" s="2" t="str">
        <f>IF(HR_Data[MonthlyIncome]&lt;=300,"Low", IF(HR_Data[MonthlyIncome]&lt;=7000,"Medium", "High"))</f>
        <v>High</v>
      </c>
      <c r="AK1063" s="2" t="str">
        <f>VLOOKUP(HR_Data[JobRole], JobRole_Map[], 2, FALSE)</f>
        <v>Sales</v>
      </c>
    </row>
    <row r="1064" spans="1:37" x14ac:dyDescent="0.25">
      <c r="A1064" s="2">
        <v>27</v>
      </c>
      <c r="B1064" t="s">
        <v>41</v>
      </c>
      <c r="C1064" t="s">
        <v>33</v>
      </c>
      <c r="D1064" t="s">
        <v>34</v>
      </c>
      <c r="E1064">
        <v>14</v>
      </c>
      <c r="F1064" t="s">
        <v>35</v>
      </c>
      <c r="G1064">
        <v>3</v>
      </c>
      <c r="H1064">
        <v>1</v>
      </c>
      <c r="I1064" t="s">
        <v>44</v>
      </c>
      <c r="J1064">
        <v>1</v>
      </c>
      <c r="K1064" t="s">
        <v>50</v>
      </c>
      <c r="L1064">
        <v>2235</v>
      </c>
      <c r="M1064">
        <v>1</v>
      </c>
      <c r="N1064" t="s">
        <v>32</v>
      </c>
      <c r="O1064">
        <v>14</v>
      </c>
      <c r="P1064">
        <v>3</v>
      </c>
      <c r="Q1064">
        <v>2</v>
      </c>
      <c r="R1064">
        <v>9</v>
      </c>
      <c r="S1064">
        <v>3</v>
      </c>
      <c r="T1064">
        <v>9</v>
      </c>
      <c r="U1064">
        <v>6</v>
      </c>
      <c r="V1064">
        <v>8</v>
      </c>
      <c r="W1064" t="s">
        <v>51</v>
      </c>
      <c r="X1064" s="1" t="d">
        <v>2012-06-14</v>
      </c>
      <c r="Z1064" t="s">
        <v>45</v>
      </c>
      <c r="AA1064" t="s">
        <v>46</v>
      </c>
      <c r="AB1064">
        <v>4</v>
      </c>
      <c r="AC1064">
        <v>1</v>
      </c>
      <c r="AD1064" t="s">
        <v>41</v>
      </c>
      <c r="AE1064" t="s">
        <v>60</v>
      </c>
      <c r="AF1064" t="s">
        <v>48</v>
      </c>
      <c r="AG1064">
        <f>IF(HR_Data[[#This Row],[Attrition]]="Yes",1,0)</f>
        <v>0</v>
      </c>
      <c r="AH1064" t="str">
        <f>IF(HR_Data[Date_of_termination]="","Active","Left")</f>
        <v>Active</v>
      </c>
      <c r="AI1064" t="str">
        <f>IF(HR_Data[YearsAtCompany]&lt;=2,"Fresher", IF(HR_Data[YearsAtCompany]&lt;=5,"Junior", IF(HR_Data[YearsAtCompany]&lt;=10, "Mid","Senior")))</f>
        <v>Mid</v>
      </c>
      <c r="AJ1064" s="2" t="str">
        <f>IF(HR_Data[MonthlyIncome]&lt;=300,"Low", IF(HR_Data[MonthlyIncome]&lt;=7000,"Medium", "High"))</f>
        <v>Medium</v>
      </c>
      <c r="AK1064" s="2" t="str">
        <f>VLOOKUP(HR_Data[JobRole], JobRole_Map[], 2, FALSE)</f>
        <v>Technical</v>
      </c>
    </row>
    <row r="1065" spans="1:37" x14ac:dyDescent="0.25">
      <c r="A1065" s="2">
        <v>33</v>
      </c>
      <c r="B1065" t="s">
        <v>41</v>
      </c>
      <c r="C1065" t="s">
        <v>33</v>
      </c>
      <c r="D1065" t="s">
        <v>53</v>
      </c>
      <c r="E1065">
        <v>10</v>
      </c>
      <c r="F1065" t="s">
        <v>35</v>
      </c>
      <c r="G1065">
        <v>4</v>
      </c>
      <c r="H1065">
        <v>3</v>
      </c>
      <c r="I1065" t="s">
        <v>64</v>
      </c>
      <c r="J1065">
        <v>3</v>
      </c>
      <c r="K1065" t="s">
        <v>55</v>
      </c>
      <c r="L1065">
        <v>8380</v>
      </c>
      <c r="M1065">
        <v>0</v>
      </c>
      <c r="N1065" t="s">
        <v>32</v>
      </c>
      <c r="O1065">
        <v>14</v>
      </c>
      <c r="P1065">
        <v>3</v>
      </c>
      <c r="Q1065">
        <v>2</v>
      </c>
      <c r="R1065">
        <v>10</v>
      </c>
      <c r="S1065">
        <v>3</v>
      </c>
      <c r="T1065">
        <v>9</v>
      </c>
      <c r="U1065">
        <v>0</v>
      </c>
      <c r="V1065">
        <v>8</v>
      </c>
      <c r="W1065" t="s">
        <v>51</v>
      </c>
      <c r="X1065" s="1" t="d">
        <v>2012-03-11</v>
      </c>
      <c r="Z1065" t="s">
        <v>59</v>
      </c>
      <c r="AA1065" t="s">
        <v>40</v>
      </c>
      <c r="AB1065">
        <v>2</v>
      </c>
      <c r="AC1065">
        <v>1</v>
      </c>
      <c r="AD1065" t="s">
        <v>41</v>
      </c>
      <c r="AE1065" t="s">
        <v>47</v>
      </c>
      <c r="AF1065" t="s">
        <v>57</v>
      </c>
      <c r="AG1065">
        <f>IF(HR_Data[[#This Row],[Attrition]]="Yes",1,0)</f>
        <v>0</v>
      </c>
      <c r="AH1065" t="str">
        <f>IF(HR_Data[Date_of_termination]="","Active","Left")</f>
        <v>Active</v>
      </c>
      <c r="AI1065" t="str">
        <f>IF(HR_Data[YearsAtCompany]&lt;=2,"Fresher", IF(HR_Data[YearsAtCompany]&lt;=5,"Junior", IF(HR_Data[YearsAtCompany]&lt;=10, "Mid","Senior")))</f>
        <v>Mid</v>
      </c>
      <c r="AJ1065" s="2" t="str">
        <f>IF(HR_Data[MonthlyIncome]&lt;=300,"Low", IF(HR_Data[MonthlyIncome]&lt;=7000,"Medium", "High"))</f>
        <v>High</v>
      </c>
      <c r="AK1065" s="2" t="str">
        <f>VLOOKUP(HR_Data[JobRole], JobRole_Map[], 2, FALSE)</f>
        <v>Sales</v>
      </c>
    </row>
    <row r="1066" spans="1:37" x14ac:dyDescent="0.25">
      <c r="A1066" s="2">
        <v>59</v>
      </c>
      <c r="B1066" t="s">
        <v>41</v>
      </c>
      <c r="C1066" t="s">
        <v>33</v>
      </c>
      <c r="D1066" t="s">
        <v>34</v>
      </c>
      <c r="E1066">
        <v>18</v>
      </c>
      <c r="F1066" t="s">
        <v>35</v>
      </c>
      <c r="G1066">
        <v>3</v>
      </c>
      <c r="H1066">
        <v>3</v>
      </c>
      <c r="I1066" t="s">
        <v>67</v>
      </c>
      <c r="J1066">
        <v>4</v>
      </c>
      <c r="K1066" t="s">
        <v>37</v>
      </c>
      <c r="L1066">
        <v>10512</v>
      </c>
      <c r="M1066">
        <v>6</v>
      </c>
      <c r="N1066" t="s">
        <v>41</v>
      </c>
      <c r="O1066">
        <v>12</v>
      </c>
      <c r="P1066">
        <v>3</v>
      </c>
      <c r="Q1066">
        <v>0</v>
      </c>
      <c r="R1066">
        <v>25</v>
      </c>
      <c r="S1066">
        <v>6</v>
      </c>
      <c r="T1066">
        <v>9</v>
      </c>
      <c r="U1066">
        <v>5</v>
      </c>
      <c r="V1066">
        <v>4</v>
      </c>
      <c r="W1066" t="s">
        <v>38</v>
      </c>
      <c r="X1066" s="1" t="d">
        <v>2012-06-14</v>
      </c>
      <c r="Z1066" t="s">
        <v>52</v>
      </c>
      <c r="AA1066" t="s">
        <v>40</v>
      </c>
      <c r="AB1066">
        <v>4</v>
      </c>
      <c r="AC1066">
        <v>1</v>
      </c>
      <c r="AD1066" t="s">
        <v>41</v>
      </c>
      <c r="AE1066" t="s">
        <v>47</v>
      </c>
      <c r="AF1066" t="s">
        <v>57</v>
      </c>
      <c r="AG1066">
        <f>IF(HR_Data[[#This Row],[Attrition]]="Yes",1,0)</f>
        <v>0</v>
      </c>
      <c r="AH1066" t="str">
        <f>IF(HR_Data[Date_of_termination]="","Active","Left")</f>
        <v>Active</v>
      </c>
      <c r="AI1066" t="str">
        <f>IF(HR_Data[YearsAtCompany]&lt;=2,"Fresher", IF(HR_Data[YearsAtCompany]&lt;=5,"Junior", IF(HR_Data[YearsAtCompany]&lt;=10, "Mid","Senior")))</f>
        <v>Mid</v>
      </c>
      <c r="AJ1066" s="2" t="str">
        <f>IF(HR_Data[MonthlyIncome]&lt;=300,"Low", IF(HR_Data[MonthlyIncome]&lt;=7000,"Medium", "High"))</f>
        <v>High</v>
      </c>
      <c r="AK1066" s="2" t="str">
        <f>VLOOKUP(HR_Data[JobRole], JobRole_Map[], 2, FALSE)</f>
        <v>Operations</v>
      </c>
    </row>
    <row r="1067" spans="1:37" x14ac:dyDescent="0.25">
      <c r="A1067" s="2">
        <v>30</v>
      </c>
      <c r="B1067" t="s">
        <v>41</v>
      </c>
      <c r="C1067" t="s">
        <v>33</v>
      </c>
      <c r="D1067" t="s">
        <v>34</v>
      </c>
      <c r="E1067">
        <v>6</v>
      </c>
      <c r="F1067" t="s">
        <v>58</v>
      </c>
      <c r="G1067">
        <v>2</v>
      </c>
      <c r="H1067">
        <v>2</v>
      </c>
      <c r="I1067" t="s">
        <v>36</v>
      </c>
      <c r="J1067">
        <v>4</v>
      </c>
      <c r="K1067" t="s">
        <v>50</v>
      </c>
      <c r="L1067">
        <v>4627</v>
      </c>
      <c r="M1067">
        <v>0</v>
      </c>
      <c r="N1067" t="s">
        <v>41</v>
      </c>
      <c r="O1067">
        <v>12</v>
      </c>
      <c r="P1067">
        <v>3</v>
      </c>
      <c r="Q1067">
        <v>1</v>
      </c>
      <c r="R1067">
        <v>10</v>
      </c>
      <c r="S1067">
        <v>6</v>
      </c>
      <c r="T1067">
        <v>9</v>
      </c>
      <c r="U1067">
        <v>6</v>
      </c>
      <c r="V1067">
        <v>7</v>
      </c>
      <c r="W1067" t="s">
        <v>51</v>
      </c>
      <c r="X1067" s="1" t="d">
        <v>2012-02-29</v>
      </c>
      <c r="Z1067" t="s">
        <v>45</v>
      </c>
      <c r="AA1067" t="s">
        <v>46</v>
      </c>
      <c r="AB1067">
        <v>3</v>
      </c>
      <c r="AC1067">
        <v>0</v>
      </c>
      <c r="AD1067" t="s">
        <v>41</v>
      </c>
      <c r="AE1067" t="s">
        <v>42</v>
      </c>
      <c r="AF1067" t="s">
        <v>43</v>
      </c>
      <c r="AG1067">
        <f>IF(HR_Data[[#This Row],[Attrition]]="Yes",1,0)</f>
        <v>0</v>
      </c>
      <c r="AH1067" t="str">
        <f>IF(HR_Data[Date_of_termination]="","Active","Left")</f>
        <v>Active</v>
      </c>
      <c r="AI1067" t="str">
        <f>IF(HR_Data[YearsAtCompany]&lt;=2,"Fresher", IF(HR_Data[YearsAtCompany]&lt;=5,"Junior", IF(HR_Data[YearsAtCompany]&lt;=10, "Mid","Senior")))</f>
        <v>Mid</v>
      </c>
      <c r="AJ1067" s="2" t="str">
        <f>IF(HR_Data[MonthlyIncome]&lt;=300,"Low", IF(HR_Data[MonthlyIncome]&lt;=7000,"Medium", "High"))</f>
        <v>Medium</v>
      </c>
      <c r="AK1067" s="2" t="str">
        <f>VLOOKUP(HR_Data[JobRole], JobRole_Map[], 2, FALSE)</f>
        <v>Technical</v>
      </c>
    </row>
    <row r="1068" spans="1:37" x14ac:dyDescent="0.25">
      <c r="A1068" s="2">
        <v>28</v>
      </c>
      <c r="B1068" t="s">
        <v>41</v>
      </c>
      <c r="C1068" t="s">
        <v>68</v>
      </c>
      <c r="D1068" t="s">
        <v>34</v>
      </c>
      <c r="E1068">
        <v>1</v>
      </c>
      <c r="F1068" t="s">
        <v>58</v>
      </c>
      <c r="G1068">
        <v>1</v>
      </c>
      <c r="H1068">
        <v>2</v>
      </c>
      <c r="I1068" t="s">
        <v>36</v>
      </c>
      <c r="J1068">
        <v>4</v>
      </c>
      <c r="K1068" t="s">
        <v>50</v>
      </c>
      <c r="L1068">
        <v>6674</v>
      </c>
      <c r="M1068">
        <v>0</v>
      </c>
      <c r="N1068" t="s">
        <v>41</v>
      </c>
      <c r="O1068">
        <v>11</v>
      </c>
      <c r="P1068">
        <v>3</v>
      </c>
      <c r="Q1068">
        <v>3</v>
      </c>
      <c r="R1068">
        <v>10</v>
      </c>
      <c r="S1068">
        <v>6</v>
      </c>
      <c r="T1068">
        <v>9</v>
      </c>
      <c r="U1068">
        <v>7</v>
      </c>
      <c r="V1068">
        <v>5</v>
      </c>
      <c r="W1068" t="s">
        <v>38</v>
      </c>
      <c r="X1068" s="1" t="d">
        <v>2012-04-18</v>
      </c>
      <c r="Z1068" t="s">
        <v>63</v>
      </c>
      <c r="AA1068" t="s">
        <v>40</v>
      </c>
      <c r="AB1068">
        <v>2</v>
      </c>
      <c r="AC1068">
        <v>2</v>
      </c>
      <c r="AD1068" t="s">
        <v>41</v>
      </c>
      <c r="AE1068" t="s">
        <v>60</v>
      </c>
      <c r="AF1068" t="s">
        <v>48</v>
      </c>
      <c r="AG1068">
        <f>IF(HR_Data[[#This Row],[Attrition]]="Yes",1,0)</f>
        <v>0</v>
      </c>
      <c r="AH1068" t="str">
        <f>IF(HR_Data[Date_of_termination]="","Active","Left")</f>
        <v>Active</v>
      </c>
      <c r="AI1068" t="str">
        <f>IF(HR_Data[YearsAtCompany]&lt;=2,"Fresher", IF(HR_Data[YearsAtCompany]&lt;=5,"Junior", IF(HR_Data[YearsAtCompany]&lt;=10, "Mid","Senior")))</f>
        <v>Mid</v>
      </c>
      <c r="AJ1068" s="2" t="str">
        <f>IF(HR_Data[MonthlyIncome]&lt;=300,"Low", IF(HR_Data[MonthlyIncome]&lt;=7000,"Medium", "High"))</f>
        <v>Medium</v>
      </c>
      <c r="AK1068" s="2" t="str">
        <f>VLOOKUP(HR_Data[JobRole], JobRole_Map[], 2, FALSE)</f>
        <v>Technical</v>
      </c>
    </row>
    <row r="1069" spans="1:37" x14ac:dyDescent="0.25">
      <c r="A1069" s="2">
        <v>30</v>
      </c>
      <c r="B1069" t="s">
        <v>41</v>
      </c>
      <c r="C1069" t="s">
        <v>33</v>
      </c>
      <c r="D1069" t="s">
        <v>34</v>
      </c>
      <c r="E1069">
        <v>17</v>
      </c>
      <c r="F1069" t="s">
        <v>58</v>
      </c>
      <c r="G1069">
        <v>3</v>
      </c>
      <c r="H1069">
        <v>3</v>
      </c>
      <c r="I1069" t="s">
        <v>66</v>
      </c>
      <c r="J1069">
        <v>1</v>
      </c>
      <c r="K1069" t="s">
        <v>50</v>
      </c>
      <c r="L1069">
        <v>11916</v>
      </c>
      <c r="M1069">
        <v>1</v>
      </c>
      <c r="N1069" t="s">
        <v>32</v>
      </c>
      <c r="O1069">
        <v>23</v>
      </c>
      <c r="P1069">
        <v>4</v>
      </c>
      <c r="Q1069">
        <v>2</v>
      </c>
      <c r="R1069">
        <v>9</v>
      </c>
      <c r="S1069">
        <v>2</v>
      </c>
      <c r="T1069">
        <v>9</v>
      </c>
      <c r="U1069">
        <v>0</v>
      </c>
      <c r="V1069">
        <v>8</v>
      </c>
      <c r="W1069" t="s">
        <v>38</v>
      </c>
      <c r="X1069" s="1" t="d">
        <v>2012-02-23</v>
      </c>
      <c r="Z1069" t="s">
        <v>59</v>
      </c>
      <c r="AA1069" t="s">
        <v>40</v>
      </c>
      <c r="AB1069">
        <v>1</v>
      </c>
      <c r="AC1069">
        <v>3</v>
      </c>
      <c r="AD1069" t="s">
        <v>41</v>
      </c>
      <c r="AE1069" t="s">
        <v>42</v>
      </c>
      <c r="AF1069" t="s">
        <v>48</v>
      </c>
      <c r="AG1069">
        <f>IF(HR_Data[[#This Row],[Attrition]]="Yes",1,0)</f>
        <v>0</v>
      </c>
      <c r="AH1069" t="str">
        <f>IF(HR_Data[Date_of_termination]="","Active","Left")</f>
        <v>Active</v>
      </c>
      <c r="AI1069" t="str">
        <f>IF(HR_Data[YearsAtCompany]&lt;=2,"Fresher", IF(HR_Data[YearsAtCompany]&lt;=5,"Junior", IF(HR_Data[YearsAtCompany]&lt;=10, "Mid","Senior")))</f>
        <v>Mid</v>
      </c>
      <c r="AJ1069" s="2" t="str">
        <f>IF(HR_Data[MonthlyIncome]&lt;=300,"Low", IF(HR_Data[MonthlyIncome]&lt;=7000,"Medium", "High"))</f>
        <v>High</v>
      </c>
      <c r="AK1069" s="2" t="str">
        <f>VLOOKUP(HR_Data[JobRole], JobRole_Map[], 2, FALSE)</f>
        <v>Management</v>
      </c>
    </row>
    <row r="1070" spans="1:37" x14ac:dyDescent="0.25">
      <c r="A1070" s="2">
        <v>34</v>
      </c>
      <c r="B1070" t="s">
        <v>41</v>
      </c>
      <c r="C1070" t="s">
        <v>33</v>
      </c>
      <c r="D1070" t="s">
        <v>34</v>
      </c>
      <c r="E1070">
        <v>9</v>
      </c>
      <c r="F1070" t="s">
        <v>35</v>
      </c>
      <c r="G1070">
        <v>3</v>
      </c>
      <c r="H1070">
        <v>3</v>
      </c>
      <c r="I1070" t="s">
        <v>69</v>
      </c>
      <c r="J1070">
        <v>4</v>
      </c>
      <c r="K1070" t="s">
        <v>55</v>
      </c>
      <c r="L1070">
        <v>8500</v>
      </c>
      <c r="M1070">
        <v>0</v>
      </c>
      <c r="N1070" t="s">
        <v>41</v>
      </c>
      <c r="O1070">
        <v>11</v>
      </c>
      <c r="P1070">
        <v>3</v>
      </c>
      <c r="Q1070">
        <v>1</v>
      </c>
      <c r="R1070">
        <v>10</v>
      </c>
      <c r="S1070">
        <v>0</v>
      </c>
      <c r="T1070">
        <v>9</v>
      </c>
      <c r="U1070">
        <v>1</v>
      </c>
      <c r="V1070">
        <v>6</v>
      </c>
      <c r="W1070" t="s">
        <v>56</v>
      </c>
      <c r="X1070" s="1" t="d">
        <v>2012-03-03</v>
      </c>
      <c r="Z1070" t="s">
        <v>63</v>
      </c>
      <c r="AA1070" t="s">
        <v>40</v>
      </c>
      <c r="AB1070">
        <v>0</v>
      </c>
      <c r="AC1070">
        <v>1</v>
      </c>
      <c r="AD1070" t="s">
        <v>41</v>
      </c>
      <c r="AE1070" t="s">
        <v>62</v>
      </c>
      <c r="AF1070" t="s">
        <v>57</v>
      </c>
      <c r="AG1070">
        <f>IF(HR_Data[[#This Row],[Attrition]]="Yes",1,0)</f>
        <v>0</v>
      </c>
      <c r="AH1070" t="str">
        <f>IF(HR_Data[Date_of_termination]="","Active","Left")</f>
        <v>Active</v>
      </c>
      <c r="AI1070" t="str">
        <f>IF(HR_Data[YearsAtCompany]&lt;=2,"Fresher", IF(HR_Data[YearsAtCompany]&lt;=5,"Junior", IF(HR_Data[YearsAtCompany]&lt;=10, "Mid","Senior")))</f>
        <v>Mid</v>
      </c>
      <c r="AJ1070" s="2" t="str">
        <f>IF(HR_Data[MonthlyIncome]&lt;=300,"Low", IF(HR_Data[MonthlyIncome]&lt;=7000,"Medium", "High"))</f>
        <v>High</v>
      </c>
      <c r="AK1070" s="2" t="str">
        <f>VLOOKUP(HR_Data[JobRole], JobRole_Map[], 2, FALSE)</f>
        <v>Operations</v>
      </c>
    </row>
    <row r="1071" spans="1:37" x14ac:dyDescent="0.25">
      <c r="A1071" s="2">
        <v>40</v>
      </c>
      <c r="B1071" t="s">
        <v>41</v>
      </c>
      <c r="C1071" t="s">
        <v>33</v>
      </c>
      <c r="D1071" t="s">
        <v>34</v>
      </c>
      <c r="E1071">
        <v>2</v>
      </c>
      <c r="F1071" t="s">
        <v>35</v>
      </c>
      <c r="G1071">
        <v>3</v>
      </c>
      <c r="H1071">
        <v>2</v>
      </c>
      <c r="I1071" t="s">
        <v>44</v>
      </c>
      <c r="J1071">
        <v>4</v>
      </c>
      <c r="K1071" t="s">
        <v>37</v>
      </c>
      <c r="L1071">
        <v>4661</v>
      </c>
      <c r="M1071">
        <v>1</v>
      </c>
      <c r="N1071" t="s">
        <v>41</v>
      </c>
      <c r="O1071">
        <v>13</v>
      </c>
      <c r="P1071">
        <v>3</v>
      </c>
      <c r="Q1071">
        <v>0</v>
      </c>
      <c r="R1071">
        <v>9</v>
      </c>
      <c r="S1071">
        <v>4</v>
      </c>
      <c r="T1071">
        <v>9</v>
      </c>
      <c r="U1071">
        <v>8</v>
      </c>
      <c r="V1071">
        <v>8</v>
      </c>
      <c r="W1071" t="s">
        <v>51</v>
      </c>
      <c r="X1071" s="1" t="d">
        <v>2012-03-15</v>
      </c>
      <c r="Z1071" t="s">
        <v>39</v>
      </c>
      <c r="AA1071" t="s">
        <v>46</v>
      </c>
      <c r="AB1071">
        <v>0</v>
      </c>
      <c r="AC1071">
        <v>2</v>
      </c>
      <c r="AD1071" t="s">
        <v>32</v>
      </c>
      <c r="AE1071" t="s">
        <v>62</v>
      </c>
      <c r="AF1071" t="s">
        <v>48</v>
      </c>
      <c r="AG1071">
        <f>IF(HR_Data[[#This Row],[Attrition]]="Yes",1,0)</f>
        <v>0</v>
      </c>
      <c r="AH1071" t="str">
        <f>IF(HR_Data[Date_of_termination]="","Active","Left")</f>
        <v>Active</v>
      </c>
      <c r="AI1071" t="str">
        <f>IF(HR_Data[YearsAtCompany]&lt;=2,"Fresher", IF(HR_Data[YearsAtCompany]&lt;=5,"Junior", IF(HR_Data[YearsAtCompany]&lt;=10, "Mid","Senior")))</f>
        <v>Mid</v>
      </c>
      <c r="AJ1071" s="2" t="str">
        <f>IF(HR_Data[MonthlyIncome]&lt;=300,"Low", IF(HR_Data[MonthlyIncome]&lt;=7000,"Medium", "High"))</f>
        <v>Medium</v>
      </c>
      <c r="AK1071" s="2" t="str">
        <f>VLOOKUP(HR_Data[JobRole], JobRole_Map[], 2, FALSE)</f>
        <v>Technical</v>
      </c>
    </row>
    <row r="1072" spans="1:37" x14ac:dyDescent="0.25">
      <c r="A1072" s="2">
        <v>41</v>
      </c>
      <c r="B1072" t="s">
        <v>41</v>
      </c>
      <c r="C1072" t="s">
        <v>61</v>
      </c>
      <c r="D1072" t="s">
        <v>53</v>
      </c>
      <c r="E1072">
        <v>1</v>
      </c>
      <c r="F1072" t="s">
        <v>58</v>
      </c>
      <c r="G1072">
        <v>3</v>
      </c>
      <c r="H1072">
        <v>2</v>
      </c>
      <c r="I1072" t="s">
        <v>64</v>
      </c>
      <c r="J1072">
        <v>1</v>
      </c>
      <c r="K1072" t="s">
        <v>55</v>
      </c>
      <c r="L1072">
        <v>4103</v>
      </c>
      <c r="M1072">
        <v>0</v>
      </c>
      <c r="N1072" t="s">
        <v>41</v>
      </c>
      <c r="O1072">
        <v>17</v>
      </c>
      <c r="P1072">
        <v>3</v>
      </c>
      <c r="Q1072">
        <v>1</v>
      </c>
      <c r="R1072">
        <v>10</v>
      </c>
      <c r="S1072">
        <v>2</v>
      </c>
      <c r="T1072">
        <v>9</v>
      </c>
      <c r="U1072">
        <v>1</v>
      </c>
      <c r="V1072">
        <v>7</v>
      </c>
      <c r="W1072" t="s">
        <v>65</v>
      </c>
      <c r="X1072" s="1" t="d">
        <v>2012-03-16</v>
      </c>
      <c r="Z1072" t="s">
        <v>63</v>
      </c>
      <c r="AA1072" t="s">
        <v>40</v>
      </c>
      <c r="AB1072">
        <v>0</v>
      </c>
      <c r="AC1072">
        <v>3</v>
      </c>
      <c r="AD1072" t="s">
        <v>41</v>
      </c>
      <c r="AE1072" t="s">
        <v>47</v>
      </c>
      <c r="AF1072" t="s">
        <v>57</v>
      </c>
      <c r="AG1072">
        <f>IF(HR_Data[[#This Row],[Attrition]]="Yes",1,0)</f>
        <v>0</v>
      </c>
      <c r="AH1072" t="str">
        <f>IF(HR_Data[Date_of_termination]="","Active","Left")</f>
        <v>Active</v>
      </c>
      <c r="AI1072" t="str">
        <f>IF(HR_Data[YearsAtCompany]&lt;=2,"Fresher", IF(HR_Data[YearsAtCompany]&lt;=5,"Junior", IF(HR_Data[YearsAtCompany]&lt;=10, "Mid","Senior")))</f>
        <v>Mid</v>
      </c>
      <c r="AJ1072" s="2" t="str">
        <f>IF(HR_Data[MonthlyIncome]&lt;=300,"Low", IF(HR_Data[MonthlyIncome]&lt;=7000,"Medium", "High"))</f>
        <v>Medium</v>
      </c>
      <c r="AK1072" s="2" t="str">
        <f>VLOOKUP(HR_Data[JobRole], JobRole_Map[], 2, FALSE)</f>
        <v>Sales</v>
      </c>
    </row>
    <row r="1073" spans="1:37" x14ac:dyDescent="0.25">
      <c r="A1073" s="2">
        <v>35</v>
      </c>
      <c r="B1073" t="s">
        <v>41</v>
      </c>
      <c r="C1073" t="s">
        <v>61</v>
      </c>
      <c r="D1073" t="s">
        <v>34</v>
      </c>
      <c r="E1073">
        <v>4</v>
      </c>
      <c r="F1073" t="s">
        <v>35</v>
      </c>
      <c r="G1073">
        <v>3</v>
      </c>
      <c r="H1073">
        <v>2</v>
      </c>
      <c r="I1073" t="s">
        <v>44</v>
      </c>
      <c r="J1073">
        <v>3</v>
      </c>
      <c r="K1073" t="s">
        <v>37</v>
      </c>
      <c r="L1073">
        <v>4249</v>
      </c>
      <c r="M1073">
        <v>1</v>
      </c>
      <c r="N1073" t="s">
        <v>32</v>
      </c>
      <c r="O1073">
        <v>11</v>
      </c>
      <c r="P1073">
        <v>3</v>
      </c>
      <c r="Q1073">
        <v>0</v>
      </c>
      <c r="R1073">
        <v>9</v>
      </c>
      <c r="S1073">
        <v>3</v>
      </c>
      <c r="T1073">
        <v>9</v>
      </c>
      <c r="U1073">
        <v>1</v>
      </c>
      <c r="V1073">
        <v>1</v>
      </c>
      <c r="W1073" t="s">
        <v>38</v>
      </c>
      <c r="X1073" s="1" t="d">
        <v>2012-05-08</v>
      </c>
      <c r="Z1073" t="s">
        <v>63</v>
      </c>
      <c r="AA1073" t="s">
        <v>46</v>
      </c>
      <c r="AB1073">
        <v>1</v>
      </c>
      <c r="AC1073">
        <v>3</v>
      </c>
      <c r="AD1073" t="s">
        <v>41</v>
      </c>
      <c r="AE1073" t="s">
        <v>60</v>
      </c>
      <c r="AF1073" t="s">
        <v>57</v>
      </c>
      <c r="AG1073">
        <f>IF(HR_Data[[#This Row],[Attrition]]="Yes",1,0)</f>
        <v>0</v>
      </c>
      <c r="AH1073" t="str">
        <f>IF(HR_Data[Date_of_termination]="","Active","Left")</f>
        <v>Active</v>
      </c>
      <c r="AI1073" t="str">
        <f>IF(HR_Data[YearsAtCompany]&lt;=2,"Fresher", IF(HR_Data[YearsAtCompany]&lt;=5,"Junior", IF(HR_Data[YearsAtCompany]&lt;=10, "Mid","Senior")))</f>
        <v>Mid</v>
      </c>
      <c r="AJ1073" s="2" t="str">
        <f>IF(HR_Data[MonthlyIncome]&lt;=300,"Low", IF(HR_Data[MonthlyIncome]&lt;=7000,"Medium", "High"))</f>
        <v>Medium</v>
      </c>
      <c r="AK1073" s="2" t="str">
        <f>VLOOKUP(HR_Data[JobRole], JobRole_Map[], 2, FALSE)</f>
        <v>Technical</v>
      </c>
    </row>
    <row r="1074" spans="1:37" x14ac:dyDescent="0.25">
      <c r="A1074" s="2">
        <v>35</v>
      </c>
      <c r="B1074" t="s">
        <v>41</v>
      </c>
      <c r="C1074" t="s">
        <v>33</v>
      </c>
      <c r="D1074" t="s">
        <v>34</v>
      </c>
      <c r="E1074">
        <v>1</v>
      </c>
      <c r="F1074" t="s">
        <v>58</v>
      </c>
      <c r="G1074">
        <v>2</v>
      </c>
      <c r="H1074">
        <v>2</v>
      </c>
      <c r="I1074" t="s">
        <v>36</v>
      </c>
      <c r="J1074">
        <v>4</v>
      </c>
      <c r="K1074" t="s">
        <v>50</v>
      </c>
      <c r="L1074">
        <v>5363</v>
      </c>
      <c r="M1074">
        <v>0</v>
      </c>
      <c r="N1074" t="s">
        <v>41</v>
      </c>
      <c r="O1074">
        <v>12</v>
      </c>
      <c r="P1074">
        <v>3</v>
      </c>
      <c r="Q1074">
        <v>1</v>
      </c>
      <c r="R1074">
        <v>10</v>
      </c>
      <c r="S1074">
        <v>0</v>
      </c>
      <c r="T1074">
        <v>9</v>
      </c>
      <c r="U1074">
        <v>0</v>
      </c>
      <c r="V1074">
        <v>0</v>
      </c>
      <c r="W1074" t="s">
        <v>65</v>
      </c>
      <c r="X1074" s="1" t="d">
        <v>2012-02-09</v>
      </c>
      <c r="Z1074" t="s">
        <v>59</v>
      </c>
      <c r="AA1074" t="s">
        <v>40</v>
      </c>
      <c r="AB1074">
        <v>3</v>
      </c>
      <c r="AC1074">
        <v>3</v>
      </c>
      <c r="AD1074" t="s">
        <v>41</v>
      </c>
      <c r="AE1074" t="s">
        <v>47</v>
      </c>
      <c r="AF1074" t="s">
        <v>57</v>
      </c>
      <c r="AG1074">
        <f>IF(HR_Data[[#This Row],[Attrition]]="Yes",1,0)</f>
        <v>0</v>
      </c>
      <c r="AH1074" t="str">
        <f>IF(HR_Data[Date_of_termination]="","Active","Left")</f>
        <v>Active</v>
      </c>
      <c r="AI1074" t="str">
        <f>IF(HR_Data[YearsAtCompany]&lt;=2,"Fresher", IF(HR_Data[YearsAtCompany]&lt;=5,"Junior", IF(HR_Data[YearsAtCompany]&lt;=10, "Mid","Senior")))</f>
        <v>Mid</v>
      </c>
      <c r="AJ1074" s="2" t="str">
        <f>IF(HR_Data[MonthlyIncome]&lt;=300,"Low", IF(HR_Data[MonthlyIncome]&lt;=7000,"Medium", "High"))</f>
        <v>Medium</v>
      </c>
      <c r="AK1074" s="2" t="str">
        <f>VLOOKUP(HR_Data[JobRole], JobRole_Map[], 2, FALSE)</f>
        <v>Technical</v>
      </c>
    </row>
    <row r="1075" spans="1:37" x14ac:dyDescent="0.25">
      <c r="A1075" s="2">
        <v>58</v>
      </c>
      <c r="B1075" t="s">
        <v>41</v>
      </c>
      <c r="C1075" t="s">
        <v>33</v>
      </c>
      <c r="D1075" t="s">
        <v>34</v>
      </c>
      <c r="E1075">
        <v>1</v>
      </c>
      <c r="F1075" t="s">
        <v>58</v>
      </c>
      <c r="G1075">
        <v>3</v>
      </c>
      <c r="H1075">
        <v>5</v>
      </c>
      <c r="I1075" t="s">
        <v>49</v>
      </c>
      <c r="J1075">
        <v>1</v>
      </c>
      <c r="K1075" t="s">
        <v>50</v>
      </c>
      <c r="L1075">
        <v>19701</v>
      </c>
      <c r="M1075">
        <v>3</v>
      </c>
      <c r="N1075" t="s">
        <v>32</v>
      </c>
      <c r="O1075">
        <v>21</v>
      </c>
      <c r="P1075">
        <v>4</v>
      </c>
      <c r="Q1075">
        <v>1</v>
      </c>
      <c r="R1075">
        <v>32</v>
      </c>
      <c r="S1075">
        <v>3</v>
      </c>
      <c r="T1075">
        <v>9</v>
      </c>
      <c r="U1075">
        <v>1</v>
      </c>
      <c r="V1075">
        <v>5</v>
      </c>
      <c r="W1075" t="s">
        <v>56</v>
      </c>
      <c r="X1075" s="1" t="d">
        <v>2012-01-12</v>
      </c>
      <c r="Z1075" t="s">
        <v>52</v>
      </c>
      <c r="AA1075" t="s">
        <v>40</v>
      </c>
      <c r="AB1075">
        <v>4</v>
      </c>
      <c r="AC1075">
        <v>0</v>
      </c>
      <c r="AD1075" t="s">
        <v>32</v>
      </c>
      <c r="AE1075" t="s">
        <v>60</v>
      </c>
      <c r="AF1075" t="s">
        <v>48</v>
      </c>
      <c r="AG1075">
        <f>IF(HR_Data[[#This Row],[Attrition]]="Yes",1,0)</f>
        <v>0</v>
      </c>
      <c r="AH1075" t="str">
        <f>IF(HR_Data[Date_of_termination]="","Active","Left")</f>
        <v>Active</v>
      </c>
      <c r="AI1075" t="str">
        <f>IF(HR_Data[YearsAtCompany]&lt;=2,"Fresher", IF(HR_Data[YearsAtCompany]&lt;=5,"Junior", IF(HR_Data[YearsAtCompany]&lt;=10, "Mid","Senior")))</f>
        <v>Mid</v>
      </c>
      <c r="AJ1075" s="2" t="str">
        <f>IF(HR_Data[MonthlyIncome]&lt;=300,"Low", IF(HR_Data[MonthlyIncome]&lt;=7000,"Medium", "High"))</f>
        <v>High</v>
      </c>
      <c r="AK1075" s="2" t="str">
        <f>VLOOKUP(HR_Data[JobRole], JobRole_Map[], 2, FALSE)</f>
        <v>Management</v>
      </c>
    </row>
    <row r="1076" spans="1:37" x14ac:dyDescent="0.25">
      <c r="A1076" s="2">
        <v>40</v>
      </c>
      <c r="B1076" t="s">
        <v>41</v>
      </c>
      <c r="C1076" t="s">
        <v>68</v>
      </c>
      <c r="D1076" t="s">
        <v>34</v>
      </c>
      <c r="E1076">
        <v>8</v>
      </c>
      <c r="F1076" t="s">
        <v>35</v>
      </c>
      <c r="G1076">
        <v>2</v>
      </c>
      <c r="H1076">
        <v>3</v>
      </c>
      <c r="I1076" t="s">
        <v>49</v>
      </c>
      <c r="J1076">
        <v>2</v>
      </c>
      <c r="K1076" t="s">
        <v>55</v>
      </c>
      <c r="L1076">
        <v>13757</v>
      </c>
      <c r="M1076">
        <v>2</v>
      </c>
      <c r="N1076" t="s">
        <v>41</v>
      </c>
      <c r="O1076">
        <v>11</v>
      </c>
      <c r="P1076">
        <v>3</v>
      </c>
      <c r="Q1076">
        <v>1</v>
      </c>
      <c r="R1076">
        <v>16</v>
      </c>
      <c r="S1076">
        <v>5</v>
      </c>
      <c r="T1076">
        <v>9</v>
      </c>
      <c r="U1076">
        <v>4</v>
      </c>
      <c r="V1076">
        <v>8</v>
      </c>
      <c r="W1076" t="s">
        <v>65</v>
      </c>
      <c r="X1076" s="1" t="d">
        <v>2012-02-17</v>
      </c>
      <c r="Z1076" t="s">
        <v>52</v>
      </c>
      <c r="AA1076" t="s">
        <v>40</v>
      </c>
      <c r="AB1076">
        <v>0</v>
      </c>
      <c r="AC1076">
        <v>2</v>
      </c>
      <c r="AD1076" t="s">
        <v>32</v>
      </c>
      <c r="AE1076" t="s">
        <v>62</v>
      </c>
      <c r="AF1076" t="s">
        <v>43</v>
      </c>
      <c r="AG1076">
        <f>IF(HR_Data[[#This Row],[Attrition]]="Yes",1,0)</f>
        <v>0</v>
      </c>
      <c r="AH1076" t="str">
        <f>IF(HR_Data[Date_of_termination]="","Active","Left")</f>
        <v>Active</v>
      </c>
      <c r="AI1076" t="str">
        <f>IF(HR_Data[YearsAtCompany]&lt;=2,"Fresher", IF(HR_Data[YearsAtCompany]&lt;=5,"Junior", IF(HR_Data[YearsAtCompany]&lt;=10, "Mid","Senior")))</f>
        <v>Mid</v>
      </c>
      <c r="AJ1076" s="2" t="str">
        <f>IF(HR_Data[MonthlyIncome]&lt;=300,"Low", IF(HR_Data[MonthlyIncome]&lt;=7000,"Medium", "High"))</f>
        <v>High</v>
      </c>
      <c r="AK1076" s="2" t="str">
        <f>VLOOKUP(HR_Data[JobRole], JobRole_Map[], 2, FALSE)</f>
        <v>Management</v>
      </c>
    </row>
    <row r="1077" spans="1:37" x14ac:dyDescent="0.25">
      <c r="A1077" s="2">
        <v>53</v>
      </c>
      <c r="B1077" t="s">
        <v>41</v>
      </c>
      <c r="C1077" t="s">
        <v>33</v>
      </c>
      <c r="D1077" t="s">
        <v>34</v>
      </c>
      <c r="E1077">
        <v>2</v>
      </c>
      <c r="F1077" t="s">
        <v>35</v>
      </c>
      <c r="G1077">
        <v>4</v>
      </c>
      <c r="H1077">
        <v>4</v>
      </c>
      <c r="I1077" t="s">
        <v>49</v>
      </c>
      <c r="J1077">
        <v>2</v>
      </c>
      <c r="K1077" t="s">
        <v>37</v>
      </c>
      <c r="L1077">
        <v>16598</v>
      </c>
      <c r="M1077">
        <v>4</v>
      </c>
      <c r="N1077" t="s">
        <v>41</v>
      </c>
      <c r="O1077">
        <v>12</v>
      </c>
      <c r="P1077">
        <v>3</v>
      </c>
      <c r="Q1077">
        <v>0</v>
      </c>
      <c r="R1077">
        <v>35</v>
      </c>
      <c r="S1077">
        <v>2</v>
      </c>
      <c r="T1077">
        <v>9</v>
      </c>
      <c r="U1077">
        <v>8</v>
      </c>
      <c r="V1077">
        <v>8</v>
      </c>
      <c r="W1077" t="s">
        <v>51</v>
      </c>
      <c r="X1077" s="1" t="d">
        <v>2012-04-28</v>
      </c>
      <c r="Z1077" t="s">
        <v>63</v>
      </c>
      <c r="AA1077" t="s">
        <v>40</v>
      </c>
      <c r="AB1077">
        <v>0</v>
      </c>
      <c r="AC1077">
        <v>1</v>
      </c>
      <c r="AD1077" t="s">
        <v>41</v>
      </c>
      <c r="AE1077" t="s">
        <v>47</v>
      </c>
      <c r="AF1077" t="s">
        <v>57</v>
      </c>
      <c r="AG1077">
        <f>IF(HR_Data[[#This Row],[Attrition]]="Yes",1,0)</f>
        <v>0</v>
      </c>
      <c r="AH1077" t="str">
        <f>IF(HR_Data[Date_of_termination]="","Active","Left")</f>
        <v>Active</v>
      </c>
      <c r="AI1077" t="str">
        <f>IF(HR_Data[YearsAtCompany]&lt;=2,"Fresher", IF(HR_Data[YearsAtCompany]&lt;=5,"Junior", IF(HR_Data[YearsAtCompany]&lt;=10, "Mid","Senior")))</f>
        <v>Mid</v>
      </c>
      <c r="AJ1077" s="2" t="str">
        <f>IF(HR_Data[MonthlyIncome]&lt;=300,"Low", IF(HR_Data[MonthlyIncome]&lt;=7000,"Medium", "High"))</f>
        <v>High</v>
      </c>
      <c r="AK1077" s="2" t="str">
        <f>VLOOKUP(HR_Data[JobRole], JobRole_Map[], 2, FALSE)</f>
        <v>Management</v>
      </c>
    </row>
    <row r="1078" spans="1:37" x14ac:dyDescent="0.25">
      <c r="A1078" s="2">
        <v>29</v>
      </c>
      <c r="B1078" t="s">
        <v>32</v>
      </c>
      <c r="C1078" t="s">
        <v>33</v>
      </c>
      <c r="D1078" t="s">
        <v>34</v>
      </c>
      <c r="E1078">
        <v>1</v>
      </c>
      <c r="F1078" t="s">
        <v>35</v>
      </c>
      <c r="G1078">
        <v>2</v>
      </c>
      <c r="H1078">
        <v>1</v>
      </c>
      <c r="I1078" t="s">
        <v>44</v>
      </c>
      <c r="J1078">
        <v>1</v>
      </c>
      <c r="K1078" t="s">
        <v>37</v>
      </c>
      <c r="L1078">
        <v>2362</v>
      </c>
      <c r="M1078">
        <v>6</v>
      </c>
      <c r="N1078" t="s">
        <v>41</v>
      </c>
      <c r="O1078">
        <v>13</v>
      </c>
      <c r="P1078">
        <v>3</v>
      </c>
      <c r="Q1078">
        <v>0</v>
      </c>
      <c r="R1078">
        <v>11</v>
      </c>
      <c r="S1078">
        <v>2</v>
      </c>
      <c r="T1078">
        <v>9</v>
      </c>
      <c r="U1078">
        <v>0</v>
      </c>
      <c r="V1078">
        <v>7</v>
      </c>
      <c r="W1078" t="s">
        <v>56</v>
      </c>
      <c r="X1078" s="1" t="d">
        <v>2012-02-03</v>
      </c>
      <c r="Z1078" t="s">
        <v>39</v>
      </c>
      <c r="AA1078" t="s">
        <v>40</v>
      </c>
      <c r="AB1078">
        <v>4</v>
      </c>
      <c r="AC1078">
        <v>3</v>
      </c>
      <c r="AD1078" t="s">
        <v>41</v>
      </c>
      <c r="AE1078" t="s">
        <v>47</v>
      </c>
      <c r="AF1078" t="s">
        <v>57</v>
      </c>
      <c r="AG1078">
        <f>IF(HR_Data[[#This Row],[Attrition]]="Yes",1,0)</f>
        <v>1</v>
      </c>
      <c r="AH1078" t="str">
        <f>IF(HR_Data[Date_of_termination]="","Active","Left")</f>
        <v>Active</v>
      </c>
      <c r="AI1078" t="str">
        <f>IF(HR_Data[YearsAtCompany]&lt;=2,"Fresher", IF(HR_Data[YearsAtCompany]&lt;=5,"Junior", IF(HR_Data[YearsAtCompany]&lt;=10, "Mid","Senior")))</f>
        <v>Mid</v>
      </c>
      <c r="AJ1078" s="2" t="str">
        <f>IF(HR_Data[MonthlyIncome]&lt;=300,"Low", IF(HR_Data[MonthlyIncome]&lt;=7000,"Medium", "High"))</f>
        <v>Medium</v>
      </c>
      <c r="AK1078" s="2" t="str">
        <f>VLOOKUP(HR_Data[JobRole], JobRole_Map[], 2, FALSE)</f>
        <v>Technical</v>
      </c>
    </row>
    <row r="1079" spans="1:37" x14ac:dyDescent="0.25">
      <c r="A1079" s="2">
        <v>38</v>
      </c>
      <c r="B1079" t="s">
        <v>41</v>
      </c>
      <c r="C1079" t="s">
        <v>33</v>
      </c>
      <c r="D1079" t="s">
        <v>53</v>
      </c>
      <c r="E1079">
        <v>14</v>
      </c>
      <c r="F1079" t="s">
        <v>35</v>
      </c>
      <c r="G1079">
        <v>3</v>
      </c>
      <c r="H1079">
        <v>2</v>
      </c>
      <c r="I1079" t="s">
        <v>64</v>
      </c>
      <c r="J1079">
        <v>2</v>
      </c>
      <c r="K1079" t="s">
        <v>50</v>
      </c>
      <c r="L1079">
        <v>9924</v>
      </c>
      <c r="M1079">
        <v>0</v>
      </c>
      <c r="N1079" t="s">
        <v>41</v>
      </c>
      <c r="O1079">
        <v>11</v>
      </c>
      <c r="P1079">
        <v>3</v>
      </c>
      <c r="Q1079">
        <v>1</v>
      </c>
      <c r="R1079">
        <v>10</v>
      </c>
      <c r="S1079">
        <v>3</v>
      </c>
      <c r="T1079">
        <v>9</v>
      </c>
      <c r="U1079">
        <v>7</v>
      </c>
      <c r="V1079">
        <v>7</v>
      </c>
      <c r="W1079" t="s">
        <v>51</v>
      </c>
      <c r="X1079" s="1" t="d">
        <v>2012-02-05</v>
      </c>
      <c r="Z1079" t="s">
        <v>59</v>
      </c>
      <c r="AA1079" t="s">
        <v>40</v>
      </c>
      <c r="AB1079">
        <v>4</v>
      </c>
      <c r="AC1079">
        <v>3</v>
      </c>
      <c r="AD1079" t="s">
        <v>41</v>
      </c>
      <c r="AE1079" t="s">
        <v>60</v>
      </c>
      <c r="AF1079" t="s">
        <v>43</v>
      </c>
      <c r="AG1079">
        <f>IF(HR_Data[[#This Row],[Attrition]]="Yes",1,0)</f>
        <v>0</v>
      </c>
      <c r="AH1079" t="str">
        <f>IF(HR_Data[Date_of_termination]="","Active","Left")</f>
        <v>Active</v>
      </c>
      <c r="AI1079" t="str">
        <f>IF(HR_Data[YearsAtCompany]&lt;=2,"Fresher", IF(HR_Data[YearsAtCompany]&lt;=5,"Junior", IF(HR_Data[YearsAtCompany]&lt;=10, "Mid","Senior")))</f>
        <v>Mid</v>
      </c>
      <c r="AJ1079" s="2" t="str">
        <f>IF(HR_Data[MonthlyIncome]&lt;=300,"Low", IF(HR_Data[MonthlyIncome]&lt;=7000,"Medium", "High"))</f>
        <v>High</v>
      </c>
      <c r="AK1079" s="2" t="str">
        <f>VLOOKUP(HR_Data[JobRole], JobRole_Map[], 2, FALSE)</f>
        <v>Sales</v>
      </c>
    </row>
    <row r="1080" spans="1:37" x14ac:dyDescent="0.25">
      <c r="A1080" s="2">
        <v>34</v>
      </c>
      <c r="B1080" t="s">
        <v>41</v>
      </c>
      <c r="C1080" t="s">
        <v>61</v>
      </c>
      <c r="D1080" t="s">
        <v>34</v>
      </c>
      <c r="E1080">
        <v>10</v>
      </c>
      <c r="F1080" t="s">
        <v>35</v>
      </c>
      <c r="G1080">
        <v>4</v>
      </c>
      <c r="H1080">
        <v>2</v>
      </c>
      <c r="I1080" t="s">
        <v>67</v>
      </c>
      <c r="J1080">
        <v>4</v>
      </c>
      <c r="K1080" t="s">
        <v>55</v>
      </c>
      <c r="L1080">
        <v>4724</v>
      </c>
      <c r="M1080">
        <v>1</v>
      </c>
      <c r="N1080" t="s">
        <v>41</v>
      </c>
      <c r="O1080">
        <v>13</v>
      </c>
      <c r="P1080">
        <v>3</v>
      </c>
      <c r="Q1080">
        <v>1</v>
      </c>
      <c r="R1080">
        <v>9</v>
      </c>
      <c r="S1080">
        <v>3</v>
      </c>
      <c r="T1080">
        <v>9</v>
      </c>
      <c r="U1080">
        <v>7</v>
      </c>
      <c r="V1080">
        <v>2</v>
      </c>
      <c r="W1080" t="s">
        <v>56</v>
      </c>
      <c r="X1080" s="1" t="d">
        <v>2012-01-28</v>
      </c>
      <c r="Z1080" t="s">
        <v>52</v>
      </c>
      <c r="AA1080" t="s">
        <v>46</v>
      </c>
      <c r="AB1080">
        <v>1</v>
      </c>
      <c r="AC1080">
        <v>1</v>
      </c>
      <c r="AD1080" t="s">
        <v>41</v>
      </c>
      <c r="AE1080" t="s">
        <v>42</v>
      </c>
      <c r="AF1080" t="s">
        <v>43</v>
      </c>
      <c r="AG1080">
        <f>IF(HR_Data[[#This Row],[Attrition]]="Yes",1,0)</f>
        <v>0</v>
      </c>
      <c r="AH1080" t="str">
        <f>IF(HR_Data[Date_of_termination]="","Active","Left")</f>
        <v>Active</v>
      </c>
      <c r="AI1080" t="str">
        <f>IF(HR_Data[YearsAtCompany]&lt;=2,"Fresher", IF(HR_Data[YearsAtCompany]&lt;=5,"Junior", IF(HR_Data[YearsAtCompany]&lt;=10, "Mid","Senior")))</f>
        <v>Mid</v>
      </c>
      <c r="AJ1080" s="2" t="str">
        <f>IF(HR_Data[MonthlyIncome]&lt;=300,"Low", IF(HR_Data[MonthlyIncome]&lt;=7000,"Medium", "High"))</f>
        <v>Medium</v>
      </c>
      <c r="AK1080" s="2" t="str">
        <f>VLOOKUP(HR_Data[JobRole], JobRole_Map[], 2, FALSE)</f>
        <v>Operations</v>
      </c>
    </row>
    <row r="1081" spans="1:37" x14ac:dyDescent="0.25">
      <c r="A1081" s="2">
        <v>49</v>
      </c>
      <c r="B1081" t="s">
        <v>41</v>
      </c>
      <c r="C1081" t="s">
        <v>33</v>
      </c>
      <c r="D1081" t="s">
        <v>34</v>
      </c>
      <c r="E1081">
        <v>25</v>
      </c>
      <c r="F1081" t="s">
        <v>58</v>
      </c>
      <c r="G1081">
        <v>3</v>
      </c>
      <c r="H1081">
        <v>1</v>
      </c>
      <c r="I1081" t="s">
        <v>36</v>
      </c>
      <c r="J1081">
        <v>1</v>
      </c>
      <c r="K1081" t="s">
        <v>50</v>
      </c>
      <c r="L1081">
        <v>3211</v>
      </c>
      <c r="M1081">
        <v>1</v>
      </c>
      <c r="N1081" t="s">
        <v>41</v>
      </c>
      <c r="O1081">
        <v>14</v>
      </c>
      <c r="P1081">
        <v>3</v>
      </c>
      <c r="Q1081">
        <v>1</v>
      </c>
      <c r="R1081">
        <v>10</v>
      </c>
      <c r="S1081">
        <v>3</v>
      </c>
      <c r="T1081">
        <v>9</v>
      </c>
      <c r="U1081">
        <v>1</v>
      </c>
      <c r="V1081">
        <v>4</v>
      </c>
      <c r="W1081" t="s">
        <v>51</v>
      </c>
      <c r="X1081" s="1" t="d">
        <v>2012-02-16</v>
      </c>
      <c r="Z1081" t="s">
        <v>63</v>
      </c>
      <c r="AA1081" t="s">
        <v>40</v>
      </c>
      <c r="AB1081">
        <v>5</v>
      </c>
      <c r="AC1081">
        <v>3</v>
      </c>
      <c r="AD1081" t="s">
        <v>32</v>
      </c>
      <c r="AE1081" t="s">
        <v>42</v>
      </c>
      <c r="AF1081" t="s">
        <v>48</v>
      </c>
      <c r="AG1081">
        <f>IF(HR_Data[[#This Row],[Attrition]]="Yes",1,0)</f>
        <v>0</v>
      </c>
      <c r="AH1081" t="str">
        <f>IF(HR_Data[Date_of_termination]="","Active","Left")</f>
        <v>Active</v>
      </c>
      <c r="AI1081" t="str">
        <f>IF(HR_Data[YearsAtCompany]&lt;=2,"Fresher", IF(HR_Data[YearsAtCompany]&lt;=5,"Junior", IF(HR_Data[YearsAtCompany]&lt;=10, "Mid","Senior")))</f>
        <v>Mid</v>
      </c>
      <c r="AJ1081" s="2" t="str">
        <f>IF(HR_Data[MonthlyIncome]&lt;=300,"Low", IF(HR_Data[MonthlyIncome]&lt;=7000,"Medium", "High"))</f>
        <v>Medium</v>
      </c>
      <c r="AK1081" s="2" t="str">
        <f>VLOOKUP(HR_Data[JobRole], JobRole_Map[], 2, FALSE)</f>
        <v>Technical</v>
      </c>
    </row>
    <row r="1082" spans="1:37" x14ac:dyDescent="0.25">
      <c r="A1082" s="2">
        <v>39</v>
      </c>
      <c r="B1082" t="s">
        <v>41</v>
      </c>
      <c r="C1082" t="s">
        <v>61</v>
      </c>
      <c r="D1082" t="s">
        <v>34</v>
      </c>
      <c r="E1082">
        <v>4</v>
      </c>
      <c r="F1082" t="s">
        <v>58</v>
      </c>
      <c r="G1082">
        <v>3</v>
      </c>
      <c r="H1082">
        <v>2</v>
      </c>
      <c r="I1082" t="s">
        <v>67</v>
      </c>
      <c r="J1082">
        <v>3</v>
      </c>
      <c r="K1082" t="s">
        <v>37</v>
      </c>
      <c r="L1082">
        <v>5042</v>
      </c>
      <c r="M1082">
        <v>0</v>
      </c>
      <c r="N1082" t="s">
        <v>41</v>
      </c>
      <c r="O1082">
        <v>13</v>
      </c>
      <c r="P1082">
        <v>3</v>
      </c>
      <c r="Q1082">
        <v>0</v>
      </c>
      <c r="R1082">
        <v>10</v>
      </c>
      <c r="S1082">
        <v>2</v>
      </c>
      <c r="T1082">
        <v>9</v>
      </c>
      <c r="U1082">
        <v>3</v>
      </c>
      <c r="V1082">
        <v>8</v>
      </c>
      <c r="W1082" t="s">
        <v>38</v>
      </c>
      <c r="X1082" s="1" t="d">
        <v>2012-06-30</v>
      </c>
      <c r="Z1082" t="s">
        <v>45</v>
      </c>
      <c r="AA1082" t="s">
        <v>46</v>
      </c>
      <c r="AB1082">
        <v>5</v>
      </c>
      <c r="AC1082">
        <v>2</v>
      </c>
      <c r="AD1082" t="s">
        <v>41</v>
      </c>
      <c r="AE1082" t="s">
        <v>60</v>
      </c>
      <c r="AF1082" t="s">
        <v>48</v>
      </c>
      <c r="AG1082">
        <f>IF(HR_Data[[#This Row],[Attrition]]="Yes",1,0)</f>
        <v>0</v>
      </c>
      <c r="AH1082" t="str">
        <f>IF(HR_Data[Date_of_termination]="","Active","Left")</f>
        <v>Active</v>
      </c>
      <c r="AI1082" t="str">
        <f>IF(HR_Data[YearsAtCompany]&lt;=2,"Fresher", IF(HR_Data[YearsAtCompany]&lt;=5,"Junior", IF(HR_Data[YearsAtCompany]&lt;=10, "Mid","Senior")))</f>
        <v>Mid</v>
      </c>
      <c r="AJ1082" s="2" t="str">
        <f>IF(HR_Data[MonthlyIncome]&lt;=300,"Low", IF(HR_Data[MonthlyIncome]&lt;=7000,"Medium", "High"))</f>
        <v>Medium</v>
      </c>
      <c r="AK1082" s="2" t="str">
        <f>VLOOKUP(HR_Data[JobRole], JobRole_Map[], 2, FALSE)</f>
        <v>Operations</v>
      </c>
    </row>
    <row r="1083" spans="1:37" x14ac:dyDescent="0.25">
      <c r="A1083" s="2">
        <v>32</v>
      </c>
      <c r="B1083" t="s">
        <v>41</v>
      </c>
      <c r="C1083" t="s">
        <v>33</v>
      </c>
      <c r="D1083" t="s">
        <v>34</v>
      </c>
      <c r="E1083">
        <v>2</v>
      </c>
      <c r="F1083" t="s">
        <v>35</v>
      </c>
      <c r="G1083">
        <v>3</v>
      </c>
      <c r="H1083">
        <v>2</v>
      </c>
      <c r="I1083" t="s">
        <v>44</v>
      </c>
      <c r="J1083">
        <v>2</v>
      </c>
      <c r="K1083" t="s">
        <v>55</v>
      </c>
      <c r="L1083">
        <v>5470</v>
      </c>
      <c r="M1083">
        <v>0</v>
      </c>
      <c r="N1083" t="s">
        <v>41</v>
      </c>
      <c r="O1083">
        <v>13</v>
      </c>
      <c r="P1083">
        <v>3</v>
      </c>
      <c r="Q1083">
        <v>2</v>
      </c>
      <c r="R1083">
        <v>10</v>
      </c>
      <c r="S1083">
        <v>4</v>
      </c>
      <c r="T1083">
        <v>9</v>
      </c>
      <c r="U1083">
        <v>1</v>
      </c>
      <c r="V1083">
        <v>6</v>
      </c>
      <c r="W1083" t="s">
        <v>38</v>
      </c>
      <c r="X1083" s="1" t="d">
        <v>2012-02-19</v>
      </c>
      <c r="Z1083" t="s">
        <v>39</v>
      </c>
      <c r="AA1083" t="s">
        <v>40</v>
      </c>
      <c r="AB1083">
        <v>5</v>
      </c>
      <c r="AC1083">
        <v>1</v>
      </c>
      <c r="AD1083" t="s">
        <v>41</v>
      </c>
      <c r="AE1083" t="s">
        <v>60</v>
      </c>
      <c r="AF1083" t="s">
        <v>43</v>
      </c>
      <c r="AG1083">
        <f>IF(HR_Data[[#This Row],[Attrition]]="Yes",1,0)</f>
        <v>0</v>
      </c>
      <c r="AH1083" t="str">
        <f>IF(HR_Data[Date_of_termination]="","Active","Left")</f>
        <v>Active</v>
      </c>
      <c r="AI1083" t="str">
        <f>IF(HR_Data[YearsAtCompany]&lt;=2,"Fresher", IF(HR_Data[YearsAtCompany]&lt;=5,"Junior", IF(HR_Data[YearsAtCompany]&lt;=10, "Mid","Senior")))</f>
        <v>Mid</v>
      </c>
      <c r="AJ1083" s="2" t="str">
        <f>IF(HR_Data[MonthlyIncome]&lt;=300,"Low", IF(HR_Data[MonthlyIncome]&lt;=7000,"Medium", "High"))</f>
        <v>Medium</v>
      </c>
      <c r="AK1083" s="2" t="str">
        <f>VLOOKUP(HR_Data[JobRole], JobRole_Map[], 2, FALSE)</f>
        <v>Technical</v>
      </c>
    </row>
    <row r="1084" spans="1:37" x14ac:dyDescent="0.25">
      <c r="A1084" s="2">
        <v>48</v>
      </c>
      <c r="B1084" t="s">
        <v>32</v>
      </c>
      <c r="C1084" t="s">
        <v>61</v>
      </c>
      <c r="D1084" t="s">
        <v>53</v>
      </c>
      <c r="E1084">
        <v>7</v>
      </c>
      <c r="F1084" t="s">
        <v>58</v>
      </c>
      <c r="G1084">
        <v>3</v>
      </c>
      <c r="H1084">
        <v>1</v>
      </c>
      <c r="I1084" t="s">
        <v>54</v>
      </c>
      <c r="J1084">
        <v>3</v>
      </c>
      <c r="K1084" t="s">
        <v>50</v>
      </c>
      <c r="L1084">
        <v>2655</v>
      </c>
      <c r="M1084">
        <v>2</v>
      </c>
      <c r="N1084" t="s">
        <v>32</v>
      </c>
      <c r="O1084">
        <v>11</v>
      </c>
      <c r="P1084">
        <v>3</v>
      </c>
      <c r="Q1084">
        <v>2</v>
      </c>
      <c r="R1084">
        <v>19</v>
      </c>
      <c r="S1084">
        <v>3</v>
      </c>
      <c r="T1084">
        <v>9</v>
      </c>
      <c r="U1084">
        <v>7</v>
      </c>
      <c r="V1084">
        <v>7</v>
      </c>
      <c r="W1084" t="s">
        <v>65</v>
      </c>
      <c r="X1084" s="1" t="d">
        <v>2012-05-28</v>
      </c>
      <c r="Z1084" t="s">
        <v>59</v>
      </c>
      <c r="AA1084" t="s">
        <v>46</v>
      </c>
      <c r="AB1084">
        <v>3</v>
      </c>
      <c r="AC1084">
        <v>0</v>
      </c>
      <c r="AD1084" t="s">
        <v>41</v>
      </c>
      <c r="AE1084" t="s">
        <v>42</v>
      </c>
      <c r="AF1084" t="s">
        <v>43</v>
      </c>
      <c r="AG1084">
        <f>IF(HR_Data[[#This Row],[Attrition]]="Yes",1,0)</f>
        <v>1</v>
      </c>
      <c r="AH1084" t="str">
        <f>IF(HR_Data[Date_of_termination]="","Active","Left")</f>
        <v>Active</v>
      </c>
      <c r="AI1084" t="str">
        <f>IF(HR_Data[YearsAtCompany]&lt;=2,"Fresher", IF(HR_Data[YearsAtCompany]&lt;=5,"Junior", IF(HR_Data[YearsAtCompany]&lt;=10, "Mid","Senior")))</f>
        <v>Mid</v>
      </c>
      <c r="AJ1084" s="2" t="str">
        <f>IF(HR_Data[MonthlyIncome]&lt;=300,"Low", IF(HR_Data[MonthlyIncome]&lt;=7000,"Medium", "High"))</f>
        <v>Medium</v>
      </c>
      <c r="AK1084" s="2" t="str">
        <f>VLOOKUP(HR_Data[JobRole], JobRole_Map[], 2, FALSE)</f>
        <v>Sales</v>
      </c>
    </row>
    <row r="1085" spans="1:37" x14ac:dyDescent="0.25">
      <c r="A1085" s="2">
        <v>39</v>
      </c>
      <c r="B1085" t="s">
        <v>41</v>
      </c>
      <c r="C1085" t="s">
        <v>68</v>
      </c>
      <c r="D1085" t="s">
        <v>34</v>
      </c>
      <c r="E1085">
        <v>1</v>
      </c>
      <c r="F1085" t="s">
        <v>35</v>
      </c>
      <c r="G1085">
        <v>3</v>
      </c>
      <c r="H1085">
        <v>2</v>
      </c>
      <c r="I1085" t="s">
        <v>36</v>
      </c>
      <c r="J1085">
        <v>4</v>
      </c>
      <c r="K1085" t="s">
        <v>50</v>
      </c>
      <c r="L1085">
        <v>6472</v>
      </c>
      <c r="M1085">
        <v>1</v>
      </c>
      <c r="N1085" t="s">
        <v>32</v>
      </c>
      <c r="O1085">
        <v>15</v>
      </c>
      <c r="P1085">
        <v>3</v>
      </c>
      <c r="Q1085">
        <v>1</v>
      </c>
      <c r="R1085">
        <v>9</v>
      </c>
      <c r="S1085">
        <v>2</v>
      </c>
      <c r="T1085">
        <v>9</v>
      </c>
      <c r="U1085">
        <v>5</v>
      </c>
      <c r="V1085">
        <v>8</v>
      </c>
      <c r="W1085" t="s">
        <v>38</v>
      </c>
      <c r="X1085" s="1" t="d">
        <v>2012-06-23</v>
      </c>
      <c r="Z1085" t="s">
        <v>52</v>
      </c>
      <c r="AA1085" t="s">
        <v>40</v>
      </c>
      <c r="AB1085">
        <v>4</v>
      </c>
      <c r="AC1085">
        <v>2</v>
      </c>
      <c r="AD1085" t="s">
        <v>32</v>
      </c>
      <c r="AE1085" t="s">
        <v>42</v>
      </c>
      <c r="AF1085" t="s">
        <v>43</v>
      </c>
      <c r="AG1085">
        <f>IF(HR_Data[[#This Row],[Attrition]]="Yes",1,0)</f>
        <v>0</v>
      </c>
      <c r="AH1085" t="str">
        <f>IF(HR_Data[Date_of_termination]="","Active","Left")</f>
        <v>Active</v>
      </c>
      <c r="AI1085" t="str">
        <f>IF(HR_Data[YearsAtCompany]&lt;=2,"Fresher", IF(HR_Data[YearsAtCompany]&lt;=5,"Junior", IF(HR_Data[YearsAtCompany]&lt;=10, "Mid","Senior")))</f>
        <v>Mid</v>
      </c>
      <c r="AJ1085" s="2" t="str">
        <f>IF(HR_Data[MonthlyIncome]&lt;=300,"Low", IF(HR_Data[MonthlyIncome]&lt;=7000,"Medium", "High"))</f>
        <v>Medium</v>
      </c>
      <c r="AK1085" s="2" t="str">
        <f>VLOOKUP(HR_Data[JobRole], JobRole_Map[], 2, FALSE)</f>
        <v>Technical</v>
      </c>
    </row>
    <row r="1086" spans="1:37" x14ac:dyDescent="0.25">
      <c r="A1086" s="2">
        <v>30</v>
      </c>
      <c r="B1086" t="s">
        <v>41</v>
      </c>
      <c r="C1086" t="s">
        <v>61</v>
      </c>
      <c r="D1086" t="s">
        <v>34</v>
      </c>
      <c r="E1086">
        <v>2</v>
      </c>
      <c r="F1086" t="s">
        <v>58</v>
      </c>
      <c r="G1086">
        <v>2</v>
      </c>
      <c r="H1086">
        <v>1</v>
      </c>
      <c r="I1086" t="s">
        <v>44</v>
      </c>
      <c r="J1086">
        <v>1</v>
      </c>
      <c r="K1086" t="s">
        <v>37</v>
      </c>
      <c r="L1086">
        <v>4968</v>
      </c>
      <c r="M1086">
        <v>0</v>
      </c>
      <c r="N1086" t="s">
        <v>41</v>
      </c>
      <c r="O1086">
        <v>16</v>
      </c>
      <c r="P1086">
        <v>3</v>
      </c>
      <c r="Q1086">
        <v>0</v>
      </c>
      <c r="R1086">
        <v>10</v>
      </c>
      <c r="S1086">
        <v>2</v>
      </c>
      <c r="T1086">
        <v>9</v>
      </c>
      <c r="U1086">
        <v>0</v>
      </c>
      <c r="V1086">
        <v>7</v>
      </c>
      <c r="W1086" t="s">
        <v>51</v>
      </c>
      <c r="X1086" s="1" t="d">
        <v>2012-01-02</v>
      </c>
      <c r="Z1086" t="s">
        <v>45</v>
      </c>
      <c r="AA1086" t="s">
        <v>46</v>
      </c>
      <c r="AB1086">
        <v>0</v>
      </c>
      <c r="AC1086">
        <v>2</v>
      </c>
      <c r="AD1086" t="s">
        <v>41</v>
      </c>
      <c r="AE1086" t="s">
        <v>60</v>
      </c>
      <c r="AF1086" t="s">
        <v>48</v>
      </c>
      <c r="AG1086">
        <f>IF(HR_Data[[#This Row],[Attrition]]="Yes",1,0)</f>
        <v>0</v>
      </c>
      <c r="AH1086" t="str">
        <f>IF(HR_Data[Date_of_termination]="","Active","Left")</f>
        <v>Active</v>
      </c>
      <c r="AI1086" t="str">
        <f>IF(HR_Data[YearsAtCompany]&lt;=2,"Fresher", IF(HR_Data[YearsAtCompany]&lt;=5,"Junior", IF(HR_Data[YearsAtCompany]&lt;=10, "Mid","Senior")))</f>
        <v>Mid</v>
      </c>
      <c r="AJ1086" s="2" t="str">
        <f>IF(HR_Data[MonthlyIncome]&lt;=300,"Low", IF(HR_Data[MonthlyIncome]&lt;=7000,"Medium", "High"))</f>
        <v>Medium</v>
      </c>
      <c r="AK1086" s="2" t="str">
        <f>VLOOKUP(HR_Data[JobRole], JobRole_Map[], 2, FALSE)</f>
        <v>Technical</v>
      </c>
    </row>
    <row r="1087" spans="1:37" x14ac:dyDescent="0.25">
      <c r="A1087" s="2">
        <v>33</v>
      </c>
      <c r="B1087" t="s">
        <v>41</v>
      </c>
      <c r="C1087" t="s">
        <v>68</v>
      </c>
      <c r="D1087" t="s">
        <v>34</v>
      </c>
      <c r="E1087">
        <v>4</v>
      </c>
      <c r="F1087" t="s">
        <v>35</v>
      </c>
      <c r="G1087">
        <v>3</v>
      </c>
      <c r="H1087">
        <v>2</v>
      </c>
      <c r="I1087" t="s">
        <v>44</v>
      </c>
      <c r="J1087">
        <v>2</v>
      </c>
      <c r="K1087" t="s">
        <v>55</v>
      </c>
      <c r="L1087">
        <v>3055</v>
      </c>
      <c r="M1087">
        <v>5</v>
      </c>
      <c r="N1087" t="s">
        <v>41</v>
      </c>
      <c r="O1087">
        <v>15</v>
      </c>
      <c r="P1087">
        <v>3</v>
      </c>
      <c r="Q1087">
        <v>2</v>
      </c>
      <c r="R1087">
        <v>11</v>
      </c>
      <c r="S1087">
        <v>2</v>
      </c>
      <c r="T1087">
        <v>9</v>
      </c>
      <c r="U1087">
        <v>1</v>
      </c>
      <c r="V1087">
        <v>7</v>
      </c>
      <c r="W1087" t="s">
        <v>56</v>
      </c>
      <c r="X1087" s="1" t="d">
        <v>2012-01-08</v>
      </c>
      <c r="Z1087" t="s">
        <v>52</v>
      </c>
      <c r="AA1087" t="s">
        <v>46</v>
      </c>
      <c r="AB1087">
        <v>4</v>
      </c>
      <c r="AC1087">
        <v>2</v>
      </c>
      <c r="AD1087" t="s">
        <v>32</v>
      </c>
      <c r="AE1087" t="s">
        <v>42</v>
      </c>
      <c r="AF1087" t="s">
        <v>43</v>
      </c>
      <c r="AG1087">
        <f>IF(HR_Data[[#This Row],[Attrition]]="Yes",1,0)</f>
        <v>0</v>
      </c>
      <c r="AH1087" t="str">
        <f>IF(HR_Data[Date_of_termination]="","Active","Left")</f>
        <v>Active</v>
      </c>
      <c r="AI1087" t="str">
        <f>IF(HR_Data[YearsAtCompany]&lt;=2,"Fresher", IF(HR_Data[YearsAtCompany]&lt;=5,"Junior", IF(HR_Data[YearsAtCompany]&lt;=10, "Mid","Senior")))</f>
        <v>Mid</v>
      </c>
      <c r="AJ1087" s="2" t="str">
        <f>IF(HR_Data[MonthlyIncome]&lt;=300,"Low", IF(HR_Data[MonthlyIncome]&lt;=7000,"Medium", "High"))</f>
        <v>Medium</v>
      </c>
      <c r="AK1087" s="2" t="str">
        <f>VLOOKUP(HR_Data[JobRole], JobRole_Map[], 2, FALSE)</f>
        <v>Technical</v>
      </c>
    </row>
    <row r="1088" spans="1:37" x14ac:dyDescent="0.25">
      <c r="A1088" s="2">
        <v>43</v>
      </c>
      <c r="B1088" t="s">
        <v>41</v>
      </c>
      <c r="C1088" t="s">
        <v>33</v>
      </c>
      <c r="D1088" t="s">
        <v>70</v>
      </c>
      <c r="E1088">
        <v>2</v>
      </c>
      <c r="F1088" t="s">
        <v>35</v>
      </c>
      <c r="G1088">
        <v>3</v>
      </c>
      <c r="H1088">
        <v>1</v>
      </c>
      <c r="I1088" t="s">
        <v>70</v>
      </c>
      <c r="J1088">
        <v>4</v>
      </c>
      <c r="K1088" t="s">
        <v>37</v>
      </c>
      <c r="L1088">
        <v>3539</v>
      </c>
      <c r="M1088">
        <v>0</v>
      </c>
      <c r="N1088" t="s">
        <v>41</v>
      </c>
      <c r="O1088">
        <v>13</v>
      </c>
      <c r="P1088">
        <v>3</v>
      </c>
      <c r="Q1088">
        <v>0</v>
      </c>
      <c r="R1088">
        <v>10</v>
      </c>
      <c r="S1088">
        <v>5</v>
      </c>
      <c r="T1088">
        <v>9</v>
      </c>
      <c r="U1088">
        <v>1</v>
      </c>
      <c r="V1088">
        <v>8</v>
      </c>
      <c r="W1088" t="s">
        <v>56</v>
      </c>
      <c r="X1088" s="1" t="d">
        <v>2012-05-03</v>
      </c>
      <c r="Z1088" t="s">
        <v>63</v>
      </c>
      <c r="AA1088" t="s">
        <v>40</v>
      </c>
      <c r="AB1088">
        <v>3</v>
      </c>
      <c r="AC1088">
        <v>1</v>
      </c>
      <c r="AD1088" t="s">
        <v>41</v>
      </c>
      <c r="AE1088" t="s">
        <v>47</v>
      </c>
      <c r="AF1088" t="s">
        <v>43</v>
      </c>
      <c r="AG1088">
        <f>IF(HR_Data[[#This Row],[Attrition]]="Yes",1,0)</f>
        <v>0</v>
      </c>
      <c r="AH1088" t="str">
        <f>IF(HR_Data[Date_of_termination]="","Active","Left")</f>
        <v>Active</v>
      </c>
      <c r="AI1088" t="str">
        <f>IF(HR_Data[YearsAtCompany]&lt;=2,"Fresher", IF(HR_Data[YearsAtCompany]&lt;=5,"Junior", IF(HR_Data[YearsAtCompany]&lt;=10, "Mid","Senior")))</f>
        <v>Mid</v>
      </c>
      <c r="AJ1088" s="2" t="str">
        <f>IF(HR_Data[MonthlyIncome]&lt;=300,"Low", IF(HR_Data[MonthlyIncome]&lt;=7000,"Medium", "High"))</f>
        <v>Medium</v>
      </c>
      <c r="AK1088" s="2" t="str">
        <f>VLOOKUP(HR_Data[JobRole], JobRole_Map[], 2, FALSE)</f>
        <v>HR</v>
      </c>
    </row>
    <row r="1089" spans="1:37" x14ac:dyDescent="0.25">
      <c r="A1089" s="2">
        <v>46</v>
      </c>
      <c r="B1089" t="s">
        <v>32</v>
      </c>
      <c r="C1089" t="s">
        <v>33</v>
      </c>
      <c r="D1089" t="s">
        <v>34</v>
      </c>
      <c r="E1089">
        <v>21</v>
      </c>
      <c r="F1089" t="s">
        <v>58</v>
      </c>
      <c r="G1089">
        <v>3</v>
      </c>
      <c r="H1089">
        <v>2</v>
      </c>
      <c r="I1089" t="s">
        <v>69</v>
      </c>
      <c r="J1089">
        <v>2</v>
      </c>
      <c r="K1089" t="s">
        <v>50</v>
      </c>
      <c r="L1089">
        <v>8926</v>
      </c>
      <c r="M1089">
        <v>4</v>
      </c>
      <c r="N1089" t="s">
        <v>41</v>
      </c>
      <c r="O1089">
        <v>22</v>
      </c>
      <c r="P1089">
        <v>4</v>
      </c>
      <c r="Q1089">
        <v>1</v>
      </c>
      <c r="R1089">
        <v>13</v>
      </c>
      <c r="S1089">
        <v>2</v>
      </c>
      <c r="T1089">
        <v>9</v>
      </c>
      <c r="U1089">
        <v>3</v>
      </c>
      <c r="V1089">
        <v>7</v>
      </c>
      <c r="W1089" t="s">
        <v>38</v>
      </c>
      <c r="X1089" s="1" t="d">
        <v>2012-06-26</v>
      </c>
      <c r="Z1089" t="s">
        <v>59</v>
      </c>
      <c r="AA1089" t="s">
        <v>40</v>
      </c>
      <c r="AB1089">
        <v>0</v>
      </c>
      <c r="AC1089">
        <v>3</v>
      </c>
      <c r="AD1089" t="s">
        <v>41</v>
      </c>
      <c r="AE1089" t="s">
        <v>62</v>
      </c>
      <c r="AF1089" t="s">
        <v>48</v>
      </c>
      <c r="AG1089">
        <f>IF(HR_Data[[#This Row],[Attrition]]="Yes",1,0)</f>
        <v>1</v>
      </c>
      <c r="AH1089" t="str">
        <f>IF(HR_Data[Date_of_termination]="","Active","Left")</f>
        <v>Active</v>
      </c>
      <c r="AI1089" t="str">
        <f>IF(HR_Data[YearsAtCompany]&lt;=2,"Fresher", IF(HR_Data[YearsAtCompany]&lt;=5,"Junior", IF(HR_Data[YearsAtCompany]&lt;=10, "Mid","Senior")))</f>
        <v>Mid</v>
      </c>
      <c r="AJ1089" s="2" t="str">
        <f>IF(HR_Data[MonthlyIncome]&lt;=300,"Low", IF(HR_Data[MonthlyIncome]&lt;=7000,"Medium", "High"))</f>
        <v>High</v>
      </c>
      <c r="AK1089" s="2" t="str">
        <f>VLOOKUP(HR_Data[JobRole], JobRole_Map[], 2, FALSE)</f>
        <v>Operations</v>
      </c>
    </row>
    <row r="1090" spans="1:37" x14ac:dyDescent="0.25">
      <c r="A1090" s="2">
        <v>46</v>
      </c>
      <c r="B1090" t="s">
        <v>41</v>
      </c>
      <c r="C1090" t="s">
        <v>33</v>
      </c>
      <c r="D1090" t="s">
        <v>34</v>
      </c>
      <c r="E1090">
        <v>2</v>
      </c>
      <c r="F1090" t="s">
        <v>35</v>
      </c>
      <c r="G1090">
        <v>3</v>
      </c>
      <c r="H1090">
        <v>3</v>
      </c>
      <c r="I1090" t="s">
        <v>67</v>
      </c>
      <c r="J1090">
        <v>4</v>
      </c>
      <c r="K1090" t="s">
        <v>55</v>
      </c>
      <c r="L1090">
        <v>8578</v>
      </c>
      <c r="M1090">
        <v>3</v>
      </c>
      <c r="N1090" t="s">
        <v>41</v>
      </c>
      <c r="O1090">
        <v>14</v>
      </c>
      <c r="P1090">
        <v>3</v>
      </c>
      <c r="Q1090">
        <v>1</v>
      </c>
      <c r="R1090">
        <v>12</v>
      </c>
      <c r="S1090">
        <v>4</v>
      </c>
      <c r="T1090">
        <v>9</v>
      </c>
      <c r="U1090">
        <v>4</v>
      </c>
      <c r="V1090">
        <v>7</v>
      </c>
      <c r="W1090" t="s">
        <v>65</v>
      </c>
      <c r="X1090" s="1" t="d">
        <v>2012-01-28</v>
      </c>
      <c r="Z1090" t="s">
        <v>59</v>
      </c>
      <c r="AA1090" t="s">
        <v>40</v>
      </c>
      <c r="AB1090">
        <v>2</v>
      </c>
      <c r="AC1090">
        <v>3</v>
      </c>
      <c r="AD1090" t="s">
        <v>32</v>
      </c>
      <c r="AE1090" t="s">
        <v>42</v>
      </c>
      <c r="AF1090" t="s">
        <v>43</v>
      </c>
      <c r="AG1090">
        <f>IF(HR_Data[[#This Row],[Attrition]]="Yes",1,0)</f>
        <v>0</v>
      </c>
      <c r="AH1090" t="str">
        <f>IF(HR_Data[Date_of_termination]="","Active","Left")</f>
        <v>Active</v>
      </c>
      <c r="AI1090" t="str">
        <f>IF(HR_Data[YearsAtCompany]&lt;=2,"Fresher", IF(HR_Data[YearsAtCompany]&lt;=5,"Junior", IF(HR_Data[YearsAtCompany]&lt;=10, "Mid","Senior")))</f>
        <v>Mid</v>
      </c>
      <c r="AJ1090" s="2" t="str">
        <f>IF(HR_Data[MonthlyIncome]&lt;=300,"Low", IF(HR_Data[MonthlyIncome]&lt;=7000,"Medium", "High"))</f>
        <v>High</v>
      </c>
      <c r="AK1090" s="2" t="str">
        <f>VLOOKUP(HR_Data[JobRole], JobRole_Map[], 2, FALSE)</f>
        <v>Operations</v>
      </c>
    </row>
    <row r="1091" spans="1:37" x14ac:dyDescent="0.25">
      <c r="A1091" s="2">
        <v>27</v>
      </c>
      <c r="B1091" t="s">
        <v>41</v>
      </c>
      <c r="C1091" t="s">
        <v>33</v>
      </c>
      <c r="D1091" t="s">
        <v>53</v>
      </c>
      <c r="E1091">
        <v>23</v>
      </c>
      <c r="F1091" t="s">
        <v>58</v>
      </c>
      <c r="G1091">
        <v>2</v>
      </c>
      <c r="H1091">
        <v>2</v>
      </c>
      <c r="I1091" t="s">
        <v>54</v>
      </c>
      <c r="J1091">
        <v>3</v>
      </c>
      <c r="K1091" t="s">
        <v>50</v>
      </c>
      <c r="L1091">
        <v>3540</v>
      </c>
      <c r="M1091">
        <v>1</v>
      </c>
      <c r="N1091" t="s">
        <v>41</v>
      </c>
      <c r="O1091">
        <v>21</v>
      </c>
      <c r="P1091">
        <v>4</v>
      </c>
      <c r="Q1091">
        <v>1</v>
      </c>
      <c r="R1091">
        <v>9</v>
      </c>
      <c r="S1091">
        <v>5</v>
      </c>
      <c r="T1091">
        <v>9</v>
      </c>
      <c r="U1091">
        <v>5</v>
      </c>
      <c r="V1091">
        <v>8</v>
      </c>
      <c r="W1091" t="s">
        <v>51</v>
      </c>
      <c r="X1091" s="1" t="d">
        <v>2012-05-09</v>
      </c>
      <c r="Z1091" t="s">
        <v>45</v>
      </c>
      <c r="AA1091" t="s">
        <v>46</v>
      </c>
      <c r="AB1091">
        <v>3</v>
      </c>
      <c r="AC1091">
        <v>2</v>
      </c>
      <c r="AD1091" t="s">
        <v>41</v>
      </c>
      <c r="AE1091" t="s">
        <v>60</v>
      </c>
      <c r="AF1091" t="s">
        <v>43</v>
      </c>
      <c r="AG1091">
        <f>IF(HR_Data[[#This Row],[Attrition]]="Yes",1,0)</f>
        <v>0</v>
      </c>
      <c r="AH1091" t="str">
        <f>IF(HR_Data[Date_of_termination]="","Active","Left")</f>
        <v>Active</v>
      </c>
      <c r="AI1091" t="str">
        <f>IF(HR_Data[YearsAtCompany]&lt;=2,"Fresher", IF(HR_Data[YearsAtCompany]&lt;=5,"Junior", IF(HR_Data[YearsAtCompany]&lt;=10, "Mid","Senior")))</f>
        <v>Mid</v>
      </c>
      <c r="AJ1091" s="2" t="str">
        <f>IF(HR_Data[MonthlyIncome]&lt;=300,"Low", IF(HR_Data[MonthlyIncome]&lt;=7000,"Medium", "High"))</f>
        <v>Medium</v>
      </c>
      <c r="AK1091" s="2" t="str">
        <f>VLOOKUP(HR_Data[JobRole], JobRole_Map[], 2, FALSE)</f>
        <v>Sales</v>
      </c>
    </row>
    <row r="1092" spans="1:37" x14ac:dyDescent="0.25">
      <c r="A1092" s="2">
        <v>45</v>
      </c>
      <c r="B1092" t="s">
        <v>41</v>
      </c>
      <c r="C1092" t="s">
        <v>33</v>
      </c>
      <c r="D1092" t="s">
        <v>34</v>
      </c>
      <c r="E1092">
        <v>25</v>
      </c>
      <c r="F1092" t="s">
        <v>58</v>
      </c>
      <c r="G1092">
        <v>2</v>
      </c>
      <c r="H1092">
        <v>2</v>
      </c>
      <c r="I1092" t="s">
        <v>67</v>
      </c>
      <c r="J1092">
        <v>4</v>
      </c>
      <c r="K1092" t="s">
        <v>50</v>
      </c>
      <c r="L1092">
        <v>5906</v>
      </c>
      <c r="M1092">
        <v>0</v>
      </c>
      <c r="N1092" t="s">
        <v>41</v>
      </c>
      <c r="O1092">
        <v>13</v>
      </c>
      <c r="P1092">
        <v>3</v>
      </c>
      <c r="Q1092">
        <v>2</v>
      </c>
      <c r="R1092">
        <v>10</v>
      </c>
      <c r="S1092">
        <v>2</v>
      </c>
      <c r="T1092">
        <v>9</v>
      </c>
      <c r="U1092">
        <v>3</v>
      </c>
      <c r="V1092">
        <v>8</v>
      </c>
      <c r="W1092" t="s">
        <v>51</v>
      </c>
      <c r="X1092" s="1" t="d">
        <v>2012-06-16</v>
      </c>
      <c r="Z1092" t="s">
        <v>59</v>
      </c>
      <c r="AA1092" t="s">
        <v>46</v>
      </c>
      <c r="AB1092">
        <v>3</v>
      </c>
      <c r="AC1092">
        <v>1</v>
      </c>
      <c r="AD1092" t="s">
        <v>32</v>
      </c>
      <c r="AE1092" t="s">
        <v>60</v>
      </c>
      <c r="AF1092" t="s">
        <v>43</v>
      </c>
      <c r="AG1092">
        <f>IF(HR_Data[[#This Row],[Attrition]]="Yes",1,0)</f>
        <v>0</v>
      </c>
      <c r="AH1092" t="str">
        <f>IF(HR_Data[Date_of_termination]="","Active","Left")</f>
        <v>Active</v>
      </c>
      <c r="AI1092" t="str">
        <f>IF(HR_Data[YearsAtCompany]&lt;=2,"Fresher", IF(HR_Data[YearsAtCompany]&lt;=5,"Junior", IF(HR_Data[YearsAtCompany]&lt;=10, "Mid","Senior")))</f>
        <v>Mid</v>
      </c>
      <c r="AJ1092" s="2" t="str">
        <f>IF(HR_Data[MonthlyIncome]&lt;=300,"Low", IF(HR_Data[MonthlyIncome]&lt;=7000,"Medium", "High"))</f>
        <v>Medium</v>
      </c>
      <c r="AK1092" s="2" t="str">
        <f>VLOOKUP(HR_Data[JobRole], JobRole_Map[], 2, FALSE)</f>
        <v>Operations</v>
      </c>
    </row>
    <row r="1093" spans="1:37" x14ac:dyDescent="0.25">
      <c r="A1093" s="2">
        <v>33</v>
      </c>
      <c r="B1093" t="s">
        <v>41</v>
      </c>
      <c r="C1093" t="s">
        <v>61</v>
      </c>
      <c r="D1093" t="s">
        <v>34</v>
      </c>
      <c r="E1093">
        <v>7</v>
      </c>
      <c r="F1093" t="s">
        <v>35</v>
      </c>
      <c r="G1093">
        <v>3</v>
      </c>
      <c r="H1093">
        <v>2</v>
      </c>
      <c r="I1093" t="s">
        <v>69</v>
      </c>
      <c r="J1093">
        <v>3</v>
      </c>
      <c r="K1093" t="s">
        <v>55</v>
      </c>
      <c r="L1093">
        <v>5968</v>
      </c>
      <c r="M1093">
        <v>1</v>
      </c>
      <c r="N1093" t="s">
        <v>41</v>
      </c>
      <c r="O1093">
        <v>20</v>
      </c>
      <c r="P1093">
        <v>4</v>
      </c>
      <c r="Q1093">
        <v>3</v>
      </c>
      <c r="R1093">
        <v>9</v>
      </c>
      <c r="S1093">
        <v>2</v>
      </c>
      <c r="T1093">
        <v>9</v>
      </c>
      <c r="U1093">
        <v>2</v>
      </c>
      <c r="V1093">
        <v>8</v>
      </c>
      <c r="W1093" t="s">
        <v>65</v>
      </c>
      <c r="X1093" s="1" t="d">
        <v>2012-04-26</v>
      </c>
      <c r="Z1093" t="s">
        <v>63</v>
      </c>
      <c r="AA1093" t="s">
        <v>46</v>
      </c>
      <c r="AB1093">
        <v>1</v>
      </c>
      <c r="AC1093">
        <v>0</v>
      </c>
      <c r="AD1093" t="s">
        <v>41</v>
      </c>
      <c r="AE1093" t="s">
        <v>42</v>
      </c>
      <c r="AF1093" t="s">
        <v>43</v>
      </c>
      <c r="AG1093">
        <f>IF(HR_Data[[#This Row],[Attrition]]="Yes",1,0)</f>
        <v>0</v>
      </c>
      <c r="AH1093" t="str">
        <f>IF(HR_Data[Date_of_termination]="","Active","Left")</f>
        <v>Active</v>
      </c>
      <c r="AI1093" t="str">
        <f>IF(HR_Data[YearsAtCompany]&lt;=2,"Fresher", IF(HR_Data[YearsAtCompany]&lt;=5,"Junior", IF(HR_Data[YearsAtCompany]&lt;=10, "Mid","Senior")))</f>
        <v>Mid</v>
      </c>
      <c r="AJ1093" s="2" t="str">
        <f>IF(HR_Data[MonthlyIncome]&lt;=300,"Low", IF(HR_Data[MonthlyIncome]&lt;=7000,"Medium", "High"))</f>
        <v>Medium</v>
      </c>
      <c r="AK1093" s="2" t="str">
        <f>VLOOKUP(HR_Data[JobRole], JobRole_Map[], 2, FALSE)</f>
        <v>Operations</v>
      </c>
    </row>
    <row r="1094" spans="1:37" x14ac:dyDescent="0.25">
      <c r="A1094" s="2">
        <v>33</v>
      </c>
      <c r="B1094" t="s">
        <v>41</v>
      </c>
      <c r="C1094" t="s">
        <v>33</v>
      </c>
      <c r="D1094" t="s">
        <v>34</v>
      </c>
      <c r="E1094">
        <v>15</v>
      </c>
      <c r="F1094" t="s">
        <v>58</v>
      </c>
      <c r="G1094">
        <v>3</v>
      </c>
      <c r="H1094">
        <v>2</v>
      </c>
      <c r="I1094" t="s">
        <v>69</v>
      </c>
      <c r="J1094">
        <v>4</v>
      </c>
      <c r="K1094" t="s">
        <v>50</v>
      </c>
      <c r="L1094">
        <v>4878</v>
      </c>
      <c r="M1094">
        <v>0</v>
      </c>
      <c r="N1094" t="s">
        <v>32</v>
      </c>
      <c r="O1094">
        <v>13</v>
      </c>
      <c r="P1094">
        <v>3</v>
      </c>
      <c r="Q1094">
        <v>1</v>
      </c>
      <c r="R1094">
        <v>10</v>
      </c>
      <c r="S1094">
        <v>6</v>
      </c>
      <c r="T1094">
        <v>9</v>
      </c>
      <c r="U1094">
        <v>8</v>
      </c>
      <c r="V1094">
        <v>1</v>
      </c>
      <c r="W1094" t="s">
        <v>51</v>
      </c>
      <c r="X1094" s="1" t="d">
        <v>2012-03-05</v>
      </c>
      <c r="Z1094" t="s">
        <v>63</v>
      </c>
      <c r="AA1094" t="s">
        <v>40</v>
      </c>
      <c r="AB1094">
        <v>0</v>
      </c>
      <c r="AC1094">
        <v>3</v>
      </c>
      <c r="AD1094" t="s">
        <v>41</v>
      </c>
      <c r="AE1094" t="s">
        <v>60</v>
      </c>
      <c r="AF1094" t="s">
        <v>48</v>
      </c>
      <c r="AG1094">
        <f>IF(HR_Data[[#This Row],[Attrition]]="Yes",1,0)</f>
        <v>0</v>
      </c>
      <c r="AH1094" t="str">
        <f>IF(HR_Data[Date_of_termination]="","Active","Left")</f>
        <v>Active</v>
      </c>
      <c r="AI1094" t="str">
        <f>IF(HR_Data[YearsAtCompany]&lt;=2,"Fresher", IF(HR_Data[YearsAtCompany]&lt;=5,"Junior", IF(HR_Data[YearsAtCompany]&lt;=10, "Mid","Senior")))</f>
        <v>Mid</v>
      </c>
      <c r="AJ1094" s="2" t="str">
        <f>IF(HR_Data[MonthlyIncome]&lt;=300,"Low", IF(HR_Data[MonthlyIncome]&lt;=7000,"Medium", "High"))</f>
        <v>Medium</v>
      </c>
      <c r="AK1094" s="2" t="str">
        <f>VLOOKUP(HR_Data[JobRole], JobRole_Map[], 2, FALSE)</f>
        <v>Operations</v>
      </c>
    </row>
    <row r="1095" spans="1:37" x14ac:dyDescent="0.25">
      <c r="A1095" s="2">
        <v>52</v>
      </c>
      <c r="B1095" t="s">
        <v>41</v>
      </c>
      <c r="C1095" t="s">
        <v>68</v>
      </c>
      <c r="D1095" t="s">
        <v>53</v>
      </c>
      <c r="E1095">
        <v>29</v>
      </c>
      <c r="F1095" t="s">
        <v>35</v>
      </c>
      <c r="G1095">
        <v>3</v>
      </c>
      <c r="H1095">
        <v>1</v>
      </c>
      <c r="I1095" t="s">
        <v>54</v>
      </c>
      <c r="J1095">
        <v>4</v>
      </c>
      <c r="K1095" t="s">
        <v>55</v>
      </c>
      <c r="L1095">
        <v>3482</v>
      </c>
      <c r="M1095">
        <v>2</v>
      </c>
      <c r="N1095" t="s">
        <v>41</v>
      </c>
      <c r="O1095">
        <v>15</v>
      </c>
      <c r="P1095">
        <v>3</v>
      </c>
      <c r="Q1095">
        <v>2</v>
      </c>
      <c r="R1095">
        <v>16</v>
      </c>
      <c r="S1095">
        <v>3</v>
      </c>
      <c r="T1095">
        <v>9</v>
      </c>
      <c r="U1095">
        <v>0</v>
      </c>
      <c r="V1095">
        <v>0</v>
      </c>
      <c r="W1095" t="s">
        <v>56</v>
      </c>
      <c r="X1095" s="1" t="d">
        <v>2012-03-10</v>
      </c>
      <c r="Z1095" t="s">
        <v>39</v>
      </c>
      <c r="AA1095" t="s">
        <v>46</v>
      </c>
      <c r="AB1095">
        <v>1</v>
      </c>
      <c r="AC1095">
        <v>1</v>
      </c>
      <c r="AD1095" t="s">
        <v>41</v>
      </c>
      <c r="AE1095" t="s">
        <v>42</v>
      </c>
      <c r="AF1095" t="s">
        <v>48</v>
      </c>
      <c r="AG1095">
        <f>IF(HR_Data[[#This Row],[Attrition]]="Yes",1,0)</f>
        <v>0</v>
      </c>
      <c r="AH1095" t="str">
        <f>IF(HR_Data[Date_of_termination]="","Active","Left")</f>
        <v>Active</v>
      </c>
      <c r="AI1095" t="str">
        <f>IF(HR_Data[YearsAtCompany]&lt;=2,"Fresher", IF(HR_Data[YearsAtCompany]&lt;=5,"Junior", IF(HR_Data[YearsAtCompany]&lt;=10, "Mid","Senior")))</f>
        <v>Mid</v>
      </c>
      <c r="AJ1095" s="2" t="str">
        <f>IF(HR_Data[MonthlyIncome]&lt;=300,"Low", IF(HR_Data[MonthlyIncome]&lt;=7000,"Medium", "High"))</f>
        <v>Medium</v>
      </c>
      <c r="AK1095" s="2" t="str">
        <f>VLOOKUP(HR_Data[JobRole], JobRole_Map[], 2, FALSE)</f>
        <v>Sales</v>
      </c>
    </row>
    <row r="1096" spans="1:37" x14ac:dyDescent="0.25">
      <c r="A1096" s="2">
        <v>36</v>
      </c>
      <c r="B1096" t="s">
        <v>41</v>
      </c>
      <c r="C1096" t="s">
        <v>33</v>
      </c>
      <c r="D1096" t="s">
        <v>53</v>
      </c>
      <c r="E1096">
        <v>3</v>
      </c>
      <c r="F1096" t="s">
        <v>58</v>
      </c>
      <c r="G1096">
        <v>2</v>
      </c>
      <c r="H1096">
        <v>3</v>
      </c>
      <c r="I1096" t="s">
        <v>64</v>
      </c>
      <c r="J1096">
        <v>4</v>
      </c>
      <c r="K1096" t="s">
        <v>50</v>
      </c>
      <c r="L1096">
        <v>7644</v>
      </c>
      <c r="M1096">
        <v>0</v>
      </c>
      <c r="N1096" t="s">
        <v>41</v>
      </c>
      <c r="O1096">
        <v>19</v>
      </c>
      <c r="P1096">
        <v>3</v>
      </c>
      <c r="Q1096">
        <v>2</v>
      </c>
      <c r="R1096">
        <v>10</v>
      </c>
      <c r="S1096">
        <v>2</v>
      </c>
      <c r="T1096">
        <v>9</v>
      </c>
      <c r="U1096">
        <v>3</v>
      </c>
      <c r="V1096">
        <v>4</v>
      </c>
      <c r="W1096" t="s">
        <v>38</v>
      </c>
      <c r="X1096" s="1" t="d">
        <v>2012-05-07</v>
      </c>
      <c r="Z1096" t="s">
        <v>39</v>
      </c>
      <c r="AA1096" t="s">
        <v>40</v>
      </c>
      <c r="AB1096">
        <v>5</v>
      </c>
      <c r="AC1096">
        <v>0</v>
      </c>
      <c r="AD1096" t="s">
        <v>32</v>
      </c>
      <c r="AE1096" t="s">
        <v>47</v>
      </c>
      <c r="AF1096" t="s">
        <v>48</v>
      </c>
      <c r="AG1096">
        <f>IF(HR_Data[[#This Row],[Attrition]]="Yes",1,0)</f>
        <v>0</v>
      </c>
      <c r="AH1096" t="str">
        <f>IF(HR_Data[Date_of_termination]="","Active","Left")</f>
        <v>Active</v>
      </c>
      <c r="AI1096" t="str">
        <f>IF(HR_Data[YearsAtCompany]&lt;=2,"Fresher", IF(HR_Data[YearsAtCompany]&lt;=5,"Junior", IF(HR_Data[YearsAtCompany]&lt;=10, "Mid","Senior")))</f>
        <v>Mid</v>
      </c>
      <c r="AJ1096" s="2" t="str">
        <f>IF(HR_Data[MonthlyIncome]&lt;=300,"Low", IF(HR_Data[MonthlyIncome]&lt;=7000,"Medium", "High"))</f>
        <v>High</v>
      </c>
      <c r="AK1096" s="2" t="str">
        <f>VLOOKUP(HR_Data[JobRole], JobRole_Map[], 2, FALSE)</f>
        <v>Sales</v>
      </c>
    </row>
    <row r="1097" spans="1:37" x14ac:dyDescent="0.25">
      <c r="A1097" s="2">
        <v>35</v>
      </c>
      <c r="B1097" t="s">
        <v>41</v>
      </c>
      <c r="C1097" t="s">
        <v>33</v>
      </c>
      <c r="D1097" t="s">
        <v>70</v>
      </c>
      <c r="E1097">
        <v>26</v>
      </c>
      <c r="F1097" t="s">
        <v>58</v>
      </c>
      <c r="G1097">
        <v>3</v>
      </c>
      <c r="H1097">
        <v>3</v>
      </c>
      <c r="I1097" t="s">
        <v>70</v>
      </c>
      <c r="J1097">
        <v>4</v>
      </c>
      <c r="K1097" t="s">
        <v>37</v>
      </c>
      <c r="L1097">
        <v>8837</v>
      </c>
      <c r="M1097">
        <v>1</v>
      </c>
      <c r="N1097" t="s">
        <v>32</v>
      </c>
      <c r="O1097">
        <v>16</v>
      </c>
      <c r="P1097">
        <v>3</v>
      </c>
      <c r="Q1097">
        <v>0</v>
      </c>
      <c r="R1097">
        <v>9</v>
      </c>
      <c r="S1097">
        <v>2</v>
      </c>
      <c r="T1097">
        <v>9</v>
      </c>
      <c r="U1097">
        <v>1</v>
      </c>
      <c r="V1097">
        <v>7</v>
      </c>
      <c r="W1097" t="s">
        <v>38</v>
      </c>
      <c r="X1097" s="1" t="d">
        <v>2012-06-14</v>
      </c>
      <c r="Z1097" t="s">
        <v>45</v>
      </c>
      <c r="AA1097" t="s">
        <v>46</v>
      </c>
      <c r="AB1097">
        <v>4</v>
      </c>
      <c r="AC1097">
        <v>1</v>
      </c>
      <c r="AD1097" t="s">
        <v>32</v>
      </c>
      <c r="AE1097" t="s">
        <v>42</v>
      </c>
      <c r="AF1097" t="s">
        <v>48</v>
      </c>
      <c r="AG1097">
        <f>IF(HR_Data[[#This Row],[Attrition]]="Yes",1,0)</f>
        <v>0</v>
      </c>
      <c r="AH1097" t="str">
        <f>IF(HR_Data[Date_of_termination]="","Active","Left")</f>
        <v>Active</v>
      </c>
      <c r="AI1097" t="str">
        <f>IF(HR_Data[YearsAtCompany]&lt;=2,"Fresher", IF(HR_Data[YearsAtCompany]&lt;=5,"Junior", IF(HR_Data[YearsAtCompany]&lt;=10, "Mid","Senior")))</f>
        <v>Mid</v>
      </c>
      <c r="AJ1097" s="2" t="str">
        <f>IF(HR_Data[MonthlyIncome]&lt;=300,"Low", IF(HR_Data[MonthlyIncome]&lt;=7000,"Medium", "High"))</f>
        <v>High</v>
      </c>
      <c r="AK1097" s="2" t="str">
        <f>VLOOKUP(HR_Data[JobRole], JobRole_Map[], 2, FALSE)</f>
        <v>HR</v>
      </c>
    </row>
    <row r="1098" spans="1:37" x14ac:dyDescent="0.25">
      <c r="A1098" s="2">
        <v>31</v>
      </c>
      <c r="B1098" t="s">
        <v>41</v>
      </c>
      <c r="C1098" t="s">
        <v>68</v>
      </c>
      <c r="D1098" t="s">
        <v>34</v>
      </c>
      <c r="E1098">
        <v>5</v>
      </c>
      <c r="F1098" t="s">
        <v>35</v>
      </c>
      <c r="G1098">
        <v>3</v>
      </c>
      <c r="H1098">
        <v>2</v>
      </c>
      <c r="I1098" t="s">
        <v>67</v>
      </c>
      <c r="J1098">
        <v>1</v>
      </c>
      <c r="K1098" t="s">
        <v>37</v>
      </c>
      <c r="L1098">
        <v>9936</v>
      </c>
      <c r="M1098">
        <v>0</v>
      </c>
      <c r="N1098" t="s">
        <v>41</v>
      </c>
      <c r="O1098">
        <v>19</v>
      </c>
      <c r="P1098">
        <v>3</v>
      </c>
      <c r="Q1098">
        <v>0</v>
      </c>
      <c r="R1098">
        <v>10</v>
      </c>
      <c r="S1098">
        <v>2</v>
      </c>
      <c r="T1098">
        <v>9</v>
      </c>
      <c r="U1098">
        <v>1</v>
      </c>
      <c r="V1098">
        <v>7</v>
      </c>
      <c r="W1098" t="s">
        <v>56</v>
      </c>
      <c r="X1098" s="1" t="d">
        <v>2012-02-24</v>
      </c>
      <c r="Z1098" t="s">
        <v>59</v>
      </c>
      <c r="AA1098" t="s">
        <v>46</v>
      </c>
      <c r="AB1098">
        <v>2</v>
      </c>
      <c r="AC1098">
        <v>2</v>
      </c>
      <c r="AD1098" t="s">
        <v>41</v>
      </c>
      <c r="AE1098" t="s">
        <v>60</v>
      </c>
      <c r="AF1098" t="s">
        <v>43</v>
      </c>
      <c r="AG1098">
        <f>IF(HR_Data[[#This Row],[Attrition]]="Yes",1,0)</f>
        <v>0</v>
      </c>
      <c r="AH1098" t="str">
        <f>IF(HR_Data[Date_of_termination]="","Active","Left")</f>
        <v>Active</v>
      </c>
      <c r="AI1098" t="str">
        <f>IF(HR_Data[YearsAtCompany]&lt;=2,"Fresher", IF(HR_Data[YearsAtCompany]&lt;=5,"Junior", IF(HR_Data[YearsAtCompany]&lt;=10, "Mid","Senior")))</f>
        <v>Mid</v>
      </c>
      <c r="AJ1098" s="2" t="str">
        <f>IF(HR_Data[MonthlyIncome]&lt;=300,"Low", IF(HR_Data[MonthlyIncome]&lt;=7000,"Medium", "High"))</f>
        <v>High</v>
      </c>
      <c r="AK1098" s="2" t="str">
        <f>VLOOKUP(HR_Data[JobRole], JobRole_Map[], 2, FALSE)</f>
        <v>Operations</v>
      </c>
    </row>
    <row r="1099" spans="1:37" x14ac:dyDescent="0.25">
      <c r="A1099" s="2">
        <v>49</v>
      </c>
      <c r="B1099" t="s">
        <v>41</v>
      </c>
      <c r="C1099" t="s">
        <v>61</v>
      </c>
      <c r="D1099" t="s">
        <v>53</v>
      </c>
      <c r="E1099">
        <v>2</v>
      </c>
      <c r="F1099" t="s">
        <v>35</v>
      </c>
      <c r="G1099">
        <v>2</v>
      </c>
      <c r="H1099">
        <v>2</v>
      </c>
      <c r="I1099" t="s">
        <v>64</v>
      </c>
      <c r="J1099">
        <v>2</v>
      </c>
      <c r="K1099" t="s">
        <v>50</v>
      </c>
      <c r="L1099">
        <v>5390</v>
      </c>
      <c r="M1099">
        <v>2</v>
      </c>
      <c r="N1099" t="s">
        <v>41</v>
      </c>
      <c r="O1099">
        <v>14</v>
      </c>
      <c r="P1099">
        <v>3</v>
      </c>
      <c r="Q1099">
        <v>0</v>
      </c>
      <c r="R1099">
        <v>17</v>
      </c>
      <c r="S1099">
        <v>3</v>
      </c>
      <c r="T1099">
        <v>9</v>
      </c>
      <c r="U1099">
        <v>0</v>
      </c>
      <c r="V1099">
        <v>8</v>
      </c>
      <c r="W1099" t="s">
        <v>56</v>
      </c>
      <c r="X1099" s="1" t="d">
        <v>2012-03-17</v>
      </c>
      <c r="Z1099" t="s">
        <v>39</v>
      </c>
      <c r="AA1099" t="s">
        <v>46</v>
      </c>
      <c r="AB1099">
        <v>3</v>
      </c>
      <c r="AC1099">
        <v>0</v>
      </c>
      <c r="AD1099" t="s">
        <v>41</v>
      </c>
      <c r="AE1099" t="s">
        <v>60</v>
      </c>
      <c r="AF1099" t="s">
        <v>43</v>
      </c>
      <c r="AG1099">
        <f>IF(HR_Data[[#This Row],[Attrition]]="Yes",1,0)</f>
        <v>0</v>
      </c>
      <c r="AH1099" t="str">
        <f>IF(HR_Data[Date_of_termination]="","Active","Left")</f>
        <v>Active</v>
      </c>
      <c r="AI1099" t="str">
        <f>IF(HR_Data[YearsAtCompany]&lt;=2,"Fresher", IF(HR_Data[YearsAtCompany]&lt;=5,"Junior", IF(HR_Data[YearsAtCompany]&lt;=10, "Mid","Senior")))</f>
        <v>Mid</v>
      </c>
      <c r="AJ1099" s="2" t="str">
        <f>IF(HR_Data[MonthlyIncome]&lt;=300,"Low", IF(HR_Data[MonthlyIncome]&lt;=7000,"Medium", "High"))</f>
        <v>Medium</v>
      </c>
      <c r="AK1099" s="2" t="str">
        <f>VLOOKUP(HR_Data[JobRole], JobRole_Map[], 2, FALSE)</f>
        <v>Sales</v>
      </c>
    </row>
    <row r="1100" spans="1:37" x14ac:dyDescent="0.25">
      <c r="A1100" s="2">
        <v>49</v>
      </c>
      <c r="B1100" t="s">
        <v>41</v>
      </c>
      <c r="C1100" t="s">
        <v>61</v>
      </c>
      <c r="D1100" t="s">
        <v>34</v>
      </c>
      <c r="E1100">
        <v>8</v>
      </c>
      <c r="F1100" t="s">
        <v>35</v>
      </c>
      <c r="G1100">
        <v>2</v>
      </c>
      <c r="H1100">
        <v>2</v>
      </c>
      <c r="I1100" t="s">
        <v>44</v>
      </c>
      <c r="J1100">
        <v>2</v>
      </c>
      <c r="K1100" t="s">
        <v>50</v>
      </c>
      <c r="L1100">
        <v>5130</v>
      </c>
      <c r="M1100">
        <v>1</v>
      </c>
      <c r="N1100" t="s">
        <v>41</v>
      </c>
      <c r="O1100">
        <v>23</v>
      </c>
      <c r="P1100">
        <v>4</v>
      </c>
      <c r="Q1100">
        <v>1</v>
      </c>
      <c r="R1100">
        <v>10</v>
      </c>
      <c r="S1100">
        <v>3</v>
      </c>
      <c r="T1100">
        <v>10</v>
      </c>
      <c r="U1100">
        <v>1</v>
      </c>
      <c r="V1100">
        <v>7</v>
      </c>
      <c r="W1100" t="s">
        <v>38</v>
      </c>
      <c r="X1100" s="1" t="d">
        <v>2011-03-06</v>
      </c>
      <c r="Z1100" t="s">
        <v>39</v>
      </c>
      <c r="AA1100" t="s">
        <v>40</v>
      </c>
      <c r="AB1100">
        <v>2</v>
      </c>
      <c r="AC1100">
        <v>0</v>
      </c>
      <c r="AD1100" t="s">
        <v>41</v>
      </c>
      <c r="AE1100" t="s">
        <v>47</v>
      </c>
      <c r="AF1100" t="s">
        <v>57</v>
      </c>
      <c r="AG1100">
        <f>IF(HR_Data[[#This Row],[Attrition]]="Yes",1,0)</f>
        <v>0</v>
      </c>
      <c r="AH1100" t="str">
        <f>IF(HR_Data[Date_of_termination]="","Active","Left")</f>
        <v>Active</v>
      </c>
      <c r="AI1100" t="str">
        <f>IF(HR_Data[YearsAtCompany]&lt;=2,"Fresher", IF(HR_Data[YearsAtCompany]&lt;=5,"Junior", IF(HR_Data[YearsAtCompany]&lt;=10, "Mid","Senior")))</f>
        <v>Mid</v>
      </c>
      <c r="AJ1100" s="2" t="str">
        <f>IF(HR_Data[MonthlyIncome]&lt;=300,"Low", IF(HR_Data[MonthlyIncome]&lt;=7000,"Medium", "High"))</f>
        <v>Medium</v>
      </c>
      <c r="AK1100" s="2" t="str">
        <f>VLOOKUP(HR_Data[JobRole], JobRole_Map[], 2, FALSE)</f>
        <v>Technical</v>
      </c>
    </row>
    <row r="1101" spans="1:37" x14ac:dyDescent="0.25">
      <c r="A1101" s="2">
        <v>29</v>
      </c>
      <c r="B1101" t="s">
        <v>41</v>
      </c>
      <c r="C1101" t="s">
        <v>33</v>
      </c>
      <c r="D1101" t="s">
        <v>34</v>
      </c>
      <c r="E1101">
        <v>21</v>
      </c>
      <c r="F1101" t="s">
        <v>58</v>
      </c>
      <c r="G1101">
        <v>4</v>
      </c>
      <c r="H1101">
        <v>3</v>
      </c>
      <c r="I1101" t="s">
        <v>67</v>
      </c>
      <c r="J1101">
        <v>1</v>
      </c>
      <c r="K1101" t="s">
        <v>55</v>
      </c>
      <c r="L1101">
        <v>9980</v>
      </c>
      <c r="M1101">
        <v>1</v>
      </c>
      <c r="N1101" t="s">
        <v>41</v>
      </c>
      <c r="O1101">
        <v>11</v>
      </c>
      <c r="P1101">
        <v>3</v>
      </c>
      <c r="Q1101">
        <v>1</v>
      </c>
      <c r="R1101">
        <v>10</v>
      </c>
      <c r="S1101">
        <v>1</v>
      </c>
      <c r="T1101">
        <v>10</v>
      </c>
      <c r="U1101">
        <v>8</v>
      </c>
      <c r="V1101">
        <v>8</v>
      </c>
      <c r="W1101" t="s">
        <v>38</v>
      </c>
      <c r="X1101" s="1" t="d">
        <v>2011-03-27</v>
      </c>
      <c r="Z1101" t="s">
        <v>63</v>
      </c>
      <c r="AA1101" t="s">
        <v>40</v>
      </c>
      <c r="AB1101">
        <v>3</v>
      </c>
      <c r="AC1101">
        <v>3</v>
      </c>
      <c r="AD1101" t="s">
        <v>41</v>
      </c>
      <c r="AE1101" t="s">
        <v>47</v>
      </c>
      <c r="AF1101" t="s">
        <v>48</v>
      </c>
      <c r="AG1101">
        <f>IF(HR_Data[[#This Row],[Attrition]]="Yes",1,0)</f>
        <v>0</v>
      </c>
      <c r="AH1101" t="str">
        <f>IF(HR_Data[Date_of_termination]="","Active","Left")</f>
        <v>Active</v>
      </c>
      <c r="AI1101" t="str">
        <f>IF(HR_Data[YearsAtCompany]&lt;=2,"Fresher", IF(HR_Data[YearsAtCompany]&lt;=5,"Junior", IF(HR_Data[YearsAtCompany]&lt;=10, "Mid","Senior")))</f>
        <v>Mid</v>
      </c>
      <c r="AJ1101" s="2" t="str">
        <f>IF(HR_Data[MonthlyIncome]&lt;=300,"Low", IF(HR_Data[MonthlyIncome]&lt;=7000,"Medium", "High"))</f>
        <v>High</v>
      </c>
      <c r="AK1101" s="2" t="str">
        <f>VLOOKUP(HR_Data[JobRole], JobRole_Map[], 2, FALSE)</f>
        <v>Operations</v>
      </c>
    </row>
    <row r="1102" spans="1:37" x14ac:dyDescent="0.25">
      <c r="A1102" s="2">
        <v>32</v>
      </c>
      <c r="B1102" t="s">
        <v>32</v>
      </c>
      <c r="C1102" t="s">
        <v>61</v>
      </c>
      <c r="D1102" t="s">
        <v>34</v>
      </c>
      <c r="E1102">
        <v>16</v>
      </c>
      <c r="F1102" t="s">
        <v>58</v>
      </c>
      <c r="G1102">
        <v>1</v>
      </c>
      <c r="H1102">
        <v>1</v>
      </c>
      <c r="I1102" t="s">
        <v>44</v>
      </c>
      <c r="J1102">
        <v>1</v>
      </c>
      <c r="K1102" t="s">
        <v>37</v>
      </c>
      <c r="L1102">
        <v>3919</v>
      </c>
      <c r="M1102">
        <v>1</v>
      </c>
      <c r="N1102" t="s">
        <v>32</v>
      </c>
      <c r="O1102">
        <v>22</v>
      </c>
      <c r="P1102">
        <v>4</v>
      </c>
      <c r="Q1102">
        <v>0</v>
      </c>
      <c r="R1102">
        <v>10</v>
      </c>
      <c r="S1102">
        <v>5</v>
      </c>
      <c r="T1102">
        <v>10</v>
      </c>
      <c r="U1102">
        <v>6</v>
      </c>
      <c r="V1102">
        <v>7</v>
      </c>
      <c r="W1102" t="s">
        <v>65</v>
      </c>
      <c r="X1102" s="1" t="d">
        <v>2011-06-20</v>
      </c>
      <c r="Z1102" t="s">
        <v>63</v>
      </c>
      <c r="AA1102" t="s">
        <v>40</v>
      </c>
      <c r="AB1102">
        <v>1</v>
      </c>
      <c r="AC1102">
        <v>2</v>
      </c>
      <c r="AD1102" t="s">
        <v>41</v>
      </c>
      <c r="AE1102" t="s">
        <v>42</v>
      </c>
      <c r="AF1102" t="s">
        <v>57</v>
      </c>
      <c r="AG1102">
        <f>IF(HR_Data[[#This Row],[Attrition]]="Yes",1,0)</f>
        <v>1</v>
      </c>
      <c r="AH1102" t="str">
        <f>IF(HR_Data[Date_of_termination]="","Active","Left")</f>
        <v>Active</v>
      </c>
      <c r="AI1102" t="str">
        <f>IF(HR_Data[YearsAtCompany]&lt;=2,"Fresher", IF(HR_Data[YearsAtCompany]&lt;=5,"Junior", IF(HR_Data[YearsAtCompany]&lt;=10, "Mid","Senior")))</f>
        <v>Mid</v>
      </c>
      <c r="AJ1102" s="2" t="str">
        <f>IF(HR_Data[MonthlyIncome]&lt;=300,"Low", IF(HR_Data[MonthlyIncome]&lt;=7000,"Medium", "High"))</f>
        <v>Medium</v>
      </c>
      <c r="AK1102" s="2" t="str">
        <f>VLOOKUP(HR_Data[JobRole], JobRole_Map[], 2, FALSE)</f>
        <v>Technical</v>
      </c>
    </row>
    <row r="1103" spans="1:37" x14ac:dyDescent="0.25">
      <c r="A1103" s="2">
        <v>30</v>
      </c>
      <c r="B1103" t="s">
        <v>41</v>
      </c>
      <c r="C1103" t="s">
        <v>33</v>
      </c>
      <c r="D1103" t="s">
        <v>34</v>
      </c>
      <c r="E1103">
        <v>9</v>
      </c>
      <c r="F1103" t="s">
        <v>35</v>
      </c>
      <c r="G1103">
        <v>2</v>
      </c>
      <c r="H1103">
        <v>1</v>
      </c>
      <c r="I1103" t="s">
        <v>36</v>
      </c>
      <c r="J1103">
        <v>3</v>
      </c>
      <c r="K1103" t="s">
        <v>37</v>
      </c>
      <c r="L1103">
        <v>2206</v>
      </c>
      <c r="M1103">
        <v>1</v>
      </c>
      <c r="N1103" t="s">
        <v>41</v>
      </c>
      <c r="O1103">
        <v>13</v>
      </c>
      <c r="P1103">
        <v>3</v>
      </c>
      <c r="Q1103">
        <v>0</v>
      </c>
      <c r="R1103">
        <v>10</v>
      </c>
      <c r="S1103">
        <v>5</v>
      </c>
      <c r="T1103">
        <v>10</v>
      </c>
      <c r="U1103">
        <v>1</v>
      </c>
      <c r="V1103">
        <v>8</v>
      </c>
      <c r="W1103" t="s">
        <v>51</v>
      </c>
      <c r="X1103" s="1" t="d">
        <v>2011-01-06</v>
      </c>
      <c r="Z1103" t="s">
        <v>63</v>
      </c>
      <c r="AA1103" t="s">
        <v>46</v>
      </c>
      <c r="AB1103">
        <v>1</v>
      </c>
      <c r="AC1103">
        <v>1</v>
      </c>
      <c r="AD1103" t="s">
        <v>41</v>
      </c>
      <c r="AE1103" t="s">
        <v>47</v>
      </c>
      <c r="AF1103" t="s">
        <v>43</v>
      </c>
      <c r="AG1103">
        <f>IF(HR_Data[[#This Row],[Attrition]]="Yes",1,0)</f>
        <v>0</v>
      </c>
      <c r="AH1103" t="str">
        <f>IF(HR_Data[Date_of_termination]="","Active","Left")</f>
        <v>Active</v>
      </c>
      <c r="AI1103" t="str">
        <f>IF(HR_Data[YearsAtCompany]&lt;=2,"Fresher", IF(HR_Data[YearsAtCompany]&lt;=5,"Junior", IF(HR_Data[YearsAtCompany]&lt;=10, "Mid","Senior")))</f>
        <v>Mid</v>
      </c>
      <c r="AJ1103" s="2" t="str">
        <f>IF(HR_Data[MonthlyIncome]&lt;=300,"Low", IF(HR_Data[MonthlyIncome]&lt;=7000,"Medium", "High"))</f>
        <v>Medium</v>
      </c>
      <c r="AK1103" s="2" t="str">
        <f>VLOOKUP(HR_Data[JobRole], JobRole_Map[], 2, FALSE)</f>
        <v>Technical</v>
      </c>
    </row>
    <row r="1104" spans="1:37" x14ac:dyDescent="0.25">
      <c r="A1104" s="2">
        <v>38</v>
      </c>
      <c r="B1104" t="s">
        <v>41</v>
      </c>
      <c r="C1104" t="s">
        <v>61</v>
      </c>
      <c r="D1104" t="s">
        <v>34</v>
      </c>
      <c r="E1104">
        <v>29</v>
      </c>
      <c r="F1104" t="s">
        <v>58</v>
      </c>
      <c r="G1104">
        <v>3</v>
      </c>
      <c r="H1104">
        <v>2</v>
      </c>
      <c r="I1104" t="s">
        <v>36</v>
      </c>
      <c r="J1104">
        <v>4</v>
      </c>
      <c r="K1104" t="s">
        <v>37</v>
      </c>
      <c r="L1104">
        <v>2406</v>
      </c>
      <c r="M1104">
        <v>1</v>
      </c>
      <c r="N1104" t="s">
        <v>41</v>
      </c>
      <c r="O1104">
        <v>11</v>
      </c>
      <c r="P1104">
        <v>3</v>
      </c>
      <c r="Q1104">
        <v>0</v>
      </c>
      <c r="R1104">
        <v>10</v>
      </c>
      <c r="S1104">
        <v>2</v>
      </c>
      <c r="T1104">
        <v>10</v>
      </c>
      <c r="U1104">
        <v>9</v>
      </c>
      <c r="V1104">
        <v>9</v>
      </c>
      <c r="W1104" t="s">
        <v>65</v>
      </c>
      <c r="X1104" s="1" t="d">
        <v>2011-03-22</v>
      </c>
      <c r="Z1104" t="s">
        <v>39</v>
      </c>
      <c r="AA1104" t="s">
        <v>40</v>
      </c>
      <c r="AB1104">
        <v>1</v>
      </c>
      <c r="AC1104">
        <v>0</v>
      </c>
      <c r="AD1104" t="s">
        <v>41</v>
      </c>
      <c r="AE1104" t="s">
        <v>60</v>
      </c>
      <c r="AF1104" t="s">
        <v>48</v>
      </c>
      <c r="AG1104">
        <f>IF(HR_Data[[#This Row],[Attrition]]="Yes",1,0)</f>
        <v>0</v>
      </c>
      <c r="AH1104" t="str">
        <f>IF(HR_Data[Date_of_termination]="","Active","Left")</f>
        <v>Active</v>
      </c>
      <c r="AI1104" t="str">
        <f>IF(HR_Data[YearsAtCompany]&lt;=2,"Fresher", IF(HR_Data[YearsAtCompany]&lt;=5,"Junior", IF(HR_Data[YearsAtCompany]&lt;=10, "Mid","Senior")))</f>
        <v>Mid</v>
      </c>
      <c r="AJ1104" s="2" t="str">
        <f>IF(HR_Data[MonthlyIncome]&lt;=300,"Low", IF(HR_Data[MonthlyIncome]&lt;=7000,"Medium", "High"))</f>
        <v>Medium</v>
      </c>
      <c r="AK1104" s="2" t="str">
        <f>VLOOKUP(HR_Data[JobRole], JobRole_Map[], 2, FALSE)</f>
        <v>Technical</v>
      </c>
    </row>
    <row r="1105" spans="1:37" x14ac:dyDescent="0.25">
      <c r="A1105" s="2">
        <v>32</v>
      </c>
      <c r="B1105" t="s">
        <v>41</v>
      </c>
      <c r="C1105" t="s">
        <v>33</v>
      </c>
      <c r="D1105" t="s">
        <v>34</v>
      </c>
      <c r="E1105">
        <v>1</v>
      </c>
      <c r="F1105" t="s">
        <v>35</v>
      </c>
      <c r="G1105">
        <v>3</v>
      </c>
      <c r="H1105">
        <v>2</v>
      </c>
      <c r="I1105" t="s">
        <v>44</v>
      </c>
      <c r="J1105">
        <v>2</v>
      </c>
      <c r="K1105" t="s">
        <v>50</v>
      </c>
      <c r="L1105">
        <v>6220</v>
      </c>
      <c r="M1105">
        <v>1</v>
      </c>
      <c r="N1105" t="s">
        <v>41</v>
      </c>
      <c r="O1105">
        <v>17</v>
      </c>
      <c r="P1105">
        <v>3</v>
      </c>
      <c r="Q1105">
        <v>2</v>
      </c>
      <c r="R1105">
        <v>10</v>
      </c>
      <c r="S1105">
        <v>3</v>
      </c>
      <c r="T1105">
        <v>10</v>
      </c>
      <c r="U1105">
        <v>0</v>
      </c>
      <c r="V1105">
        <v>9</v>
      </c>
      <c r="W1105" t="s">
        <v>51</v>
      </c>
      <c r="X1105" s="1" t="d">
        <v>2011-05-15</v>
      </c>
      <c r="Z1105" t="s">
        <v>59</v>
      </c>
      <c r="AA1105" t="s">
        <v>46</v>
      </c>
      <c r="AB1105">
        <v>4</v>
      </c>
      <c r="AC1105">
        <v>3</v>
      </c>
      <c r="AD1105" t="s">
        <v>41</v>
      </c>
      <c r="AE1105" t="s">
        <v>47</v>
      </c>
      <c r="AF1105" t="s">
        <v>57</v>
      </c>
      <c r="AG1105">
        <f>IF(HR_Data[[#This Row],[Attrition]]="Yes",1,0)</f>
        <v>0</v>
      </c>
      <c r="AH1105" t="str">
        <f>IF(HR_Data[Date_of_termination]="","Active","Left")</f>
        <v>Active</v>
      </c>
      <c r="AI1105" t="str">
        <f>IF(HR_Data[YearsAtCompany]&lt;=2,"Fresher", IF(HR_Data[YearsAtCompany]&lt;=5,"Junior", IF(HR_Data[YearsAtCompany]&lt;=10, "Mid","Senior")))</f>
        <v>Mid</v>
      </c>
      <c r="AJ1105" s="2" t="str">
        <f>IF(HR_Data[MonthlyIncome]&lt;=300,"Low", IF(HR_Data[MonthlyIncome]&lt;=7000,"Medium", "High"))</f>
        <v>Medium</v>
      </c>
      <c r="AK1105" s="2" t="str">
        <f>VLOOKUP(HR_Data[JobRole], JobRole_Map[], 2, FALSE)</f>
        <v>Technical</v>
      </c>
    </row>
    <row r="1106" spans="1:37" x14ac:dyDescent="0.25">
      <c r="A1106" s="2">
        <v>30</v>
      </c>
      <c r="B1106" t="s">
        <v>41</v>
      </c>
      <c r="C1106" t="s">
        <v>33</v>
      </c>
      <c r="D1106" t="s">
        <v>34</v>
      </c>
      <c r="E1106">
        <v>1</v>
      </c>
      <c r="F1106" t="s">
        <v>35</v>
      </c>
      <c r="G1106">
        <v>2</v>
      </c>
      <c r="H1106">
        <v>2</v>
      </c>
      <c r="I1106" t="s">
        <v>36</v>
      </c>
      <c r="J1106">
        <v>4</v>
      </c>
      <c r="K1106" t="s">
        <v>50</v>
      </c>
      <c r="L1106">
        <v>5126</v>
      </c>
      <c r="M1106">
        <v>1</v>
      </c>
      <c r="N1106" t="s">
        <v>32</v>
      </c>
      <c r="O1106">
        <v>12</v>
      </c>
      <c r="P1106">
        <v>3</v>
      </c>
      <c r="Q1106">
        <v>2</v>
      </c>
      <c r="R1106">
        <v>10</v>
      </c>
      <c r="S1106">
        <v>1</v>
      </c>
      <c r="T1106">
        <v>10</v>
      </c>
      <c r="U1106">
        <v>3</v>
      </c>
      <c r="V1106">
        <v>0</v>
      </c>
      <c r="W1106" t="s">
        <v>38</v>
      </c>
      <c r="X1106" s="1" t="d">
        <v>2011-06-30</v>
      </c>
      <c r="Z1106" t="s">
        <v>52</v>
      </c>
      <c r="AA1106" t="s">
        <v>46</v>
      </c>
      <c r="AB1106">
        <v>2</v>
      </c>
      <c r="AC1106">
        <v>2</v>
      </c>
      <c r="AD1106" t="s">
        <v>32</v>
      </c>
      <c r="AE1106" t="s">
        <v>60</v>
      </c>
      <c r="AF1106" t="s">
        <v>48</v>
      </c>
      <c r="AG1106">
        <f>IF(HR_Data[[#This Row],[Attrition]]="Yes",1,0)</f>
        <v>0</v>
      </c>
      <c r="AH1106" t="str">
        <f>IF(HR_Data[Date_of_termination]="","Active","Left")</f>
        <v>Active</v>
      </c>
      <c r="AI1106" t="str">
        <f>IF(HR_Data[YearsAtCompany]&lt;=2,"Fresher", IF(HR_Data[YearsAtCompany]&lt;=5,"Junior", IF(HR_Data[YearsAtCompany]&lt;=10, "Mid","Senior")))</f>
        <v>Mid</v>
      </c>
      <c r="AJ1106" s="2" t="str">
        <f>IF(HR_Data[MonthlyIncome]&lt;=300,"Low", IF(HR_Data[MonthlyIncome]&lt;=7000,"Medium", "High"))</f>
        <v>Medium</v>
      </c>
      <c r="AK1106" s="2" t="str">
        <f>VLOOKUP(HR_Data[JobRole], JobRole_Map[], 2, FALSE)</f>
        <v>Technical</v>
      </c>
    </row>
    <row r="1107" spans="1:37" x14ac:dyDescent="0.25">
      <c r="A1107" s="2">
        <v>51</v>
      </c>
      <c r="B1107" t="s">
        <v>41</v>
      </c>
      <c r="C1107" t="s">
        <v>33</v>
      </c>
      <c r="D1107" t="s">
        <v>53</v>
      </c>
      <c r="E1107">
        <v>21</v>
      </c>
      <c r="F1107" t="s">
        <v>35</v>
      </c>
      <c r="G1107">
        <v>3</v>
      </c>
      <c r="H1107">
        <v>2</v>
      </c>
      <c r="I1107" t="s">
        <v>64</v>
      </c>
      <c r="J1107">
        <v>4</v>
      </c>
      <c r="K1107" t="s">
        <v>37</v>
      </c>
      <c r="L1107">
        <v>5441</v>
      </c>
      <c r="M1107">
        <v>0</v>
      </c>
      <c r="N1107" t="s">
        <v>32</v>
      </c>
      <c r="O1107">
        <v>22</v>
      </c>
      <c r="P1107">
        <v>4</v>
      </c>
      <c r="Q1107">
        <v>0</v>
      </c>
      <c r="R1107">
        <v>11</v>
      </c>
      <c r="S1107">
        <v>2</v>
      </c>
      <c r="T1107">
        <v>10</v>
      </c>
      <c r="U1107">
        <v>1</v>
      </c>
      <c r="V1107">
        <v>0</v>
      </c>
      <c r="W1107" t="s">
        <v>51</v>
      </c>
      <c r="X1107" s="1" t="d">
        <v>2011-04-27</v>
      </c>
      <c r="Z1107" t="s">
        <v>52</v>
      </c>
      <c r="AA1107" t="s">
        <v>40</v>
      </c>
      <c r="AB1107">
        <v>5</v>
      </c>
      <c r="AC1107">
        <v>3</v>
      </c>
      <c r="AD1107" t="s">
        <v>32</v>
      </c>
      <c r="AE1107" t="s">
        <v>60</v>
      </c>
      <c r="AF1107" t="s">
        <v>48</v>
      </c>
      <c r="AG1107">
        <f>IF(HR_Data[[#This Row],[Attrition]]="Yes",1,0)</f>
        <v>0</v>
      </c>
      <c r="AH1107" t="str">
        <f>IF(HR_Data[Date_of_termination]="","Active","Left")</f>
        <v>Active</v>
      </c>
      <c r="AI1107" t="str">
        <f>IF(HR_Data[YearsAtCompany]&lt;=2,"Fresher", IF(HR_Data[YearsAtCompany]&lt;=5,"Junior", IF(HR_Data[YearsAtCompany]&lt;=10, "Mid","Senior")))</f>
        <v>Mid</v>
      </c>
      <c r="AJ1107" s="2" t="str">
        <f>IF(HR_Data[MonthlyIncome]&lt;=300,"Low", IF(HR_Data[MonthlyIncome]&lt;=7000,"Medium", "High"))</f>
        <v>Medium</v>
      </c>
      <c r="AK1107" s="2" t="str">
        <f>VLOOKUP(HR_Data[JobRole], JobRole_Map[], 2, FALSE)</f>
        <v>Sales</v>
      </c>
    </row>
    <row r="1108" spans="1:37" x14ac:dyDescent="0.25">
      <c r="A1108" s="2">
        <v>46</v>
      </c>
      <c r="B1108" t="s">
        <v>41</v>
      </c>
      <c r="C1108" t="s">
        <v>61</v>
      </c>
      <c r="D1108" t="s">
        <v>34</v>
      </c>
      <c r="E1108">
        <v>1</v>
      </c>
      <c r="F1108" t="s">
        <v>35</v>
      </c>
      <c r="G1108">
        <v>2</v>
      </c>
      <c r="H1108">
        <v>3</v>
      </c>
      <c r="I1108" t="s">
        <v>69</v>
      </c>
      <c r="J1108">
        <v>1</v>
      </c>
      <c r="K1108" t="s">
        <v>50</v>
      </c>
      <c r="L1108">
        <v>10673</v>
      </c>
      <c r="M1108">
        <v>2</v>
      </c>
      <c r="N1108" t="s">
        <v>32</v>
      </c>
      <c r="O1108">
        <v>13</v>
      </c>
      <c r="P1108">
        <v>3</v>
      </c>
      <c r="Q1108">
        <v>1</v>
      </c>
      <c r="R1108">
        <v>21</v>
      </c>
      <c r="S1108">
        <v>5</v>
      </c>
      <c r="T1108">
        <v>10</v>
      </c>
      <c r="U1108">
        <v>9</v>
      </c>
      <c r="V1108">
        <v>5</v>
      </c>
      <c r="W1108" t="s">
        <v>56</v>
      </c>
      <c r="X1108" s="1" t="d">
        <v>2011-06-21</v>
      </c>
      <c r="Z1108" t="s">
        <v>39</v>
      </c>
      <c r="AA1108" t="s">
        <v>46</v>
      </c>
      <c r="AB1108">
        <v>4</v>
      </c>
      <c r="AC1108">
        <v>3</v>
      </c>
      <c r="AD1108" t="s">
        <v>41</v>
      </c>
      <c r="AE1108" t="s">
        <v>62</v>
      </c>
      <c r="AF1108" t="s">
        <v>43</v>
      </c>
      <c r="AG1108">
        <f>IF(HR_Data[[#This Row],[Attrition]]="Yes",1,0)</f>
        <v>0</v>
      </c>
      <c r="AH1108" t="str">
        <f>IF(HR_Data[Date_of_termination]="","Active","Left")</f>
        <v>Active</v>
      </c>
      <c r="AI1108" t="str">
        <f>IF(HR_Data[YearsAtCompany]&lt;=2,"Fresher", IF(HR_Data[YearsAtCompany]&lt;=5,"Junior", IF(HR_Data[YearsAtCompany]&lt;=10, "Mid","Senior")))</f>
        <v>Mid</v>
      </c>
      <c r="AJ1108" s="2" t="str">
        <f>IF(HR_Data[MonthlyIncome]&lt;=300,"Low", IF(HR_Data[MonthlyIncome]&lt;=7000,"Medium", "High"))</f>
        <v>High</v>
      </c>
      <c r="AK1108" s="2" t="str">
        <f>VLOOKUP(HR_Data[JobRole], JobRole_Map[], 2, FALSE)</f>
        <v>Operations</v>
      </c>
    </row>
    <row r="1109" spans="1:37" x14ac:dyDescent="0.25">
      <c r="A1109" s="2">
        <v>30</v>
      </c>
      <c r="B1109" t="s">
        <v>41</v>
      </c>
      <c r="C1109" t="s">
        <v>61</v>
      </c>
      <c r="D1109" t="s">
        <v>34</v>
      </c>
      <c r="E1109">
        <v>23</v>
      </c>
      <c r="F1109" t="s">
        <v>35</v>
      </c>
      <c r="G1109">
        <v>1</v>
      </c>
      <c r="H1109">
        <v>1</v>
      </c>
      <c r="I1109" t="s">
        <v>44</v>
      </c>
      <c r="J1109">
        <v>3</v>
      </c>
      <c r="K1109" t="s">
        <v>55</v>
      </c>
      <c r="L1109">
        <v>2613</v>
      </c>
      <c r="M1109">
        <v>1</v>
      </c>
      <c r="N1109" t="s">
        <v>41</v>
      </c>
      <c r="O1109">
        <v>25</v>
      </c>
      <c r="P1109">
        <v>4</v>
      </c>
      <c r="Q1109">
        <v>3</v>
      </c>
      <c r="R1109">
        <v>10</v>
      </c>
      <c r="S1109">
        <v>2</v>
      </c>
      <c r="T1109">
        <v>10</v>
      </c>
      <c r="U1109">
        <v>0</v>
      </c>
      <c r="V1109">
        <v>9</v>
      </c>
      <c r="W1109" t="s">
        <v>38</v>
      </c>
      <c r="X1109" s="1" t="d">
        <v>2011-04-21</v>
      </c>
      <c r="Z1109" t="s">
        <v>63</v>
      </c>
      <c r="AA1109" t="s">
        <v>40</v>
      </c>
      <c r="AB1109">
        <v>5</v>
      </c>
      <c r="AC1109">
        <v>0</v>
      </c>
      <c r="AD1109" t="s">
        <v>32</v>
      </c>
      <c r="AE1109" t="s">
        <v>62</v>
      </c>
      <c r="AF1109" t="s">
        <v>57</v>
      </c>
      <c r="AG1109">
        <f>IF(HR_Data[[#This Row],[Attrition]]="Yes",1,0)</f>
        <v>0</v>
      </c>
      <c r="AH1109" t="str">
        <f>IF(HR_Data[Date_of_termination]="","Active","Left")</f>
        <v>Active</v>
      </c>
      <c r="AI1109" t="str">
        <f>IF(HR_Data[YearsAtCompany]&lt;=2,"Fresher", IF(HR_Data[YearsAtCompany]&lt;=5,"Junior", IF(HR_Data[YearsAtCompany]&lt;=10, "Mid","Senior")))</f>
        <v>Mid</v>
      </c>
      <c r="AJ1109" s="2" t="str">
        <f>IF(HR_Data[MonthlyIncome]&lt;=300,"Low", IF(HR_Data[MonthlyIncome]&lt;=7000,"Medium", "High"))</f>
        <v>Medium</v>
      </c>
      <c r="AK1109" s="2" t="str">
        <f>VLOOKUP(HR_Data[JobRole], JobRole_Map[], 2, FALSE)</f>
        <v>Technical</v>
      </c>
    </row>
    <row r="1110" spans="1:37" x14ac:dyDescent="0.25">
      <c r="A1110" s="2">
        <v>35</v>
      </c>
      <c r="B1110" t="s">
        <v>41</v>
      </c>
      <c r="C1110" t="s">
        <v>33</v>
      </c>
      <c r="D1110" t="s">
        <v>53</v>
      </c>
      <c r="E1110">
        <v>1</v>
      </c>
      <c r="F1110" t="s">
        <v>35</v>
      </c>
      <c r="G1110">
        <v>3</v>
      </c>
      <c r="H1110">
        <v>3</v>
      </c>
      <c r="I1110" t="s">
        <v>64</v>
      </c>
      <c r="J1110">
        <v>2</v>
      </c>
      <c r="K1110" t="s">
        <v>50</v>
      </c>
      <c r="L1110">
        <v>7295</v>
      </c>
      <c r="M1110">
        <v>1</v>
      </c>
      <c r="N1110" t="s">
        <v>41</v>
      </c>
      <c r="O1110">
        <v>13</v>
      </c>
      <c r="P1110">
        <v>3</v>
      </c>
      <c r="Q1110">
        <v>2</v>
      </c>
      <c r="R1110">
        <v>10</v>
      </c>
      <c r="S1110">
        <v>3</v>
      </c>
      <c r="T1110">
        <v>10</v>
      </c>
      <c r="U1110">
        <v>0</v>
      </c>
      <c r="V1110">
        <v>6</v>
      </c>
      <c r="W1110" t="s">
        <v>56</v>
      </c>
      <c r="X1110" s="1" t="d">
        <v>2011-02-18</v>
      </c>
      <c r="Z1110" t="s">
        <v>45</v>
      </c>
      <c r="AA1110" t="s">
        <v>40</v>
      </c>
      <c r="AB1110">
        <v>0</v>
      </c>
      <c r="AC1110">
        <v>0</v>
      </c>
      <c r="AD1110" t="s">
        <v>32</v>
      </c>
      <c r="AE1110" t="s">
        <v>62</v>
      </c>
      <c r="AF1110" t="s">
        <v>43</v>
      </c>
      <c r="AG1110">
        <f>IF(HR_Data[[#This Row],[Attrition]]="Yes",1,0)</f>
        <v>0</v>
      </c>
      <c r="AH1110" t="str">
        <f>IF(HR_Data[Date_of_termination]="","Active","Left")</f>
        <v>Active</v>
      </c>
      <c r="AI1110" t="str">
        <f>IF(HR_Data[YearsAtCompany]&lt;=2,"Fresher", IF(HR_Data[YearsAtCompany]&lt;=5,"Junior", IF(HR_Data[YearsAtCompany]&lt;=10, "Mid","Senior")))</f>
        <v>Mid</v>
      </c>
      <c r="AJ1110" s="2" t="str">
        <f>IF(HR_Data[MonthlyIncome]&lt;=300,"Low", IF(HR_Data[MonthlyIncome]&lt;=7000,"Medium", "High"))</f>
        <v>High</v>
      </c>
      <c r="AK1110" s="2" t="str">
        <f>VLOOKUP(HR_Data[JobRole], JobRole_Map[], 2, FALSE)</f>
        <v>Sales</v>
      </c>
    </row>
    <row r="1111" spans="1:37" x14ac:dyDescent="0.25">
      <c r="A1111" s="2">
        <v>29</v>
      </c>
      <c r="B1111" t="s">
        <v>41</v>
      </c>
      <c r="C1111" t="s">
        <v>68</v>
      </c>
      <c r="D1111" t="s">
        <v>34</v>
      </c>
      <c r="E1111">
        <v>1</v>
      </c>
      <c r="F1111" t="s">
        <v>35</v>
      </c>
      <c r="G1111">
        <v>3</v>
      </c>
      <c r="H1111">
        <v>2</v>
      </c>
      <c r="I1111" t="s">
        <v>67</v>
      </c>
      <c r="J1111">
        <v>3</v>
      </c>
      <c r="K1111" t="s">
        <v>50</v>
      </c>
      <c r="L1111">
        <v>4319</v>
      </c>
      <c r="M1111">
        <v>1</v>
      </c>
      <c r="N1111" t="s">
        <v>41</v>
      </c>
      <c r="O1111">
        <v>13</v>
      </c>
      <c r="P1111">
        <v>3</v>
      </c>
      <c r="Q1111">
        <v>1</v>
      </c>
      <c r="R1111">
        <v>10</v>
      </c>
      <c r="S1111">
        <v>1</v>
      </c>
      <c r="T1111">
        <v>10</v>
      </c>
      <c r="U1111">
        <v>0</v>
      </c>
      <c r="V1111">
        <v>9</v>
      </c>
      <c r="W1111" t="s">
        <v>56</v>
      </c>
      <c r="X1111" s="1" t="d">
        <v>2011-05-24</v>
      </c>
      <c r="Z1111" t="s">
        <v>45</v>
      </c>
      <c r="AA1111" t="s">
        <v>40</v>
      </c>
      <c r="AB1111">
        <v>4</v>
      </c>
      <c r="AC1111">
        <v>1</v>
      </c>
      <c r="AD1111" t="s">
        <v>41</v>
      </c>
      <c r="AE1111" t="s">
        <v>62</v>
      </c>
      <c r="AF1111" t="s">
        <v>48</v>
      </c>
      <c r="AG1111">
        <f>IF(HR_Data[[#This Row],[Attrition]]="Yes",1,0)</f>
        <v>0</v>
      </c>
      <c r="AH1111" t="str">
        <f>IF(HR_Data[Date_of_termination]="","Active","Left")</f>
        <v>Active</v>
      </c>
      <c r="AI1111" t="str">
        <f>IF(HR_Data[YearsAtCompany]&lt;=2,"Fresher", IF(HR_Data[YearsAtCompany]&lt;=5,"Junior", IF(HR_Data[YearsAtCompany]&lt;=10, "Mid","Senior")))</f>
        <v>Mid</v>
      </c>
      <c r="AJ1111" s="2" t="str">
        <f>IF(HR_Data[MonthlyIncome]&lt;=300,"Low", IF(HR_Data[MonthlyIncome]&lt;=7000,"Medium", "High"))</f>
        <v>Medium</v>
      </c>
      <c r="AK1111" s="2" t="str">
        <f>VLOOKUP(HR_Data[JobRole], JobRole_Map[], 2, FALSE)</f>
        <v>Operations</v>
      </c>
    </row>
    <row r="1112" spans="1:37" x14ac:dyDescent="0.25">
      <c r="A1112" s="2">
        <v>30</v>
      </c>
      <c r="B1112" t="s">
        <v>41</v>
      </c>
      <c r="C1112" t="s">
        <v>33</v>
      </c>
      <c r="D1112" t="s">
        <v>53</v>
      </c>
      <c r="E1112">
        <v>5</v>
      </c>
      <c r="F1112" t="s">
        <v>58</v>
      </c>
      <c r="G1112">
        <v>3</v>
      </c>
      <c r="H1112">
        <v>3</v>
      </c>
      <c r="I1112" t="s">
        <v>64</v>
      </c>
      <c r="J1112">
        <v>4</v>
      </c>
      <c r="K1112" t="s">
        <v>50</v>
      </c>
      <c r="L1112">
        <v>9419</v>
      </c>
      <c r="M1112">
        <v>2</v>
      </c>
      <c r="N1112" t="s">
        <v>41</v>
      </c>
      <c r="O1112">
        <v>12</v>
      </c>
      <c r="P1112">
        <v>3</v>
      </c>
      <c r="Q1112">
        <v>1</v>
      </c>
      <c r="R1112">
        <v>12</v>
      </c>
      <c r="S1112">
        <v>2</v>
      </c>
      <c r="T1112">
        <v>10</v>
      </c>
      <c r="U1112">
        <v>7</v>
      </c>
      <c r="V1112">
        <v>4</v>
      </c>
      <c r="W1112" t="s">
        <v>56</v>
      </c>
      <c r="X1112" s="1" t="d">
        <v>2011-06-09</v>
      </c>
      <c r="Z1112" t="s">
        <v>59</v>
      </c>
      <c r="AA1112" t="s">
        <v>46</v>
      </c>
      <c r="AB1112">
        <v>1</v>
      </c>
      <c r="AC1112">
        <v>2</v>
      </c>
      <c r="AD1112" t="s">
        <v>32</v>
      </c>
      <c r="AE1112" t="s">
        <v>47</v>
      </c>
      <c r="AF1112" t="s">
        <v>57</v>
      </c>
      <c r="AG1112">
        <f>IF(HR_Data[[#This Row],[Attrition]]="Yes",1,0)</f>
        <v>0</v>
      </c>
      <c r="AH1112" t="str">
        <f>IF(HR_Data[Date_of_termination]="","Active","Left")</f>
        <v>Active</v>
      </c>
      <c r="AI1112" t="str">
        <f>IF(HR_Data[YearsAtCompany]&lt;=2,"Fresher", IF(HR_Data[YearsAtCompany]&lt;=5,"Junior", IF(HR_Data[YearsAtCompany]&lt;=10, "Mid","Senior")))</f>
        <v>Mid</v>
      </c>
      <c r="AJ1112" s="2" t="str">
        <f>IF(HR_Data[MonthlyIncome]&lt;=300,"Low", IF(HR_Data[MonthlyIncome]&lt;=7000,"Medium", "High"))</f>
        <v>High</v>
      </c>
      <c r="AK1112" s="2" t="str">
        <f>VLOOKUP(HR_Data[JobRole], JobRole_Map[], 2, FALSE)</f>
        <v>Sales</v>
      </c>
    </row>
    <row r="1113" spans="1:37" x14ac:dyDescent="0.25">
      <c r="A1113" s="2">
        <v>34</v>
      </c>
      <c r="B1113" t="s">
        <v>41</v>
      </c>
      <c r="C1113" t="s">
        <v>61</v>
      </c>
      <c r="D1113" t="s">
        <v>34</v>
      </c>
      <c r="E1113">
        <v>2</v>
      </c>
      <c r="F1113" t="s">
        <v>35</v>
      </c>
      <c r="G1113">
        <v>2</v>
      </c>
      <c r="H1113">
        <v>2</v>
      </c>
      <c r="I1113" t="s">
        <v>67</v>
      </c>
      <c r="J1113">
        <v>3</v>
      </c>
      <c r="K1113" t="s">
        <v>50</v>
      </c>
      <c r="L1113">
        <v>9547</v>
      </c>
      <c r="M1113">
        <v>1</v>
      </c>
      <c r="N1113" t="s">
        <v>41</v>
      </c>
      <c r="O1113">
        <v>17</v>
      </c>
      <c r="P1113">
        <v>3</v>
      </c>
      <c r="Q1113">
        <v>0</v>
      </c>
      <c r="R1113">
        <v>10</v>
      </c>
      <c r="S1113">
        <v>2</v>
      </c>
      <c r="T1113">
        <v>10</v>
      </c>
      <c r="U1113">
        <v>1</v>
      </c>
      <c r="V1113">
        <v>9</v>
      </c>
      <c r="W1113" t="s">
        <v>38</v>
      </c>
      <c r="X1113" s="1" t="d">
        <v>2011-04-20</v>
      </c>
      <c r="Z1113" t="s">
        <v>45</v>
      </c>
      <c r="AA1113" t="s">
        <v>46</v>
      </c>
      <c r="AB1113">
        <v>2</v>
      </c>
      <c r="AC1113">
        <v>1</v>
      </c>
      <c r="AD1113" t="s">
        <v>41</v>
      </c>
      <c r="AE1113" t="s">
        <v>47</v>
      </c>
      <c r="AF1113" t="s">
        <v>48</v>
      </c>
      <c r="AG1113">
        <f>IF(HR_Data[[#This Row],[Attrition]]="Yes",1,0)</f>
        <v>0</v>
      </c>
      <c r="AH1113" t="str">
        <f>IF(HR_Data[Date_of_termination]="","Active","Left")</f>
        <v>Active</v>
      </c>
      <c r="AI1113" t="str">
        <f>IF(HR_Data[YearsAtCompany]&lt;=2,"Fresher", IF(HR_Data[YearsAtCompany]&lt;=5,"Junior", IF(HR_Data[YearsAtCompany]&lt;=10, "Mid","Senior")))</f>
        <v>Mid</v>
      </c>
      <c r="AJ1113" s="2" t="str">
        <f>IF(HR_Data[MonthlyIncome]&lt;=300,"Low", IF(HR_Data[MonthlyIncome]&lt;=7000,"Medium", "High"))</f>
        <v>High</v>
      </c>
      <c r="AK1113" s="2" t="str">
        <f>VLOOKUP(HR_Data[JobRole], JobRole_Map[], 2, FALSE)</f>
        <v>Operations</v>
      </c>
    </row>
    <row r="1114" spans="1:37" x14ac:dyDescent="0.25">
      <c r="A1114" s="2">
        <v>29</v>
      </c>
      <c r="B1114" t="s">
        <v>32</v>
      </c>
      <c r="C1114" t="s">
        <v>33</v>
      </c>
      <c r="D1114" t="s">
        <v>53</v>
      </c>
      <c r="E1114">
        <v>27</v>
      </c>
      <c r="F1114" t="s">
        <v>58</v>
      </c>
      <c r="G1114">
        <v>3</v>
      </c>
      <c r="H1114">
        <v>3</v>
      </c>
      <c r="I1114" t="s">
        <v>64</v>
      </c>
      <c r="J1114">
        <v>4</v>
      </c>
      <c r="K1114" t="s">
        <v>50</v>
      </c>
      <c r="L1114">
        <v>7639</v>
      </c>
      <c r="M1114">
        <v>1</v>
      </c>
      <c r="N1114" t="s">
        <v>41</v>
      </c>
      <c r="O1114">
        <v>22</v>
      </c>
      <c r="P1114">
        <v>4</v>
      </c>
      <c r="Q1114">
        <v>3</v>
      </c>
      <c r="R1114">
        <v>10</v>
      </c>
      <c r="S1114">
        <v>3</v>
      </c>
      <c r="T1114">
        <v>10</v>
      </c>
      <c r="U1114">
        <v>1</v>
      </c>
      <c r="V1114">
        <v>9</v>
      </c>
      <c r="W1114" t="s">
        <v>51</v>
      </c>
      <c r="X1114" s="1" t="d">
        <v>2011-04-17</v>
      </c>
      <c r="Z1114" t="s">
        <v>52</v>
      </c>
      <c r="AA1114" t="s">
        <v>40</v>
      </c>
      <c r="AB1114">
        <v>0</v>
      </c>
      <c r="AC1114">
        <v>0</v>
      </c>
      <c r="AD1114" t="s">
        <v>32</v>
      </c>
      <c r="AE1114" t="s">
        <v>42</v>
      </c>
      <c r="AF1114" t="s">
        <v>43</v>
      </c>
      <c r="AG1114">
        <f>IF(HR_Data[[#This Row],[Attrition]]="Yes",1,0)</f>
        <v>1</v>
      </c>
      <c r="AH1114" t="str">
        <f>IF(HR_Data[Date_of_termination]="","Active","Left")</f>
        <v>Active</v>
      </c>
      <c r="AI1114" t="str">
        <f>IF(HR_Data[YearsAtCompany]&lt;=2,"Fresher", IF(HR_Data[YearsAtCompany]&lt;=5,"Junior", IF(HR_Data[YearsAtCompany]&lt;=10, "Mid","Senior")))</f>
        <v>Mid</v>
      </c>
      <c r="AJ1114" s="2" t="str">
        <f>IF(HR_Data[MonthlyIncome]&lt;=300,"Low", IF(HR_Data[MonthlyIncome]&lt;=7000,"Medium", "High"))</f>
        <v>High</v>
      </c>
      <c r="AK1114" s="2" t="str">
        <f>VLOOKUP(HR_Data[JobRole], JobRole_Map[], 2, FALSE)</f>
        <v>Sales</v>
      </c>
    </row>
    <row r="1115" spans="1:37" x14ac:dyDescent="0.25">
      <c r="A1115" s="2">
        <v>51</v>
      </c>
      <c r="B1115" t="s">
        <v>41</v>
      </c>
      <c r="C1115" t="s">
        <v>33</v>
      </c>
      <c r="D1115" t="s">
        <v>34</v>
      </c>
      <c r="E1115">
        <v>8</v>
      </c>
      <c r="F1115" t="s">
        <v>35</v>
      </c>
      <c r="G1115">
        <v>2</v>
      </c>
      <c r="H1115">
        <v>3</v>
      </c>
      <c r="I1115" t="s">
        <v>49</v>
      </c>
      <c r="J1115">
        <v>2</v>
      </c>
      <c r="K1115" t="s">
        <v>50</v>
      </c>
      <c r="L1115">
        <v>12490</v>
      </c>
      <c r="M1115">
        <v>5</v>
      </c>
      <c r="N1115" t="s">
        <v>41</v>
      </c>
      <c r="O1115">
        <v>16</v>
      </c>
      <c r="P1115">
        <v>3</v>
      </c>
      <c r="Q1115">
        <v>2</v>
      </c>
      <c r="R1115">
        <v>16</v>
      </c>
      <c r="S1115">
        <v>5</v>
      </c>
      <c r="T1115">
        <v>10</v>
      </c>
      <c r="U1115">
        <v>4</v>
      </c>
      <c r="V1115">
        <v>7</v>
      </c>
      <c r="W1115" t="s">
        <v>51</v>
      </c>
      <c r="X1115" s="1" t="d">
        <v>2011-01-13</v>
      </c>
      <c r="Z1115" t="s">
        <v>59</v>
      </c>
      <c r="AA1115" t="s">
        <v>46</v>
      </c>
      <c r="AB1115">
        <v>3</v>
      </c>
      <c r="AC1115">
        <v>3</v>
      </c>
      <c r="AD1115" t="s">
        <v>32</v>
      </c>
      <c r="AE1115" t="s">
        <v>42</v>
      </c>
      <c r="AF1115" t="s">
        <v>43</v>
      </c>
      <c r="AG1115">
        <f>IF(HR_Data[[#This Row],[Attrition]]="Yes",1,0)</f>
        <v>0</v>
      </c>
      <c r="AH1115" t="str">
        <f>IF(HR_Data[Date_of_termination]="","Active","Left")</f>
        <v>Active</v>
      </c>
      <c r="AI1115" t="str">
        <f>IF(HR_Data[YearsAtCompany]&lt;=2,"Fresher", IF(HR_Data[YearsAtCompany]&lt;=5,"Junior", IF(HR_Data[YearsAtCompany]&lt;=10, "Mid","Senior")))</f>
        <v>Mid</v>
      </c>
      <c r="AJ1115" s="2" t="str">
        <f>IF(HR_Data[MonthlyIncome]&lt;=300,"Low", IF(HR_Data[MonthlyIncome]&lt;=7000,"Medium", "High"))</f>
        <v>High</v>
      </c>
      <c r="AK1115" s="2" t="str">
        <f>VLOOKUP(HR_Data[JobRole], JobRole_Map[], 2, FALSE)</f>
        <v>Management</v>
      </c>
    </row>
    <row r="1116" spans="1:37" x14ac:dyDescent="0.25">
      <c r="A1116" s="2">
        <v>37</v>
      </c>
      <c r="B1116" t="s">
        <v>41</v>
      </c>
      <c r="C1116" t="s">
        <v>61</v>
      </c>
      <c r="D1116" t="s">
        <v>34</v>
      </c>
      <c r="E1116">
        <v>11</v>
      </c>
      <c r="F1116" t="s">
        <v>35</v>
      </c>
      <c r="G1116">
        <v>3</v>
      </c>
      <c r="H1116">
        <v>3</v>
      </c>
      <c r="I1116" t="s">
        <v>49</v>
      </c>
      <c r="J1116">
        <v>4</v>
      </c>
      <c r="K1116" t="s">
        <v>55</v>
      </c>
      <c r="L1116">
        <v>12185</v>
      </c>
      <c r="M1116">
        <v>1</v>
      </c>
      <c r="N1116" t="s">
        <v>32</v>
      </c>
      <c r="O1116">
        <v>14</v>
      </c>
      <c r="P1116">
        <v>3</v>
      </c>
      <c r="Q1116">
        <v>3</v>
      </c>
      <c r="R1116">
        <v>10</v>
      </c>
      <c r="S1116">
        <v>1</v>
      </c>
      <c r="T1116">
        <v>10</v>
      </c>
      <c r="U1116">
        <v>0</v>
      </c>
      <c r="V1116">
        <v>7</v>
      </c>
      <c r="W1116" t="s">
        <v>65</v>
      </c>
      <c r="X1116" s="1" t="d">
        <v>2011-05-05</v>
      </c>
      <c r="Z1116" t="s">
        <v>45</v>
      </c>
      <c r="AA1116" t="s">
        <v>40</v>
      </c>
      <c r="AB1116">
        <v>5</v>
      </c>
      <c r="AC1116">
        <v>0</v>
      </c>
      <c r="AD1116" t="s">
        <v>41</v>
      </c>
      <c r="AE1116" t="s">
        <v>47</v>
      </c>
      <c r="AF1116" t="s">
        <v>57</v>
      </c>
      <c r="AG1116">
        <f>IF(HR_Data[[#This Row],[Attrition]]="Yes",1,0)</f>
        <v>0</v>
      </c>
      <c r="AH1116" t="str">
        <f>IF(HR_Data[Date_of_termination]="","Active","Left")</f>
        <v>Active</v>
      </c>
      <c r="AI1116" t="str">
        <f>IF(HR_Data[YearsAtCompany]&lt;=2,"Fresher", IF(HR_Data[YearsAtCompany]&lt;=5,"Junior", IF(HR_Data[YearsAtCompany]&lt;=10, "Mid","Senior")))</f>
        <v>Mid</v>
      </c>
      <c r="AJ1116" s="2" t="str">
        <f>IF(HR_Data[MonthlyIncome]&lt;=300,"Low", IF(HR_Data[MonthlyIncome]&lt;=7000,"Medium", "High"))</f>
        <v>High</v>
      </c>
      <c r="AK1116" s="2" t="str">
        <f>VLOOKUP(HR_Data[JobRole], JobRole_Map[], 2, FALSE)</f>
        <v>Management</v>
      </c>
    </row>
    <row r="1117" spans="1:37" x14ac:dyDescent="0.25">
      <c r="A1117" s="2">
        <v>35</v>
      </c>
      <c r="B1117" t="s">
        <v>41</v>
      </c>
      <c r="C1117" t="s">
        <v>61</v>
      </c>
      <c r="D1117" t="s">
        <v>53</v>
      </c>
      <c r="E1117">
        <v>1</v>
      </c>
      <c r="F1117" t="s">
        <v>58</v>
      </c>
      <c r="G1117">
        <v>3</v>
      </c>
      <c r="H1117">
        <v>3</v>
      </c>
      <c r="I1117" t="s">
        <v>64</v>
      </c>
      <c r="J1117">
        <v>3</v>
      </c>
      <c r="K1117" t="s">
        <v>37</v>
      </c>
      <c r="L1117">
        <v>8789</v>
      </c>
      <c r="M1117">
        <v>1</v>
      </c>
      <c r="N1117" t="s">
        <v>41</v>
      </c>
      <c r="O1117">
        <v>14</v>
      </c>
      <c r="P1117">
        <v>3</v>
      </c>
      <c r="Q1117">
        <v>0</v>
      </c>
      <c r="R1117">
        <v>10</v>
      </c>
      <c r="S1117">
        <v>3</v>
      </c>
      <c r="T1117">
        <v>10</v>
      </c>
      <c r="U1117">
        <v>0</v>
      </c>
      <c r="V1117">
        <v>8</v>
      </c>
      <c r="W1117" t="s">
        <v>51</v>
      </c>
      <c r="X1117" s="1" t="d">
        <v>2011-03-03</v>
      </c>
      <c r="Z1117" t="s">
        <v>45</v>
      </c>
      <c r="AA1117" t="s">
        <v>46</v>
      </c>
      <c r="AB1117">
        <v>5</v>
      </c>
      <c r="AC1117">
        <v>1</v>
      </c>
      <c r="AD1117" t="s">
        <v>41</v>
      </c>
      <c r="AE1117" t="s">
        <v>60</v>
      </c>
      <c r="AF1117" t="s">
        <v>48</v>
      </c>
      <c r="AG1117">
        <f>IF(HR_Data[[#This Row],[Attrition]]="Yes",1,0)</f>
        <v>0</v>
      </c>
      <c r="AH1117" t="str">
        <f>IF(HR_Data[Date_of_termination]="","Active","Left")</f>
        <v>Active</v>
      </c>
      <c r="AI1117" t="str">
        <f>IF(HR_Data[YearsAtCompany]&lt;=2,"Fresher", IF(HR_Data[YearsAtCompany]&lt;=5,"Junior", IF(HR_Data[YearsAtCompany]&lt;=10, "Mid","Senior")))</f>
        <v>Mid</v>
      </c>
      <c r="AJ1117" s="2" t="str">
        <f>IF(HR_Data[MonthlyIncome]&lt;=300,"Low", IF(HR_Data[MonthlyIncome]&lt;=7000,"Medium", "High"))</f>
        <v>High</v>
      </c>
      <c r="AK1117" s="2" t="str">
        <f>VLOOKUP(HR_Data[JobRole], JobRole_Map[], 2, FALSE)</f>
        <v>Sales</v>
      </c>
    </row>
    <row r="1118" spans="1:37" x14ac:dyDescent="0.25">
      <c r="A1118" s="2">
        <v>47</v>
      </c>
      <c r="B1118" t="s">
        <v>32</v>
      </c>
      <c r="C1118" t="s">
        <v>68</v>
      </c>
      <c r="D1118" t="s">
        <v>34</v>
      </c>
      <c r="E1118">
        <v>29</v>
      </c>
      <c r="F1118" t="s">
        <v>35</v>
      </c>
      <c r="G1118">
        <v>3</v>
      </c>
      <c r="H1118">
        <v>3</v>
      </c>
      <c r="I1118" t="s">
        <v>66</v>
      </c>
      <c r="J1118">
        <v>2</v>
      </c>
      <c r="K1118" t="s">
        <v>50</v>
      </c>
      <c r="L1118">
        <v>11849</v>
      </c>
      <c r="M1118">
        <v>1</v>
      </c>
      <c r="N1118" t="s">
        <v>32</v>
      </c>
      <c r="O1118">
        <v>12</v>
      </c>
      <c r="P1118">
        <v>3</v>
      </c>
      <c r="Q1118">
        <v>1</v>
      </c>
      <c r="R1118">
        <v>10</v>
      </c>
      <c r="S1118">
        <v>2</v>
      </c>
      <c r="T1118">
        <v>10</v>
      </c>
      <c r="U1118">
        <v>9</v>
      </c>
      <c r="V1118">
        <v>9</v>
      </c>
      <c r="W1118" t="s">
        <v>51</v>
      </c>
      <c r="X1118" s="1" t="d">
        <v>2011-04-06</v>
      </c>
      <c r="Z1118" t="s">
        <v>45</v>
      </c>
      <c r="AA1118" t="s">
        <v>46</v>
      </c>
      <c r="AB1118">
        <v>3</v>
      </c>
      <c r="AC1118">
        <v>1</v>
      </c>
      <c r="AD1118" t="s">
        <v>41</v>
      </c>
      <c r="AE1118" t="s">
        <v>62</v>
      </c>
      <c r="AF1118" t="s">
        <v>43</v>
      </c>
      <c r="AG1118">
        <f>IF(HR_Data[[#This Row],[Attrition]]="Yes",1,0)</f>
        <v>1</v>
      </c>
      <c r="AH1118" t="str">
        <f>IF(HR_Data[Date_of_termination]="","Active","Left")</f>
        <v>Active</v>
      </c>
      <c r="AI1118" t="str">
        <f>IF(HR_Data[YearsAtCompany]&lt;=2,"Fresher", IF(HR_Data[YearsAtCompany]&lt;=5,"Junior", IF(HR_Data[YearsAtCompany]&lt;=10, "Mid","Senior")))</f>
        <v>Mid</v>
      </c>
      <c r="AJ1118" s="2" t="str">
        <f>IF(HR_Data[MonthlyIncome]&lt;=300,"Low", IF(HR_Data[MonthlyIncome]&lt;=7000,"Medium", "High"))</f>
        <v>High</v>
      </c>
      <c r="AK1118" s="2" t="str">
        <f>VLOOKUP(HR_Data[JobRole], JobRole_Map[], 2, FALSE)</f>
        <v>Management</v>
      </c>
    </row>
    <row r="1119" spans="1:37" x14ac:dyDescent="0.25">
      <c r="A1119" s="2">
        <v>50</v>
      </c>
      <c r="B1119" t="s">
        <v>41</v>
      </c>
      <c r="C1119" t="s">
        <v>33</v>
      </c>
      <c r="D1119" t="s">
        <v>34</v>
      </c>
      <c r="E1119">
        <v>4</v>
      </c>
      <c r="F1119" t="s">
        <v>35</v>
      </c>
      <c r="G1119">
        <v>3</v>
      </c>
      <c r="H1119">
        <v>5</v>
      </c>
      <c r="I1119" t="s">
        <v>49</v>
      </c>
      <c r="J1119">
        <v>2</v>
      </c>
      <c r="K1119" t="s">
        <v>55</v>
      </c>
      <c r="L1119">
        <v>19144</v>
      </c>
      <c r="M1119">
        <v>3</v>
      </c>
      <c r="N1119" t="s">
        <v>41</v>
      </c>
      <c r="O1119">
        <v>14</v>
      </c>
      <c r="P1119">
        <v>3</v>
      </c>
      <c r="Q1119">
        <v>2</v>
      </c>
      <c r="R1119">
        <v>28</v>
      </c>
      <c r="S1119">
        <v>4</v>
      </c>
      <c r="T1119">
        <v>10</v>
      </c>
      <c r="U1119">
        <v>1</v>
      </c>
      <c r="V1119">
        <v>6</v>
      </c>
      <c r="W1119" t="s">
        <v>56</v>
      </c>
      <c r="X1119" s="1" t="d">
        <v>2011-01-31</v>
      </c>
      <c r="Z1119" t="s">
        <v>52</v>
      </c>
      <c r="AA1119" t="s">
        <v>40</v>
      </c>
      <c r="AB1119">
        <v>2</v>
      </c>
      <c r="AC1119">
        <v>1</v>
      </c>
      <c r="AD1119" t="s">
        <v>41</v>
      </c>
      <c r="AE1119" t="s">
        <v>42</v>
      </c>
      <c r="AF1119" t="s">
        <v>43</v>
      </c>
      <c r="AG1119">
        <f>IF(HR_Data[[#This Row],[Attrition]]="Yes",1,0)</f>
        <v>0</v>
      </c>
      <c r="AH1119" t="str">
        <f>IF(HR_Data[Date_of_termination]="","Active","Left")</f>
        <v>Active</v>
      </c>
      <c r="AI1119" t="str">
        <f>IF(HR_Data[YearsAtCompany]&lt;=2,"Fresher", IF(HR_Data[YearsAtCompany]&lt;=5,"Junior", IF(HR_Data[YearsAtCompany]&lt;=10, "Mid","Senior")))</f>
        <v>Mid</v>
      </c>
      <c r="AJ1119" s="2" t="str">
        <f>IF(HR_Data[MonthlyIncome]&lt;=300,"Low", IF(HR_Data[MonthlyIncome]&lt;=7000,"Medium", "High"))</f>
        <v>High</v>
      </c>
      <c r="AK1119" s="2" t="str">
        <f>VLOOKUP(HR_Data[JobRole], JobRole_Map[], 2, FALSE)</f>
        <v>Management</v>
      </c>
    </row>
    <row r="1120" spans="1:37" x14ac:dyDescent="0.25">
      <c r="A1120" s="2">
        <v>29</v>
      </c>
      <c r="B1120" t="s">
        <v>41</v>
      </c>
      <c r="C1120" t="s">
        <v>61</v>
      </c>
      <c r="D1120" t="s">
        <v>53</v>
      </c>
      <c r="E1120">
        <v>2</v>
      </c>
      <c r="F1120" t="s">
        <v>35</v>
      </c>
      <c r="G1120">
        <v>3</v>
      </c>
      <c r="H1120">
        <v>2</v>
      </c>
      <c r="I1120" t="s">
        <v>64</v>
      </c>
      <c r="J1120">
        <v>4</v>
      </c>
      <c r="K1120" t="s">
        <v>37</v>
      </c>
      <c r="L1120">
        <v>4554</v>
      </c>
      <c r="M1120">
        <v>1</v>
      </c>
      <c r="N1120" t="s">
        <v>41</v>
      </c>
      <c r="O1120">
        <v>18</v>
      </c>
      <c r="P1120">
        <v>3</v>
      </c>
      <c r="Q1120">
        <v>0</v>
      </c>
      <c r="R1120">
        <v>10</v>
      </c>
      <c r="S1120">
        <v>3</v>
      </c>
      <c r="T1120">
        <v>10</v>
      </c>
      <c r="U1120">
        <v>0</v>
      </c>
      <c r="V1120">
        <v>9</v>
      </c>
      <c r="W1120" t="s">
        <v>56</v>
      </c>
      <c r="X1120" s="1" t="d">
        <v>2011-06-17</v>
      </c>
      <c r="Z1120" t="s">
        <v>45</v>
      </c>
      <c r="AA1120" t="s">
        <v>40</v>
      </c>
      <c r="AB1120">
        <v>2</v>
      </c>
      <c r="AC1120">
        <v>2</v>
      </c>
      <c r="AD1120" t="s">
        <v>32</v>
      </c>
      <c r="AE1120" t="s">
        <v>62</v>
      </c>
      <c r="AF1120" t="s">
        <v>43</v>
      </c>
      <c r="AG1120">
        <f>IF(HR_Data[[#This Row],[Attrition]]="Yes",1,0)</f>
        <v>0</v>
      </c>
      <c r="AH1120" t="str">
        <f>IF(HR_Data[Date_of_termination]="","Active","Left")</f>
        <v>Active</v>
      </c>
      <c r="AI1120" t="str">
        <f>IF(HR_Data[YearsAtCompany]&lt;=2,"Fresher", IF(HR_Data[YearsAtCompany]&lt;=5,"Junior", IF(HR_Data[YearsAtCompany]&lt;=10, "Mid","Senior")))</f>
        <v>Mid</v>
      </c>
      <c r="AJ1120" s="2" t="str">
        <f>IF(HR_Data[MonthlyIncome]&lt;=300,"Low", IF(HR_Data[MonthlyIncome]&lt;=7000,"Medium", "High"))</f>
        <v>Medium</v>
      </c>
      <c r="AK1120" s="2" t="str">
        <f>VLOOKUP(HR_Data[JobRole], JobRole_Map[], 2, FALSE)</f>
        <v>Sales</v>
      </c>
    </row>
    <row r="1121" spans="1:37" x14ac:dyDescent="0.25">
      <c r="A1121" s="2">
        <v>55</v>
      </c>
      <c r="B1121" t="s">
        <v>41</v>
      </c>
      <c r="C1121" t="s">
        <v>33</v>
      </c>
      <c r="D1121" t="s">
        <v>34</v>
      </c>
      <c r="E1121">
        <v>20</v>
      </c>
      <c r="F1121" t="s">
        <v>35</v>
      </c>
      <c r="G1121">
        <v>3</v>
      </c>
      <c r="H1121">
        <v>2</v>
      </c>
      <c r="I1121" t="s">
        <v>36</v>
      </c>
      <c r="J1121">
        <v>4</v>
      </c>
      <c r="K1121" t="s">
        <v>50</v>
      </c>
      <c r="L1121">
        <v>5415</v>
      </c>
      <c r="M1121">
        <v>3</v>
      </c>
      <c r="N1121" t="s">
        <v>32</v>
      </c>
      <c r="O1121">
        <v>19</v>
      </c>
      <c r="P1121">
        <v>3</v>
      </c>
      <c r="Q1121">
        <v>1</v>
      </c>
      <c r="R1121">
        <v>12</v>
      </c>
      <c r="S1121">
        <v>4</v>
      </c>
      <c r="T1121">
        <v>10</v>
      </c>
      <c r="U1121">
        <v>0</v>
      </c>
      <c r="V1121">
        <v>8</v>
      </c>
      <c r="W1121" t="s">
        <v>51</v>
      </c>
      <c r="X1121" s="1" t="d">
        <v>2011-02-12</v>
      </c>
      <c r="Z1121" t="s">
        <v>45</v>
      </c>
      <c r="AA1121" t="s">
        <v>46</v>
      </c>
      <c r="AB1121">
        <v>3</v>
      </c>
      <c r="AC1121">
        <v>3</v>
      </c>
      <c r="AD1121" t="s">
        <v>32</v>
      </c>
      <c r="AE1121" t="s">
        <v>42</v>
      </c>
      <c r="AF1121" t="s">
        <v>57</v>
      </c>
      <c r="AG1121">
        <f>IF(HR_Data[[#This Row],[Attrition]]="Yes",1,0)</f>
        <v>0</v>
      </c>
      <c r="AH1121" t="str">
        <f>IF(HR_Data[Date_of_termination]="","Active","Left")</f>
        <v>Active</v>
      </c>
      <c r="AI1121" t="str">
        <f>IF(HR_Data[YearsAtCompany]&lt;=2,"Fresher", IF(HR_Data[YearsAtCompany]&lt;=5,"Junior", IF(HR_Data[YearsAtCompany]&lt;=10, "Mid","Senior")))</f>
        <v>Mid</v>
      </c>
      <c r="AJ1121" s="2" t="str">
        <f>IF(HR_Data[MonthlyIncome]&lt;=300,"Low", IF(HR_Data[MonthlyIncome]&lt;=7000,"Medium", "High"))</f>
        <v>Medium</v>
      </c>
      <c r="AK1121" s="2" t="str">
        <f>VLOOKUP(HR_Data[JobRole], JobRole_Map[], 2, FALSE)</f>
        <v>Technical</v>
      </c>
    </row>
    <row r="1122" spans="1:37" x14ac:dyDescent="0.25">
      <c r="A1122" s="2">
        <v>38</v>
      </c>
      <c r="B1122" t="s">
        <v>41</v>
      </c>
      <c r="C1122" t="s">
        <v>33</v>
      </c>
      <c r="D1122" t="s">
        <v>34</v>
      </c>
      <c r="E1122">
        <v>25</v>
      </c>
      <c r="F1122" t="s">
        <v>58</v>
      </c>
      <c r="G1122">
        <v>2</v>
      </c>
      <c r="H1122">
        <v>3</v>
      </c>
      <c r="I1122" t="s">
        <v>49</v>
      </c>
      <c r="J1122">
        <v>2</v>
      </c>
      <c r="K1122" t="s">
        <v>50</v>
      </c>
      <c r="L1122">
        <v>12061</v>
      </c>
      <c r="M1122">
        <v>3</v>
      </c>
      <c r="N1122" t="s">
        <v>41</v>
      </c>
      <c r="O1122">
        <v>17</v>
      </c>
      <c r="P1122">
        <v>3</v>
      </c>
      <c r="Q1122">
        <v>1</v>
      </c>
      <c r="R1122">
        <v>19</v>
      </c>
      <c r="S1122">
        <v>2</v>
      </c>
      <c r="T1122">
        <v>10</v>
      </c>
      <c r="U1122">
        <v>0</v>
      </c>
      <c r="V1122">
        <v>1</v>
      </c>
      <c r="W1122" t="s">
        <v>38</v>
      </c>
      <c r="X1122" s="1" t="d">
        <v>2011-01-10</v>
      </c>
      <c r="Z1122" t="s">
        <v>63</v>
      </c>
      <c r="AA1122" t="s">
        <v>46</v>
      </c>
      <c r="AB1122">
        <v>0</v>
      </c>
      <c r="AC1122">
        <v>1</v>
      </c>
      <c r="AD1122" t="s">
        <v>41</v>
      </c>
      <c r="AE1122" t="s">
        <v>42</v>
      </c>
      <c r="AF1122" t="s">
        <v>48</v>
      </c>
      <c r="AG1122">
        <f>IF(HR_Data[[#This Row],[Attrition]]="Yes",1,0)</f>
        <v>0</v>
      </c>
      <c r="AH1122" t="str">
        <f>IF(HR_Data[Date_of_termination]="","Active","Left")</f>
        <v>Active</v>
      </c>
      <c r="AI1122" t="str">
        <f>IF(HR_Data[YearsAtCompany]&lt;=2,"Fresher", IF(HR_Data[YearsAtCompany]&lt;=5,"Junior", IF(HR_Data[YearsAtCompany]&lt;=10, "Mid","Senior")))</f>
        <v>Mid</v>
      </c>
      <c r="AJ1122" s="2" t="str">
        <f>IF(HR_Data[MonthlyIncome]&lt;=300,"Low", IF(HR_Data[MonthlyIncome]&lt;=7000,"Medium", "High"))</f>
        <v>High</v>
      </c>
      <c r="AK1122" s="2" t="str">
        <f>VLOOKUP(HR_Data[JobRole], JobRole_Map[], 2, FALSE)</f>
        <v>Management</v>
      </c>
    </row>
    <row r="1123" spans="1:37" x14ac:dyDescent="0.25">
      <c r="A1123" s="2">
        <v>33</v>
      </c>
      <c r="B1123" t="s">
        <v>41</v>
      </c>
      <c r="C1123" t="s">
        <v>61</v>
      </c>
      <c r="D1123" t="s">
        <v>34</v>
      </c>
      <c r="E1123">
        <v>5</v>
      </c>
      <c r="F1123" t="s">
        <v>58</v>
      </c>
      <c r="G1123">
        <v>3</v>
      </c>
      <c r="H1123">
        <v>3</v>
      </c>
      <c r="I1123" t="s">
        <v>66</v>
      </c>
      <c r="J1123">
        <v>2</v>
      </c>
      <c r="K1123" t="s">
        <v>50</v>
      </c>
      <c r="L1123">
        <v>11878</v>
      </c>
      <c r="M1123">
        <v>6</v>
      </c>
      <c r="N1123" t="s">
        <v>41</v>
      </c>
      <c r="O1123">
        <v>11</v>
      </c>
      <c r="P1123">
        <v>3</v>
      </c>
      <c r="Q1123">
        <v>2</v>
      </c>
      <c r="R1123">
        <v>12</v>
      </c>
      <c r="S1123">
        <v>2</v>
      </c>
      <c r="T1123">
        <v>10</v>
      </c>
      <c r="U1123">
        <v>8</v>
      </c>
      <c r="V1123">
        <v>8</v>
      </c>
      <c r="W1123" t="s">
        <v>38</v>
      </c>
      <c r="X1123" s="1" t="d">
        <v>2011-06-08</v>
      </c>
      <c r="Z1123" t="s">
        <v>59</v>
      </c>
      <c r="AA1123" t="s">
        <v>40</v>
      </c>
      <c r="AB1123">
        <v>3</v>
      </c>
      <c r="AC1123">
        <v>2</v>
      </c>
      <c r="AD1123" t="s">
        <v>32</v>
      </c>
      <c r="AE1123" t="s">
        <v>62</v>
      </c>
      <c r="AF1123" t="s">
        <v>57</v>
      </c>
      <c r="AG1123">
        <f>IF(HR_Data[[#This Row],[Attrition]]="Yes",1,0)</f>
        <v>0</v>
      </c>
      <c r="AH1123" t="str">
        <f>IF(HR_Data[Date_of_termination]="","Active","Left")</f>
        <v>Active</v>
      </c>
      <c r="AI1123" t="str">
        <f>IF(HR_Data[YearsAtCompany]&lt;=2,"Fresher", IF(HR_Data[YearsAtCompany]&lt;=5,"Junior", IF(HR_Data[YearsAtCompany]&lt;=10, "Mid","Senior")))</f>
        <v>Mid</v>
      </c>
      <c r="AJ1123" s="2" t="str">
        <f>IF(HR_Data[MonthlyIncome]&lt;=300,"Low", IF(HR_Data[MonthlyIncome]&lt;=7000,"Medium", "High"))</f>
        <v>High</v>
      </c>
      <c r="AK1123" s="2" t="str">
        <f>VLOOKUP(HR_Data[JobRole], JobRole_Map[], 2, FALSE)</f>
        <v>Management</v>
      </c>
    </row>
    <row r="1124" spans="1:37" x14ac:dyDescent="0.25">
      <c r="A1124" s="2">
        <v>30</v>
      </c>
      <c r="B1124" t="s">
        <v>41</v>
      </c>
      <c r="C1124" t="s">
        <v>33</v>
      </c>
      <c r="D1124" t="s">
        <v>34</v>
      </c>
      <c r="E1124">
        <v>28</v>
      </c>
      <c r="F1124" t="s">
        <v>58</v>
      </c>
      <c r="G1124">
        <v>3</v>
      </c>
      <c r="H1124">
        <v>2</v>
      </c>
      <c r="I1124" t="s">
        <v>44</v>
      </c>
      <c r="J1124">
        <v>4</v>
      </c>
      <c r="K1124" t="s">
        <v>50</v>
      </c>
      <c r="L1124">
        <v>5775</v>
      </c>
      <c r="M1124">
        <v>1</v>
      </c>
      <c r="N1124" t="s">
        <v>41</v>
      </c>
      <c r="O1124">
        <v>13</v>
      </c>
      <c r="P1124">
        <v>3</v>
      </c>
      <c r="Q1124">
        <v>2</v>
      </c>
      <c r="R1124">
        <v>11</v>
      </c>
      <c r="S1124">
        <v>2</v>
      </c>
      <c r="T1124">
        <v>10</v>
      </c>
      <c r="U1124">
        <v>1</v>
      </c>
      <c r="V1124">
        <v>9</v>
      </c>
      <c r="W1124" t="s">
        <v>56</v>
      </c>
      <c r="X1124" s="1" t="d">
        <v>2011-05-30</v>
      </c>
      <c r="Z1124" t="s">
        <v>39</v>
      </c>
      <c r="AA1124" t="s">
        <v>46</v>
      </c>
      <c r="AB1124">
        <v>4</v>
      </c>
      <c r="AC1124">
        <v>1</v>
      </c>
      <c r="AD1124" t="s">
        <v>32</v>
      </c>
      <c r="AE1124" t="s">
        <v>42</v>
      </c>
      <c r="AF1124" t="s">
        <v>43</v>
      </c>
      <c r="AG1124">
        <f>IF(HR_Data[[#This Row],[Attrition]]="Yes",1,0)</f>
        <v>0</v>
      </c>
      <c r="AH1124" t="str">
        <f>IF(HR_Data[Date_of_termination]="","Active","Left")</f>
        <v>Active</v>
      </c>
      <c r="AI1124" t="str">
        <f>IF(HR_Data[YearsAtCompany]&lt;=2,"Fresher", IF(HR_Data[YearsAtCompany]&lt;=5,"Junior", IF(HR_Data[YearsAtCompany]&lt;=10, "Mid","Senior")))</f>
        <v>Mid</v>
      </c>
      <c r="AJ1124" s="2" t="str">
        <f>IF(HR_Data[MonthlyIncome]&lt;=300,"Low", IF(HR_Data[MonthlyIncome]&lt;=7000,"Medium", "High"))</f>
        <v>Medium</v>
      </c>
      <c r="AK1124" s="2" t="str">
        <f>VLOOKUP(HR_Data[JobRole], JobRole_Map[], 2, FALSE)</f>
        <v>Technical</v>
      </c>
    </row>
    <row r="1125" spans="1:37" x14ac:dyDescent="0.25">
      <c r="A1125" s="2">
        <v>31</v>
      </c>
      <c r="B1125" t="s">
        <v>41</v>
      </c>
      <c r="C1125" t="s">
        <v>61</v>
      </c>
      <c r="D1125" t="s">
        <v>34</v>
      </c>
      <c r="E1125">
        <v>7</v>
      </c>
      <c r="F1125" t="s">
        <v>58</v>
      </c>
      <c r="G1125">
        <v>2</v>
      </c>
      <c r="H1125">
        <v>3</v>
      </c>
      <c r="I1125" t="s">
        <v>67</v>
      </c>
      <c r="J1125">
        <v>3</v>
      </c>
      <c r="K1125" t="s">
        <v>50</v>
      </c>
      <c r="L1125">
        <v>8943</v>
      </c>
      <c r="M1125">
        <v>1</v>
      </c>
      <c r="N1125" t="s">
        <v>41</v>
      </c>
      <c r="O1125">
        <v>24</v>
      </c>
      <c r="P1125">
        <v>4</v>
      </c>
      <c r="Q1125">
        <v>1</v>
      </c>
      <c r="R1125">
        <v>10</v>
      </c>
      <c r="S1125">
        <v>2</v>
      </c>
      <c r="T1125">
        <v>10</v>
      </c>
      <c r="U1125">
        <v>8</v>
      </c>
      <c r="V1125">
        <v>9</v>
      </c>
      <c r="W1125" t="s">
        <v>56</v>
      </c>
      <c r="X1125" s="1" t="d">
        <v>2011-02-12</v>
      </c>
      <c r="Z1125" t="s">
        <v>52</v>
      </c>
      <c r="AA1125" t="s">
        <v>40</v>
      </c>
      <c r="AB1125">
        <v>1</v>
      </c>
      <c r="AC1125">
        <v>0</v>
      </c>
      <c r="AD1125" t="s">
        <v>41</v>
      </c>
      <c r="AE1125" t="s">
        <v>47</v>
      </c>
      <c r="AF1125" t="s">
        <v>43</v>
      </c>
      <c r="AG1125">
        <f>IF(HR_Data[[#This Row],[Attrition]]="Yes",1,0)</f>
        <v>0</v>
      </c>
      <c r="AH1125" t="str">
        <f>IF(HR_Data[Date_of_termination]="","Active","Left")</f>
        <v>Active</v>
      </c>
      <c r="AI1125" t="str">
        <f>IF(HR_Data[YearsAtCompany]&lt;=2,"Fresher", IF(HR_Data[YearsAtCompany]&lt;=5,"Junior", IF(HR_Data[YearsAtCompany]&lt;=10, "Mid","Senior")))</f>
        <v>Mid</v>
      </c>
      <c r="AJ1125" s="2" t="str">
        <f>IF(HR_Data[MonthlyIncome]&lt;=300,"Low", IF(HR_Data[MonthlyIncome]&lt;=7000,"Medium", "High"))</f>
        <v>High</v>
      </c>
      <c r="AK1125" s="2" t="str">
        <f>VLOOKUP(HR_Data[JobRole], JobRole_Map[], 2, FALSE)</f>
        <v>Operations</v>
      </c>
    </row>
    <row r="1126" spans="1:37" x14ac:dyDescent="0.25">
      <c r="A1126" s="2">
        <v>45</v>
      </c>
      <c r="B1126" t="s">
        <v>41</v>
      </c>
      <c r="C1126" t="s">
        <v>33</v>
      </c>
      <c r="D1126" t="s">
        <v>34</v>
      </c>
      <c r="E1126">
        <v>8</v>
      </c>
      <c r="F1126" t="s">
        <v>35</v>
      </c>
      <c r="G1126">
        <v>3</v>
      </c>
      <c r="H1126">
        <v>2</v>
      </c>
      <c r="I1126" t="s">
        <v>44</v>
      </c>
      <c r="J1126">
        <v>4</v>
      </c>
      <c r="K1126" t="s">
        <v>50</v>
      </c>
      <c r="L1126">
        <v>3697</v>
      </c>
      <c r="M1126">
        <v>9</v>
      </c>
      <c r="N1126" t="s">
        <v>41</v>
      </c>
      <c r="O1126">
        <v>14</v>
      </c>
      <c r="P1126">
        <v>3</v>
      </c>
      <c r="Q1126">
        <v>2</v>
      </c>
      <c r="R1126">
        <v>12</v>
      </c>
      <c r="S1126">
        <v>3</v>
      </c>
      <c r="T1126">
        <v>10</v>
      </c>
      <c r="U1126">
        <v>9</v>
      </c>
      <c r="V1126">
        <v>8</v>
      </c>
      <c r="W1126" t="s">
        <v>38</v>
      </c>
      <c r="X1126" s="1" t="d">
        <v>2011-01-17</v>
      </c>
      <c r="Z1126" t="s">
        <v>45</v>
      </c>
      <c r="AA1126" t="s">
        <v>46</v>
      </c>
      <c r="AB1126">
        <v>4</v>
      </c>
      <c r="AC1126">
        <v>0</v>
      </c>
      <c r="AD1126" t="s">
        <v>32</v>
      </c>
      <c r="AE1126" t="s">
        <v>47</v>
      </c>
      <c r="AF1126" t="s">
        <v>57</v>
      </c>
      <c r="AG1126">
        <f>IF(HR_Data[[#This Row],[Attrition]]="Yes",1,0)</f>
        <v>0</v>
      </c>
      <c r="AH1126" t="str">
        <f>IF(HR_Data[Date_of_termination]="","Active","Left")</f>
        <v>Active</v>
      </c>
      <c r="AI1126" t="str">
        <f>IF(HR_Data[YearsAtCompany]&lt;=2,"Fresher", IF(HR_Data[YearsAtCompany]&lt;=5,"Junior", IF(HR_Data[YearsAtCompany]&lt;=10, "Mid","Senior")))</f>
        <v>Mid</v>
      </c>
      <c r="AJ1126" s="2" t="str">
        <f>IF(HR_Data[MonthlyIncome]&lt;=300,"Low", IF(HR_Data[MonthlyIncome]&lt;=7000,"Medium", "High"))</f>
        <v>Medium</v>
      </c>
      <c r="AK1126" s="2" t="str">
        <f>VLOOKUP(HR_Data[JobRole], JobRole_Map[], 2, FALSE)</f>
        <v>Technical</v>
      </c>
    </row>
    <row r="1127" spans="1:37" x14ac:dyDescent="0.25">
      <c r="A1127" s="2">
        <v>30</v>
      </c>
      <c r="B1127" t="s">
        <v>41</v>
      </c>
      <c r="C1127" t="s">
        <v>33</v>
      </c>
      <c r="D1127" t="s">
        <v>53</v>
      </c>
      <c r="E1127">
        <v>5</v>
      </c>
      <c r="F1127" t="s">
        <v>58</v>
      </c>
      <c r="G1127">
        <v>2</v>
      </c>
      <c r="H1127">
        <v>2</v>
      </c>
      <c r="I1127" t="s">
        <v>64</v>
      </c>
      <c r="J1127">
        <v>3</v>
      </c>
      <c r="K1127" t="s">
        <v>55</v>
      </c>
      <c r="L1127">
        <v>6118</v>
      </c>
      <c r="M1127">
        <v>1</v>
      </c>
      <c r="N1127" t="s">
        <v>41</v>
      </c>
      <c r="O1127">
        <v>13</v>
      </c>
      <c r="P1127">
        <v>3</v>
      </c>
      <c r="Q1127">
        <v>3</v>
      </c>
      <c r="R1127">
        <v>10</v>
      </c>
      <c r="S1127">
        <v>2</v>
      </c>
      <c r="T1127">
        <v>10</v>
      </c>
      <c r="U1127">
        <v>1</v>
      </c>
      <c r="V1127">
        <v>2</v>
      </c>
      <c r="W1127" t="s">
        <v>51</v>
      </c>
      <c r="X1127" s="1" t="d">
        <v>2011-05-23</v>
      </c>
      <c r="Z1127" t="s">
        <v>45</v>
      </c>
      <c r="AA1127" t="s">
        <v>46</v>
      </c>
      <c r="AB1127">
        <v>2</v>
      </c>
      <c r="AC1127">
        <v>2</v>
      </c>
      <c r="AD1127" t="s">
        <v>32</v>
      </c>
      <c r="AE1127" t="s">
        <v>42</v>
      </c>
      <c r="AF1127" t="s">
        <v>57</v>
      </c>
      <c r="AG1127">
        <f>IF(HR_Data[[#This Row],[Attrition]]="Yes",1,0)</f>
        <v>0</v>
      </c>
      <c r="AH1127" t="str">
        <f>IF(HR_Data[Date_of_termination]="","Active","Left")</f>
        <v>Active</v>
      </c>
      <c r="AI1127" t="str">
        <f>IF(HR_Data[YearsAtCompany]&lt;=2,"Fresher", IF(HR_Data[YearsAtCompany]&lt;=5,"Junior", IF(HR_Data[YearsAtCompany]&lt;=10, "Mid","Senior")))</f>
        <v>Mid</v>
      </c>
      <c r="AJ1127" s="2" t="str">
        <f>IF(HR_Data[MonthlyIncome]&lt;=300,"Low", IF(HR_Data[MonthlyIncome]&lt;=7000,"Medium", "High"))</f>
        <v>Medium</v>
      </c>
      <c r="AK1127" s="2" t="str">
        <f>VLOOKUP(HR_Data[JobRole], JobRole_Map[], 2, FALSE)</f>
        <v>Sales</v>
      </c>
    </row>
    <row r="1128" spans="1:37" x14ac:dyDescent="0.25">
      <c r="A1128" s="2">
        <v>36</v>
      </c>
      <c r="B1128" t="s">
        <v>41</v>
      </c>
      <c r="C1128" t="s">
        <v>33</v>
      </c>
      <c r="D1128" t="s">
        <v>53</v>
      </c>
      <c r="E1128">
        <v>2</v>
      </c>
      <c r="F1128" t="s">
        <v>35</v>
      </c>
      <c r="G1128">
        <v>2</v>
      </c>
      <c r="H1128">
        <v>3</v>
      </c>
      <c r="I1128" t="s">
        <v>64</v>
      </c>
      <c r="J1128">
        <v>3</v>
      </c>
      <c r="K1128" t="s">
        <v>50</v>
      </c>
      <c r="L1128">
        <v>7596</v>
      </c>
      <c r="M1128">
        <v>1</v>
      </c>
      <c r="N1128" t="s">
        <v>41</v>
      </c>
      <c r="O1128">
        <v>13</v>
      </c>
      <c r="P1128">
        <v>3</v>
      </c>
      <c r="Q1128">
        <v>2</v>
      </c>
      <c r="R1128">
        <v>10</v>
      </c>
      <c r="S1128">
        <v>2</v>
      </c>
      <c r="T1128">
        <v>10</v>
      </c>
      <c r="U1128">
        <v>9</v>
      </c>
      <c r="V1128">
        <v>0</v>
      </c>
      <c r="W1128" t="s">
        <v>65</v>
      </c>
      <c r="X1128" s="1" t="d">
        <v>2011-03-21</v>
      </c>
      <c r="Z1128" t="s">
        <v>45</v>
      </c>
      <c r="AA1128" t="s">
        <v>40</v>
      </c>
      <c r="AB1128">
        <v>1</v>
      </c>
      <c r="AC1128">
        <v>2</v>
      </c>
      <c r="AD1128" t="s">
        <v>41</v>
      </c>
      <c r="AE1128" t="s">
        <v>60</v>
      </c>
      <c r="AF1128" t="s">
        <v>48</v>
      </c>
      <c r="AG1128">
        <f>IF(HR_Data[[#This Row],[Attrition]]="Yes",1,0)</f>
        <v>0</v>
      </c>
      <c r="AH1128" t="str">
        <f>IF(HR_Data[Date_of_termination]="","Active","Left")</f>
        <v>Active</v>
      </c>
      <c r="AI1128" t="str">
        <f>IF(HR_Data[YearsAtCompany]&lt;=2,"Fresher", IF(HR_Data[YearsAtCompany]&lt;=5,"Junior", IF(HR_Data[YearsAtCompany]&lt;=10, "Mid","Senior")))</f>
        <v>Mid</v>
      </c>
      <c r="AJ1128" s="2" t="str">
        <f>IF(HR_Data[MonthlyIncome]&lt;=300,"Low", IF(HR_Data[MonthlyIncome]&lt;=7000,"Medium", "High"))</f>
        <v>High</v>
      </c>
      <c r="AK1128" s="2" t="str">
        <f>VLOOKUP(HR_Data[JobRole], JobRole_Map[], 2, FALSE)</f>
        <v>Sales</v>
      </c>
    </row>
    <row r="1129" spans="1:37" x14ac:dyDescent="0.25">
      <c r="A1129" s="2">
        <v>41</v>
      </c>
      <c r="B1129" t="s">
        <v>41</v>
      </c>
      <c r="C1129" t="s">
        <v>33</v>
      </c>
      <c r="D1129" t="s">
        <v>53</v>
      </c>
      <c r="E1129">
        <v>1</v>
      </c>
      <c r="F1129" t="s">
        <v>35</v>
      </c>
      <c r="G1129">
        <v>4</v>
      </c>
      <c r="H1129">
        <v>3</v>
      </c>
      <c r="I1129" t="s">
        <v>64</v>
      </c>
      <c r="J1129">
        <v>1</v>
      </c>
      <c r="K1129" t="s">
        <v>50</v>
      </c>
      <c r="L1129">
        <v>8392</v>
      </c>
      <c r="M1129">
        <v>1</v>
      </c>
      <c r="N1129" t="s">
        <v>41</v>
      </c>
      <c r="O1129">
        <v>16</v>
      </c>
      <c r="P1129">
        <v>3</v>
      </c>
      <c r="Q1129">
        <v>1</v>
      </c>
      <c r="R1129">
        <v>10</v>
      </c>
      <c r="S1129">
        <v>2</v>
      </c>
      <c r="T1129">
        <v>10</v>
      </c>
      <c r="U1129">
        <v>0</v>
      </c>
      <c r="V1129">
        <v>7</v>
      </c>
      <c r="W1129" t="s">
        <v>65</v>
      </c>
      <c r="X1129" s="1" t="d">
        <v>2011-04-27</v>
      </c>
      <c r="Z1129" t="s">
        <v>45</v>
      </c>
      <c r="AA1129" t="s">
        <v>40</v>
      </c>
      <c r="AB1129">
        <v>2</v>
      </c>
      <c r="AC1129">
        <v>2</v>
      </c>
      <c r="AD1129" t="s">
        <v>41</v>
      </c>
      <c r="AE1129" t="s">
        <v>47</v>
      </c>
      <c r="AF1129" t="s">
        <v>48</v>
      </c>
      <c r="AG1129">
        <f>IF(HR_Data[[#This Row],[Attrition]]="Yes",1,0)</f>
        <v>0</v>
      </c>
      <c r="AH1129" t="str">
        <f>IF(HR_Data[Date_of_termination]="","Active","Left")</f>
        <v>Active</v>
      </c>
      <c r="AI1129" t="str">
        <f>IF(HR_Data[YearsAtCompany]&lt;=2,"Fresher", IF(HR_Data[YearsAtCompany]&lt;=5,"Junior", IF(HR_Data[YearsAtCompany]&lt;=10, "Mid","Senior")))</f>
        <v>Mid</v>
      </c>
      <c r="AJ1129" s="2" t="str">
        <f>IF(HR_Data[MonthlyIncome]&lt;=300,"Low", IF(HR_Data[MonthlyIncome]&lt;=7000,"Medium", "High"))</f>
        <v>High</v>
      </c>
      <c r="AK1129" s="2" t="str">
        <f>VLOOKUP(HR_Data[JobRole], JobRole_Map[], 2, FALSE)</f>
        <v>Sales</v>
      </c>
    </row>
    <row r="1130" spans="1:37" x14ac:dyDescent="0.25">
      <c r="A1130" s="2">
        <v>28</v>
      </c>
      <c r="B1130" t="s">
        <v>41</v>
      </c>
      <c r="C1130" t="s">
        <v>33</v>
      </c>
      <c r="D1130" t="s">
        <v>34</v>
      </c>
      <c r="E1130">
        <v>17</v>
      </c>
      <c r="F1130" t="s">
        <v>35</v>
      </c>
      <c r="G1130">
        <v>3</v>
      </c>
      <c r="H1130">
        <v>2</v>
      </c>
      <c r="I1130" t="s">
        <v>36</v>
      </c>
      <c r="J1130">
        <v>1</v>
      </c>
      <c r="K1130" t="s">
        <v>55</v>
      </c>
      <c r="L1130">
        <v>4558</v>
      </c>
      <c r="M1130">
        <v>1</v>
      </c>
      <c r="N1130" t="s">
        <v>41</v>
      </c>
      <c r="O1130">
        <v>12</v>
      </c>
      <c r="P1130">
        <v>3</v>
      </c>
      <c r="Q1130">
        <v>1</v>
      </c>
      <c r="R1130">
        <v>10</v>
      </c>
      <c r="S1130">
        <v>2</v>
      </c>
      <c r="T1130">
        <v>10</v>
      </c>
      <c r="U1130">
        <v>1</v>
      </c>
      <c r="V1130">
        <v>8</v>
      </c>
      <c r="W1130" t="s">
        <v>38</v>
      </c>
      <c r="X1130" s="1" t="d">
        <v>2011-03-04</v>
      </c>
      <c r="Z1130" t="s">
        <v>52</v>
      </c>
      <c r="AA1130" t="s">
        <v>46</v>
      </c>
      <c r="AB1130">
        <v>2</v>
      </c>
      <c r="AC1130">
        <v>1</v>
      </c>
      <c r="AD1130" t="s">
        <v>32</v>
      </c>
      <c r="AE1130" t="s">
        <v>60</v>
      </c>
      <c r="AF1130" t="s">
        <v>57</v>
      </c>
      <c r="AG1130">
        <f>IF(HR_Data[[#This Row],[Attrition]]="Yes",1,0)</f>
        <v>0</v>
      </c>
      <c r="AH1130" t="str">
        <f>IF(HR_Data[Date_of_termination]="","Active","Left")</f>
        <v>Active</v>
      </c>
      <c r="AI1130" t="str">
        <f>IF(HR_Data[YearsAtCompany]&lt;=2,"Fresher", IF(HR_Data[YearsAtCompany]&lt;=5,"Junior", IF(HR_Data[YearsAtCompany]&lt;=10, "Mid","Senior")))</f>
        <v>Mid</v>
      </c>
      <c r="AJ1130" s="2" t="str">
        <f>IF(HR_Data[MonthlyIncome]&lt;=300,"Low", IF(HR_Data[MonthlyIncome]&lt;=7000,"Medium", "High"))</f>
        <v>Medium</v>
      </c>
      <c r="AK1130" s="2" t="str">
        <f>VLOOKUP(HR_Data[JobRole], JobRole_Map[], 2, FALSE)</f>
        <v>Technical</v>
      </c>
    </row>
    <row r="1131" spans="1:37" x14ac:dyDescent="0.25">
      <c r="A1131" s="2">
        <v>46</v>
      </c>
      <c r="B1131" t="s">
        <v>41</v>
      </c>
      <c r="C1131" t="s">
        <v>33</v>
      </c>
      <c r="D1131" t="s">
        <v>34</v>
      </c>
      <c r="E1131">
        <v>18</v>
      </c>
      <c r="F1131" t="s">
        <v>58</v>
      </c>
      <c r="G1131">
        <v>3</v>
      </c>
      <c r="H1131">
        <v>2</v>
      </c>
      <c r="I1131" t="s">
        <v>67</v>
      </c>
      <c r="J1131">
        <v>3</v>
      </c>
      <c r="K1131" t="s">
        <v>55</v>
      </c>
      <c r="L1131">
        <v>4810</v>
      </c>
      <c r="M1131">
        <v>2</v>
      </c>
      <c r="N1131" t="s">
        <v>41</v>
      </c>
      <c r="O1131">
        <v>14</v>
      </c>
      <c r="P1131">
        <v>3</v>
      </c>
      <c r="Q1131">
        <v>1</v>
      </c>
      <c r="R1131">
        <v>19</v>
      </c>
      <c r="S1131">
        <v>5</v>
      </c>
      <c r="T1131">
        <v>10</v>
      </c>
      <c r="U1131">
        <v>0</v>
      </c>
      <c r="V1131">
        <v>8</v>
      </c>
      <c r="W1131" t="s">
        <v>56</v>
      </c>
      <c r="X1131" s="1" t="d">
        <v>2011-03-07</v>
      </c>
      <c r="Z1131" t="s">
        <v>63</v>
      </c>
      <c r="AA1131" t="s">
        <v>46</v>
      </c>
      <c r="AB1131">
        <v>0</v>
      </c>
      <c r="AC1131">
        <v>2</v>
      </c>
      <c r="AD1131" t="s">
        <v>32</v>
      </c>
      <c r="AE1131" t="s">
        <v>60</v>
      </c>
      <c r="AF1131" t="s">
        <v>43</v>
      </c>
      <c r="AG1131">
        <f>IF(HR_Data[[#This Row],[Attrition]]="Yes",1,0)</f>
        <v>0</v>
      </c>
      <c r="AH1131" t="str">
        <f>IF(HR_Data[Date_of_termination]="","Active","Left")</f>
        <v>Active</v>
      </c>
      <c r="AI1131" t="str">
        <f>IF(HR_Data[YearsAtCompany]&lt;=2,"Fresher", IF(HR_Data[YearsAtCompany]&lt;=5,"Junior", IF(HR_Data[YearsAtCompany]&lt;=10, "Mid","Senior")))</f>
        <v>Mid</v>
      </c>
      <c r="AJ1131" s="2" t="str">
        <f>IF(HR_Data[MonthlyIncome]&lt;=300,"Low", IF(HR_Data[MonthlyIncome]&lt;=7000,"Medium", "High"))</f>
        <v>Medium</v>
      </c>
      <c r="AK1131" s="2" t="str">
        <f>VLOOKUP(HR_Data[JobRole], JobRole_Map[], 2, FALSE)</f>
        <v>Operations</v>
      </c>
    </row>
    <row r="1132" spans="1:37" x14ac:dyDescent="0.25">
      <c r="A1132" s="2">
        <v>29</v>
      </c>
      <c r="B1132" t="s">
        <v>41</v>
      </c>
      <c r="C1132" t="s">
        <v>33</v>
      </c>
      <c r="D1132" t="s">
        <v>34</v>
      </c>
      <c r="E1132">
        <v>3</v>
      </c>
      <c r="F1132" t="s">
        <v>35</v>
      </c>
      <c r="G1132">
        <v>2</v>
      </c>
      <c r="H1132">
        <v>3</v>
      </c>
      <c r="I1132" t="s">
        <v>49</v>
      </c>
      <c r="J1132">
        <v>3</v>
      </c>
      <c r="K1132" t="s">
        <v>50</v>
      </c>
      <c r="L1132">
        <v>11935</v>
      </c>
      <c r="M1132">
        <v>1</v>
      </c>
      <c r="N1132" t="s">
        <v>41</v>
      </c>
      <c r="O1132">
        <v>18</v>
      </c>
      <c r="P1132">
        <v>3</v>
      </c>
      <c r="Q1132">
        <v>0</v>
      </c>
      <c r="R1132">
        <v>10</v>
      </c>
      <c r="S1132">
        <v>2</v>
      </c>
      <c r="T1132">
        <v>10</v>
      </c>
      <c r="U1132">
        <v>0</v>
      </c>
      <c r="V1132">
        <v>7</v>
      </c>
      <c r="W1132" t="s">
        <v>51</v>
      </c>
      <c r="X1132" s="1" t="d">
        <v>2011-01-23</v>
      </c>
      <c r="Z1132" t="s">
        <v>52</v>
      </c>
      <c r="AA1132" t="s">
        <v>46</v>
      </c>
      <c r="AB1132">
        <v>0</v>
      </c>
      <c r="AC1132">
        <v>1</v>
      </c>
      <c r="AD1132" t="s">
        <v>41</v>
      </c>
      <c r="AE1132" t="s">
        <v>42</v>
      </c>
      <c r="AF1132" t="s">
        <v>57</v>
      </c>
      <c r="AG1132">
        <f>IF(HR_Data[[#This Row],[Attrition]]="Yes",1,0)</f>
        <v>0</v>
      </c>
      <c r="AH1132" t="str">
        <f>IF(HR_Data[Date_of_termination]="","Active","Left")</f>
        <v>Active</v>
      </c>
      <c r="AI1132" t="str">
        <f>IF(HR_Data[YearsAtCompany]&lt;=2,"Fresher", IF(HR_Data[YearsAtCompany]&lt;=5,"Junior", IF(HR_Data[YearsAtCompany]&lt;=10, "Mid","Senior")))</f>
        <v>Mid</v>
      </c>
      <c r="AJ1132" s="2" t="str">
        <f>IF(HR_Data[MonthlyIncome]&lt;=300,"Low", IF(HR_Data[MonthlyIncome]&lt;=7000,"Medium", "High"))</f>
        <v>High</v>
      </c>
      <c r="AK1132" s="2" t="str">
        <f>VLOOKUP(HR_Data[JobRole], JobRole_Map[], 2, FALSE)</f>
        <v>Management</v>
      </c>
    </row>
    <row r="1133" spans="1:37" x14ac:dyDescent="0.25">
      <c r="A1133" s="2">
        <v>36</v>
      </c>
      <c r="B1133" t="s">
        <v>41</v>
      </c>
      <c r="C1133" t="s">
        <v>68</v>
      </c>
      <c r="D1133" t="s">
        <v>53</v>
      </c>
      <c r="E1133">
        <v>10</v>
      </c>
      <c r="F1133" t="s">
        <v>35</v>
      </c>
      <c r="G1133">
        <v>3</v>
      </c>
      <c r="H1133">
        <v>3</v>
      </c>
      <c r="I1133" t="s">
        <v>64</v>
      </c>
      <c r="J1133">
        <v>4</v>
      </c>
      <c r="K1133" t="s">
        <v>37</v>
      </c>
      <c r="L1133">
        <v>9980</v>
      </c>
      <c r="M1133">
        <v>1</v>
      </c>
      <c r="N1133" t="s">
        <v>41</v>
      </c>
      <c r="O1133">
        <v>14</v>
      </c>
      <c r="P1133">
        <v>3</v>
      </c>
      <c r="Q1133">
        <v>0</v>
      </c>
      <c r="R1133">
        <v>10</v>
      </c>
      <c r="S1133">
        <v>3</v>
      </c>
      <c r="T1133">
        <v>10</v>
      </c>
      <c r="U1133">
        <v>9</v>
      </c>
      <c r="V1133">
        <v>7</v>
      </c>
      <c r="W1133" t="s">
        <v>56</v>
      </c>
      <c r="X1133" s="1" t="d">
        <v>2011-05-12</v>
      </c>
      <c r="Z1133" t="s">
        <v>45</v>
      </c>
      <c r="AA1133" t="s">
        <v>46</v>
      </c>
      <c r="AB1133">
        <v>3</v>
      </c>
      <c r="AC1133">
        <v>3</v>
      </c>
      <c r="AD1133" t="s">
        <v>41</v>
      </c>
      <c r="AE1133" t="s">
        <v>47</v>
      </c>
      <c r="AF1133" t="s">
        <v>43</v>
      </c>
      <c r="AG1133">
        <f>IF(HR_Data[[#This Row],[Attrition]]="Yes",1,0)</f>
        <v>0</v>
      </c>
      <c r="AH1133" t="str">
        <f>IF(HR_Data[Date_of_termination]="","Active","Left")</f>
        <v>Active</v>
      </c>
      <c r="AI1133" t="str">
        <f>IF(HR_Data[YearsAtCompany]&lt;=2,"Fresher", IF(HR_Data[YearsAtCompany]&lt;=5,"Junior", IF(HR_Data[YearsAtCompany]&lt;=10, "Mid","Senior")))</f>
        <v>Mid</v>
      </c>
      <c r="AJ1133" s="2" t="str">
        <f>IF(HR_Data[MonthlyIncome]&lt;=300,"Low", IF(HR_Data[MonthlyIncome]&lt;=7000,"Medium", "High"))</f>
        <v>High</v>
      </c>
      <c r="AK1133" s="2" t="str">
        <f>VLOOKUP(HR_Data[JobRole], JobRole_Map[], 2, FALSE)</f>
        <v>Sales</v>
      </c>
    </row>
    <row r="1134" spans="1:37" x14ac:dyDescent="0.25">
      <c r="A1134" s="2">
        <v>55</v>
      </c>
      <c r="B1134" t="s">
        <v>41</v>
      </c>
      <c r="C1134" t="s">
        <v>33</v>
      </c>
      <c r="D1134" t="s">
        <v>53</v>
      </c>
      <c r="E1134">
        <v>18</v>
      </c>
      <c r="F1134" t="s">
        <v>58</v>
      </c>
      <c r="G1134">
        <v>3</v>
      </c>
      <c r="H1134">
        <v>4</v>
      </c>
      <c r="I1134" t="s">
        <v>66</v>
      </c>
      <c r="J1134">
        <v>2</v>
      </c>
      <c r="K1134" t="s">
        <v>37</v>
      </c>
      <c r="L1134">
        <v>16835</v>
      </c>
      <c r="M1134">
        <v>3</v>
      </c>
      <c r="N1134" t="s">
        <v>41</v>
      </c>
      <c r="O1134">
        <v>23</v>
      </c>
      <c r="P1134">
        <v>4</v>
      </c>
      <c r="Q1134">
        <v>0</v>
      </c>
      <c r="R1134">
        <v>37</v>
      </c>
      <c r="S1134">
        <v>2</v>
      </c>
      <c r="T1134">
        <v>10</v>
      </c>
      <c r="U1134">
        <v>7</v>
      </c>
      <c r="V1134">
        <v>7</v>
      </c>
      <c r="W1134" t="s">
        <v>38</v>
      </c>
      <c r="X1134" s="1" t="d">
        <v>2011-03-08</v>
      </c>
      <c r="Z1134" t="s">
        <v>45</v>
      </c>
      <c r="AA1134" t="s">
        <v>46</v>
      </c>
      <c r="AB1134">
        <v>2</v>
      </c>
      <c r="AC1134">
        <v>0</v>
      </c>
      <c r="AD1134" t="s">
        <v>32</v>
      </c>
      <c r="AE1134" t="s">
        <v>42</v>
      </c>
      <c r="AF1134" t="s">
        <v>57</v>
      </c>
      <c r="AG1134">
        <f>IF(HR_Data[[#This Row],[Attrition]]="Yes",1,0)</f>
        <v>0</v>
      </c>
      <c r="AH1134" t="str">
        <f>IF(HR_Data[Date_of_termination]="","Active","Left")</f>
        <v>Active</v>
      </c>
      <c r="AI1134" t="str">
        <f>IF(HR_Data[YearsAtCompany]&lt;=2,"Fresher", IF(HR_Data[YearsAtCompany]&lt;=5,"Junior", IF(HR_Data[YearsAtCompany]&lt;=10, "Mid","Senior")))</f>
        <v>Mid</v>
      </c>
      <c r="AJ1134" s="2" t="str">
        <f>IF(HR_Data[MonthlyIncome]&lt;=300,"Low", IF(HR_Data[MonthlyIncome]&lt;=7000,"Medium", "High"))</f>
        <v>High</v>
      </c>
      <c r="AK1134" s="2" t="str">
        <f>VLOOKUP(HR_Data[JobRole], JobRole_Map[], 2, FALSE)</f>
        <v>Management</v>
      </c>
    </row>
    <row r="1135" spans="1:37" x14ac:dyDescent="0.25">
      <c r="A1135" s="2">
        <v>42</v>
      </c>
      <c r="B1135" t="s">
        <v>41</v>
      </c>
      <c r="C1135" t="s">
        <v>33</v>
      </c>
      <c r="D1135" t="s">
        <v>34</v>
      </c>
      <c r="E1135">
        <v>24</v>
      </c>
      <c r="F1135" t="s">
        <v>35</v>
      </c>
      <c r="G1135">
        <v>3</v>
      </c>
      <c r="H1135">
        <v>3</v>
      </c>
      <c r="I1135" t="s">
        <v>67</v>
      </c>
      <c r="J1135">
        <v>1</v>
      </c>
      <c r="K1135" t="s">
        <v>50</v>
      </c>
      <c r="L1135">
        <v>7406</v>
      </c>
      <c r="M1135">
        <v>1</v>
      </c>
      <c r="N1135" t="s">
        <v>32</v>
      </c>
      <c r="O1135">
        <v>21</v>
      </c>
      <c r="P1135">
        <v>4</v>
      </c>
      <c r="Q1135">
        <v>1</v>
      </c>
      <c r="R1135">
        <v>10</v>
      </c>
      <c r="S1135">
        <v>5</v>
      </c>
      <c r="T1135">
        <v>10</v>
      </c>
      <c r="U1135">
        <v>5</v>
      </c>
      <c r="V1135">
        <v>8</v>
      </c>
      <c r="W1135" t="s">
        <v>51</v>
      </c>
      <c r="X1135" s="1" t="d">
        <v>2011-05-15</v>
      </c>
      <c r="Z1135" t="s">
        <v>39</v>
      </c>
      <c r="AA1135" t="s">
        <v>46</v>
      </c>
      <c r="AB1135">
        <v>3</v>
      </c>
      <c r="AC1135">
        <v>1</v>
      </c>
      <c r="AD1135" t="s">
        <v>41</v>
      </c>
      <c r="AE1135" t="s">
        <v>47</v>
      </c>
      <c r="AF1135" t="s">
        <v>48</v>
      </c>
      <c r="AG1135">
        <f>IF(HR_Data[[#This Row],[Attrition]]="Yes",1,0)</f>
        <v>0</v>
      </c>
      <c r="AH1135" t="str">
        <f>IF(HR_Data[Date_of_termination]="","Active","Left")</f>
        <v>Active</v>
      </c>
      <c r="AI1135" t="str">
        <f>IF(HR_Data[YearsAtCompany]&lt;=2,"Fresher", IF(HR_Data[YearsAtCompany]&lt;=5,"Junior", IF(HR_Data[YearsAtCompany]&lt;=10, "Mid","Senior")))</f>
        <v>Mid</v>
      </c>
      <c r="AJ1135" s="2" t="str">
        <f>IF(HR_Data[MonthlyIncome]&lt;=300,"Low", IF(HR_Data[MonthlyIncome]&lt;=7000,"Medium", "High"))</f>
        <v>High</v>
      </c>
      <c r="AK1135" s="2" t="str">
        <f>VLOOKUP(HR_Data[JobRole], JobRole_Map[], 2, FALSE)</f>
        <v>Operations</v>
      </c>
    </row>
    <row r="1136" spans="1:37" x14ac:dyDescent="0.25">
      <c r="A1136" s="2">
        <v>34</v>
      </c>
      <c r="B1136" t="s">
        <v>41</v>
      </c>
      <c r="C1136" t="s">
        <v>33</v>
      </c>
      <c r="D1136" t="s">
        <v>53</v>
      </c>
      <c r="E1136">
        <v>21</v>
      </c>
      <c r="F1136" t="s">
        <v>35</v>
      </c>
      <c r="G1136">
        <v>4</v>
      </c>
      <c r="H1136">
        <v>2</v>
      </c>
      <c r="I1136" t="s">
        <v>64</v>
      </c>
      <c r="J1136">
        <v>4</v>
      </c>
      <c r="K1136" t="s">
        <v>37</v>
      </c>
      <c r="L1136">
        <v>5337</v>
      </c>
      <c r="M1136">
        <v>1</v>
      </c>
      <c r="N1136" t="s">
        <v>41</v>
      </c>
      <c r="O1136">
        <v>12</v>
      </c>
      <c r="P1136">
        <v>3</v>
      </c>
      <c r="Q1136">
        <v>0</v>
      </c>
      <c r="R1136">
        <v>10</v>
      </c>
      <c r="S1136">
        <v>3</v>
      </c>
      <c r="T1136">
        <v>10</v>
      </c>
      <c r="U1136">
        <v>5</v>
      </c>
      <c r="V1136">
        <v>7</v>
      </c>
      <c r="W1136" t="s">
        <v>38</v>
      </c>
      <c r="X1136" s="1" t="d">
        <v>2011-04-02</v>
      </c>
      <c r="Z1136" t="s">
        <v>39</v>
      </c>
      <c r="AA1136" t="s">
        <v>40</v>
      </c>
      <c r="AB1136">
        <v>2</v>
      </c>
      <c r="AC1136">
        <v>3</v>
      </c>
      <c r="AD1136" t="s">
        <v>41</v>
      </c>
      <c r="AE1136" t="s">
        <v>60</v>
      </c>
      <c r="AF1136" t="s">
        <v>48</v>
      </c>
      <c r="AG1136">
        <f>IF(HR_Data[[#This Row],[Attrition]]="Yes",1,0)</f>
        <v>0</v>
      </c>
      <c r="AH1136" t="str">
        <f>IF(HR_Data[Date_of_termination]="","Active","Left")</f>
        <v>Active</v>
      </c>
      <c r="AI1136" t="str">
        <f>IF(HR_Data[YearsAtCompany]&lt;=2,"Fresher", IF(HR_Data[YearsAtCompany]&lt;=5,"Junior", IF(HR_Data[YearsAtCompany]&lt;=10, "Mid","Senior")))</f>
        <v>Mid</v>
      </c>
      <c r="AJ1136" s="2" t="str">
        <f>IF(HR_Data[MonthlyIncome]&lt;=300,"Low", IF(HR_Data[MonthlyIncome]&lt;=7000,"Medium", "High"))</f>
        <v>Medium</v>
      </c>
      <c r="AK1136" s="2" t="str">
        <f>VLOOKUP(HR_Data[JobRole], JobRole_Map[], 2, FALSE)</f>
        <v>Sales</v>
      </c>
    </row>
    <row r="1137" spans="1:37" x14ac:dyDescent="0.25">
      <c r="A1137" s="2">
        <v>52</v>
      </c>
      <c r="B1137" t="s">
        <v>41</v>
      </c>
      <c r="C1137" t="s">
        <v>33</v>
      </c>
      <c r="D1137" t="s">
        <v>34</v>
      </c>
      <c r="E1137">
        <v>6</v>
      </c>
      <c r="F1137" t="s">
        <v>35</v>
      </c>
      <c r="G1137">
        <v>3</v>
      </c>
      <c r="H1137">
        <v>2</v>
      </c>
      <c r="I1137" t="s">
        <v>44</v>
      </c>
      <c r="J1137">
        <v>1</v>
      </c>
      <c r="K1137" t="s">
        <v>55</v>
      </c>
      <c r="L1137">
        <v>5577</v>
      </c>
      <c r="M1137">
        <v>3</v>
      </c>
      <c r="N1137" t="s">
        <v>32</v>
      </c>
      <c r="O1137">
        <v>12</v>
      </c>
      <c r="P1137">
        <v>3</v>
      </c>
      <c r="Q1137">
        <v>2</v>
      </c>
      <c r="R1137">
        <v>18</v>
      </c>
      <c r="S1137">
        <v>3</v>
      </c>
      <c r="T1137">
        <v>10</v>
      </c>
      <c r="U1137">
        <v>6</v>
      </c>
      <c r="V1137">
        <v>9</v>
      </c>
      <c r="W1137" t="s">
        <v>65</v>
      </c>
      <c r="X1137" s="1" t="d">
        <v>2011-02-27</v>
      </c>
      <c r="Z1137" t="s">
        <v>52</v>
      </c>
      <c r="AA1137" t="s">
        <v>40</v>
      </c>
      <c r="AB1137">
        <v>3</v>
      </c>
      <c r="AC1137">
        <v>2</v>
      </c>
      <c r="AD1137" t="s">
        <v>41</v>
      </c>
      <c r="AE1137" t="s">
        <v>47</v>
      </c>
      <c r="AF1137" t="s">
        <v>43</v>
      </c>
      <c r="AG1137">
        <f>IF(HR_Data[[#This Row],[Attrition]]="Yes",1,0)</f>
        <v>0</v>
      </c>
      <c r="AH1137" t="str">
        <f>IF(HR_Data[Date_of_termination]="","Active","Left")</f>
        <v>Active</v>
      </c>
      <c r="AI1137" t="str">
        <f>IF(HR_Data[YearsAtCompany]&lt;=2,"Fresher", IF(HR_Data[YearsAtCompany]&lt;=5,"Junior", IF(HR_Data[YearsAtCompany]&lt;=10, "Mid","Senior")))</f>
        <v>Mid</v>
      </c>
      <c r="AJ1137" s="2" t="str">
        <f>IF(HR_Data[MonthlyIncome]&lt;=300,"Low", IF(HR_Data[MonthlyIncome]&lt;=7000,"Medium", "High"))</f>
        <v>Medium</v>
      </c>
      <c r="AK1137" s="2" t="str">
        <f>VLOOKUP(HR_Data[JobRole], JobRole_Map[], 2, FALSE)</f>
        <v>Technical</v>
      </c>
    </row>
    <row r="1138" spans="1:37" x14ac:dyDescent="0.25">
      <c r="A1138" s="2">
        <v>42</v>
      </c>
      <c r="B1138" t="s">
        <v>41</v>
      </c>
      <c r="C1138" t="s">
        <v>33</v>
      </c>
      <c r="D1138" t="s">
        <v>34</v>
      </c>
      <c r="E1138">
        <v>2</v>
      </c>
      <c r="F1138" t="s">
        <v>58</v>
      </c>
      <c r="G1138">
        <v>3</v>
      </c>
      <c r="H1138">
        <v>2</v>
      </c>
      <c r="I1138" t="s">
        <v>69</v>
      </c>
      <c r="J1138">
        <v>4</v>
      </c>
      <c r="K1138" t="s">
        <v>50</v>
      </c>
      <c r="L1138">
        <v>4089</v>
      </c>
      <c r="M1138">
        <v>1</v>
      </c>
      <c r="N1138" t="s">
        <v>41</v>
      </c>
      <c r="O1138">
        <v>13</v>
      </c>
      <c r="P1138">
        <v>3</v>
      </c>
      <c r="Q1138">
        <v>2</v>
      </c>
      <c r="R1138">
        <v>10</v>
      </c>
      <c r="S1138">
        <v>4</v>
      </c>
      <c r="T1138">
        <v>10</v>
      </c>
      <c r="U1138">
        <v>2</v>
      </c>
      <c r="V1138">
        <v>2</v>
      </c>
      <c r="W1138" t="s">
        <v>65</v>
      </c>
      <c r="X1138" s="1" t="d">
        <v>2011-02-10</v>
      </c>
      <c r="Z1138" t="s">
        <v>39</v>
      </c>
      <c r="AA1138" t="s">
        <v>46</v>
      </c>
      <c r="AB1138">
        <v>5</v>
      </c>
      <c r="AC1138">
        <v>0</v>
      </c>
      <c r="AD1138" t="s">
        <v>41</v>
      </c>
      <c r="AE1138" t="s">
        <v>60</v>
      </c>
      <c r="AF1138" t="s">
        <v>57</v>
      </c>
      <c r="AG1138">
        <f>IF(HR_Data[[#This Row],[Attrition]]="Yes",1,0)</f>
        <v>0</v>
      </c>
      <c r="AH1138" t="str">
        <f>IF(HR_Data[Date_of_termination]="","Active","Left")</f>
        <v>Active</v>
      </c>
      <c r="AI1138" t="str">
        <f>IF(HR_Data[YearsAtCompany]&lt;=2,"Fresher", IF(HR_Data[YearsAtCompany]&lt;=5,"Junior", IF(HR_Data[YearsAtCompany]&lt;=10, "Mid","Senior")))</f>
        <v>Mid</v>
      </c>
      <c r="AJ1138" s="2" t="str">
        <f>IF(HR_Data[MonthlyIncome]&lt;=300,"Low", IF(HR_Data[MonthlyIncome]&lt;=7000,"Medium", "High"))</f>
        <v>Medium</v>
      </c>
      <c r="AK1138" s="2" t="str">
        <f>VLOOKUP(HR_Data[JobRole], JobRole_Map[], 2, FALSE)</f>
        <v>Operations</v>
      </c>
    </row>
    <row r="1139" spans="1:37" x14ac:dyDescent="0.25">
      <c r="A1139" s="2">
        <v>34</v>
      </c>
      <c r="B1139" t="s">
        <v>41</v>
      </c>
      <c r="C1139" t="s">
        <v>33</v>
      </c>
      <c r="D1139" t="s">
        <v>34</v>
      </c>
      <c r="E1139">
        <v>1</v>
      </c>
      <c r="F1139" t="s">
        <v>35</v>
      </c>
      <c r="G1139">
        <v>3</v>
      </c>
      <c r="H1139">
        <v>1</v>
      </c>
      <c r="I1139" t="s">
        <v>44</v>
      </c>
      <c r="J1139">
        <v>4</v>
      </c>
      <c r="K1139" t="s">
        <v>50</v>
      </c>
      <c r="L1139">
        <v>2691</v>
      </c>
      <c r="M1139">
        <v>1</v>
      </c>
      <c r="N1139" t="s">
        <v>41</v>
      </c>
      <c r="O1139">
        <v>12</v>
      </c>
      <c r="P1139">
        <v>3</v>
      </c>
      <c r="Q1139">
        <v>1</v>
      </c>
      <c r="R1139">
        <v>10</v>
      </c>
      <c r="S1139">
        <v>4</v>
      </c>
      <c r="T1139">
        <v>10</v>
      </c>
      <c r="U1139">
        <v>8</v>
      </c>
      <c r="V1139">
        <v>8</v>
      </c>
      <c r="W1139" t="s">
        <v>56</v>
      </c>
      <c r="X1139" s="1" t="d">
        <v>2011-05-15</v>
      </c>
      <c r="Z1139" t="s">
        <v>59</v>
      </c>
      <c r="AA1139" t="s">
        <v>46</v>
      </c>
      <c r="AB1139">
        <v>5</v>
      </c>
      <c r="AC1139">
        <v>2</v>
      </c>
      <c r="AD1139" t="s">
        <v>32</v>
      </c>
      <c r="AE1139" t="s">
        <v>42</v>
      </c>
      <c r="AF1139" t="s">
        <v>48</v>
      </c>
      <c r="AG1139">
        <f>IF(HR_Data[[#This Row],[Attrition]]="Yes",1,0)</f>
        <v>0</v>
      </c>
      <c r="AH1139" t="str">
        <f>IF(HR_Data[Date_of_termination]="","Active","Left")</f>
        <v>Active</v>
      </c>
      <c r="AI1139" t="str">
        <f>IF(HR_Data[YearsAtCompany]&lt;=2,"Fresher", IF(HR_Data[YearsAtCompany]&lt;=5,"Junior", IF(HR_Data[YearsAtCompany]&lt;=10, "Mid","Senior")))</f>
        <v>Mid</v>
      </c>
      <c r="AJ1139" s="2" t="str">
        <f>IF(HR_Data[MonthlyIncome]&lt;=300,"Low", IF(HR_Data[MonthlyIncome]&lt;=7000,"Medium", "High"))</f>
        <v>Medium</v>
      </c>
      <c r="AK1139" s="2" t="str">
        <f>VLOOKUP(HR_Data[JobRole], JobRole_Map[], 2, FALSE)</f>
        <v>Technical</v>
      </c>
    </row>
    <row r="1140" spans="1:37" x14ac:dyDescent="0.25">
      <c r="A1140" s="2">
        <v>37</v>
      </c>
      <c r="B1140" t="s">
        <v>41</v>
      </c>
      <c r="C1140" t="s">
        <v>33</v>
      </c>
      <c r="D1140" t="s">
        <v>34</v>
      </c>
      <c r="E1140">
        <v>3</v>
      </c>
      <c r="F1140" t="s">
        <v>35</v>
      </c>
      <c r="G1140">
        <v>3</v>
      </c>
      <c r="H1140">
        <v>3</v>
      </c>
      <c r="I1140" t="s">
        <v>67</v>
      </c>
      <c r="J1140">
        <v>3</v>
      </c>
      <c r="K1140" t="s">
        <v>50</v>
      </c>
      <c r="L1140">
        <v>9434</v>
      </c>
      <c r="M1140">
        <v>1</v>
      </c>
      <c r="N1140" t="s">
        <v>41</v>
      </c>
      <c r="O1140">
        <v>15</v>
      </c>
      <c r="P1140">
        <v>3</v>
      </c>
      <c r="Q1140">
        <v>1</v>
      </c>
      <c r="R1140">
        <v>10</v>
      </c>
      <c r="S1140">
        <v>2</v>
      </c>
      <c r="T1140">
        <v>10</v>
      </c>
      <c r="U1140">
        <v>7</v>
      </c>
      <c r="V1140">
        <v>8</v>
      </c>
      <c r="W1140" t="s">
        <v>51</v>
      </c>
      <c r="X1140" s="1" t="d">
        <v>2011-01-16</v>
      </c>
      <c r="Z1140" t="s">
        <v>59</v>
      </c>
      <c r="AA1140" t="s">
        <v>46</v>
      </c>
      <c r="AB1140">
        <v>0</v>
      </c>
      <c r="AC1140">
        <v>1</v>
      </c>
      <c r="AD1140" t="s">
        <v>41</v>
      </c>
      <c r="AE1140" t="s">
        <v>42</v>
      </c>
      <c r="AF1140" t="s">
        <v>48</v>
      </c>
      <c r="AG1140">
        <f>IF(HR_Data[[#This Row],[Attrition]]="Yes",1,0)</f>
        <v>0</v>
      </c>
      <c r="AH1140" t="str">
        <f>IF(HR_Data[Date_of_termination]="","Active","Left")</f>
        <v>Active</v>
      </c>
      <c r="AI1140" t="str">
        <f>IF(HR_Data[YearsAtCompany]&lt;=2,"Fresher", IF(HR_Data[YearsAtCompany]&lt;=5,"Junior", IF(HR_Data[YearsAtCompany]&lt;=10, "Mid","Senior")))</f>
        <v>Mid</v>
      </c>
      <c r="AJ1140" s="2" t="str">
        <f>IF(HR_Data[MonthlyIncome]&lt;=300,"Low", IF(HR_Data[MonthlyIncome]&lt;=7000,"Medium", "High"))</f>
        <v>High</v>
      </c>
      <c r="AK1140" s="2" t="str">
        <f>VLOOKUP(HR_Data[JobRole], JobRole_Map[], 2, FALSE)</f>
        <v>Operations</v>
      </c>
    </row>
    <row r="1141" spans="1:37" x14ac:dyDescent="0.25">
      <c r="A1141" s="2">
        <v>33</v>
      </c>
      <c r="B1141" t="s">
        <v>32</v>
      </c>
      <c r="C1141" t="s">
        <v>61</v>
      </c>
      <c r="D1141" t="s">
        <v>34</v>
      </c>
      <c r="E1141">
        <v>3</v>
      </c>
      <c r="F1141" t="s">
        <v>35</v>
      </c>
      <c r="G1141">
        <v>3</v>
      </c>
      <c r="H1141">
        <v>1</v>
      </c>
      <c r="I1141" t="s">
        <v>44</v>
      </c>
      <c r="J1141">
        <v>1</v>
      </c>
      <c r="K1141" t="s">
        <v>37</v>
      </c>
      <c r="L1141">
        <v>3348</v>
      </c>
      <c r="M1141">
        <v>1</v>
      </c>
      <c r="N1141" t="s">
        <v>32</v>
      </c>
      <c r="O1141">
        <v>11</v>
      </c>
      <c r="P1141">
        <v>3</v>
      </c>
      <c r="Q1141">
        <v>0</v>
      </c>
      <c r="R1141">
        <v>10</v>
      </c>
      <c r="S1141">
        <v>3</v>
      </c>
      <c r="T1141">
        <v>10</v>
      </c>
      <c r="U1141">
        <v>9</v>
      </c>
      <c r="V1141">
        <v>7</v>
      </c>
      <c r="W1141" t="s">
        <v>51</v>
      </c>
      <c r="X1141" s="1" t="d">
        <v>2011-03-03</v>
      </c>
      <c r="Z1141" t="s">
        <v>63</v>
      </c>
      <c r="AA1141" t="s">
        <v>46</v>
      </c>
      <c r="AB1141">
        <v>1</v>
      </c>
      <c r="AC1141">
        <v>3</v>
      </c>
      <c r="AD1141" t="s">
        <v>41</v>
      </c>
      <c r="AE1141" t="s">
        <v>60</v>
      </c>
      <c r="AF1141" t="s">
        <v>57</v>
      </c>
      <c r="AG1141">
        <f>IF(HR_Data[[#This Row],[Attrition]]="Yes",1,0)</f>
        <v>1</v>
      </c>
      <c r="AH1141" t="str">
        <f>IF(HR_Data[Date_of_termination]="","Active","Left")</f>
        <v>Active</v>
      </c>
      <c r="AI1141" t="str">
        <f>IF(HR_Data[YearsAtCompany]&lt;=2,"Fresher", IF(HR_Data[YearsAtCompany]&lt;=5,"Junior", IF(HR_Data[YearsAtCompany]&lt;=10, "Mid","Senior")))</f>
        <v>Mid</v>
      </c>
      <c r="AJ1141" s="2" t="str">
        <f>IF(HR_Data[MonthlyIncome]&lt;=300,"Low", IF(HR_Data[MonthlyIncome]&lt;=7000,"Medium", "High"))</f>
        <v>Medium</v>
      </c>
      <c r="AK1141" s="2" t="str">
        <f>VLOOKUP(HR_Data[JobRole], JobRole_Map[], 2, FALSE)</f>
        <v>Technical</v>
      </c>
    </row>
    <row r="1142" spans="1:37" x14ac:dyDescent="0.25">
      <c r="A1142" s="2">
        <v>29</v>
      </c>
      <c r="B1142" t="s">
        <v>41</v>
      </c>
      <c r="C1142" t="s">
        <v>61</v>
      </c>
      <c r="D1142" t="s">
        <v>34</v>
      </c>
      <c r="E1142">
        <v>1</v>
      </c>
      <c r="F1142" t="s">
        <v>35</v>
      </c>
      <c r="G1142">
        <v>1</v>
      </c>
      <c r="H1142">
        <v>1</v>
      </c>
      <c r="I1142" t="s">
        <v>44</v>
      </c>
      <c r="J1142">
        <v>4</v>
      </c>
      <c r="K1142" t="s">
        <v>55</v>
      </c>
      <c r="L1142">
        <v>2720</v>
      </c>
      <c r="M1142">
        <v>1</v>
      </c>
      <c r="N1142" t="s">
        <v>41</v>
      </c>
      <c r="O1142">
        <v>18</v>
      </c>
      <c r="P1142">
        <v>3</v>
      </c>
      <c r="Q1142">
        <v>1</v>
      </c>
      <c r="R1142">
        <v>10</v>
      </c>
      <c r="S1142">
        <v>5</v>
      </c>
      <c r="T1142">
        <v>10</v>
      </c>
      <c r="U1142">
        <v>2</v>
      </c>
      <c r="V1142">
        <v>8</v>
      </c>
      <c r="W1142" t="s">
        <v>38</v>
      </c>
      <c r="X1142" s="1" t="d">
        <v>2011-06-17</v>
      </c>
      <c r="Z1142" t="s">
        <v>52</v>
      </c>
      <c r="AA1142" t="s">
        <v>46</v>
      </c>
      <c r="AB1142">
        <v>4</v>
      </c>
      <c r="AC1142">
        <v>0</v>
      </c>
      <c r="AD1142" t="s">
        <v>41</v>
      </c>
      <c r="AE1142" t="s">
        <v>60</v>
      </c>
      <c r="AF1142" t="s">
        <v>57</v>
      </c>
      <c r="AG1142">
        <f>IF(HR_Data[[#This Row],[Attrition]]="Yes",1,0)</f>
        <v>0</v>
      </c>
      <c r="AH1142" t="str">
        <f>IF(HR_Data[Date_of_termination]="","Active","Left")</f>
        <v>Active</v>
      </c>
      <c r="AI1142" t="str">
        <f>IF(HR_Data[YearsAtCompany]&lt;=2,"Fresher", IF(HR_Data[YearsAtCompany]&lt;=5,"Junior", IF(HR_Data[YearsAtCompany]&lt;=10, "Mid","Senior")))</f>
        <v>Mid</v>
      </c>
      <c r="AJ1142" s="2" t="str">
        <f>IF(HR_Data[MonthlyIncome]&lt;=300,"Low", IF(HR_Data[MonthlyIncome]&lt;=7000,"Medium", "High"))</f>
        <v>Medium</v>
      </c>
      <c r="AK1142" s="2" t="str">
        <f>VLOOKUP(HR_Data[JobRole], JobRole_Map[], 2, FALSE)</f>
        <v>Technical</v>
      </c>
    </row>
    <row r="1143" spans="1:37" x14ac:dyDescent="0.25">
      <c r="A1143" s="2">
        <v>32</v>
      </c>
      <c r="B1143" t="s">
        <v>41</v>
      </c>
      <c r="C1143" t="s">
        <v>33</v>
      </c>
      <c r="D1143" t="s">
        <v>53</v>
      </c>
      <c r="E1143">
        <v>10</v>
      </c>
      <c r="F1143" t="s">
        <v>35</v>
      </c>
      <c r="G1143">
        <v>3</v>
      </c>
      <c r="H1143">
        <v>2</v>
      </c>
      <c r="I1143" t="s">
        <v>64</v>
      </c>
      <c r="J1143">
        <v>4</v>
      </c>
      <c r="K1143" t="s">
        <v>37</v>
      </c>
      <c r="L1143">
        <v>5396</v>
      </c>
      <c r="M1143">
        <v>1</v>
      </c>
      <c r="N1143" t="s">
        <v>41</v>
      </c>
      <c r="O1143">
        <v>12</v>
      </c>
      <c r="P1143">
        <v>3</v>
      </c>
      <c r="Q1143">
        <v>0</v>
      </c>
      <c r="R1143">
        <v>10</v>
      </c>
      <c r="S1143">
        <v>2</v>
      </c>
      <c r="T1143">
        <v>10</v>
      </c>
      <c r="U1143">
        <v>0</v>
      </c>
      <c r="V1143">
        <v>8</v>
      </c>
      <c r="W1143" t="s">
        <v>38</v>
      </c>
      <c r="X1143" s="1" t="d">
        <v>2011-01-02</v>
      </c>
      <c r="Z1143" t="s">
        <v>39</v>
      </c>
      <c r="AA1143" t="s">
        <v>46</v>
      </c>
      <c r="AB1143">
        <v>1</v>
      </c>
      <c r="AC1143">
        <v>1</v>
      </c>
      <c r="AD1143" t="s">
        <v>32</v>
      </c>
      <c r="AE1143" t="s">
        <v>60</v>
      </c>
      <c r="AF1143" t="s">
        <v>57</v>
      </c>
      <c r="AG1143">
        <f>IF(HR_Data[[#This Row],[Attrition]]="Yes",1,0)</f>
        <v>0</v>
      </c>
      <c r="AH1143" t="str">
        <f>IF(HR_Data[Date_of_termination]="","Active","Left")</f>
        <v>Active</v>
      </c>
      <c r="AI1143" t="str">
        <f>IF(HR_Data[YearsAtCompany]&lt;=2,"Fresher", IF(HR_Data[YearsAtCompany]&lt;=5,"Junior", IF(HR_Data[YearsAtCompany]&lt;=10, "Mid","Senior")))</f>
        <v>Mid</v>
      </c>
      <c r="AJ1143" s="2" t="str">
        <f>IF(HR_Data[MonthlyIncome]&lt;=300,"Low", IF(HR_Data[MonthlyIncome]&lt;=7000,"Medium", "High"))</f>
        <v>Medium</v>
      </c>
      <c r="AK1143" s="2" t="str">
        <f>VLOOKUP(HR_Data[JobRole], JobRole_Map[], 2, FALSE)</f>
        <v>Sales</v>
      </c>
    </row>
    <row r="1144" spans="1:37" x14ac:dyDescent="0.25">
      <c r="A1144" s="2">
        <v>56</v>
      </c>
      <c r="B1144" t="s">
        <v>41</v>
      </c>
      <c r="C1144" t="s">
        <v>33</v>
      </c>
      <c r="D1144" t="s">
        <v>34</v>
      </c>
      <c r="E1144">
        <v>9</v>
      </c>
      <c r="F1144" t="s">
        <v>35</v>
      </c>
      <c r="G1144">
        <v>3</v>
      </c>
      <c r="H1144">
        <v>4</v>
      </c>
      <c r="I1144" t="s">
        <v>69</v>
      </c>
      <c r="J1144">
        <v>4</v>
      </c>
      <c r="K1144" t="s">
        <v>50</v>
      </c>
      <c r="L1144">
        <v>11103</v>
      </c>
      <c r="M1144">
        <v>7</v>
      </c>
      <c r="N1144" t="s">
        <v>41</v>
      </c>
      <c r="O1144">
        <v>11</v>
      </c>
      <c r="P1144">
        <v>3</v>
      </c>
      <c r="Q1144">
        <v>0</v>
      </c>
      <c r="R1144">
        <v>30</v>
      </c>
      <c r="S1144">
        <v>1</v>
      </c>
      <c r="T1144">
        <v>10</v>
      </c>
      <c r="U1144">
        <v>1</v>
      </c>
      <c r="V1144">
        <v>1</v>
      </c>
      <c r="W1144" t="s">
        <v>65</v>
      </c>
      <c r="X1144" s="1" t="d">
        <v>2011-01-04</v>
      </c>
      <c r="Z1144" t="s">
        <v>52</v>
      </c>
      <c r="AA1144" t="s">
        <v>40</v>
      </c>
      <c r="AB1144">
        <v>4</v>
      </c>
      <c r="AC1144">
        <v>1</v>
      </c>
      <c r="AD1144" t="s">
        <v>32</v>
      </c>
      <c r="AE1144" t="s">
        <v>47</v>
      </c>
      <c r="AF1144" t="s">
        <v>57</v>
      </c>
      <c r="AG1144">
        <f>IF(HR_Data[[#This Row],[Attrition]]="Yes",1,0)</f>
        <v>0</v>
      </c>
      <c r="AH1144" t="str">
        <f>IF(HR_Data[Date_of_termination]="","Active","Left")</f>
        <v>Active</v>
      </c>
      <c r="AI1144" t="str">
        <f>IF(HR_Data[YearsAtCompany]&lt;=2,"Fresher", IF(HR_Data[YearsAtCompany]&lt;=5,"Junior", IF(HR_Data[YearsAtCompany]&lt;=10, "Mid","Senior")))</f>
        <v>Mid</v>
      </c>
      <c r="AJ1144" s="2" t="str">
        <f>IF(HR_Data[MonthlyIncome]&lt;=300,"Low", IF(HR_Data[MonthlyIncome]&lt;=7000,"Medium", "High"))</f>
        <v>High</v>
      </c>
      <c r="AK1144" s="2" t="str">
        <f>VLOOKUP(HR_Data[JobRole], JobRole_Map[], 2, FALSE)</f>
        <v>Operations</v>
      </c>
    </row>
    <row r="1145" spans="1:37" x14ac:dyDescent="0.25">
      <c r="A1145" s="2">
        <v>32</v>
      </c>
      <c r="B1145" t="s">
        <v>41</v>
      </c>
      <c r="C1145" t="s">
        <v>61</v>
      </c>
      <c r="D1145" t="s">
        <v>34</v>
      </c>
      <c r="E1145">
        <v>24</v>
      </c>
      <c r="F1145" t="s">
        <v>35</v>
      </c>
      <c r="G1145">
        <v>3</v>
      </c>
      <c r="H1145">
        <v>2</v>
      </c>
      <c r="I1145" t="s">
        <v>36</v>
      </c>
      <c r="J1145">
        <v>4</v>
      </c>
      <c r="K1145" t="s">
        <v>50</v>
      </c>
      <c r="L1145">
        <v>5309</v>
      </c>
      <c r="M1145">
        <v>1</v>
      </c>
      <c r="N1145" t="s">
        <v>41</v>
      </c>
      <c r="O1145">
        <v>15</v>
      </c>
      <c r="P1145">
        <v>3</v>
      </c>
      <c r="Q1145">
        <v>2</v>
      </c>
      <c r="R1145">
        <v>10</v>
      </c>
      <c r="S1145">
        <v>2</v>
      </c>
      <c r="T1145">
        <v>10</v>
      </c>
      <c r="U1145">
        <v>4</v>
      </c>
      <c r="V1145">
        <v>7</v>
      </c>
      <c r="W1145" t="s">
        <v>65</v>
      </c>
      <c r="X1145" s="1" t="d">
        <v>2011-04-02</v>
      </c>
      <c r="Z1145" t="s">
        <v>39</v>
      </c>
      <c r="AA1145" t="s">
        <v>40</v>
      </c>
      <c r="AB1145">
        <v>2</v>
      </c>
      <c r="AC1145">
        <v>2</v>
      </c>
      <c r="AD1145" t="s">
        <v>41</v>
      </c>
      <c r="AE1145" t="s">
        <v>42</v>
      </c>
      <c r="AF1145" t="s">
        <v>43</v>
      </c>
      <c r="AG1145">
        <f>IF(HR_Data[[#This Row],[Attrition]]="Yes",1,0)</f>
        <v>0</v>
      </c>
      <c r="AH1145" t="str">
        <f>IF(HR_Data[Date_of_termination]="","Active","Left")</f>
        <v>Active</v>
      </c>
      <c r="AI1145" t="str">
        <f>IF(HR_Data[YearsAtCompany]&lt;=2,"Fresher", IF(HR_Data[YearsAtCompany]&lt;=5,"Junior", IF(HR_Data[YearsAtCompany]&lt;=10, "Mid","Senior")))</f>
        <v>Mid</v>
      </c>
      <c r="AJ1145" s="2" t="str">
        <f>IF(HR_Data[MonthlyIncome]&lt;=300,"Low", IF(HR_Data[MonthlyIncome]&lt;=7000,"Medium", "High"))</f>
        <v>Medium</v>
      </c>
      <c r="AK1145" s="2" t="str">
        <f>VLOOKUP(HR_Data[JobRole], JobRole_Map[], 2, FALSE)</f>
        <v>Technical</v>
      </c>
    </row>
    <row r="1146" spans="1:37" x14ac:dyDescent="0.25">
      <c r="A1146" s="2">
        <v>33</v>
      </c>
      <c r="B1146" t="s">
        <v>32</v>
      </c>
      <c r="C1146" t="s">
        <v>33</v>
      </c>
      <c r="D1146" t="s">
        <v>34</v>
      </c>
      <c r="E1146">
        <v>1</v>
      </c>
      <c r="F1146" t="s">
        <v>35</v>
      </c>
      <c r="G1146">
        <v>3</v>
      </c>
      <c r="H1146">
        <v>1</v>
      </c>
      <c r="I1146" t="s">
        <v>44</v>
      </c>
      <c r="J1146">
        <v>4</v>
      </c>
      <c r="K1146" t="s">
        <v>37</v>
      </c>
      <c r="L1146">
        <v>2686</v>
      </c>
      <c r="M1146">
        <v>1</v>
      </c>
      <c r="N1146" t="s">
        <v>32</v>
      </c>
      <c r="O1146">
        <v>13</v>
      </c>
      <c r="P1146">
        <v>3</v>
      </c>
      <c r="Q1146">
        <v>0</v>
      </c>
      <c r="R1146">
        <v>10</v>
      </c>
      <c r="S1146">
        <v>2</v>
      </c>
      <c r="T1146">
        <v>10</v>
      </c>
      <c r="U1146">
        <v>7</v>
      </c>
      <c r="V1146">
        <v>8</v>
      </c>
      <c r="W1146" t="s">
        <v>38</v>
      </c>
      <c r="X1146" s="1" t="d">
        <v>2011-04-12</v>
      </c>
      <c r="Z1146" t="s">
        <v>39</v>
      </c>
      <c r="AA1146" t="s">
        <v>46</v>
      </c>
      <c r="AB1146">
        <v>2</v>
      </c>
      <c r="AC1146">
        <v>0</v>
      </c>
      <c r="AD1146" t="s">
        <v>41</v>
      </c>
      <c r="AE1146" t="s">
        <v>62</v>
      </c>
      <c r="AF1146" t="s">
        <v>43</v>
      </c>
      <c r="AG1146">
        <f>IF(HR_Data[[#This Row],[Attrition]]="Yes",1,0)</f>
        <v>1</v>
      </c>
      <c r="AH1146" t="str">
        <f>IF(HR_Data[Date_of_termination]="","Active","Left")</f>
        <v>Active</v>
      </c>
      <c r="AI1146" t="str">
        <f>IF(HR_Data[YearsAtCompany]&lt;=2,"Fresher", IF(HR_Data[YearsAtCompany]&lt;=5,"Junior", IF(HR_Data[YearsAtCompany]&lt;=10, "Mid","Senior")))</f>
        <v>Mid</v>
      </c>
      <c r="AJ1146" s="2" t="str">
        <f>IF(HR_Data[MonthlyIncome]&lt;=300,"Low", IF(HR_Data[MonthlyIncome]&lt;=7000,"Medium", "High"))</f>
        <v>Medium</v>
      </c>
      <c r="AK1146" s="2" t="str">
        <f>VLOOKUP(HR_Data[JobRole], JobRole_Map[], 2, FALSE)</f>
        <v>Technical</v>
      </c>
    </row>
    <row r="1147" spans="1:37" x14ac:dyDescent="0.25">
      <c r="A1147" s="2">
        <v>36</v>
      </c>
      <c r="B1147" t="s">
        <v>41</v>
      </c>
      <c r="C1147" t="s">
        <v>68</v>
      </c>
      <c r="D1147" t="s">
        <v>53</v>
      </c>
      <c r="E1147">
        <v>8</v>
      </c>
      <c r="F1147" t="s">
        <v>35</v>
      </c>
      <c r="G1147">
        <v>2</v>
      </c>
      <c r="H1147">
        <v>3</v>
      </c>
      <c r="I1147" t="s">
        <v>64</v>
      </c>
      <c r="J1147">
        <v>1</v>
      </c>
      <c r="K1147" t="s">
        <v>37</v>
      </c>
      <c r="L1147">
        <v>7587</v>
      </c>
      <c r="M1147">
        <v>1</v>
      </c>
      <c r="N1147" t="s">
        <v>41</v>
      </c>
      <c r="O1147">
        <v>15</v>
      </c>
      <c r="P1147">
        <v>3</v>
      </c>
      <c r="Q1147">
        <v>0</v>
      </c>
      <c r="R1147">
        <v>10</v>
      </c>
      <c r="S1147">
        <v>1</v>
      </c>
      <c r="T1147">
        <v>10</v>
      </c>
      <c r="U1147">
        <v>0</v>
      </c>
      <c r="V1147">
        <v>9</v>
      </c>
      <c r="W1147" t="s">
        <v>38</v>
      </c>
      <c r="X1147" s="1" t="d">
        <v>2011-04-22</v>
      </c>
      <c r="Z1147" t="s">
        <v>59</v>
      </c>
      <c r="AA1147" t="s">
        <v>40</v>
      </c>
      <c r="AB1147">
        <v>1</v>
      </c>
      <c r="AC1147">
        <v>1</v>
      </c>
      <c r="AD1147" t="s">
        <v>41</v>
      </c>
      <c r="AE1147" t="s">
        <v>42</v>
      </c>
      <c r="AF1147" t="s">
        <v>48</v>
      </c>
      <c r="AG1147">
        <f>IF(HR_Data[[#This Row],[Attrition]]="Yes",1,0)</f>
        <v>0</v>
      </c>
      <c r="AH1147" t="str">
        <f>IF(HR_Data[Date_of_termination]="","Active","Left")</f>
        <v>Active</v>
      </c>
      <c r="AI1147" t="str">
        <f>IF(HR_Data[YearsAtCompany]&lt;=2,"Fresher", IF(HR_Data[YearsAtCompany]&lt;=5,"Junior", IF(HR_Data[YearsAtCompany]&lt;=10, "Mid","Senior")))</f>
        <v>Mid</v>
      </c>
      <c r="AJ1147" s="2" t="str">
        <f>IF(HR_Data[MonthlyIncome]&lt;=300,"Low", IF(HR_Data[MonthlyIncome]&lt;=7000,"Medium", "High"))</f>
        <v>High</v>
      </c>
      <c r="AK1147" s="2" t="str">
        <f>VLOOKUP(HR_Data[JobRole], JobRole_Map[], 2, FALSE)</f>
        <v>Sales</v>
      </c>
    </row>
    <row r="1148" spans="1:37" x14ac:dyDescent="0.25">
      <c r="A1148" s="2">
        <v>29</v>
      </c>
      <c r="B1148" t="s">
        <v>41</v>
      </c>
      <c r="C1148" t="s">
        <v>33</v>
      </c>
      <c r="D1148" t="s">
        <v>34</v>
      </c>
      <c r="E1148">
        <v>23</v>
      </c>
      <c r="F1148" t="s">
        <v>35</v>
      </c>
      <c r="G1148">
        <v>4</v>
      </c>
      <c r="H1148">
        <v>1</v>
      </c>
      <c r="I1148" t="s">
        <v>44</v>
      </c>
      <c r="J1148">
        <v>3</v>
      </c>
      <c r="K1148" t="s">
        <v>50</v>
      </c>
      <c r="L1148">
        <v>2700</v>
      </c>
      <c r="M1148">
        <v>1</v>
      </c>
      <c r="N1148" t="s">
        <v>41</v>
      </c>
      <c r="O1148">
        <v>24</v>
      </c>
      <c r="P1148">
        <v>4</v>
      </c>
      <c r="Q1148">
        <v>1</v>
      </c>
      <c r="R1148">
        <v>10</v>
      </c>
      <c r="S1148">
        <v>3</v>
      </c>
      <c r="T1148">
        <v>10</v>
      </c>
      <c r="U1148">
        <v>0</v>
      </c>
      <c r="V1148">
        <v>7</v>
      </c>
      <c r="W1148" t="s">
        <v>56</v>
      </c>
      <c r="X1148" s="1" t="d">
        <v>2011-01-29</v>
      </c>
      <c r="Z1148" t="s">
        <v>52</v>
      </c>
      <c r="AA1148" t="s">
        <v>40</v>
      </c>
      <c r="AB1148">
        <v>0</v>
      </c>
      <c r="AC1148">
        <v>2</v>
      </c>
      <c r="AD1148" t="s">
        <v>41</v>
      </c>
      <c r="AE1148" t="s">
        <v>47</v>
      </c>
      <c r="AF1148" t="s">
        <v>48</v>
      </c>
      <c r="AG1148">
        <f>IF(HR_Data[[#This Row],[Attrition]]="Yes",1,0)</f>
        <v>0</v>
      </c>
      <c r="AH1148" t="str">
        <f>IF(HR_Data[Date_of_termination]="","Active","Left")</f>
        <v>Active</v>
      </c>
      <c r="AI1148" t="str">
        <f>IF(HR_Data[YearsAtCompany]&lt;=2,"Fresher", IF(HR_Data[YearsAtCompany]&lt;=5,"Junior", IF(HR_Data[YearsAtCompany]&lt;=10, "Mid","Senior")))</f>
        <v>Mid</v>
      </c>
      <c r="AJ1148" s="2" t="str">
        <f>IF(HR_Data[MonthlyIncome]&lt;=300,"Low", IF(HR_Data[MonthlyIncome]&lt;=7000,"Medium", "High"))</f>
        <v>Medium</v>
      </c>
      <c r="AK1148" s="2" t="str">
        <f>VLOOKUP(HR_Data[JobRole], JobRole_Map[], 2, FALSE)</f>
        <v>Technical</v>
      </c>
    </row>
    <row r="1149" spans="1:37" x14ac:dyDescent="0.25">
      <c r="A1149" s="2">
        <v>35</v>
      </c>
      <c r="B1149" t="s">
        <v>32</v>
      </c>
      <c r="C1149" t="s">
        <v>61</v>
      </c>
      <c r="D1149" t="s">
        <v>34</v>
      </c>
      <c r="E1149">
        <v>25</v>
      </c>
      <c r="F1149" t="s">
        <v>58</v>
      </c>
      <c r="G1149">
        <v>3</v>
      </c>
      <c r="H1149">
        <v>1</v>
      </c>
      <c r="I1149" t="s">
        <v>44</v>
      </c>
      <c r="J1149">
        <v>2</v>
      </c>
      <c r="K1149" t="s">
        <v>55</v>
      </c>
      <c r="L1149">
        <v>2022</v>
      </c>
      <c r="M1149">
        <v>1</v>
      </c>
      <c r="N1149" t="s">
        <v>32</v>
      </c>
      <c r="O1149">
        <v>19</v>
      </c>
      <c r="P1149">
        <v>3</v>
      </c>
      <c r="Q1149">
        <v>1</v>
      </c>
      <c r="R1149">
        <v>10</v>
      </c>
      <c r="S1149">
        <v>3</v>
      </c>
      <c r="T1149">
        <v>10</v>
      </c>
      <c r="U1149">
        <v>7</v>
      </c>
      <c r="V1149">
        <v>8</v>
      </c>
      <c r="W1149" t="s">
        <v>65</v>
      </c>
      <c r="X1149" s="1" t="d">
        <v>2011-05-12</v>
      </c>
      <c r="Z1149" t="s">
        <v>59</v>
      </c>
      <c r="AA1149" t="s">
        <v>46</v>
      </c>
      <c r="AB1149">
        <v>5</v>
      </c>
      <c r="AC1149">
        <v>0</v>
      </c>
      <c r="AD1149" t="s">
        <v>41</v>
      </c>
      <c r="AE1149" t="s">
        <v>47</v>
      </c>
      <c r="AF1149" t="s">
        <v>57</v>
      </c>
      <c r="AG1149">
        <f>IF(HR_Data[[#This Row],[Attrition]]="Yes",1,0)</f>
        <v>1</v>
      </c>
      <c r="AH1149" t="str">
        <f>IF(HR_Data[Date_of_termination]="","Active","Left")</f>
        <v>Active</v>
      </c>
      <c r="AI1149" t="str">
        <f>IF(HR_Data[YearsAtCompany]&lt;=2,"Fresher", IF(HR_Data[YearsAtCompany]&lt;=5,"Junior", IF(HR_Data[YearsAtCompany]&lt;=10, "Mid","Senior")))</f>
        <v>Mid</v>
      </c>
      <c r="AJ1149" s="2" t="str">
        <f>IF(HR_Data[MonthlyIncome]&lt;=300,"Low", IF(HR_Data[MonthlyIncome]&lt;=7000,"Medium", "High"))</f>
        <v>Medium</v>
      </c>
      <c r="AK1149" s="2" t="str">
        <f>VLOOKUP(HR_Data[JobRole], JobRole_Map[], 2, FALSE)</f>
        <v>Technical</v>
      </c>
    </row>
    <row r="1150" spans="1:37" x14ac:dyDescent="0.25">
      <c r="A1150" s="2">
        <v>32</v>
      </c>
      <c r="B1150" t="s">
        <v>41</v>
      </c>
      <c r="C1150" t="s">
        <v>61</v>
      </c>
      <c r="D1150" t="s">
        <v>53</v>
      </c>
      <c r="E1150">
        <v>5</v>
      </c>
      <c r="F1150" t="s">
        <v>35</v>
      </c>
      <c r="G1150">
        <v>3</v>
      </c>
      <c r="H1150">
        <v>2</v>
      </c>
      <c r="I1150" t="s">
        <v>64</v>
      </c>
      <c r="J1150">
        <v>2</v>
      </c>
      <c r="K1150" t="s">
        <v>50</v>
      </c>
      <c r="L1150">
        <v>6524</v>
      </c>
      <c r="M1150">
        <v>1</v>
      </c>
      <c r="N1150" t="s">
        <v>41</v>
      </c>
      <c r="O1150">
        <v>14</v>
      </c>
      <c r="P1150">
        <v>3</v>
      </c>
      <c r="Q1150">
        <v>1</v>
      </c>
      <c r="R1150">
        <v>10</v>
      </c>
      <c r="S1150">
        <v>3</v>
      </c>
      <c r="T1150">
        <v>10</v>
      </c>
      <c r="U1150">
        <v>5</v>
      </c>
      <c r="V1150">
        <v>3</v>
      </c>
      <c r="W1150" t="s">
        <v>51</v>
      </c>
      <c r="X1150" s="1" t="d">
        <v>2011-04-13</v>
      </c>
      <c r="Z1150" t="s">
        <v>52</v>
      </c>
      <c r="AA1150" t="s">
        <v>46</v>
      </c>
      <c r="AB1150">
        <v>5</v>
      </c>
      <c r="AC1150">
        <v>3</v>
      </c>
      <c r="AD1150" t="s">
        <v>41</v>
      </c>
      <c r="AE1150" t="s">
        <v>47</v>
      </c>
      <c r="AF1150" t="s">
        <v>57</v>
      </c>
      <c r="AG1150">
        <f>IF(HR_Data[[#This Row],[Attrition]]="Yes",1,0)</f>
        <v>0</v>
      </c>
      <c r="AH1150" t="str">
        <f>IF(HR_Data[Date_of_termination]="","Active","Left")</f>
        <v>Active</v>
      </c>
      <c r="AI1150" t="str">
        <f>IF(HR_Data[YearsAtCompany]&lt;=2,"Fresher", IF(HR_Data[YearsAtCompany]&lt;=5,"Junior", IF(HR_Data[YearsAtCompany]&lt;=10, "Mid","Senior")))</f>
        <v>Mid</v>
      </c>
      <c r="AJ1150" s="2" t="str">
        <f>IF(HR_Data[MonthlyIncome]&lt;=300,"Low", IF(HR_Data[MonthlyIncome]&lt;=7000,"Medium", "High"))</f>
        <v>Medium</v>
      </c>
      <c r="AK1150" s="2" t="str">
        <f>VLOOKUP(HR_Data[JobRole], JobRole_Map[], 2, FALSE)</f>
        <v>Sales</v>
      </c>
    </row>
    <row r="1151" spans="1:37" x14ac:dyDescent="0.25">
      <c r="A1151" s="2">
        <v>37</v>
      </c>
      <c r="B1151" t="s">
        <v>41</v>
      </c>
      <c r="C1151" t="s">
        <v>68</v>
      </c>
      <c r="D1151" t="s">
        <v>53</v>
      </c>
      <c r="E1151">
        <v>19</v>
      </c>
      <c r="F1151" t="s">
        <v>35</v>
      </c>
      <c r="G1151">
        <v>3</v>
      </c>
      <c r="H1151">
        <v>3</v>
      </c>
      <c r="I1151" t="s">
        <v>64</v>
      </c>
      <c r="J1151">
        <v>2</v>
      </c>
      <c r="K1151" t="s">
        <v>37</v>
      </c>
      <c r="L1151">
        <v>7642</v>
      </c>
      <c r="M1151">
        <v>1</v>
      </c>
      <c r="N1151" t="s">
        <v>32</v>
      </c>
      <c r="O1151">
        <v>13</v>
      </c>
      <c r="P1151">
        <v>3</v>
      </c>
      <c r="Q1151">
        <v>0</v>
      </c>
      <c r="R1151">
        <v>10</v>
      </c>
      <c r="S1151">
        <v>2</v>
      </c>
      <c r="T1151">
        <v>10</v>
      </c>
      <c r="U1151">
        <v>0</v>
      </c>
      <c r="V1151">
        <v>9</v>
      </c>
      <c r="W1151" t="s">
        <v>56</v>
      </c>
      <c r="X1151" s="1" t="d">
        <v>2011-06-27</v>
      </c>
      <c r="Z1151" t="s">
        <v>63</v>
      </c>
      <c r="AA1151" t="s">
        <v>40</v>
      </c>
      <c r="AB1151">
        <v>4</v>
      </c>
      <c r="AC1151">
        <v>3</v>
      </c>
      <c r="AD1151" t="s">
        <v>32</v>
      </c>
      <c r="AE1151" t="s">
        <v>60</v>
      </c>
      <c r="AF1151" t="s">
        <v>48</v>
      </c>
      <c r="AG1151">
        <f>IF(HR_Data[[#This Row],[Attrition]]="Yes",1,0)</f>
        <v>0</v>
      </c>
      <c r="AH1151" t="str">
        <f>IF(HR_Data[Date_of_termination]="","Active","Left")</f>
        <v>Active</v>
      </c>
      <c r="AI1151" t="str">
        <f>IF(HR_Data[YearsAtCompany]&lt;=2,"Fresher", IF(HR_Data[YearsAtCompany]&lt;=5,"Junior", IF(HR_Data[YearsAtCompany]&lt;=10, "Mid","Senior")))</f>
        <v>Mid</v>
      </c>
      <c r="AJ1151" s="2" t="str">
        <f>IF(HR_Data[MonthlyIncome]&lt;=300,"Low", IF(HR_Data[MonthlyIncome]&lt;=7000,"Medium", "High"))</f>
        <v>High</v>
      </c>
      <c r="AK1151" s="2" t="str">
        <f>VLOOKUP(HR_Data[JobRole], JobRole_Map[], 2, FALSE)</f>
        <v>Sales</v>
      </c>
    </row>
    <row r="1152" spans="1:37" x14ac:dyDescent="0.25">
      <c r="A1152" s="2">
        <v>35</v>
      </c>
      <c r="B1152" t="s">
        <v>41</v>
      </c>
      <c r="C1152" t="s">
        <v>33</v>
      </c>
      <c r="D1152" t="s">
        <v>34</v>
      </c>
      <c r="E1152">
        <v>21</v>
      </c>
      <c r="F1152" t="s">
        <v>58</v>
      </c>
      <c r="G1152">
        <v>3</v>
      </c>
      <c r="H1152">
        <v>2</v>
      </c>
      <c r="I1152" t="s">
        <v>69</v>
      </c>
      <c r="J1152">
        <v>4</v>
      </c>
      <c r="K1152" t="s">
        <v>50</v>
      </c>
      <c r="L1152">
        <v>4014</v>
      </c>
      <c r="M1152">
        <v>1</v>
      </c>
      <c r="N1152" t="s">
        <v>32</v>
      </c>
      <c r="O1152">
        <v>25</v>
      </c>
      <c r="P1152">
        <v>4</v>
      </c>
      <c r="Q1152">
        <v>1</v>
      </c>
      <c r="R1152">
        <v>10</v>
      </c>
      <c r="S1152">
        <v>2</v>
      </c>
      <c r="T1152">
        <v>10</v>
      </c>
      <c r="U1152">
        <v>0</v>
      </c>
      <c r="V1152">
        <v>7</v>
      </c>
      <c r="W1152" t="s">
        <v>38</v>
      </c>
      <c r="X1152" s="1" t="d">
        <v>2011-02-19</v>
      </c>
      <c r="Z1152" t="s">
        <v>59</v>
      </c>
      <c r="AA1152" t="s">
        <v>46</v>
      </c>
      <c r="AB1152">
        <v>2</v>
      </c>
      <c r="AC1152">
        <v>2</v>
      </c>
      <c r="AD1152" t="s">
        <v>41</v>
      </c>
      <c r="AE1152" t="s">
        <v>60</v>
      </c>
      <c r="AF1152" t="s">
        <v>43</v>
      </c>
      <c r="AG1152">
        <f>IF(HR_Data[[#This Row],[Attrition]]="Yes",1,0)</f>
        <v>0</v>
      </c>
      <c r="AH1152" t="str">
        <f>IF(HR_Data[Date_of_termination]="","Active","Left")</f>
        <v>Active</v>
      </c>
      <c r="AI1152" t="str">
        <f>IF(HR_Data[YearsAtCompany]&lt;=2,"Fresher", IF(HR_Data[YearsAtCompany]&lt;=5,"Junior", IF(HR_Data[YearsAtCompany]&lt;=10, "Mid","Senior")))</f>
        <v>Mid</v>
      </c>
      <c r="AJ1152" s="2" t="str">
        <f>IF(HR_Data[MonthlyIncome]&lt;=300,"Low", IF(HR_Data[MonthlyIncome]&lt;=7000,"Medium", "High"))</f>
        <v>Medium</v>
      </c>
      <c r="AK1152" s="2" t="str">
        <f>VLOOKUP(HR_Data[JobRole], JobRole_Map[], 2, FALSE)</f>
        <v>Operations</v>
      </c>
    </row>
    <row r="1153" spans="1:37" x14ac:dyDescent="0.25">
      <c r="A1153" s="2">
        <v>35</v>
      </c>
      <c r="B1153" t="s">
        <v>41</v>
      </c>
      <c r="C1153" t="s">
        <v>33</v>
      </c>
      <c r="D1153" t="s">
        <v>53</v>
      </c>
      <c r="E1153">
        <v>3</v>
      </c>
      <c r="F1153" t="s">
        <v>35</v>
      </c>
      <c r="G1153">
        <v>3</v>
      </c>
      <c r="H1153">
        <v>3</v>
      </c>
      <c r="I1153" t="s">
        <v>64</v>
      </c>
      <c r="J1153">
        <v>4</v>
      </c>
      <c r="K1153" t="s">
        <v>55</v>
      </c>
      <c r="L1153">
        <v>7823</v>
      </c>
      <c r="M1153">
        <v>6</v>
      </c>
      <c r="N1153" t="s">
        <v>41</v>
      </c>
      <c r="O1153">
        <v>13</v>
      </c>
      <c r="P1153">
        <v>3</v>
      </c>
      <c r="Q1153">
        <v>1</v>
      </c>
      <c r="R1153">
        <v>12</v>
      </c>
      <c r="S1153">
        <v>2</v>
      </c>
      <c r="T1153">
        <v>10</v>
      </c>
      <c r="U1153">
        <v>0</v>
      </c>
      <c r="V1153">
        <v>8</v>
      </c>
      <c r="W1153" t="s">
        <v>51</v>
      </c>
      <c r="X1153" s="1" t="d">
        <v>2011-05-08</v>
      </c>
      <c r="Z1153" t="s">
        <v>63</v>
      </c>
      <c r="AA1153" t="s">
        <v>40</v>
      </c>
      <c r="AB1153">
        <v>5</v>
      </c>
      <c r="AC1153">
        <v>1</v>
      </c>
      <c r="AD1153" t="s">
        <v>32</v>
      </c>
      <c r="AE1153" t="s">
        <v>47</v>
      </c>
      <c r="AF1153" t="s">
        <v>48</v>
      </c>
      <c r="AG1153">
        <f>IF(HR_Data[[#This Row],[Attrition]]="Yes",1,0)</f>
        <v>0</v>
      </c>
      <c r="AH1153" t="str">
        <f>IF(HR_Data[Date_of_termination]="","Active","Left")</f>
        <v>Active</v>
      </c>
      <c r="AI1153" t="str">
        <f>IF(HR_Data[YearsAtCompany]&lt;=2,"Fresher", IF(HR_Data[YearsAtCompany]&lt;=5,"Junior", IF(HR_Data[YearsAtCompany]&lt;=10, "Mid","Senior")))</f>
        <v>Mid</v>
      </c>
      <c r="AJ1153" s="2" t="str">
        <f>IF(HR_Data[MonthlyIncome]&lt;=300,"Low", IF(HR_Data[MonthlyIncome]&lt;=7000,"Medium", "High"))</f>
        <v>High</v>
      </c>
      <c r="AK1153" s="2" t="str">
        <f>VLOOKUP(HR_Data[JobRole], JobRole_Map[], 2, FALSE)</f>
        <v>Sales</v>
      </c>
    </row>
    <row r="1154" spans="1:37" x14ac:dyDescent="0.25">
      <c r="A1154" s="2">
        <v>33</v>
      </c>
      <c r="B1154" t="s">
        <v>41</v>
      </c>
      <c r="C1154" t="s">
        <v>68</v>
      </c>
      <c r="D1154" t="s">
        <v>53</v>
      </c>
      <c r="E1154">
        <v>17</v>
      </c>
      <c r="F1154" t="s">
        <v>35</v>
      </c>
      <c r="G1154">
        <v>3</v>
      </c>
      <c r="H1154">
        <v>4</v>
      </c>
      <c r="I1154" t="s">
        <v>66</v>
      </c>
      <c r="J1154">
        <v>3</v>
      </c>
      <c r="K1154" t="s">
        <v>37</v>
      </c>
      <c r="L1154">
        <v>17444</v>
      </c>
      <c r="M1154">
        <v>1</v>
      </c>
      <c r="N1154" t="s">
        <v>41</v>
      </c>
      <c r="O1154">
        <v>11</v>
      </c>
      <c r="P1154">
        <v>3</v>
      </c>
      <c r="Q1154">
        <v>0</v>
      </c>
      <c r="R1154">
        <v>10</v>
      </c>
      <c r="S1154">
        <v>2</v>
      </c>
      <c r="T1154">
        <v>10</v>
      </c>
      <c r="U1154">
        <v>6</v>
      </c>
      <c r="V1154">
        <v>0</v>
      </c>
      <c r="W1154" t="s">
        <v>56</v>
      </c>
      <c r="X1154" s="1" t="d">
        <v>2011-06-01</v>
      </c>
      <c r="Z1154" t="s">
        <v>59</v>
      </c>
      <c r="AA1154" t="s">
        <v>40</v>
      </c>
      <c r="AB1154">
        <v>0</v>
      </c>
      <c r="AC1154">
        <v>2</v>
      </c>
      <c r="AD1154" t="s">
        <v>32</v>
      </c>
      <c r="AE1154" t="s">
        <v>42</v>
      </c>
      <c r="AF1154" t="s">
        <v>43</v>
      </c>
      <c r="AG1154">
        <f>IF(HR_Data[[#This Row],[Attrition]]="Yes",1,0)</f>
        <v>0</v>
      </c>
      <c r="AH1154" t="str">
        <f>IF(HR_Data[Date_of_termination]="","Active","Left")</f>
        <v>Active</v>
      </c>
      <c r="AI1154" t="str">
        <f>IF(HR_Data[YearsAtCompany]&lt;=2,"Fresher", IF(HR_Data[YearsAtCompany]&lt;=5,"Junior", IF(HR_Data[YearsAtCompany]&lt;=10, "Mid","Senior")))</f>
        <v>Mid</v>
      </c>
      <c r="AJ1154" s="2" t="str">
        <f>IF(HR_Data[MonthlyIncome]&lt;=300,"Low", IF(HR_Data[MonthlyIncome]&lt;=7000,"Medium", "High"))</f>
        <v>High</v>
      </c>
      <c r="AK1154" s="2" t="str">
        <f>VLOOKUP(HR_Data[JobRole], JobRole_Map[], 2, FALSE)</f>
        <v>Management</v>
      </c>
    </row>
    <row r="1155" spans="1:37" x14ac:dyDescent="0.25">
      <c r="A1155" s="2">
        <v>54</v>
      </c>
      <c r="B1155" t="s">
        <v>41</v>
      </c>
      <c r="C1155" t="s">
        <v>33</v>
      </c>
      <c r="D1155" t="s">
        <v>34</v>
      </c>
      <c r="E1155">
        <v>17</v>
      </c>
      <c r="F1155" t="s">
        <v>58</v>
      </c>
      <c r="G1155">
        <v>3</v>
      </c>
      <c r="H1155">
        <v>3</v>
      </c>
      <c r="I1155" t="s">
        <v>67</v>
      </c>
      <c r="J1155">
        <v>3</v>
      </c>
      <c r="K1155" t="s">
        <v>50</v>
      </c>
      <c r="L1155">
        <v>10739</v>
      </c>
      <c r="M1155">
        <v>8</v>
      </c>
      <c r="N1155" t="s">
        <v>41</v>
      </c>
      <c r="O1155">
        <v>11</v>
      </c>
      <c r="P1155">
        <v>3</v>
      </c>
      <c r="Q1155">
        <v>1</v>
      </c>
      <c r="R1155">
        <v>22</v>
      </c>
      <c r="S1155">
        <v>2</v>
      </c>
      <c r="T1155">
        <v>10</v>
      </c>
      <c r="U1155">
        <v>0</v>
      </c>
      <c r="V1155">
        <v>8</v>
      </c>
      <c r="W1155" t="s">
        <v>51</v>
      </c>
      <c r="X1155" s="1" t="d">
        <v>2011-03-06</v>
      </c>
      <c r="Z1155" t="s">
        <v>52</v>
      </c>
      <c r="AA1155" t="s">
        <v>46</v>
      </c>
      <c r="AB1155">
        <v>5</v>
      </c>
      <c r="AC1155">
        <v>0</v>
      </c>
      <c r="AD1155" t="s">
        <v>41</v>
      </c>
      <c r="AE1155" t="s">
        <v>62</v>
      </c>
      <c r="AF1155" t="s">
        <v>48</v>
      </c>
      <c r="AG1155">
        <f>IF(HR_Data[[#This Row],[Attrition]]="Yes",1,0)</f>
        <v>0</v>
      </c>
      <c r="AH1155" t="str">
        <f>IF(HR_Data[Date_of_termination]="","Active","Left")</f>
        <v>Active</v>
      </c>
      <c r="AI1155" t="str">
        <f>IF(HR_Data[YearsAtCompany]&lt;=2,"Fresher", IF(HR_Data[YearsAtCompany]&lt;=5,"Junior", IF(HR_Data[YearsAtCompany]&lt;=10, "Mid","Senior")))</f>
        <v>Mid</v>
      </c>
      <c r="AJ1155" s="2" t="str">
        <f>IF(HR_Data[MonthlyIncome]&lt;=300,"Low", IF(HR_Data[MonthlyIncome]&lt;=7000,"Medium", "High"))</f>
        <v>High</v>
      </c>
      <c r="AK1155" s="2" t="str">
        <f>VLOOKUP(HR_Data[JobRole], JobRole_Map[], 2, FALSE)</f>
        <v>Operations</v>
      </c>
    </row>
    <row r="1156" spans="1:37" x14ac:dyDescent="0.25">
      <c r="A1156" s="2">
        <v>51</v>
      </c>
      <c r="B1156" t="s">
        <v>32</v>
      </c>
      <c r="C1156" t="s">
        <v>33</v>
      </c>
      <c r="D1156" t="s">
        <v>34</v>
      </c>
      <c r="E1156">
        <v>4</v>
      </c>
      <c r="F1156" t="s">
        <v>35</v>
      </c>
      <c r="G1156">
        <v>3</v>
      </c>
      <c r="H1156">
        <v>1</v>
      </c>
      <c r="I1156" t="s">
        <v>44</v>
      </c>
      <c r="J1156">
        <v>3</v>
      </c>
      <c r="K1156" t="s">
        <v>50</v>
      </c>
      <c r="L1156">
        <v>2461</v>
      </c>
      <c r="M1156">
        <v>9</v>
      </c>
      <c r="N1156" t="s">
        <v>32</v>
      </c>
      <c r="O1156">
        <v>12</v>
      </c>
      <c r="P1156">
        <v>3</v>
      </c>
      <c r="Q1156">
        <v>3</v>
      </c>
      <c r="R1156">
        <v>18</v>
      </c>
      <c r="S1156">
        <v>2</v>
      </c>
      <c r="T1156">
        <v>10</v>
      </c>
      <c r="U1156">
        <v>2</v>
      </c>
      <c r="V1156">
        <v>7</v>
      </c>
      <c r="W1156" t="s">
        <v>38</v>
      </c>
      <c r="X1156" s="1" t="d">
        <v>2011-04-01</v>
      </c>
      <c r="Z1156" t="s">
        <v>63</v>
      </c>
      <c r="AA1156" t="s">
        <v>46</v>
      </c>
      <c r="AB1156">
        <v>1</v>
      </c>
      <c r="AC1156">
        <v>1</v>
      </c>
      <c r="AD1156" t="s">
        <v>41</v>
      </c>
      <c r="AE1156" t="s">
        <v>60</v>
      </c>
      <c r="AF1156" t="s">
        <v>48</v>
      </c>
      <c r="AG1156">
        <f>IF(HR_Data[[#This Row],[Attrition]]="Yes",1,0)</f>
        <v>1</v>
      </c>
      <c r="AH1156" t="str">
        <f>IF(HR_Data[Date_of_termination]="","Active","Left")</f>
        <v>Active</v>
      </c>
      <c r="AI1156" t="str">
        <f>IF(HR_Data[YearsAtCompany]&lt;=2,"Fresher", IF(HR_Data[YearsAtCompany]&lt;=5,"Junior", IF(HR_Data[YearsAtCompany]&lt;=10, "Mid","Senior")))</f>
        <v>Mid</v>
      </c>
      <c r="AJ1156" s="2" t="str">
        <f>IF(HR_Data[MonthlyIncome]&lt;=300,"Low", IF(HR_Data[MonthlyIncome]&lt;=7000,"Medium", "High"))</f>
        <v>Medium</v>
      </c>
      <c r="AK1156" s="2" t="str">
        <f>VLOOKUP(HR_Data[JobRole], JobRole_Map[], 2, FALSE)</f>
        <v>Technical</v>
      </c>
    </row>
    <row r="1157" spans="1:37" x14ac:dyDescent="0.25">
      <c r="A1157" s="2">
        <v>28</v>
      </c>
      <c r="B1157" t="s">
        <v>32</v>
      </c>
      <c r="C1157" t="s">
        <v>68</v>
      </c>
      <c r="D1157" t="s">
        <v>34</v>
      </c>
      <c r="E1157">
        <v>24</v>
      </c>
      <c r="F1157" t="s">
        <v>35</v>
      </c>
      <c r="G1157">
        <v>2</v>
      </c>
      <c r="H1157">
        <v>3</v>
      </c>
      <c r="I1157" t="s">
        <v>69</v>
      </c>
      <c r="J1157">
        <v>1</v>
      </c>
      <c r="K1157" t="s">
        <v>37</v>
      </c>
      <c r="L1157">
        <v>8722</v>
      </c>
      <c r="M1157">
        <v>1</v>
      </c>
      <c r="N1157" t="s">
        <v>41</v>
      </c>
      <c r="O1157">
        <v>12</v>
      </c>
      <c r="P1157">
        <v>3</v>
      </c>
      <c r="Q1157">
        <v>0</v>
      </c>
      <c r="R1157">
        <v>10</v>
      </c>
      <c r="S1157">
        <v>2</v>
      </c>
      <c r="T1157">
        <v>10</v>
      </c>
      <c r="U1157">
        <v>1</v>
      </c>
      <c r="V1157">
        <v>9</v>
      </c>
      <c r="W1157" t="s">
        <v>65</v>
      </c>
      <c r="X1157" s="1" t="d">
        <v>2011-02-08</v>
      </c>
      <c r="Z1157" t="s">
        <v>45</v>
      </c>
      <c r="AA1157" t="s">
        <v>40</v>
      </c>
      <c r="AB1157">
        <v>3</v>
      </c>
      <c r="AC1157">
        <v>1</v>
      </c>
      <c r="AD1157" t="s">
        <v>41</v>
      </c>
      <c r="AE1157" t="s">
        <v>47</v>
      </c>
      <c r="AF1157" t="s">
        <v>57</v>
      </c>
      <c r="AG1157">
        <f>IF(HR_Data[[#This Row],[Attrition]]="Yes",1,0)</f>
        <v>1</v>
      </c>
      <c r="AH1157" t="str">
        <f>IF(HR_Data[Date_of_termination]="","Active","Left")</f>
        <v>Active</v>
      </c>
      <c r="AI1157" t="str">
        <f>IF(HR_Data[YearsAtCompany]&lt;=2,"Fresher", IF(HR_Data[YearsAtCompany]&lt;=5,"Junior", IF(HR_Data[YearsAtCompany]&lt;=10, "Mid","Senior")))</f>
        <v>Mid</v>
      </c>
      <c r="AJ1157" s="2" t="str">
        <f>IF(HR_Data[MonthlyIncome]&lt;=300,"Low", IF(HR_Data[MonthlyIncome]&lt;=7000,"Medium", "High"))</f>
        <v>High</v>
      </c>
      <c r="AK1157" s="2" t="str">
        <f>VLOOKUP(HR_Data[JobRole], JobRole_Map[], 2, FALSE)</f>
        <v>Operations</v>
      </c>
    </row>
    <row r="1158" spans="1:37" x14ac:dyDescent="0.25">
      <c r="A1158" s="2">
        <v>41</v>
      </c>
      <c r="B1158" t="s">
        <v>41</v>
      </c>
      <c r="C1158" t="s">
        <v>33</v>
      </c>
      <c r="D1158" t="s">
        <v>34</v>
      </c>
      <c r="E1158">
        <v>7</v>
      </c>
      <c r="F1158" t="s">
        <v>58</v>
      </c>
      <c r="G1158">
        <v>4</v>
      </c>
      <c r="H1158">
        <v>1</v>
      </c>
      <c r="I1158" t="s">
        <v>44</v>
      </c>
      <c r="J1158">
        <v>3</v>
      </c>
      <c r="K1158" t="s">
        <v>50</v>
      </c>
      <c r="L1158">
        <v>3376</v>
      </c>
      <c r="M1158">
        <v>1</v>
      </c>
      <c r="N1158" t="s">
        <v>41</v>
      </c>
      <c r="O1158">
        <v>13</v>
      </c>
      <c r="P1158">
        <v>3</v>
      </c>
      <c r="Q1158">
        <v>0</v>
      </c>
      <c r="R1158">
        <v>10</v>
      </c>
      <c r="S1158">
        <v>3</v>
      </c>
      <c r="T1158">
        <v>10</v>
      </c>
      <c r="U1158">
        <v>0</v>
      </c>
      <c r="V1158">
        <v>8</v>
      </c>
      <c r="W1158" t="s">
        <v>56</v>
      </c>
      <c r="X1158" s="1" t="d">
        <v>2011-05-18</v>
      </c>
      <c r="Z1158" t="s">
        <v>45</v>
      </c>
      <c r="AA1158" t="s">
        <v>40</v>
      </c>
      <c r="AB1158">
        <v>2</v>
      </c>
      <c r="AC1158">
        <v>1</v>
      </c>
      <c r="AD1158" t="s">
        <v>41</v>
      </c>
      <c r="AE1158" t="s">
        <v>60</v>
      </c>
      <c r="AF1158" t="s">
        <v>57</v>
      </c>
      <c r="AG1158">
        <f>IF(HR_Data[[#This Row],[Attrition]]="Yes",1,0)</f>
        <v>0</v>
      </c>
      <c r="AH1158" t="str">
        <f>IF(HR_Data[Date_of_termination]="","Active","Left")</f>
        <v>Active</v>
      </c>
      <c r="AI1158" t="str">
        <f>IF(HR_Data[YearsAtCompany]&lt;=2,"Fresher", IF(HR_Data[YearsAtCompany]&lt;=5,"Junior", IF(HR_Data[YearsAtCompany]&lt;=10, "Mid","Senior")))</f>
        <v>Mid</v>
      </c>
      <c r="AJ1158" s="2" t="str">
        <f>IF(HR_Data[MonthlyIncome]&lt;=300,"Low", IF(HR_Data[MonthlyIncome]&lt;=7000,"Medium", "High"))</f>
        <v>Medium</v>
      </c>
      <c r="AK1158" s="2" t="str">
        <f>VLOOKUP(HR_Data[JobRole], JobRole_Map[], 2, FALSE)</f>
        <v>Technical</v>
      </c>
    </row>
    <row r="1159" spans="1:37" x14ac:dyDescent="0.25">
      <c r="A1159" s="2">
        <v>29</v>
      </c>
      <c r="B1159" t="s">
        <v>41</v>
      </c>
      <c r="C1159" t="s">
        <v>33</v>
      </c>
      <c r="D1159" t="s">
        <v>34</v>
      </c>
      <c r="E1159">
        <v>8</v>
      </c>
      <c r="F1159" t="s">
        <v>35</v>
      </c>
      <c r="G1159">
        <v>2</v>
      </c>
      <c r="H1159">
        <v>2</v>
      </c>
      <c r="I1159" t="s">
        <v>67</v>
      </c>
      <c r="J1159">
        <v>4</v>
      </c>
      <c r="K1159" t="s">
        <v>50</v>
      </c>
      <c r="L1159">
        <v>5056</v>
      </c>
      <c r="M1159">
        <v>1</v>
      </c>
      <c r="N1159" t="s">
        <v>32</v>
      </c>
      <c r="O1159">
        <v>15</v>
      </c>
      <c r="P1159">
        <v>3</v>
      </c>
      <c r="Q1159">
        <v>1</v>
      </c>
      <c r="R1159">
        <v>10</v>
      </c>
      <c r="S1159">
        <v>2</v>
      </c>
      <c r="T1159">
        <v>10</v>
      </c>
      <c r="U1159">
        <v>1</v>
      </c>
      <c r="V1159">
        <v>2</v>
      </c>
      <c r="W1159" t="s">
        <v>38</v>
      </c>
      <c r="X1159" s="1" t="d">
        <v>2011-04-03</v>
      </c>
      <c r="Z1159" t="s">
        <v>45</v>
      </c>
      <c r="AA1159" t="s">
        <v>46</v>
      </c>
      <c r="AB1159">
        <v>1</v>
      </c>
      <c r="AC1159">
        <v>2</v>
      </c>
      <c r="AD1159" t="s">
        <v>41</v>
      </c>
      <c r="AE1159" t="s">
        <v>62</v>
      </c>
      <c r="AF1159" t="s">
        <v>48</v>
      </c>
      <c r="AG1159">
        <f>IF(HR_Data[[#This Row],[Attrition]]="Yes",1,0)</f>
        <v>0</v>
      </c>
      <c r="AH1159" t="str">
        <f>IF(HR_Data[Date_of_termination]="","Active","Left")</f>
        <v>Active</v>
      </c>
      <c r="AI1159" t="str">
        <f>IF(HR_Data[YearsAtCompany]&lt;=2,"Fresher", IF(HR_Data[YearsAtCompany]&lt;=5,"Junior", IF(HR_Data[YearsAtCompany]&lt;=10, "Mid","Senior")))</f>
        <v>Mid</v>
      </c>
      <c r="AJ1159" s="2" t="str">
        <f>IF(HR_Data[MonthlyIncome]&lt;=300,"Low", IF(HR_Data[MonthlyIncome]&lt;=7000,"Medium", "High"))</f>
        <v>Medium</v>
      </c>
      <c r="AK1159" s="2" t="str">
        <f>VLOOKUP(HR_Data[JobRole], JobRole_Map[], 2, FALSE)</f>
        <v>Operations</v>
      </c>
    </row>
    <row r="1160" spans="1:37" x14ac:dyDescent="0.25">
      <c r="A1160" s="2">
        <v>30</v>
      </c>
      <c r="B1160" t="s">
        <v>41</v>
      </c>
      <c r="C1160" t="s">
        <v>33</v>
      </c>
      <c r="D1160" t="s">
        <v>53</v>
      </c>
      <c r="E1160">
        <v>10</v>
      </c>
      <c r="F1160" t="s">
        <v>35</v>
      </c>
      <c r="G1160">
        <v>2</v>
      </c>
      <c r="H1160">
        <v>2</v>
      </c>
      <c r="I1160" t="s">
        <v>64</v>
      </c>
      <c r="J1160">
        <v>3</v>
      </c>
      <c r="K1160" t="s">
        <v>50</v>
      </c>
      <c r="L1160">
        <v>6578</v>
      </c>
      <c r="M1160">
        <v>1</v>
      </c>
      <c r="N1160" t="s">
        <v>41</v>
      </c>
      <c r="O1160">
        <v>18</v>
      </c>
      <c r="P1160">
        <v>3</v>
      </c>
      <c r="Q1160">
        <v>1</v>
      </c>
      <c r="R1160">
        <v>10</v>
      </c>
      <c r="S1160">
        <v>3</v>
      </c>
      <c r="T1160">
        <v>10</v>
      </c>
      <c r="U1160">
        <v>1</v>
      </c>
      <c r="V1160">
        <v>4</v>
      </c>
      <c r="W1160" t="s">
        <v>56</v>
      </c>
      <c r="X1160" s="1" t="d">
        <v>2011-05-27</v>
      </c>
      <c r="Z1160" t="s">
        <v>52</v>
      </c>
      <c r="AA1160" t="s">
        <v>46</v>
      </c>
      <c r="AB1160">
        <v>4</v>
      </c>
      <c r="AC1160">
        <v>3</v>
      </c>
      <c r="AD1160" t="s">
        <v>32</v>
      </c>
      <c r="AE1160" t="s">
        <v>47</v>
      </c>
      <c r="AF1160" t="s">
        <v>48</v>
      </c>
      <c r="AG1160">
        <f>IF(HR_Data[[#This Row],[Attrition]]="Yes",1,0)</f>
        <v>0</v>
      </c>
      <c r="AH1160" t="str">
        <f>IF(HR_Data[Date_of_termination]="","Active","Left")</f>
        <v>Active</v>
      </c>
      <c r="AI1160" t="str">
        <f>IF(HR_Data[YearsAtCompany]&lt;=2,"Fresher", IF(HR_Data[YearsAtCompany]&lt;=5,"Junior", IF(HR_Data[YearsAtCompany]&lt;=10, "Mid","Senior")))</f>
        <v>Mid</v>
      </c>
      <c r="AJ1160" s="2" t="str">
        <f>IF(HR_Data[MonthlyIncome]&lt;=300,"Low", IF(HR_Data[MonthlyIncome]&lt;=7000,"Medium", "High"))</f>
        <v>Medium</v>
      </c>
      <c r="AK1160" s="2" t="str">
        <f>VLOOKUP(HR_Data[JobRole], JobRole_Map[], 2, FALSE)</f>
        <v>Sales</v>
      </c>
    </row>
    <row r="1161" spans="1:37" x14ac:dyDescent="0.25">
      <c r="A1161" s="2">
        <v>29</v>
      </c>
      <c r="B1161" t="s">
        <v>41</v>
      </c>
      <c r="C1161" t="s">
        <v>33</v>
      </c>
      <c r="D1161" t="s">
        <v>34</v>
      </c>
      <c r="E1161">
        <v>6</v>
      </c>
      <c r="F1161" t="s">
        <v>58</v>
      </c>
      <c r="G1161">
        <v>3</v>
      </c>
      <c r="H1161">
        <v>1</v>
      </c>
      <c r="I1161" t="s">
        <v>36</v>
      </c>
      <c r="J1161">
        <v>4</v>
      </c>
      <c r="K1161" t="s">
        <v>50</v>
      </c>
      <c r="L1161">
        <v>3131</v>
      </c>
      <c r="M1161">
        <v>1</v>
      </c>
      <c r="N1161" t="s">
        <v>41</v>
      </c>
      <c r="O1161">
        <v>13</v>
      </c>
      <c r="P1161">
        <v>3</v>
      </c>
      <c r="Q1161">
        <v>1</v>
      </c>
      <c r="R1161">
        <v>10</v>
      </c>
      <c r="S1161">
        <v>5</v>
      </c>
      <c r="T1161">
        <v>10</v>
      </c>
      <c r="U1161">
        <v>0</v>
      </c>
      <c r="V1161">
        <v>8</v>
      </c>
      <c r="W1161" t="s">
        <v>51</v>
      </c>
      <c r="X1161" s="1" t="d">
        <v>2011-03-23</v>
      </c>
      <c r="Z1161" t="s">
        <v>45</v>
      </c>
      <c r="AA1161" t="s">
        <v>46</v>
      </c>
      <c r="AB1161">
        <v>0</v>
      </c>
      <c r="AC1161">
        <v>2</v>
      </c>
      <c r="AD1161" t="s">
        <v>32</v>
      </c>
      <c r="AE1161" t="s">
        <v>60</v>
      </c>
      <c r="AF1161" t="s">
        <v>57</v>
      </c>
      <c r="AG1161">
        <f>IF(HR_Data[[#This Row],[Attrition]]="Yes",1,0)</f>
        <v>0</v>
      </c>
      <c r="AH1161" t="str">
        <f>IF(HR_Data[Date_of_termination]="","Active","Left")</f>
        <v>Active</v>
      </c>
      <c r="AI1161" t="str">
        <f>IF(HR_Data[YearsAtCompany]&lt;=2,"Fresher", IF(HR_Data[YearsAtCompany]&lt;=5,"Junior", IF(HR_Data[YearsAtCompany]&lt;=10, "Mid","Senior")))</f>
        <v>Mid</v>
      </c>
      <c r="AJ1161" s="2" t="str">
        <f>IF(HR_Data[MonthlyIncome]&lt;=300,"Low", IF(HR_Data[MonthlyIncome]&lt;=7000,"Medium", "High"))</f>
        <v>Medium</v>
      </c>
      <c r="AK1161" s="2" t="str">
        <f>VLOOKUP(HR_Data[JobRole], JobRole_Map[], 2, FALSE)</f>
        <v>Technical</v>
      </c>
    </row>
    <row r="1162" spans="1:37" x14ac:dyDescent="0.25">
      <c r="A1162" s="2">
        <v>33</v>
      </c>
      <c r="B1162" t="s">
        <v>41</v>
      </c>
      <c r="C1162" t="s">
        <v>61</v>
      </c>
      <c r="D1162" t="s">
        <v>53</v>
      </c>
      <c r="E1162">
        <v>25</v>
      </c>
      <c r="F1162" t="s">
        <v>58</v>
      </c>
      <c r="G1162">
        <v>3</v>
      </c>
      <c r="H1162">
        <v>2</v>
      </c>
      <c r="I1162" t="s">
        <v>64</v>
      </c>
      <c r="J1162">
        <v>3</v>
      </c>
      <c r="K1162" t="s">
        <v>50</v>
      </c>
      <c r="L1162">
        <v>4539</v>
      </c>
      <c r="M1162">
        <v>1</v>
      </c>
      <c r="N1162" t="s">
        <v>41</v>
      </c>
      <c r="O1162">
        <v>12</v>
      </c>
      <c r="P1162">
        <v>3</v>
      </c>
      <c r="Q1162">
        <v>1</v>
      </c>
      <c r="R1162">
        <v>10</v>
      </c>
      <c r="S1162">
        <v>3</v>
      </c>
      <c r="T1162">
        <v>10</v>
      </c>
      <c r="U1162">
        <v>0</v>
      </c>
      <c r="V1162">
        <v>1</v>
      </c>
      <c r="W1162" t="s">
        <v>51</v>
      </c>
      <c r="X1162" s="1" t="d">
        <v>2011-01-06</v>
      </c>
      <c r="Z1162" t="s">
        <v>45</v>
      </c>
      <c r="AA1162" t="s">
        <v>40</v>
      </c>
      <c r="AB1162">
        <v>5</v>
      </c>
      <c r="AC1162">
        <v>2</v>
      </c>
      <c r="AD1162" t="s">
        <v>41</v>
      </c>
      <c r="AE1162" t="s">
        <v>47</v>
      </c>
      <c r="AF1162" t="s">
        <v>57</v>
      </c>
      <c r="AG1162">
        <f>IF(HR_Data[[#This Row],[Attrition]]="Yes",1,0)</f>
        <v>0</v>
      </c>
      <c r="AH1162" t="str">
        <f>IF(HR_Data[Date_of_termination]="","Active","Left")</f>
        <v>Active</v>
      </c>
      <c r="AI1162" t="str">
        <f>IF(HR_Data[YearsAtCompany]&lt;=2,"Fresher", IF(HR_Data[YearsAtCompany]&lt;=5,"Junior", IF(HR_Data[YearsAtCompany]&lt;=10, "Mid","Senior")))</f>
        <v>Mid</v>
      </c>
      <c r="AJ1162" s="2" t="str">
        <f>IF(HR_Data[MonthlyIncome]&lt;=300,"Low", IF(HR_Data[MonthlyIncome]&lt;=7000,"Medium", "High"))</f>
        <v>Medium</v>
      </c>
      <c r="AK1162" s="2" t="str">
        <f>VLOOKUP(HR_Data[JobRole], JobRole_Map[], 2, FALSE)</f>
        <v>Sales</v>
      </c>
    </row>
    <row r="1163" spans="1:37" x14ac:dyDescent="0.25">
      <c r="A1163" s="2">
        <v>30</v>
      </c>
      <c r="B1163" t="s">
        <v>41</v>
      </c>
      <c r="C1163" t="s">
        <v>33</v>
      </c>
      <c r="D1163" t="s">
        <v>34</v>
      </c>
      <c r="E1163">
        <v>7</v>
      </c>
      <c r="F1163" t="s">
        <v>35</v>
      </c>
      <c r="G1163">
        <v>3</v>
      </c>
      <c r="H1163">
        <v>2</v>
      </c>
      <c r="I1163" t="s">
        <v>36</v>
      </c>
      <c r="J1163">
        <v>3</v>
      </c>
      <c r="K1163" t="s">
        <v>55</v>
      </c>
      <c r="L1163">
        <v>3491</v>
      </c>
      <c r="M1163">
        <v>1</v>
      </c>
      <c r="N1163" t="s">
        <v>41</v>
      </c>
      <c r="O1163">
        <v>13</v>
      </c>
      <c r="P1163">
        <v>3</v>
      </c>
      <c r="Q1163">
        <v>3</v>
      </c>
      <c r="R1163">
        <v>10</v>
      </c>
      <c r="S1163">
        <v>4</v>
      </c>
      <c r="T1163">
        <v>10</v>
      </c>
      <c r="U1163">
        <v>8</v>
      </c>
      <c r="V1163">
        <v>9</v>
      </c>
      <c r="W1163" t="s">
        <v>38</v>
      </c>
      <c r="X1163" s="1" t="d">
        <v>2011-05-26</v>
      </c>
      <c r="Z1163" t="s">
        <v>59</v>
      </c>
      <c r="AA1163" t="s">
        <v>40</v>
      </c>
      <c r="AB1163">
        <v>3</v>
      </c>
      <c r="AC1163">
        <v>3</v>
      </c>
      <c r="AD1163" t="s">
        <v>41</v>
      </c>
      <c r="AE1163" t="s">
        <v>42</v>
      </c>
      <c r="AF1163" t="s">
        <v>48</v>
      </c>
      <c r="AG1163">
        <f>IF(HR_Data[[#This Row],[Attrition]]="Yes",1,0)</f>
        <v>0</v>
      </c>
      <c r="AH1163" t="str">
        <f>IF(HR_Data[Date_of_termination]="","Active","Left")</f>
        <v>Active</v>
      </c>
      <c r="AI1163" t="str">
        <f>IF(HR_Data[YearsAtCompany]&lt;=2,"Fresher", IF(HR_Data[YearsAtCompany]&lt;=5,"Junior", IF(HR_Data[YearsAtCompany]&lt;=10, "Mid","Senior")))</f>
        <v>Mid</v>
      </c>
      <c r="AJ1163" s="2" t="str">
        <f>IF(HR_Data[MonthlyIncome]&lt;=300,"Low", IF(HR_Data[MonthlyIncome]&lt;=7000,"Medium", "High"))</f>
        <v>Medium</v>
      </c>
      <c r="AK1163" s="2" t="str">
        <f>VLOOKUP(HR_Data[JobRole], JobRole_Map[], 2, FALSE)</f>
        <v>Technical</v>
      </c>
    </row>
    <row r="1164" spans="1:37" x14ac:dyDescent="0.25">
      <c r="A1164" s="2">
        <v>44</v>
      </c>
      <c r="B1164" t="s">
        <v>41</v>
      </c>
      <c r="C1164" t="s">
        <v>33</v>
      </c>
      <c r="D1164" t="s">
        <v>34</v>
      </c>
      <c r="E1164">
        <v>2</v>
      </c>
      <c r="F1164" t="s">
        <v>58</v>
      </c>
      <c r="G1164">
        <v>4</v>
      </c>
      <c r="H1164">
        <v>1</v>
      </c>
      <c r="I1164" t="s">
        <v>44</v>
      </c>
      <c r="J1164">
        <v>4</v>
      </c>
      <c r="K1164" t="s">
        <v>50</v>
      </c>
      <c r="L1164">
        <v>2011</v>
      </c>
      <c r="M1164">
        <v>1</v>
      </c>
      <c r="N1164" t="s">
        <v>41</v>
      </c>
      <c r="O1164">
        <v>13</v>
      </c>
      <c r="P1164">
        <v>3</v>
      </c>
      <c r="Q1164">
        <v>1</v>
      </c>
      <c r="R1164">
        <v>10</v>
      </c>
      <c r="S1164">
        <v>5</v>
      </c>
      <c r="T1164">
        <v>10</v>
      </c>
      <c r="U1164">
        <v>7</v>
      </c>
      <c r="V1164">
        <v>7</v>
      </c>
      <c r="W1164" t="s">
        <v>38</v>
      </c>
      <c r="X1164" s="1" t="d">
        <v>2011-02-19</v>
      </c>
      <c r="Z1164" t="s">
        <v>39</v>
      </c>
      <c r="AA1164" t="s">
        <v>40</v>
      </c>
      <c r="AB1164">
        <v>1</v>
      </c>
      <c r="AC1164">
        <v>3</v>
      </c>
      <c r="AD1164" t="s">
        <v>32</v>
      </c>
      <c r="AE1164" t="s">
        <v>62</v>
      </c>
      <c r="AF1164" t="s">
        <v>43</v>
      </c>
      <c r="AG1164">
        <f>IF(HR_Data[[#This Row],[Attrition]]="Yes",1,0)</f>
        <v>0</v>
      </c>
      <c r="AH1164" t="str">
        <f>IF(HR_Data[Date_of_termination]="","Active","Left")</f>
        <v>Active</v>
      </c>
      <c r="AI1164" t="str">
        <f>IF(HR_Data[YearsAtCompany]&lt;=2,"Fresher", IF(HR_Data[YearsAtCompany]&lt;=5,"Junior", IF(HR_Data[YearsAtCompany]&lt;=10, "Mid","Senior")))</f>
        <v>Mid</v>
      </c>
      <c r="AJ1164" s="2" t="str">
        <f>IF(HR_Data[MonthlyIncome]&lt;=300,"Low", IF(HR_Data[MonthlyIncome]&lt;=7000,"Medium", "High"))</f>
        <v>Medium</v>
      </c>
      <c r="AK1164" s="2" t="str">
        <f>VLOOKUP(HR_Data[JobRole], JobRole_Map[], 2, FALSE)</f>
        <v>Technical</v>
      </c>
    </row>
    <row r="1165" spans="1:37" x14ac:dyDescent="0.25">
      <c r="A1165" s="2">
        <v>54</v>
      </c>
      <c r="B1165" t="s">
        <v>41</v>
      </c>
      <c r="C1165" t="s">
        <v>33</v>
      </c>
      <c r="D1165" t="s">
        <v>34</v>
      </c>
      <c r="E1165">
        <v>3</v>
      </c>
      <c r="F1165" t="s">
        <v>35</v>
      </c>
      <c r="G1165">
        <v>3</v>
      </c>
      <c r="H1165">
        <v>4</v>
      </c>
      <c r="I1165" t="s">
        <v>49</v>
      </c>
      <c r="J1165">
        <v>4</v>
      </c>
      <c r="K1165" t="s">
        <v>50</v>
      </c>
      <c r="L1165">
        <v>17779</v>
      </c>
      <c r="M1165">
        <v>3</v>
      </c>
      <c r="N1165" t="s">
        <v>41</v>
      </c>
      <c r="O1165">
        <v>14</v>
      </c>
      <c r="P1165">
        <v>3</v>
      </c>
      <c r="Q1165">
        <v>0</v>
      </c>
      <c r="R1165">
        <v>36</v>
      </c>
      <c r="S1165">
        <v>2</v>
      </c>
      <c r="T1165">
        <v>10</v>
      </c>
      <c r="U1165">
        <v>0</v>
      </c>
      <c r="V1165">
        <v>9</v>
      </c>
      <c r="W1165" t="s">
        <v>65</v>
      </c>
      <c r="X1165" s="1" t="d">
        <v>2011-04-25</v>
      </c>
      <c r="Z1165" t="s">
        <v>39</v>
      </c>
      <c r="AA1165" t="s">
        <v>46</v>
      </c>
      <c r="AB1165">
        <v>0</v>
      </c>
      <c r="AC1165">
        <v>0</v>
      </c>
      <c r="AD1165" t="s">
        <v>32</v>
      </c>
      <c r="AE1165" t="s">
        <v>42</v>
      </c>
      <c r="AF1165" t="s">
        <v>48</v>
      </c>
      <c r="AG1165">
        <f>IF(HR_Data[[#This Row],[Attrition]]="Yes",1,0)</f>
        <v>0</v>
      </c>
      <c r="AH1165" t="str">
        <f>IF(HR_Data[Date_of_termination]="","Active","Left")</f>
        <v>Active</v>
      </c>
      <c r="AI1165" t="str">
        <f>IF(HR_Data[YearsAtCompany]&lt;=2,"Fresher", IF(HR_Data[YearsAtCompany]&lt;=5,"Junior", IF(HR_Data[YearsAtCompany]&lt;=10, "Mid","Senior")))</f>
        <v>Mid</v>
      </c>
      <c r="AJ1165" s="2" t="str">
        <f>IF(HR_Data[MonthlyIncome]&lt;=300,"Low", IF(HR_Data[MonthlyIncome]&lt;=7000,"Medium", "High"))</f>
        <v>High</v>
      </c>
      <c r="AK1165" s="2" t="str">
        <f>VLOOKUP(HR_Data[JobRole], JobRole_Map[], 2, FALSE)</f>
        <v>Management</v>
      </c>
    </row>
    <row r="1166" spans="1:37" x14ac:dyDescent="0.25">
      <c r="A1166" s="2">
        <v>31</v>
      </c>
      <c r="B1166" t="s">
        <v>41</v>
      </c>
      <c r="C1166" t="s">
        <v>33</v>
      </c>
      <c r="D1166" t="s">
        <v>34</v>
      </c>
      <c r="E1166">
        <v>24</v>
      </c>
      <c r="F1166" t="s">
        <v>58</v>
      </c>
      <c r="G1166">
        <v>2</v>
      </c>
      <c r="H1166">
        <v>2</v>
      </c>
      <c r="I1166" t="s">
        <v>69</v>
      </c>
      <c r="J1166">
        <v>1</v>
      </c>
      <c r="K1166" t="s">
        <v>37</v>
      </c>
      <c r="L1166">
        <v>6812</v>
      </c>
      <c r="M1166">
        <v>1</v>
      </c>
      <c r="N1166" t="s">
        <v>41</v>
      </c>
      <c r="O1166">
        <v>19</v>
      </c>
      <c r="P1166">
        <v>3</v>
      </c>
      <c r="Q1166">
        <v>0</v>
      </c>
      <c r="R1166">
        <v>10</v>
      </c>
      <c r="S1166">
        <v>2</v>
      </c>
      <c r="T1166">
        <v>10</v>
      </c>
      <c r="U1166">
        <v>1</v>
      </c>
      <c r="V1166">
        <v>8</v>
      </c>
      <c r="W1166" t="s">
        <v>65</v>
      </c>
      <c r="X1166" s="1" t="d">
        <v>2011-04-11</v>
      </c>
      <c r="Z1166" t="s">
        <v>52</v>
      </c>
      <c r="AA1166" t="s">
        <v>40</v>
      </c>
      <c r="AB1166">
        <v>5</v>
      </c>
      <c r="AC1166">
        <v>0</v>
      </c>
      <c r="AD1166" t="s">
        <v>41</v>
      </c>
      <c r="AE1166" t="s">
        <v>62</v>
      </c>
      <c r="AF1166" t="s">
        <v>48</v>
      </c>
      <c r="AG1166">
        <f>IF(HR_Data[[#This Row],[Attrition]]="Yes",1,0)</f>
        <v>0</v>
      </c>
      <c r="AH1166" t="str">
        <f>IF(HR_Data[Date_of_termination]="","Active","Left")</f>
        <v>Active</v>
      </c>
      <c r="AI1166" t="str">
        <f>IF(HR_Data[YearsAtCompany]&lt;=2,"Fresher", IF(HR_Data[YearsAtCompany]&lt;=5,"Junior", IF(HR_Data[YearsAtCompany]&lt;=10, "Mid","Senior")))</f>
        <v>Mid</v>
      </c>
      <c r="AJ1166" s="2" t="str">
        <f>IF(HR_Data[MonthlyIncome]&lt;=300,"Low", IF(HR_Data[MonthlyIncome]&lt;=7000,"Medium", "High"))</f>
        <v>Medium</v>
      </c>
      <c r="AK1166" s="2" t="str">
        <f>VLOOKUP(HR_Data[JobRole], JobRole_Map[], 2, FALSE)</f>
        <v>Operations</v>
      </c>
    </row>
    <row r="1167" spans="1:37" x14ac:dyDescent="0.25">
      <c r="A1167" s="2">
        <v>34</v>
      </c>
      <c r="B1167" t="s">
        <v>41</v>
      </c>
      <c r="C1167" t="s">
        <v>61</v>
      </c>
      <c r="D1167" t="s">
        <v>70</v>
      </c>
      <c r="E1167">
        <v>11</v>
      </c>
      <c r="F1167" t="s">
        <v>35</v>
      </c>
      <c r="G1167">
        <v>2</v>
      </c>
      <c r="H1167">
        <v>2</v>
      </c>
      <c r="I1167" t="s">
        <v>70</v>
      </c>
      <c r="J1167">
        <v>2</v>
      </c>
      <c r="K1167" t="s">
        <v>50</v>
      </c>
      <c r="L1167">
        <v>4490</v>
      </c>
      <c r="M1167">
        <v>4</v>
      </c>
      <c r="N1167" t="s">
        <v>41</v>
      </c>
      <c r="O1167">
        <v>11</v>
      </c>
      <c r="P1167">
        <v>3</v>
      </c>
      <c r="Q1167">
        <v>2</v>
      </c>
      <c r="R1167">
        <v>14</v>
      </c>
      <c r="S1167">
        <v>5</v>
      </c>
      <c r="T1167">
        <v>10</v>
      </c>
      <c r="U1167">
        <v>1</v>
      </c>
      <c r="V1167">
        <v>8</v>
      </c>
      <c r="W1167" t="s">
        <v>65</v>
      </c>
      <c r="X1167" s="1" t="d">
        <v>2011-03-27</v>
      </c>
      <c r="Z1167" t="s">
        <v>39</v>
      </c>
      <c r="AA1167" t="s">
        <v>46</v>
      </c>
      <c r="AB1167">
        <v>2</v>
      </c>
      <c r="AC1167">
        <v>3</v>
      </c>
      <c r="AD1167" t="s">
        <v>32</v>
      </c>
      <c r="AE1167" t="s">
        <v>60</v>
      </c>
      <c r="AF1167" t="s">
        <v>57</v>
      </c>
      <c r="AG1167">
        <f>IF(HR_Data[[#This Row],[Attrition]]="Yes",1,0)</f>
        <v>0</v>
      </c>
      <c r="AH1167" t="str">
        <f>IF(HR_Data[Date_of_termination]="","Active","Left")</f>
        <v>Active</v>
      </c>
      <c r="AI1167" t="str">
        <f>IF(HR_Data[YearsAtCompany]&lt;=2,"Fresher", IF(HR_Data[YearsAtCompany]&lt;=5,"Junior", IF(HR_Data[YearsAtCompany]&lt;=10, "Mid","Senior")))</f>
        <v>Mid</v>
      </c>
      <c r="AJ1167" s="2" t="str">
        <f>IF(HR_Data[MonthlyIncome]&lt;=300,"Low", IF(HR_Data[MonthlyIncome]&lt;=7000,"Medium", "High"))</f>
        <v>Medium</v>
      </c>
      <c r="AK1167" s="2" t="str">
        <f>VLOOKUP(HR_Data[JobRole], JobRole_Map[], 2, FALSE)</f>
        <v>HR</v>
      </c>
    </row>
    <row r="1168" spans="1:37" x14ac:dyDescent="0.25">
      <c r="A1168" s="2">
        <v>44</v>
      </c>
      <c r="B1168" t="s">
        <v>32</v>
      </c>
      <c r="C1168" t="s">
        <v>33</v>
      </c>
      <c r="D1168" t="s">
        <v>34</v>
      </c>
      <c r="E1168">
        <v>15</v>
      </c>
      <c r="F1168" t="s">
        <v>58</v>
      </c>
      <c r="G1168">
        <v>3</v>
      </c>
      <c r="H1168">
        <v>3</v>
      </c>
      <c r="I1168" t="s">
        <v>69</v>
      </c>
      <c r="J1168">
        <v>4</v>
      </c>
      <c r="K1168" t="s">
        <v>50</v>
      </c>
      <c r="L1168">
        <v>7978</v>
      </c>
      <c r="M1168">
        <v>1</v>
      </c>
      <c r="N1168" t="s">
        <v>41</v>
      </c>
      <c r="O1168">
        <v>11</v>
      </c>
      <c r="P1168">
        <v>3</v>
      </c>
      <c r="Q1168">
        <v>1</v>
      </c>
      <c r="R1168">
        <v>10</v>
      </c>
      <c r="S1168">
        <v>2</v>
      </c>
      <c r="T1168">
        <v>10</v>
      </c>
      <c r="U1168">
        <v>0</v>
      </c>
      <c r="V1168">
        <v>5</v>
      </c>
      <c r="W1168" t="s">
        <v>56</v>
      </c>
      <c r="X1168" s="1" t="d">
        <v>2011-04-17</v>
      </c>
      <c r="Z1168" t="s">
        <v>63</v>
      </c>
      <c r="AA1168" t="s">
        <v>40</v>
      </c>
      <c r="AB1168">
        <v>5</v>
      </c>
      <c r="AC1168">
        <v>1</v>
      </c>
      <c r="AD1168" t="s">
        <v>41</v>
      </c>
      <c r="AE1168" t="s">
        <v>42</v>
      </c>
      <c r="AF1168" t="s">
        <v>43</v>
      </c>
      <c r="AG1168">
        <f>IF(HR_Data[[#This Row],[Attrition]]="Yes",1,0)</f>
        <v>1</v>
      </c>
      <c r="AH1168" t="str">
        <f>IF(HR_Data[Date_of_termination]="","Active","Left")</f>
        <v>Active</v>
      </c>
      <c r="AI1168" t="str">
        <f>IF(HR_Data[YearsAtCompany]&lt;=2,"Fresher", IF(HR_Data[YearsAtCompany]&lt;=5,"Junior", IF(HR_Data[YearsAtCompany]&lt;=10, "Mid","Senior")))</f>
        <v>Mid</v>
      </c>
      <c r="AJ1168" s="2" t="str">
        <f>IF(HR_Data[MonthlyIncome]&lt;=300,"Low", IF(HR_Data[MonthlyIncome]&lt;=7000,"Medium", "High"))</f>
        <v>High</v>
      </c>
      <c r="AK1168" s="2" t="str">
        <f>VLOOKUP(HR_Data[JobRole], JobRole_Map[], 2, FALSE)</f>
        <v>Operations</v>
      </c>
    </row>
    <row r="1169" spans="1:37" x14ac:dyDescent="0.25">
      <c r="A1169" s="2">
        <v>32</v>
      </c>
      <c r="B1169" t="s">
        <v>41</v>
      </c>
      <c r="C1169" t="s">
        <v>33</v>
      </c>
      <c r="D1169" t="s">
        <v>53</v>
      </c>
      <c r="E1169">
        <v>8</v>
      </c>
      <c r="F1169" t="s">
        <v>35</v>
      </c>
      <c r="G1169">
        <v>4</v>
      </c>
      <c r="H1169">
        <v>2</v>
      </c>
      <c r="I1169" t="s">
        <v>64</v>
      </c>
      <c r="J1169">
        <v>4</v>
      </c>
      <c r="K1169" t="s">
        <v>50</v>
      </c>
      <c r="L1169">
        <v>6209</v>
      </c>
      <c r="M1169">
        <v>1</v>
      </c>
      <c r="N1169" t="s">
        <v>41</v>
      </c>
      <c r="O1169">
        <v>15</v>
      </c>
      <c r="P1169">
        <v>3</v>
      </c>
      <c r="Q1169">
        <v>2</v>
      </c>
      <c r="R1169">
        <v>10</v>
      </c>
      <c r="S1169">
        <v>4</v>
      </c>
      <c r="T1169">
        <v>10</v>
      </c>
      <c r="U1169">
        <v>0</v>
      </c>
      <c r="V1169">
        <v>8</v>
      </c>
      <c r="W1169" t="s">
        <v>51</v>
      </c>
      <c r="X1169" s="1" t="d">
        <v>2011-01-21</v>
      </c>
      <c r="Z1169" t="s">
        <v>52</v>
      </c>
      <c r="AA1169" t="s">
        <v>46</v>
      </c>
      <c r="AB1169">
        <v>0</v>
      </c>
      <c r="AC1169">
        <v>3</v>
      </c>
      <c r="AD1169" t="s">
        <v>41</v>
      </c>
      <c r="AE1169" t="s">
        <v>42</v>
      </c>
      <c r="AF1169" t="s">
        <v>48</v>
      </c>
      <c r="AG1169">
        <f>IF(HR_Data[[#This Row],[Attrition]]="Yes",1,0)</f>
        <v>0</v>
      </c>
      <c r="AH1169" t="str">
        <f>IF(HR_Data[Date_of_termination]="","Active","Left")</f>
        <v>Active</v>
      </c>
      <c r="AI1169" t="str">
        <f>IF(HR_Data[YearsAtCompany]&lt;=2,"Fresher", IF(HR_Data[YearsAtCompany]&lt;=5,"Junior", IF(HR_Data[YearsAtCompany]&lt;=10, "Mid","Senior")))</f>
        <v>Mid</v>
      </c>
      <c r="AJ1169" s="2" t="str">
        <f>IF(HR_Data[MonthlyIncome]&lt;=300,"Low", IF(HR_Data[MonthlyIncome]&lt;=7000,"Medium", "High"))</f>
        <v>Medium</v>
      </c>
      <c r="AK1169" s="2" t="str">
        <f>VLOOKUP(HR_Data[JobRole], JobRole_Map[], 2, FALSE)</f>
        <v>Sales</v>
      </c>
    </row>
    <row r="1170" spans="1:37" x14ac:dyDescent="0.25">
      <c r="A1170" s="2">
        <v>32</v>
      </c>
      <c r="B1170" t="s">
        <v>32</v>
      </c>
      <c r="C1170" t="s">
        <v>33</v>
      </c>
      <c r="D1170" t="s">
        <v>34</v>
      </c>
      <c r="E1170">
        <v>7</v>
      </c>
      <c r="F1170" t="s">
        <v>35</v>
      </c>
      <c r="G1170">
        <v>3</v>
      </c>
      <c r="H1170">
        <v>2</v>
      </c>
      <c r="I1170" t="s">
        <v>36</v>
      </c>
      <c r="J1170">
        <v>3</v>
      </c>
      <c r="K1170" t="s">
        <v>50</v>
      </c>
      <c r="L1170">
        <v>4883</v>
      </c>
      <c r="M1170">
        <v>1</v>
      </c>
      <c r="N1170" t="s">
        <v>41</v>
      </c>
      <c r="O1170">
        <v>18</v>
      </c>
      <c r="P1170">
        <v>3</v>
      </c>
      <c r="Q1170">
        <v>1</v>
      </c>
      <c r="R1170">
        <v>10</v>
      </c>
      <c r="S1170">
        <v>3</v>
      </c>
      <c r="T1170">
        <v>10</v>
      </c>
      <c r="U1170">
        <v>1</v>
      </c>
      <c r="V1170">
        <v>1</v>
      </c>
      <c r="W1170" t="s">
        <v>38</v>
      </c>
      <c r="X1170" s="1" t="d">
        <v>2011-05-25</v>
      </c>
      <c r="Z1170" t="s">
        <v>45</v>
      </c>
      <c r="AA1170" t="s">
        <v>46</v>
      </c>
      <c r="AB1170">
        <v>0</v>
      </c>
      <c r="AC1170">
        <v>2</v>
      </c>
      <c r="AD1170" t="s">
        <v>32</v>
      </c>
      <c r="AE1170" t="s">
        <v>47</v>
      </c>
      <c r="AF1170" t="s">
        <v>57</v>
      </c>
      <c r="AG1170">
        <f>IF(HR_Data[[#This Row],[Attrition]]="Yes",1,0)</f>
        <v>1</v>
      </c>
      <c r="AH1170" t="str">
        <f>IF(HR_Data[Date_of_termination]="","Active","Left")</f>
        <v>Active</v>
      </c>
      <c r="AI1170" t="str">
        <f>IF(HR_Data[YearsAtCompany]&lt;=2,"Fresher", IF(HR_Data[YearsAtCompany]&lt;=5,"Junior", IF(HR_Data[YearsAtCompany]&lt;=10, "Mid","Senior")))</f>
        <v>Mid</v>
      </c>
      <c r="AJ1170" s="2" t="str">
        <f>IF(HR_Data[MonthlyIncome]&lt;=300,"Low", IF(HR_Data[MonthlyIncome]&lt;=7000,"Medium", "High"))</f>
        <v>Medium</v>
      </c>
      <c r="AK1170" s="2" t="str">
        <f>VLOOKUP(HR_Data[JobRole], JobRole_Map[], 2, FALSE)</f>
        <v>Technical</v>
      </c>
    </row>
    <row r="1171" spans="1:37" x14ac:dyDescent="0.25">
      <c r="A1171" s="2">
        <v>31</v>
      </c>
      <c r="B1171" t="s">
        <v>41</v>
      </c>
      <c r="C1171" t="s">
        <v>68</v>
      </c>
      <c r="D1171" t="s">
        <v>53</v>
      </c>
      <c r="E1171">
        <v>2</v>
      </c>
      <c r="F1171" t="s">
        <v>58</v>
      </c>
      <c r="G1171">
        <v>3</v>
      </c>
      <c r="H1171">
        <v>3</v>
      </c>
      <c r="I1171" t="s">
        <v>64</v>
      </c>
      <c r="J1171">
        <v>3</v>
      </c>
      <c r="K1171" t="s">
        <v>55</v>
      </c>
      <c r="L1171">
        <v>9852</v>
      </c>
      <c r="M1171">
        <v>1</v>
      </c>
      <c r="N1171" t="s">
        <v>32</v>
      </c>
      <c r="O1171">
        <v>19</v>
      </c>
      <c r="P1171">
        <v>3</v>
      </c>
      <c r="Q1171">
        <v>1</v>
      </c>
      <c r="R1171">
        <v>10</v>
      </c>
      <c r="S1171">
        <v>5</v>
      </c>
      <c r="T1171">
        <v>10</v>
      </c>
      <c r="U1171">
        <v>9</v>
      </c>
      <c r="V1171">
        <v>6</v>
      </c>
      <c r="W1171" t="s">
        <v>56</v>
      </c>
      <c r="X1171" s="1" t="d">
        <v>2011-05-16</v>
      </c>
      <c r="Z1171" t="s">
        <v>45</v>
      </c>
      <c r="AA1171" t="s">
        <v>40</v>
      </c>
      <c r="AB1171">
        <v>5</v>
      </c>
      <c r="AC1171">
        <v>0</v>
      </c>
      <c r="AD1171" t="s">
        <v>32</v>
      </c>
      <c r="AE1171" t="s">
        <v>62</v>
      </c>
      <c r="AF1171" t="s">
        <v>57</v>
      </c>
      <c r="AG1171">
        <f>IF(HR_Data[[#This Row],[Attrition]]="Yes",1,0)</f>
        <v>0</v>
      </c>
      <c r="AH1171" t="str">
        <f>IF(HR_Data[Date_of_termination]="","Active","Left")</f>
        <v>Active</v>
      </c>
      <c r="AI1171" t="str">
        <f>IF(HR_Data[YearsAtCompany]&lt;=2,"Fresher", IF(HR_Data[YearsAtCompany]&lt;=5,"Junior", IF(HR_Data[YearsAtCompany]&lt;=10, "Mid","Senior")))</f>
        <v>Mid</v>
      </c>
      <c r="AJ1171" s="2" t="str">
        <f>IF(HR_Data[MonthlyIncome]&lt;=300,"Low", IF(HR_Data[MonthlyIncome]&lt;=7000,"Medium", "High"))</f>
        <v>High</v>
      </c>
      <c r="AK1171" s="2" t="str">
        <f>VLOOKUP(HR_Data[JobRole], JobRole_Map[], 2, FALSE)</f>
        <v>Sales</v>
      </c>
    </row>
    <row r="1172" spans="1:37" x14ac:dyDescent="0.25">
      <c r="A1172" s="2">
        <v>34</v>
      </c>
      <c r="B1172" t="s">
        <v>41</v>
      </c>
      <c r="C1172" t="s">
        <v>33</v>
      </c>
      <c r="D1172" t="s">
        <v>53</v>
      </c>
      <c r="E1172">
        <v>15</v>
      </c>
      <c r="F1172" t="s">
        <v>58</v>
      </c>
      <c r="G1172">
        <v>3</v>
      </c>
      <c r="H1172">
        <v>2</v>
      </c>
      <c r="I1172" t="s">
        <v>64</v>
      </c>
      <c r="J1172">
        <v>1</v>
      </c>
      <c r="K1172" t="s">
        <v>37</v>
      </c>
      <c r="L1172">
        <v>6125</v>
      </c>
      <c r="M1172">
        <v>1</v>
      </c>
      <c r="N1172" t="s">
        <v>41</v>
      </c>
      <c r="O1172">
        <v>12</v>
      </c>
      <c r="P1172">
        <v>3</v>
      </c>
      <c r="Q1172">
        <v>0</v>
      </c>
      <c r="R1172">
        <v>10</v>
      </c>
      <c r="S1172">
        <v>6</v>
      </c>
      <c r="T1172">
        <v>10</v>
      </c>
      <c r="U1172">
        <v>9</v>
      </c>
      <c r="V1172">
        <v>6</v>
      </c>
      <c r="W1172" t="s">
        <v>56</v>
      </c>
      <c r="X1172" s="1" t="d">
        <v>2011-04-20</v>
      </c>
      <c r="Z1172" t="s">
        <v>39</v>
      </c>
      <c r="AA1172" t="s">
        <v>46</v>
      </c>
      <c r="AB1172">
        <v>4</v>
      </c>
      <c r="AC1172">
        <v>1</v>
      </c>
      <c r="AD1172" t="s">
        <v>32</v>
      </c>
      <c r="AE1172" t="s">
        <v>62</v>
      </c>
      <c r="AF1172" t="s">
        <v>57</v>
      </c>
      <c r="AG1172">
        <f>IF(HR_Data[[#This Row],[Attrition]]="Yes",1,0)</f>
        <v>0</v>
      </c>
      <c r="AH1172" t="str">
        <f>IF(HR_Data[Date_of_termination]="","Active","Left")</f>
        <v>Active</v>
      </c>
      <c r="AI1172" t="str">
        <f>IF(HR_Data[YearsAtCompany]&lt;=2,"Fresher", IF(HR_Data[YearsAtCompany]&lt;=5,"Junior", IF(HR_Data[YearsAtCompany]&lt;=10, "Mid","Senior")))</f>
        <v>Mid</v>
      </c>
      <c r="AJ1172" s="2" t="str">
        <f>IF(HR_Data[MonthlyIncome]&lt;=300,"Low", IF(HR_Data[MonthlyIncome]&lt;=7000,"Medium", "High"))</f>
        <v>Medium</v>
      </c>
      <c r="AK1172" s="2" t="str">
        <f>VLOOKUP(HR_Data[JobRole], JobRole_Map[], 2, FALSE)</f>
        <v>Sales</v>
      </c>
    </row>
    <row r="1173" spans="1:37" x14ac:dyDescent="0.25">
      <c r="A1173" s="2">
        <v>58</v>
      </c>
      <c r="B1173" t="s">
        <v>32</v>
      </c>
      <c r="C1173" t="s">
        <v>33</v>
      </c>
      <c r="D1173" t="s">
        <v>34</v>
      </c>
      <c r="E1173">
        <v>7</v>
      </c>
      <c r="F1173" t="s">
        <v>58</v>
      </c>
      <c r="G1173">
        <v>2</v>
      </c>
      <c r="H1173">
        <v>3</v>
      </c>
      <c r="I1173" t="s">
        <v>67</v>
      </c>
      <c r="J1173">
        <v>1</v>
      </c>
      <c r="K1173" t="s">
        <v>50</v>
      </c>
      <c r="L1173">
        <v>10008</v>
      </c>
      <c r="M1173">
        <v>7</v>
      </c>
      <c r="N1173" t="s">
        <v>32</v>
      </c>
      <c r="O1173">
        <v>14</v>
      </c>
      <c r="P1173">
        <v>3</v>
      </c>
      <c r="Q1173">
        <v>0</v>
      </c>
      <c r="R1173">
        <v>31</v>
      </c>
      <c r="S1173">
        <v>0</v>
      </c>
      <c r="T1173">
        <v>10</v>
      </c>
      <c r="U1173">
        <v>5</v>
      </c>
      <c r="V1173">
        <v>9</v>
      </c>
      <c r="W1173" t="s">
        <v>38</v>
      </c>
      <c r="X1173" s="1" t="d">
        <v>2011-04-07</v>
      </c>
      <c r="Z1173" t="s">
        <v>45</v>
      </c>
      <c r="AA1173" t="s">
        <v>46</v>
      </c>
      <c r="AB1173">
        <v>3</v>
      </c>
      <c r="AC1173">
        <v>2</v>
      </c>
      <c r="AD1173" t="s">
        <v>41</v>
      </c>
      <c r="AE1173" t="s">
        <v>60</v>
      </c>
      <c r="AF1173" t="s">
        <v>48</v>
      </c>
      <c r="AG1173">
        <f>IF(HR_Data[[#This Row],[Attrition]]="Yes",1,0)</f>
        <v>1</v>
      </c>
      <c r="AH1173" t="str">
        <f>IF(HR_Data[Date_of_termination]="","Active","Left")</f>
        <v>Active</v>
      </c>
      <c r="AI1173" t="str">
        <f>IF(HR_Data[YearsAtCompany]&lt;=2,"Fresher", IF(HR_Data[YearsAtCompany]&lt;=5,"Junior", IF(HR_Data[YearsAtCompany]&lt;=10, "Mid","Senior")))</f>
        <v>Mid</v>
      </c>
      <c r="AJ1173" s="2" t="str">
        <f>IF(HR_Data[MonthlyIncome]&lt;=300,"Low", IF(HR_Data[MonthlyIncome]&lt;=7000,"Medium", "High"))</f>
        <v>High</v>
      </c>
      <c r="AK1173" s="2" t="str">
        <f>VLOOKUP(HR_Data[JobRole], JobRole_Map[], 2, FALSE)</f>
        <v>Operations</v>
      </c>
    </row>
    <row r="1174" spans="1:37" x14ac:dyDescent="0.25">
      <c r="A1174" s="2">
        <v>48</v>
      </c>
      <c r="B1174" t="s">
        <v>41</v>
      </c>
      <c r="C1174" t="s">
        <v>33</v>
      </c>
      <c r="D1174" t="s">
        <v>34</v>
      </c>
      <c r="E1174">
        <v>4</v>
      </c>
      <c r="F1174" t="s">
        <v>35</v>
      </c>
      <c r="G1174">
        <v>3</v>
      </c>
      <c r="H1174">
        <v>3</v>
      </c>
      <c r="I1174" t="s">
        <v>67</v>
      </c>
      <c r="J1174">
        <v>4</v>
      </c>
      <c r="K1174" t="s">
        <v>37</v>
      </c>
      <c r="L1174">
        <v>7898</v>
      </c>
      <c r="M1174">
        <v>1</v>
      </c>
      <c r="N1174" t="s">
        <v>41</v>
      </c>
      <c r="O1174">
        <v>11</v>
      </c>
      <c r="P1174">
        <v>3</v>
      </c>
      <c r="Q1174">
        <v>0</v>
      </c>
      <c r="R1174">
        <v>11</v>
      </c>
      <c r="S1174">
        <v>2</v>
      </c>
      <c r="T1174">
        <v>10</v>
      </c>
      <c r="U1174">
        <v>0</v>
      </c>
      <c r="V1174">
        <v>8</v>
      </c>
      <c r="W1174" t="s">
        <v>56</v>
      </c>
      <c r="X1174" s="1" t="d">
        <v>2011-06-28</v>
      </c>
      <c r="Z1174" t="s">
        <v>45</v>
      </c>
      <c r="AA1174" t="s">
        <v>40</v>
      </c>
      <c r="AB1174">
        <v>0</v>
      </c>
      <c r="AC1174">
        <v>2</v>
      </c>
      <c r="AD1174" t="s">
        <v>32</v>
      </c>
      <c r="AE1174" t="s">
        <v>62</v>
      </c>
      <c r="AF1174" t="s">
        <v>43</v>
      </c>
      <c r="AG1174">
        <f>IF(HR_Data[[#This Row],[Attrition]]="Yes",1,0)</f>
        <v>0</v>
      </c>
      <c r="AH1174" t="str">
        <f>IF(HR_Data[Date_of_termination]="","Active","Left")</f>
        <v>Active</v>
      </c>
      <c r="AI1174" t="str">
        <f>IF(HR_Data[YearsAtCompany]&lt;=2,"Fresher", IF(HR_Data[YearsAtCompany]&lt;=5,"Junior", IF(HR_Data[YearsAtCompany]&lt;=10, "Mid","Senior")))</f>
        <v>Mid</v>
      </c>
      <c r="AJ1174" s="2" t="str">
        <f>IF(HR_Data[MonthlyIncome]&lt;=300,"Low", IF(HR_Data[MonthlyIncome]&lt;=7000,"Medium", "High"))</f>
        <v>High</v>
      </c>
      <c r="AK1174" s="2" t="str">
        <f>VLOOKUP(HR_Data[JobRole], JobRole_Map[], 2, FALSE)</f>
        <v>Operations</v>
      </c>
    </row>
    <row r="1175" spans="1:37" x14ac:dyDescent="0.25">
      <c r="A1175" s="2">
        <v>31</v>
      </c>
      <c r="B1175" t="s">
        <v>32</v>
      </c>
      <c r="C1175" t="s">
        <v>33</v>
      </c>
      <c r="D1175" t="s">
        <v>34</v>
      </c>
      <c r="E1175">
        <v>22</v>
      </c>
      <c r="F1175" t="s">
        <v>35</v>
      </c>
      <c r="G1175">
        <v>3</v>
      </c>
      <c r="H1175">
        <v>2</v>
      </c>
      <c r="I1175" t="s">
        <v>67</v>
      </c>
      <c r="J1175">
        <v>3</v>
      </c>
      <c r="K1175" t="s">
        <v>50</v>
      </c>
      <c r="L1175">
        <v>6179</v>
      </c>
      <c r="M1175">
        <v>1</v>
      </c>
      <c r="N1175" t="s">
        <v>32</v>
      </c>
      <c r="O1175">
        <v>15</v>
      </c>
      <c r="P1175">
        <v>3</v>
      </c>
      <c r="Q1175">
        <v>2</v>
      </c>
      <c r="R1175">
        <v>10</v>
      </c>
      <c r="S1175">
        <v>3</v>
      </c>
      <c r="T1175">
        <v>10</v>
      </c>
      <c r="U1175">
        <v>6</v>
      </c>
      <c r="V1175">
        <v>7</v>
      </c>
      <c r="W1175" t="s">
        <v>65</v>
      </c>
      <c r="X1175" s="1" t="d">
        <v>2011-05-03</v>
      </c>
      <c r="Z1175" t="s">
        <v>59</v>
      </c>
      <c r="AA1175" t="s">
        <v>46</v>
      </c>
      <c r="AB1175">
        <v>5</v>
      </c>
      <c r="AC1175">
        <v>1</v>
      </c>
      <c r="AD1175" t="s">
        <v>41</v>
      </c>
      <c r="AE1175" t="s">
        <v>42</v>
      </c>
      <c r="AF1175" t="s">
        <v>43</v>
      </c>
      <c r="AG1175">
        <f>IF(HR_Data[[#This Row],[Attrition]]="Yes",1,0)</f>
        <v>1</v>
      </c>
      <c r="AH1175" t="str">
        <f>IF(HR_Data[Date_of_termination]="","Active","Left")</f>
        <v>Active</v>
      </c>
      <c r="AI1175" t="str">
        <f>IF(HR_Data[YearsAtCompany]&lt;=2,"Fresher", IF(HR_Data[YearsAtCompany]&lt;=5,"Junior", IF(HR_Data[YearsAtCompany]&lt;=10, "Mid","Senior")))</f>
        <v>Mid</v>
      </c>
      <c r="AJ1175" s="2" t="str">
        <f>IF(HR_Data[MonthlyIncome]&lt;=300,"Low", IF(HR_Data[MonthlyIncome]&lt;=7000,"Medium", "High"))</f>
        <v>Medium</v>
      </c>
      <c r="AK1175" s="2" t="str">
        <f>VLOOKUP(HR_Data[JobRole], JobRole_Map[], 2, FALSE)</f>
        <v>Operations</v>
      </c>
    </row>
    <row r="1176" spans="1:37" x14ac:dyDescent="0.25">
      <c r="A1176" s="2">
        <v>29</v>
      </c>
      <c r="B1176" t="s">
        <v>41</v>
      </c>
      <c r="C1176" t="s">
        <v>33</v>
      </c>
      <c r="D1176" t="s">
        <v>70</v>
      </c>
      <c r="E1176">
        <v>17</v>
      </c>
      <c r="F1176" t="s">
        <v>35</v>
      </c>
      <c r="G1176">
        <v>2</v>
      </c>
      <c r="H1176">
        <v>3</v>
      </c>
      <c r="I1176" t="s">
        <v>70</v>
      </c>
      <c r="J1176">
        <v>1</v>
      </c>
      <c r="K1176" t="s">
        <v>37</v>
      </c>
      <c r="L1176">
        <v>7988</v>
      </c>
      <c r="M1176">
        <v>1</v>
      </c>
      <c r="N1176" t="s">
        <v>41</v>
      </c>
      <c r="O1176">
        <v>13</v>
      </c>
      <c r="P1176">
        <v>3</v>
      </c>
      <c r="Q1176">
        <v>0</v>
      </c>
      <c r="R1176">
        <v>10</v>
      </c>
      <c r="S1176">
        <v>3</v>
      </c>
      <c r="T1176">
        <v>10</v>
      </c>
      <c r="U1176">
        <v>0</v>
      </c>
      <c r="V1176">
        <v>9</v>
      </c>
      <c r="W1176" t="s">
        <v>56</v>
      </c>
      <c r="X1176" s="1" t="d">
        <v>2011-03-27</v>
      </c>
      <c r="Z1176" t="s">
        <v>52</v>
      </c>
      <c r="AA1176" t="s">
        <v>40</v>
      </c>
      <c r="AB1176">
        <v>2</v>
      </c>
      <c r="AC1176">
        <v>2</v>
      </c>
      <c r="AD1176" t="s">
        <v>32</v>
      </c>
      <c r="AE1176" t="s">
        <v>47</v>
      </c>
      <c r="AF1176" t="s">
        <v>43</v>
      </c>
      <c r="AG1176">
        <f>IF(HR_Data[[#This Row],[Attrition]]="Yes",1,0)</f>
        <v>0</v>
      </c>
      <c r="AH1176" t="str">
        <f>IF(HR_Data[Date_of_termination]="","Active","Left")</f>
        <v>Active</v>
      </c>
      <c r="AI1176" t="str">
        <f>IF(HR_Data[YearsAtCompany]&lt;=2,"Fresher", IF(HR_Data[YearsAtCompany]&lt;=5,"Junior", IF(HR_Data[YearsAtCompany]&lt;=10, "Mid","Senior")))</f>
        <v>Mid</v>
      </c>
      <c r="AJ1176" s="2" t="str">
        <f>IF(HR_Data[MonthlyIncome]&lt;=300,"Low", IF(HR_Data[MonthlyIncome]&lt;=7000,"Medium", "High"))</f>
        <v>High</v>
      </c>
      <c r="AK1176" s="2" t="str">
        <f>VLOOKUP(HR_Data[JobRole], JobRole_Map[], 2, FALSE)</f>
        <v>HR</v>
      </c>
    </row>
    <row r="1177" spans="1:37" x14ac:dyDescent="0.25">
      <c r="A1177" s="2">
        <v>36</v>
      </c>
      <c r="B1177" t="s">
        <v>41</v>
      </c>
      <c r="C1177" t="s">
        <v>33</v>
      </c>
      <c r="D1177" t="s">
        <v>34</v>
      </c>
      <c r="E1177">
        <v>4</v>
      </c>
      <c r="F1177" t="s">
        <v>35</v>
      </c>
      <c r="G1177">
        <v>2</v>
      </c>
      <c r="H1177">
        <v>2</v>
      </c>
      <c r="I1177" t="s">
        <v>36</v>
      </c>
      <c r="J1177">
        <v>4</v>
      </c>
      <c r="K1177" t="s">
        <v>37</v>
      </c>
      <c r="L1177">
        <v>5810</v>
      </c>
      <c r="M1177">
        <v>1</v>
      </c>
      <c r="N1177" t="s">
        <v>41</v>
      </c>
      <c r="O1177">
        <v>16</v>
      </c>
      <c r="P1177">
        <v>3</v>
      </c>
      <c r="Q1177">
        <v>0</v>
      </c>
      <c r="R1177">
        <v>10</v>
      </c>
      <c r="S1177">
        <v>2</v>
      </c>
      <c r="T1177">
        <v>10</v>
      </c>
      <c r="U1177">
        <v>1</v>
      </c>
      <c r="V1177">
        <v>8</v>
      </c>
      <c r="W1177" t="s">
        <v>65</v>
      </c>
      <c r="X1177" s="1" t="d">
        <v>2011-05-22</v>
      </c>
      <c r="Z1177" t="s">
        <v>59</v>
      </c>
      <c r="AA1177" t="s">
        <v>46</v>
      </c>
      <c r="AB1177">
        <v>4</v>
      </c>
      <c r="AC1177">
        <v>2</v>
      </c>
      <c r="AD1177" t="s">
        <v>41</v>
      </c>
      <c r="AE1177" t="s">
        <v>42</v>
      </c>
      <c r="AF1177" t="s">
        <v>48</v>
      </c>
      <c r="AG1177">
        <f>IF(HR_Data[[#This Row],[Attrition]]="Yes",1,0)</f>
        <v>0</v>
      </c>
      <c r="AH1177" t="str">
        <f>IF(HR_Data[Date_of_termination]="","Active","Left")</f>
        <v>Active</v>
      </c>
      <c r="AI1177" t="str">
        <f>IF(HR_Data[YearsAtCompany]&lt;=2,"Fresher", IF(HR_Data[YearsAtCompany]&lt;=5,"Junior", IF(HR_Data[YearsAtCompany]&lt;=10, "Mid","Senior")))</f>
        <v>Mid</v>
      </c>
      <c r="AJ1177" s="2" t="str">
        <f>IF(HR_Data[MonthlyIncome]&lt;=300,"Low", IF(HR_Data[MonthlyIncome]&lt;=7000,"Medium", "High"))</f>
        <v>Medium</v>
      </c>
      <c r="AK1177" s="2" t="str">
        <f>VLOOKUP(HR_Data[JobRole], JobRole_Map[], 2, FALSE)</f>
        <v>Technical</v>
      </c>
    </row>
    <row r="1178" spans="1:37" x14ac:dyDescent="0.25">
      <c r="A1178" s="2">
        <v>31</v>
      </c>
      <c r="B1178" t="s">
        <v>32</v>
      </c>
      <c r="C1178" t="s">
        <v>61</v>
      </c>
      <c r="D1178" t="s">
        <v>34</v>
      </c>
      <c r="E1178">
        <v>1</v>
      </c>
      <c r="F1178" t="s">
        <v>58</v>
      </c>
      <c r="G1178">
        <v>4</v>
      </c>
      <c r="H1178">
        <v>3</v>
      </c>
      <c r="I1178" t="s">
        <v>67</v>
      </c>
      <c r="J1178">
        <v>2</v>
      </c>
      <c r="K1178" t="s">
        <v>37</v>
      </c>
      <c r="L1178">
        <v>7446</v>
      </c>
      <c r="M1178">
        <v>1</v>
      </c>
      <c r="N1178" t="s">
        <v>41</v>
      </c>
      <c r="O1178">
        <v>11</v>
      </c>
      <c r="P1178">
        <v>3</v>
      </c>
      <c r="Q1178">
        <v>0</v>
      </c>
      <c r="R1178">
        <v>10</v>
      </c>
      <c r="S1178">
        <v>2</v>
      </c>
      <c r="T1178">
        <v>10</v>
      </c>
      <c r="U1178">
        <v>4</v>
      </c>
      <c r="V1178">
        <v>7</v>
      </c>
      <c r="W1178" t="s">
        <v>51</v>
      </c>
      <c r="X1178" s="1" t="d">
        <v>2011-04-05</v>
      </c>
      <c r="Z1178" t="s">
        <v>39</v>
      </c>
      <c r="AA1178" t="s">
        <v>46</v>
      </c>
      <c r="AB1178">
        <v>2</v>
      </c>
      <c r="AC1178">
        <v>2</v>
      </c>
      <c r="AD1178" t="s">
        <v>32</v>
      </c>
      <c r="AE1178" t="s">
        <v>60</v>
      </c>
      <c r="AF1178" t="s">
        <v>43</v>
      </c>
      <c r="AG1178">
        <f>IF(HR_Data[[#This Row],[Attrition]]="Yes",1,0)</f>
        <v>1</v>
      </c>
      <c r="AH1178" t="str">
        <f>IF(HR_Data[Date_of_termination]="","Active","Left")</f>
        <v>Active</v>
      </c>
      <c r="AI1178" t="str">
        <f>IF(HR_Data[YearsAtCompany]&lt;=2,"Fresher", IF(HR_Data[YearsAtCompany]&lt;=5,"Junior", IF(HR_Data[YearsAtCompany]&lt;=10, "Mid","Senior")))</f>
        <v>Mid</v>
      </c>
      <c r="AJ1178" s="2" t="str">
        <f>IF(HR_Data[MonthlyIncome]&lt;=300,"Low", IF(HR_Data[MonthlyIncome]&lt;=7000,"Medium", "High"))</f>
        <v>High</v>
      </c>
      <c r="AK1178" s="2" t="str">
        <f>VLOOKUP(HR_Data[JobRole], JobRole_Map[], 2, FALSE)</f>
        <v>Operations</v>
      </c>
    </row>
    <row r="1179" spans="1:37" x14ac:dyDescent="0.25">
      <c r="A1179" s="2">
        <v>29</v>
      </c>
      <c r="B1179" t="s">
        <v>41</v>
      </c>
      <c r="C1179" t="s">
        <v>33</v>
      </c>
      <c r="D1179" t="s">
        <v>53</v>
      </c>
      <c r="E1179">
        <v>19</v>
      </c>
      <c r="F1179" t="s">
        <v>35</v>
      </c>
      <c r="G1179">
        <v>2</v>
      </c>
      <c r="H1179">
        <v>2</v>
      </c>
      <c r="I1179" t="s">
        <v>64</v>
      </c>
      <c r="J1179">
        <v>3</v>
      </c>
      <c r="K1179" t="s">
        <v>55</v>
      </c>
      <c r="L1179">
        <v>8620</v>
      </c>
      <c r="M1179">
        <v>1</v>
      </c>
      <c r="N1179" t="s">
        <v>41</v>
      </c>
      <c r="O1179">
        <v>14</v>
      </c>
      <c r="P1179">
        <v>3</v>
      </c>
      <c r="Q1179">
        <v>2</v>
      </c>
      <c r="R1179">
        <v>10</v>
      </c>
      <c r="S1179">
        <v>3</v>
      </c>
      <c r="T1179">
        <v>10</v>
      </c>
      <c r="U1179">
        <v>0</v>
      </c>
      <c r="V1179">
        <v>4</v>
      </c>
      <c r="W1179" t="s">
        <v>65</v>
      </c>
      <c r="X1179" s="1" t="d">
        <v>2011-03-19</v>
      </c>
      <c r="Z1179" t="s">
        <v>39</v>
      </c>
      <c r="AA1179" t="s">
        <v>46</v>
      </c>
      <c r="AB1179">
        <v>0</v>
      </c>
      <c r="AC1179">
        <v>0</v>
      </c>
      <c r="AD1179" t="s">
        <v>41</v>
      </c>
      <c r="AE1179" t="s">
        <v>62</v>
      </c>
      <c r="AF1179" t="s">
        <v>57</v>
      </c>
      <c r="AG1179">
        <f>IF(HR_Data[[#This Row],[Attrition]]="Yes",1,0)</f>
        <v>0</v>
      </c>
      <c r="AH1179" t="str">
        <f>IF(HR_Data[Date_of_termination]="","Active","Left")</f>
        <v>Active</v>
      </c>
      <c r="AI1179" t="str">
        <f>IF(HR_Data[YearsAtCompany]&lt;=2,"Fresher", IF(HR_Data[YearsAtCompany]&lt;=5,"Junior", IF(HR_Data[YearsAtCompany]&lt;=10, "Mid","Senior")))</f>
        <v>Mid</v>
      </c>
      <c r="AJ1179" s="2" t="str">
        <f>IF(HR_Data[MonthlyIncome]&lt;=300,"Low", IF(HR_Data[MonthlyIncome]&lt;=7000,"Medium", "High"))</f>
        <v>High</v>
      </c>
      <c r="AK1179" s="2" t="str">
        <f>VLOOKUP(HR_Data[JobRole], JobRole_Map[], 2, FALSE)</f>
        <v>Sales</v>
      </c>
    </row>
    <row r="1180" spans="1:37" x14ac:dyDescent="0.25">
      <c r="A1180" s="2">
        <v>34</v>
      </c>
      <c r="B1180" t="s">
        <v>41</v>
      </c>
      <c r="C1180" t="s">
        <v>33</v>
      </c>
      <c r="D1180" t="s">
        <v>53</v>
      </c>
      <c r="E1180">
        <v>1</v>
      </c>
      <c r="F1180" t="s">
        <v>35</v>
      </c>
      <c r="G1180">
        <v>2</v>
      </c>
      <c r="H1180">
        <v>3</v>
      </c>
      <c r="I1180" t="s">
        <v>64</v>
      </c>
      <c r="J1180">
        <v>3</v>
      </c>
      <c r="K1180" t="s">
        <v>50</v>
      </c>
      <c r="L1180">
        <v>7083</v>
      </c>
      <c r="M1180">
        <v>1</v>
      </c>
      <c r="N1180" t="s">
        <v>32</v>
      </c>
      <c r="O1180">
        <v>14</v>
      </c>
      <c r="P1180">
        <v>3</v>
      </c>
      <c r="Q1180">
        <v>0</v>
      </c>
      <c r="R1180">
        <v>10</v>
      </c>
      <c r="S1180">
        <v>3</v>
      </c>
      <c r="T1180">
        <v>10</v>
      </c>
      <c r="U1180">
        <v>8</v>
      </c>
      <c r="V1180">
        <v>6</v>
      </c>
      <c r="W1180" t="s">
        <v>38</v>
      </c>
      <c r="X1180" s="1" t="d">
        <v>2011-03-01</v>
      </c>
      <c r="Z1180" t="s">
        <v>59</v>
      </c>
      <c r="AA1180" t="s">
        <v>46</v>
      </c>
      <c r="AB1180">
        <v>3</v>
      </c>
      <c r="AC1180">
        <v>2</v>
      </c>
      <c r="AD1180" t="s">
        <v>32</v>
      </c>
      <c r="AE1180" t="s">
        <v>60</v>
      </c>
      <c r="AF1180" t="s">
        <v>43</v>
      </c>
      <c r="AG1180">
        <f>IF(HR_Data[[#This Row],[Attrition]]="Yes",1,0)</f>
        <v>0</v>
      </c>
      <c r="AH1180" t="str">
        <f>IF(HR_Data[Date_of_termination]="","Active","Left")</f>
        <v>Active</v>
      </c>
      <c r="AI1180" t="str">
        <f>IF(HR_Data[YearsAtCompany]&lt;=2,"Fresher", IF(HR_Data[YearsAtCompany]&lt;=5,"Junior", IF(HR_Data[YearsAtCompany]&lt;=10, "Mid","Senior")))</f>
        <v>Mid</v>
      </c>
      <c r="AJ1180" s="2" t="str">
        <f>IF(HR_Data[MonthlyIncome]&lt;=300,"Low", IF(HR_Data[MonthlyIncome]&lt;=7000,"Medium", "High"))</f>
        <v>High</v>
      </c>
      <c r="AK1180" s="2" t="str">
        <f>VLOOKUP(HR_Data[JobRole], JobRole_Map[], 2, FALSE)</f>
        <v>Sales</v>
      </c>
    </row>
    <row r="1181" spans="1:37" x14ac:dyDescent="0.25">
      <c r="A1181" s="2">
        <v>37</v>
      </c>
      <c r="B1181" t="s">
        <v>41</v>
      </c>
      <c r="C1181" t="s">
        <v>33</v>
      </c>
      <c r="D1181" t="s">
        <v>34</v>
      </c>
      <c r="E1181">
        <v>13</v>
      </c>
      <c r="F1181" t="s">
        <v>35</v>
      </c>
      <c r="G1181">
        <v>3</v>
      </c>
      <c r="H1181">
        <v>2</v>
      </c>
      <c r="I1181" t="s">
        <v>44</v>
      </c>
      <c r="J1181">
        <v>4</v>
      </c>
      <c r="K1181" t="s">
        <v>50</v>
      </c>
      <c r="L1181">
        <v>4285</v>
      </c>
      <c r="M1181">
        <v>1</v>
      </c>
      <c r="N1181" t="s">
        <v>41</v>
      </c>
      <c r="O1181">
        <v>17</v>
      </c>
      <c r="P1181">
        <v>3</v>
      </c>
      <c r="Q1181">
        <v>0</v>
      </c>
      <c r="R1181">
        <v>10</v>
      </c>
      <c r="S1181">
        <v>2</v>
      </c>
      <c r="T1181">
        <v>10</v>
      </c>
      <c r="U1181">
        <v>3</v>
      </c>
      <c r="V1181">
        <v>7</v>
      </c>
      <c r="W1181" t="s">
        <v>56</v>
      </c>
      <c r="X1181" s="1" t="d">
        <v>2011-03-11</v>
      </c>
      <c r="Z1181" t="s">
        <v>63</v>
      </c>
      <c r="AA1181" t="s">
        <v>40</v>
      </c>
      <c r="AB1181">
        <v>1</v>
      </c>
      <c r="AC1181">
        <v>3</v>
      </c>
      <c r="AD1181" t="s">
        <v>41</v>
      </c>
      <c r="AE1181" t="s">
        <v>60</v>
      </c>
      <c r="AF1181" t="s">
        <v>57</v>
      </c>
      <c r="AG1181">
        <f>IF(HR_Data[[#This Row],[Attrition]]="Yes",1,0)</f>
        <v>0</v>
      </c>
      <c r="AH1181" t="str">
        <f>IF(HR_Data[Date_of_termination]="","Active","Left")</f>
        <v>Active</v>
      </c>
      <c r="AI1181" t="str">
        <f>IF(HR_Data[YearsAtCompany]&lt;=2,"Fresher", IF(HR_Data[YearsAtCompany]&lt;=5,"Junior", IF(HR_Data[YearsAtCompany]&lt;=10, "Mid","Senior")))</f>
        <v>Mid</v>
      </c>
      <c r="AJ1181" s="2" t="str">
        <f>IF(HR_Data[MonthlyIncome]&lt;=300,"Low", IF(HR_Data[MonthlyIncome]&lt;=7000,"Medium", "High"))</f>
        <v>Medium</v>
      </c>
      <c r="AK1181" s="2" t="str">
        <f>VLOOKUP(HR_Data[JobRole], JobRole_Map[], 2, FALSE)</f>
        <v>Technical</v>
      </c>
    </row>
    <row r="1182" spans="1:37" x14ac:dyDescent="0.25">
      <c r="A1182" s="2">
        <v>45</v>
      </c>
      <c r="B1182" t="s">
        <v>41</v>
      </c>
      <c r="C1182" t="s">
        <v>33</v>
      </c>
      <c r="D1182" t="s">
        <v>34</v>
      </c>
      <c r="E1182">
        <v>1</v>
      </c>
      <c r="F1182" t="s">
        <v>35</v>
      </c>
      <c r="G1182">
        <v>3</v>
      </c>
      <c r="H1182">
        <v>3</v>
      </c>
      <c r="I1182" t="s">
        <v>69</v>
      </c>
      <c r="J1182">
        <v>2</v>
      </c>
      <c r="K1182" t="s">
        <v>55</v>
      </c>
      <c r="L1182">
        <v>7441</v>
      </c>
      <c r="M1182">
        <v>1</v>
      </c>
      <c r="N1182" t="s">
        <v>41</v>
      </c>
      <c r="O1182">
        <v>12</v>
      </c>
      <c r="P1182">
        <v>3</v>
      </c>
      <c r="Q1182">
        <v>3</v>
      </c>
      <c r="R1182">
        <v>10</v>
      </c>
      <c r="S1182">
        <v>4</v>
      </c>
      <c r="T1182">
        <v>10</v>
      </c>
      <c r="U1182">
        <v>7</v>
      </c>
      <c r="V1182">
        <v>7</v>
      </c>
      <c r="W1182" t="s">
        <v>56</v>
      </c>
      <c r="X1182" s="1" t="d">
        <v>2011-05-06</v>
      </c>
      <c r="Z1182" t="s">
        <v>59</v>
      </c>
      <c r="AA1182" t="s">
        <v>40</v>
      </c>
      <c r="AB1182">
        <v>4</v>
      </c>
      <c r="AC1182">
        <v>0</v>
      </c>
      <c r="AD1182" t="s">
        <v>41</v>
      </c>
      <c r="AE1182" t="s">
        <v>42</v>
      </c>
      <c r="AF1182" t="s">
        <v>48</v>
      </c>
      <c r="AG1182">
        <f>IF(HR_Data[[#This Row],[Attrition]]="Yes",1,0)</f>
        <v>0</v>
      </c>
      <c r="AH1182" t="str">
        <f>IF(HR_Data[Date_of_termination]="","Active","Left")</f>
        <v>Active</v>
      </c>
      <c r="AI1182" t="str">
        <f>IF(HR_Data[YearsAtCompany]&lt;=2,"Fresher", IF(HR_Data[YearsAtCompany]&lt;=5,"Junior", IF(HR_Data[YearsAtCompany]&lt;=10, "Mid","Senior")))</f>
        <v>Mid</v>
      </c>
      <c r="AJ1182" s="2" t="str">
        <f>IF(HR_Data[MonthlyIncome]&lt;=300,"Low", IF(HR_Data[MonthlyIncome]&lt;=7000,"Medium", "High"))</f>
        <v>High</v>
      </c>
      <c r="AK1182" s="2" t="str">
        <f>VLOOKUP(HR_Data[JobRole], JobRole_Map[], 2, FALSE)</f>
        <v>Operations</v>
      </c>
    </row>
    <row r="1183" spans="1:37" x14ac:dyDescent="0.25">
      <c r="A1183" s="2">
        <v>30</v>
      </c>
      <c r="B1183" t="s">
        <v>32</v>
      </c>
      <c r="C1183" t="s">
        <v>33</v>
      </c>
      <c r="D1183" t="s">
        <v>53</v>
      </c>
      <c r="E1183">
        <v>1</v>
      </c>
      <c r="F1183" t="s">
        <v>35</v>
      </c>
      <c r="G1183">
        <v>2</v>
      </c>
      <c r="H1183">
        <v>2</v>
      </c>
      <c r="I1183" t="s">
        <v>64</v>
      </c>
      <c r="J1183">
        <v>1</v>
      </c>
      <c r="K1183" t="s">
        <v>50</v>
      </c>
      <c r="L1183">
        <v>9714</v>
      </c>
      <c r="M1183">
        <v>1</v>
      </c>
      <c r="N1183" t="s">
        <v>41</v>
      </c>
      <c r="O1183">
        <v>11</v>
      </c>
      <c r="P1183">
        <v>3</v>
      </c>
      <c r="Q1183">
        <v>1</v>
      </c>
      <c r="R1183">
        <v>10</v>
      </c>
      <c r="S1183">
        <v>4</v>
      </c>
      <c r="T1183">
        <v>10</v>
      </c>
      <c r="U1183">
        <v>6</v>
      </c>
      <c r="V1183">
        <v>7</v>
      </c>
      <c r="W1183" t="s">
        <v>51</v>
      </c>
      <c r="X1183" s="1" t="d">
        <v>2011-01-02</v>
      </c>
      <c r="Z1183" t="s">
        <v>52</v>
      </c>
      <c r="AA1183" t="s">
        <v>46</v>
      </c>
      <c r="AB1183">
        <v>5</v>
      </c>
      <c r="AC1183">
        <v>1</v>
      </c>
      <c r="AD1183" t="s">
        <v>41</v>
      </c>
      <c r="AE1183" t="s">
        <v>42</v>
      </c>
      <c r="AF1183" t="s">
        <v>48</v>
      </c>
      <c r="AG1183">
        <f>IF(HR_Data[[#This Row],[Attrition]]="Yes",1,0)</f>
        <v>1</v>
      </c>
      <c r="AH1183" t="str">
        <f>IF(HR_Data[Date_of_termination]="","Active","Left")</f>
        <v>Active</v>
      </c>
      <c r="AI1183" t="str">
        <f>IF(HR_Data[YearsAtCompany]&lt;=2,"Fresher", IF(HR_Data[YearsAtCompany]&lt;=5,"Junior", IF(HR_Data[YearsAtCompany]&lt;=10, "Mid","Senior")))</f>
        <v>Mid</v>
      </c>
      <c r="AJ1183" s="2" t="str">
        <f>IF(HR_Data[MonthlyIncome]&lt;=300,"Low", IF(HR_Data[MonthlyIncome]&lt;=7000,"Medium", "High"))</f>
        <v>High</v>
      </c>
      <c r="AK1183" s="2" t="str">
        <f>VLOOKUP(HR_Data[JobRole], JobRole_Map[], 2, FALSE)</f>
        <v>Sales</v>
      </c>
    </row>
    <row r="1184" spans="1:37" x14ac:dyDescent="0.25">
      <c r="A1184" s="2">
        <v>29</v>
      </c>
      <c r="B1184" t="s">
        <v>41</v>
      </c>
      <c r="C1184" t="s">
        <v>33</v>
      </c>
      <c r="D1184" t="s">
        <v>34</v>
      </c>
      <c r="E1184">
        <v>3</v>
      </c>
      <c r="F1184" t="s">
        <v>35</v>
      </c>
      <c r="G1184">
        <v>3</v>
      </c>
      <c r="H1184">
        <v>1</v>
      </c>
      <c r="I1184" t="s">
        <v>36</v>
      </c>
      <c r="J1184">
        <v>1</v>
      </c>
      <c r="K1184" t="s">
        <v>37</v>
      </c>
      <c r="L1184">
        <v>4723</v>
      </c>
      <c r="M1184">
        <v>1</v>
      </c>
      <c r="N1184" t="s">
        <v>32</v>
      </c>
      <c r="O1184">
        <v>18</v>
      </c>
      <c r="P1184">
        <v>3</v>
      </c>
      <c r="Q1184">
        <v>0</v>
      </c>
      <c r="R1184">
        <v>10</v>
      </c>
      <c r="S1184">
        <v>3</v>
      </c>
      <c r="T1184">
        <v>10</v>
      </c>
      <c r="U1184">
        <v>1</v>
      </c>
      <c r="V1184">
        <v>5</v>
      </c>
      <c r="W1184" t="s">
        <v>56</v>
      </c>
      <c r="X1184" s="1" t="d">
        <v>2011-02-06</v>
      </c>
      <c r="Z1184" t="s">
        <v>39</v>
      </c>
      <c r="AA1184" t="s">
        <v>46</v>
      </c>
      <c r="AB1184">
        <v>3</v>
      </c>
      <c r="AC1184">
        <v>1</v>
      </c>
      <c r="AD1184" t="s">
        <v>32</v>
      </c>
      <c r="AE1184" t="s">
        <v>62</v>
      </c>
      <c r="AF1184" t="s">
        <v>57</v>
      </c>
      <c r="AG1184">
        <f>IF(HR_Data[[#This Row],[Attrition]]="Yes",1,0)</f>
        <v>0</v>
      </c>
      <c r="AH1184" t="str">
        <f>IF(HR_Data[Date_of_termination]="","Active","Left")</f>
        <v>Active</v>
      </c>
      <c r="AI1184" t="str">
        <f>IF(HR_Data[YearsAtCompany]&lt;=2,"Fresher", IF(HR_Data[YearsAtCompany]&lt;=5,"Junior", IF(HR_Data[YearsAtCompany]&lt;=10, "Mid","Senior")))</f>
        <v>Mid</v>
      </c>
      <c r="AJ1184" s="2" t="str">
        <f>IF(HR_Data[MonthlyIncome]&lt;=300,"Low", IF(HR_Data[MonthlyIncome]&lt;=7000,"Medium", "High"))</f>
        <v>Medium</v>
      </c>
      <c r="AK1184" s="2" t="str">
        <f>VLOOKUP(HR_Data[JobRole], JobRole_Map[], 2, FALSE)</f>
        <v>Technical</v>
      </c>
    </row>
    <row r="1185" spans="1:37" x14ac:dyDescent="0.25">
      <c r="A1185" s="2">
        <v>35</v>
      </c>
      <c r="B1185" t="s">
        <v>41</v>
      </c>
      <c r="C1185" t="s">
        <v>33</v>
      </c>
      <c r="D1185" t="s">
        <v>34</v>
      </c>
      <c r="E1185">
        <v>28</v>
      </c>
      <c r="F1185" t="s">
        <v>35</v>
      </c>
      <c r="G1185">
        <v>4</v>
      </c>
      <c r="H1185">
        <v>2</v>
      </c>
      <c r="I1185" t="s">
        <v>36</v>
      </c>
      <c r="J1185">
        <v>3</v>
      </c>
      <c r="K1185" t="s">
        <v>50</v>
      </c>
      <c r="L1185">
        <v>3407</v>
      </c>
      <c r="M1185">
        <v>1</v>
      </c>
      <c r="N1185" t="s">
        <v>41</v>
      </c>
      <c r="O1185">
        <v>17</v>
      </c>
      <c r="P1185">
        <v>3</v>
      </c>
      <c r="Q1185">
        <v>2</v>
      </c>
      <c r="R1185">
        <v>10</v>
      </c>
      <c r="S1185">
        <v>3</v>
      </c>
      <c r="T1185">
        <v>10</v>
      </c>
      <c r="U1185">
        <v>6</v>
      </c>
      <c r="V1185">
        <v>8</v>
      </c>
      <c r="W1185" t="s">
        <v>56</v>
      </c>
      <c r="X1185" s="1" t="d">
        <v>2011-04-22</v>
      </c>
      <c r="Z1185" t="s">
        <v>45</v>
      </c>
      <c r="AA1185" t="s">
        <v>40</v>
      </c>
      <c r="AB1185">
        <v>3</v>
      </c>
      <c r="AC1185">
        <v>3</v>
      </c>
      <c r="AD1185" t="s">
        <v>32</v>
      </c>
      <c r="AE1185" t="s">
        <v>47</v>
      </c>
      <c r="AF1185" t="s">
        <v>43</v>
      </c>
      <c r="AG1185">
        <f>IF(HR_Data[[#This Row],[Attrition]]="Yes",1,0)</f>
        <v>0</v>
      </c>
      <c r="AH1185" t="str">
        <f>IF(HR_Data[Date_of_termination]="","Active","Left")</f>
        <v>Active</v>
      </c>
      <c r="AI1185" t="str">
        <f>IF(HR_Data[YearsAtCompany]&lt;=2,"Fresher", IF(HR_Data[YearsAtCompany]&lt;=5,"Junior", IF(HR_Data[YearsAtCompany]&lt;=10, "Mid","Senior")))</f>
        <v>Mid</v>
      </c>
      <c r="AJ1185" s="2" t="str">
        <f>IF(HR_Data[MonthlyIncome]&lt;=300,"Low", IF(HR_Data[MonthlyIncome]&lt;=7000,"Medium", "High"))</f>
        <v>Medium</v>
      </c>
      <c r="AK1185" s="2" t="str">
        <f>VLOOKUP(HR_Data[JobRole], JobRole_Map[], 2, FALSE)</f>
        <v>Technical</v>
      </c>
    </row>
    <row r="1186" spans="1:37" x14ac:dyDescent="0.25">
      <c r="A1186" s="2">
        <v>45</v>
      </c>
      <c r="B1186" t="s">
        <v>41</v>
      </c>
      <c r="C1186" t="s">
        <v>33</v>
      </c>
      <c r="D1186" t="s">
        <v>34</v>
      </c>
      <c r="E1186">
        <v>5</v>
      </c>
      <c r="F1186" t="s">
        <v>58</v>
      </c>
      <c r="G1186">
        <v>1</v>
      </c>
      <c r="H1186">
        <v>2</v>
      </c>
      <c r="I1186" t="s">
        <v>36</v>
      </c>
      <c r="J1186">
        <v>1</v>
      </c>
      <c r="K1186" t="s">
        <v>37</v>
      </c>
      <c r="L1186">
        <v>5769</v>
      </c>
      <c r="M1186">
        <v>1</v>
      </c>
      <c r="N1186" t="s">
        <v>32</v>
      </c>
      <c r="O1186">
        <v>14</v>
      </c>
      <c r="P1186">
        <v>3</v>
      </c>
      <c r="Q1186">
        <v>0</v>
      </c>
      <c r="R1186">
        <v>10</v>
      </c>
      <c r="S1186">
        <v>3</v>
      </c>
      <c r="T1186">
        <v>10</v>
      </c>
      <c r="U1186">
        <v>1</v>
      </c>
      <c r="V1186">
        <v>4</v>
      </c>
      <c r="W1186" t="s">
        <v>56</v>
      </c>
      <c r="X1186" s="1" t="d">
        <v>2011-03-30</v>
      </c>
      <c r="Z1186" t="s">
        <v>63</v>
      </c>
      <c r="AA1186" t="s">
        <v>46</v>
      </c>
      <c r="AB1186">
        <v>4</v>
      </c>
      <c r="AC1186">
        <v>3</v>
      </c>
      <c r="AD1186" t="s">
        <v>32</v>
      </c>
      <c r="AE1186" t="s">
        <v>62</v>
      </c>
      <c r="AF1186" t="s">
        <v>48</v>
      </c>
      <c r="AG1186">
        <f>IF(HR_Data[[#This Row],[Attrition]]="Yes",1,0)</f>
        <v>0</v>
      </c>
      <c r="AH1186" t="str">
        <f>IF(HR_Data[Date_of_termination]="","Active","Left")</f>
        <v>Active</v>
      </c>
      <c r="AI1186" t="str">
        <f>IF(HR_Data[YearsAtCompany]&lt;=2,"Fresher", IF(HR_Data[YearsAtCompany]&lt;=5,"Junior", IF(HR_Data[YearsAtCompany]&lt;=10, "Mid","Senior")))</f>
        <v>Mid</v>
      </c>
      <c r="AJ1186" s="2" t="str">
        <f>IF(HR_Data[MonthlyIncome]&lt;=300,"Low", IF(HR_Data[MonthlyIncome]&lt;=7000,"Medium", "High"))</f>
        <v>Medium</v>
      </c>
      <c r="AK1186" s="2" t="str">
        <f>VLOOKUP(HR_Data[JobRole], JobRole_Map[], 2, FALSE)</f>
        <v>Technical</v>
      </c>
    </row>
    <row r="1187" spans="1:37" x14ac:dyDescent="0.25">
      <c r="A1187" s="2">
        <v>45</v>
      </c>
      <c r="B1187" t="s">
        <v>41</v>
      </c>
      <c r="C1187" t="s">
        <v>68</v>
      </c>
      <c r="D1187" t="s">
        <v>53</v>
      </c>
      <c r="E1187">
        <v>26</v>
      </c>
      <c r="F1187" t="s">
        <v>35</v>
      </c>
      <c r="G1187">
        <v>2</v>
      </c>
      <c r="H1187">
        <v>2</v>
      </c>
      <c r="I1187" t="s">
        <v>64</v>
      </c>
      <c r="J1187">
        <v>1</v>
      </c>
      <c r="K1187" t="s">
        <v>50</v>
      </c>
      <c r="L1187">
        <v>4385</v>
      </c>
      <c r="M1187">
        <v>1</v>
      </c>
      <c r="N1187" t="s">
        <v>41</v>
      </c>
      <c r="O1187">
        <v>15</v>
      </c>
      <c r="P1187">
        <v>3</v>
      </c>
      <c r="Q1187">
        <v>1</v>
      </c>
      <c r="R1187">
        <v>10</v>
      </c>
      <c r="S1187">
        <v>2</v>
      </c>
      <c r="T1187">
        <v>10</v>
      </c>
      <c r="U1187">
        <v>4</v>
      </c>
      <c r="V1187">
        <v>5</v>
      </c>
      <c r="W1187" t="s">
        <v>38</v>
      </c>
      <c r="X1187" s="1" t="d">
        <v>2011-04-01</v>
      </c>
      <c r="Z1187" t="s">
        <v>52</v>
      </c>
      <c r="AA1187" t="s">
        <v>40</v>
      </c>
      <c r="AB1187">
        <v>3</v>
      </c>
      <c r="AC1187">
        <v>3</v>
      </c>
      <c r="AD1187" t="s">
        <v>32</v>
      </c>
      <c r="AE1187" t="s">
        <v>60</v>
      </c>
      <c r="AF1187" t="s">
        <v>57</v>
      </c>
      <c r="AG1187">
        <f>IF(HR_Data[[#This Row],[Attrition]]="Yes",1,0)</f>
        <v>0</v>
      </c>
      <c r="AH1187" t="str">
        <f>IF(HR_Data[Date_of_termination]="","Active","Left")</f>
        <v>Active</v>
      </c>
      <c r="AI1187" t="str">
        <f>IF(HR_Data[YearsAtCompany]&lt;=2,"Fresher", IF(HR_Data[YearsAtCompany]&lt;=5,"Junior", IF(HR_Data[YearsAtCompany]&lt;=10, "Mid","Senior")))</f>
        <v>Mid</v>
      </c>
      <c r="AJ1187" s="2" t="str">
        <f>IF(HR_Data[MonthlyIncome]&lt;=300,"Low", IF(HR_Data[MonthlyIncome]&lt;=7000,"Medium", "High"))</f>
        <v>Medium</v>
      </c>
      <c r="AK1187" s="2" t="str">
        <f>VLOOKUP(HR_Data[JobRole], JobRole_Map[], 2, FALSE)</f>
        <v>Sales</v>
      </c>
    </row>
    <row r="1188" spans="1:37" x14ac:dyDescent="0.25">
      <c r="A1188" s="2">
        <v>39</v>
      </c>
      <c r="B1188" t="s">
        <v>41</v>
      </c>
      <c r="C1188" t="s">
        <v>33</v>
      </c>
      <c r="D1188" t="s">
        <v>34</v>
      </c>
      <c r="E1188">
        <v>3</v>
      </c>
      <c r="F1188" t="s">
        <v>35</v>
      </c>
      <c r="G1188">
        <v>2</v>
      </c>
      <c r="H1188">
        <v>2</v>
      </c>
      <c r="I1188" t="s">
        <v>36</v>
      </c>
      <c r="J1188">
        <v>3</v>
      </c>
      <c r="K1188" t="s">
        <v>55</v>
      </c>
      <c r="L1188">
        <v>3069</v>
      </c>
      <c r="M1188">
        <v>0</v>
      </c>
      <c r="N1188" t="s">
        <v>41</v>
      </c>
      <c r="O1188">
        <v>15</v>
      </c>
      <c r="P1188">
        <v>3</v>
      </c>
      <c r="Q1188">
        <v>1</v>
      </c>
      <c r="R1188">
        <v>11</v>
      </c>
      <c r="S1188">
        <v>3</v>
      </c>
      <c r="T1188">
        <v>10</v>
      </c>
      <c r="U1188">
        <v>0</v>
      </c>
      <c r="V1188">
        <v>7</v>
      </c>
      <c r="W1188" t="s">
        <v>38</v>
      </c>
      <c r="X1188" s="1" t="d">
        <v>2011-04-03</v>
      </c>
      <c r="Z1188" t="s">
        <v>52</v>
      </c>
      <c r="AA1188" t="s">
        <v>46</v>
      </c>
      <c r="AB1188">
        <v>5</v>
      </c>
      <c r="AC1188">
        <v>0</v>
      </c>
      <c r="AD1188" t="s">
        <v>32</v>
      </c>
      <c r="AE1188" t="s">
        <v>42</v>
      </c>
      <c r="AF1188" t="s">
        <v>43</v>
      </c>
      <c r="AG1188">
        <f>IF(HR_Data[[#This Row],[Attrition]]="Yes",1,0)</f>
        <v>0</v>
      </c>
      <c r="AH1188" t="str">
        <f>IF(HR_Data[Date_of_termination]="","Active","Left")</f>
        <v>Active</v>
      </c>
      <c r="AI1188" t="str">
        <f>IF(HR_Data[YearsAtCompany]&lt;=2,"Fresher", IF(HR_Data[YearsAtCompany]&lt;=5,"Junior", IF(HR_Data[YearsAtCompany]&lt;=10, "Mid","Senior")))</f>
        <v>Mid</v>
      </c>
      <c r="AJ1188" s="2" t="str">
        <f>IF(HR_Data[MonthlyIncome]&lt;=300,"Low", IF(HR_Data[MonthlyIncome]&lt;=7000,"Medium", "High"))</f>
        <v>Medium</v>
      </c>
      <c r="AK1188" s="2" t="str">
        <f>VLOOKUP(HR_Data[JobRole], JobRole_Map[], 2, FALSE)</f>
        <v>Technical</v>
      </c>
    </row>
    <row r="1189" spans="1:37" x14ac:dyDescent="0.25">
      <c r="A1189" s="2">
        <v>45</v>
      </c>
      <c r="B1189" t="s">
        <v>41</v>
      </c>
      <c r="C1189" t="s">
        <v>33</v>
      </c>
      <c r="D1189" t="s">
        <v>34</v>
      </c>
      <c r="E1189">
        <v>2</v>
      </c>
      <c r="F1189" t="s">
        <v>58</v>
      </c>
      <c r="G1189">
        <v>2</v>
      </c>
      <c r="H1189">
        <v>2</v>
      </c>
      <c r="I1189" t="s">
        <v>67</v>
      </c>
      <c r="J1189">
        <v>4</v>
      </c>
      <c r="K1189" t="s">
        <v>55</v>
      </c>
      <c r="L1189">
        <v>5770</v>
      </c>
      <c r="M1189">
        <v>1</v>
      </c>
      <c r="N1189" t="s">
        <v>41</v>
      </c>
      <c r="O1189">
        <v>19</v>
      </c>
      <c r="P1189">
        <v>3</v>
      </c>
      <c r="Q1189">
        <v>2</v>
      </c>
      <c r="R1189">
        <v>10</v>
      </c>
      <c r="S1189">
        <v>3</v>
      </c>
      <c r="T1189">
        <v>10</v>
      </c>
      <c r="U1189">
        <v>3</v>
      </c>
      <c r="V1189">
        <v>9</v>
      </c>
      <c r="W1189" t="s">
        <v>65</v>
      </c>
      <c r="X1189" s="1" t="d">
        <v>2011-02-26</v>
      </c>
      <c r="Z1189" t="s">
        <v>63</v>
      </c>
      <c r="AA1189" t="s">
        <v>46</v>
      </c>
      <c r="AB1189">
        <v>1</v>
      </c>
      <c r="AC1189">
        <v>3</v>
      </c>
      <c r="AD1189" t="s">
        <v>32</v>
      </c>
      <c r="AE1189" t="s">
        <v>47</v>
      </c>
      <c r="AF1189" t="s">
        <v>48</v>
      </c>
      <c r="AG1189">
        <f>IF(HR_Data[[#This Row],[Attrition]]="Yes",1,0)</f>
        <v>0</v>
      </c>
      <c r="AH1189" t="str">
        <f>IF(HR_Data[Date_of_termination]="","Active","Left")</f>
        <v>Active</v>
      </c>
      <c r="AI1189" t="str">
        <f>IF(HR_Data[YearsAtCompany]&lt;=2,"Fresher", IF(HR_Data[YearsAtCompany]&lt;=5,"Junior", IF(HR_Data[YearsAtCompany]&lt;=10, "Mid","Senior")))</f>
        <v>Mid</v>
      </c>
      <c r="AJ1189" s="2" t="str">
        <f>IF(HR_Data[MonthlyIncome]&lt;=300,"Low", IF(HR_Data[MonthlyIncome]&lt;=7000,"Medium", "High"))</f>
        <v>Medium</v>
      </c>
      <c r="AK1189" s="2" t="str">
        <f>VLOOKUP(HR_Data[JobRole], JobRole_Map[], 2, FALSE)</f>
        <v>Operations</v>
      </c>
    </row>
    <row r="1190" spans="1:37" x14ac:dyDescent="0.25">
      <c r="A1190" s="2">
        <v>44</v>
      </c>
      <c r="B1190" t="s">
        <v>41</v>
      </c>
      <c r="C1190" t="s">
        <v>61</v>
      </c>
      <c r="D1190" t="s">
        <v>70</v>
      </c>
      <c r="E1190">
        <v>1</v>
      </c>
      <c r="F1190" t="s">
        <v>35</v>
      </c>
      <c r="G1190">
        <v>3</v>
      </c>
      <c r="H1190">
        <v>2</v>
      </c>
      <c r="I1190" t="s">
        <v>70</v>
      </c>
      <c r="J1190">
        <v>4</v>
      </c>
      <c r="K1190" t="s">
        <v>50</v>
      </c>
      <c r="L1190">
        <v>5743</v>
      </c>
      <c r="M1190">
        <v>4</v>
      </c>
      <c r="N1190" t="s">
        <v>32</v>
      </c>
      <c r="O1190">
        <v>11</v>
      </c>
      <c r="P1190">
        <v>3</v>
      </c>
      <c r="Q1190">
        <v>0</v>
      </c>
      <c r="R1190">
        <v>14</v>
      </c>
      <c r="S1190">
        <v>3</v>
      </c>
      <c r="T1190">
        <v>10</v>
      </c>
      <c r="U1190">
        <v>0</v>
      </c>
      <c r="V1190">
        <v>2</v>
      </c>
      <c r="W1190" t="s">
        <v>51</v>
      </c>
      <c r="X1190" s="1" t="d">
        <v>2011-06-28</v>
      </c>
      <c r="Z1190" t="s">
        <v>59</v>
      </c>
      <c r="AA1190" t="s">
        <v>40</v>
      </c>
      <c r="AB1190">
        <v>3</v>
      </c>
      <c r="AC1190">
        <v>2</v>
      </c>
      <c r="AD1190" t="s">
        <v>32</v>
      </c>
      <c r="AE1190" t="s">
        <v>47</v>
      </c>
      <c r="AF1190" t="s">
        <v>48</v>
      </c>
      <c r="AG1190">
        <f>IF(HR_Data[[#This Row],[Attrition]]="Yes",1,0)</f>
        <v>0</v>
      </c>
      <c r="AH1190" t="str">
        <f>IF(HR_Data[Date_of_termination]="","Active","Left")</f>
        <v>Active</v>
      </c>
      <c r="AI1190" t="str">
        <f>IF(HR_Data[YearsAtCompany]&lt;=2,"Fresher", IF(HR_Data[YearsAtCompany]&lt;=5,"Junior", IF(HR_Data[YearsAtCompany]&lt;=10, "Mid","Senior")))</f>
        <v>Mid</v>
      </c>
      <c r="AJ1190" s="2" t="str">
        <f>IF(HR_Data[MonthlyIncome]&lt;=300,"Low", IF(HR_Data[MonthlyIncome]&lt;=7000,"Medium", "High"))</f>
        <v>Medium</v>
      </c>
      <c r="AK1190" s="2" t="str">
        <f>VLOOKUP(HR_Data[JobRole], JobRole_Map[], 2, FALSE)</f>
        <v>HR</v>
      </c>
    </row>
    <row r="1191" spans="1:37" x14ac:dyDescent="0.25">
      <c r="A1191" s="2">
        <v>54</v>
      </c>
      <c r="B1191" t="s">
        <v>41</v>
      </c>
      <c r="C1191" t="s">
        <v>33</v>
      </c>
      <c r="D1191" t="s">
        <v>34</v>
      </c>
      <c r="E1191">
        <v>22</v>
      </c>
      <c r="F1191" t="s">
        <v>58</v>
      </c>
      <c r="G1191">
        <v>3</v>
      </c>
      <c r="H1191">
        <v>4</v>
      </c>
      <c r="I1191" t="s">
        <v>66</v>
      </c>
      <c r="J1191">
        <v>3</v>
      </c>
      <c r="K1191" t="s">
        <v>50</v>
      </c>
      <c r="L1191">
        <v>17426</v>
      </c>
      <c r="M1191">
        <v>3</v>
      </c>
      <c r="N1191" t="s">
        <v>41</v>
      </c>
      <c r="O1191">
        <v>25</v>
      </c>
      <c r="P1191">
        <v>4</v>
      </c>
      <c r="Q1191">
        <v>1</v>
      </c>
      <c r="R1191">
        <v>36</v>
      </c>
      <c r="S1191">
        <v>6</v>
      </c>
      <c r="T1191">
        <v>10</v>
      </c>
      <c r="U1191">
        <v>4</v>
      </c>
      <c r="V1191">
        <v>7</v>
      </c>
      <c r="W1191" t="s">
        <v>65</v>
      </c>
      <c r="X1191" s="1" t="d">
        <v>2011-02-28</v>
      </c>
      <c r="Z1191" t="s">
        <v>45</v>
      </c>
      <c r="AA1191" t="s">
        <v>46</v>
      </c>
      <c r="AB1191">
        <v>1</v>
      </c>
      <c r="AC1191">
        <v>0</v>
      </c>
      <c r="AD1191" t="s">
        <v>41</v>
      </c>
      <c r="AE1191" t="s">
        <v>47</v>
      </c>
      <c r="AF1191" t="s">
        <v>43</v>
      </c>
      <c r="AG1191">
        <f>IF(HR_Data[[#This Row],[Attrition]]="Yes",1,0)</f>
        <v>0</v>
      </c>
      <c r="AH1191" t="str">
        <f>IF(HR_Data[Date_of_termination]="","Active","Left")</f>
        <v>Active</v>
      </c>
      <c r="AI1191" t="str">
        <f>IF(HR_Data[YearsAtCompany]&lt;=2,"Fresher", IF(HR_Data[YearsAtCompany]&lt;=5,"Junior", IF(HR_Data[YearsAtCompany]&lt;=10, "Mid","Senior")))</f>
        <v>Mid</v>
      </c>
      <c r="AJ1191" s="2" t="str">
        <f>IF(HR_Data[MonthlyIncome]&lt;=300,"Low", IF(HR_Data[MonthlyIncome]&lt;=7000,"Medium", "High"))</f>
        <v>High</v>
      </c>
      <c r="AK1191" s="2" t="str">
        <f>VLOOKUP(HR_Data[JobRole], JobRole_Map[], 2, FALSE)</f>
        <v>Management</v>
      </c>
    </row>
    <row r="1192" spans="1:37" x14ac:dyDescent="0.25">
      <c r="A1192" s="2">
        <v>29</v>
      </c>
      <c r="B1192" t="s">
        <v>41</v>
      </c>
      <c r="C1192" t="s">
        <v>33</v>
      </c>
      <c r="D1192" t="s">
        <v>53</v>
      </c>
      <c r="E1192">
        <v>5</v>
      </c>
      <c r="F1192" t="s">
        <v>35</v>
      </c>
      <c r="G1192">
        <v>2</v>
      </c>
      <c r="H1192">
        <v>2</v>
      </c>
      <c r="I1192" t="s">
        <v>64</v>
      </c>
      <c r="J1192">
        <v>2</v>
      </c>
      <c r="K1192" t="s">
        <v>55</v>
      </c>
      <c r="L1192">
        <v>4187</v>
      </c>
      <c r="M1192">
        <v>1</v>
      </c>
      <c r="N1192" t="s">
        <v>32</v>
      </c>
      <c r="O1192">
        <v>13</v>
      </c>
      <c r="P1192">
        <v>3</v>
      </c>
      <c r="Q1192">
        <v>1</v>
      </c>
      <c r="R1192">
        <v>10</v>
      </c>
      <c r="S1192">
        <v>3</v>
      </c>
      <c r="T1192">
        <v>10</v>
      </c>
      <c r="U1192">
        <v>0</v>
      </c>
      <c r="V1192">
        <v>9</v>
      </c>
      <c r="W1192" t="s">
        <v>51</v>
      </c>
      <c r="X1192" s="1" t="d">
        <v>2011-05-06</v>
      </c>
      <c r="Z1192" t="s">
        <v>45</v>
      </c>
      <c r="AA1192" t="s">
        <v>46</v>
      </c>
      <c r="AB1192">
        <v>4</v>
      </c>
      <c r="AC1192">
        <v>3</v>
      </c>
      <c r="AD1192" t="s">
        <v>41</v>
      </c>
      <c r="AE1192" t="s">
        <v>60</v>
      </c>
      <c r="AF1192" t="s">
        <v>43</v>
      </c>
      <c r="AG1192">
        <f>IF(HR_Data[[#This Row],[Attrition]]="Yes",1,0)</f>
        <v>0</v>
      </c>
      <c r="AH1192" t="str">
        <f>IF(HR_Data[Date_of_termination]="","Active","Left")</f>
        <v>Active</v>
      </c>
      <c r="AI1192" t="str">
        <f>IF(HR_Data[YearsAtCompany]&lt;=2,"Fresher", IF(HR_Data[YearsAtCompany]&lt;=5,"Junior", IF(HR_Data[YearsAtCompany]&lt;=10, "Mid","Senior")))</f>
        <v>Mid</v>
      </c>
      <c r="AJ1192" s="2" t="str">
        <f>IF(HR_Data[MonthlyIncome]&lt;=300,"Low", IF(HR_Data[MonthlyIncome]&lt;=7000,"Medium", "High"))</f>
        <v>Medium</v>
      </c>
      <c r="AK1192" s="2" t="str">
        <f>VLOOKUP(HR_Data[JobRole], JobRole_Map[], 2, FALSE)</f>
        <v>Sales</v>
      </c>
    </row>
    <row r="1193" spans="1:37" x14ac:dyDescent="0.25">
      <c r="A1193" s="2">
        <v>31</v>
      </c>
      <c r="B1193" t="s">
        <v>41</v>
      </c>
      <c r="C1193" t="s">
        <v>33</v>
      </c>
      <c r="D1193" t="s">
        <v>53</v>
      </c>
      <c r="E1193">
        <v>5</v>
      </c>
      <c r="F1193" t="s">
        <v>58</v>
      </c>
      <c r="G1193">
        <v>3</v>
      </c>
      <c r="H1193">
        <v>2</v>
      </c>
      <c r="I1193" t="s">
        <v>64</v>
      </c>
      <c r="J1193">
        <v>4</v>
      </c>
      <c r="K1193" t="s">
        <v>50</v>
      </c>
      <c r="L1193">
        <v>5476</v>
      </c>
      <c r="M1193">
        <v>1</v>
      </c>
      <c r="N1193" t="s">
        <v>41</v>
      </c>
      <c r="O1193">
        <v>11</v>
      </c>
      <c r="P1193">
        <v>3</v>
      </c>
      <c r="Q1193">
        <v>2</v>
      </c>
      <c r="R1193">
        <v>10</v>
      </c>
      <c r="S1193">
        <v>2</v>
      </c>
      <c r="T1193">
        <v>10</v>
      </c>
      <c r="U1193">
        <v>0</v>
      </c>
      <c r="V1193">
        <v>2</v>
      </c>
      <c r="W1193" t="s">
        <v>51</v>
      </c>
      <c r="X1193" s="1" t="d">
        <v>2011-02-24</v>
      </c>
      <c r="Z1193" t="s">
        <v>39</v>
      </c>
      <c r="AA1193" t="s">
        <v>46</v>
      </c>
      <c r="AB1193">
        <v>5</v>
      </c>
      <c r="AC1193">
        <v>2</v>
      </c>
      <c r="AD1193" t="s">
        <v>41</v>
      </c>
      <c r="AE1193" t="s">
        <v>47</v>
      </c>
      <c r="AF1193" t="s">
        <v>43</v>
      </c>
      <c r="AG1193">
        <f>IF(HR_Data[[#This Row],[Attrition]]="Yes",1,0)</f>
        <v>0</v>
      </c>
      <c r="AH1193" t="str">
        <f>IF(HR_Data[Date_of_termination]="","Active","Left")</f>
        <v>Active</v>
      </c>
      <c r="AI1193" t="str">
        <f>IF(HR_Data[YearsAtCompany]&lt;=2,"Fresher", IF(HR_Data[YearsAtCompany]&lt;=5,"Junior", IF(HR_Data[YearsAtCompany]&lt;=10, "Mid","Senior")))</f>
        <v>Mid</v>
      </c>
      <c r="AJ1193" s="2" t="str">
        <f>IF(HR_Data[MonthlyIncome]&lt;=300,"Low", IF(HR_Data[MonthlyIncome]&lt;=7000,"Medium", "High"))</f>
        <v>Medium</v>
      </c>
      <c r="AK1193" s="2" t="str">
        <f>VLOOKUP(HR_Data[JobRole], JobRole_Map[], 2, FALSE)</f>
        <v>Sales</v>
      </c>
    </row>
    <row r="1194" spans="1:37" x14ac:dyDescent="0.25">
      <c r="A1194" s="2">
        <v>34</v>
      </c>
      <c r="B1194" t="s">
        <v>41</v>
      </c>
      <c r="C1194" t="s">
        <v>33</v>
      </c>
      <c r="D1194" t="s">
        <v>34</v>
      </c>
      <c r="E1194">
        <v>19</v>
      </c>
      <c r="F1194" t="s">
        <v>58</v>
      </c>
      <c r="G1194">
        <v>2</v>
      </c>
      <c r="H1194">
        <v>1</v>
      </c>
      <c r="I1194" t="s">
        <v>44</v>
      </c>
      <c r="J1194">
        <v>4</v>
      </c>
      <c r="K1194" t="s">
        <v>50</v>
      </c>
      <c r="L1194">
        <v>2929</v>
      </c>
      <c r="M1194">
        <v>1</v>
      </c>
      <c r="N1194" t="s">
        <v>41</v>
      </c>
      <c r="O1194">
        <v>12</v>
      </c>
      <c r="P1194">
        <v>3</v>
      </c>
      <c r="Q1194">
        <v>0</v>
      </c>
      <c r="R1194">
        <v>10</v>
      </c>
      <c r="S1194">
        <v>3</v>
      </c>
      <c r="T1194">
        <v>10</v>
      </c>
      <c r="U1194">
        <v>8</v>
      </c>
      <c r="V1194">
        <v>7</v>
      </c>
      <c r="W1194" t="s">
        <v>65</v>
      </c>
      <c r="X1194" s="1" t="d">
        <v>2011-03-26</v>
      </c>
      <c r="Z1194" t="s">
        <v>59</v>
      </c>
      <c r="AA1194" t="s">
        <v>46</v>
      </c>
      <c r="AB1194">
        <v>0</v>
      </c>
      <c r="AC1194">
        <v>2</v>
      </c>
      <c r="AD1194" t="s">
        <v>41</v>
      </c>
      <c r="AE1194" t="s">
        <v>42</v>
      </c>
      <c r="AF1194" t="s">
        <v>57</v>
      </c>
      <c r="AG1194">
        <f>IF(HR_Data[[#This Row],[Attrition]]="Yes",1,0)</f>
        <v>0</v>
      </c>
      <c r="AH1194" t="str">
        <f>IF(HR_Data[Date_of_termination]="","Active","Left")</f>
        <v>Active</v>
      </c>
      <c r="AI1194" t="str">
        <f>IF(HR_Data[YearsAtCompany]&lt;=2,"Fresher", IF(HR_Data[YearsAtCompany]&lt;=5,"Junior", IF(HR_Data[YearsAtCompany]&lt;=10, "Mid","Senior")))</f>
        <v>Mid</v>
      </c>
      <c r="AJ1194" s="2" t="str">
        <f>IF(HR_Data[MonthlyIncome]&lt;=300,"Low", IF(HR_Data[MonthlyIncome]&lt;=7000,"Medium", "High"))</f>
        <v>Medium</v>
      </c>
      <c r="AK1194" s="2" t="str">
        <f>VLOOKUP(HR_Data[JobRole], JobRole_Map[], 2, FALSE)</f>
        <v>Technical</v>
      </c>
    </row>
    <row r="1195" spans="1:37" x14ac:dyDescent="0.25">
      <c r="A1195" s="2">
        <v>43</v>
      </c>
      <c r="B1195" t="s">
        <v>41</v>
      </c>
      <c r="C1195" t="s">
        <v>33</v>
      </c>
      <c r="D1195" t="s">
        <v>53</v>
      </c>
      <c r="E1195">
        <v>2</v>
      </c>
      <c r="F1195" t="s">
        <v>35</v>
      </c>
      <c r="G1195">
        <v>3</v>
      </c>
      <c r="H1195">
        <v>2</v>
      </c>
      <c r="I1195" t="s">
        <v>64</v>
      </c>
      <c r="J1195">
        <v>4</v>
      </c>
      <c r="K1195" t="s">
        <v>50</v>
      </c>
      <c r="L1195">
        <v>7847</v>
      </c>
      <c r="M1195">
        <v>1</v>
      </c>
      <c r="N1195" t="s">
        <v>32</v>
      </c>
      <c r="O1195">
        <v>17</v>
      </c>
      <c r="P1195">
        <v>3</v>
      </c>
      <c r="Q1195">
        <v>1</v>
      </c>
      <c r="R1195">
        <v>10</v>
      </c>
      <c r="S1195">
        <v>3</v>
      </c>
      <c r="T1195">
        <v>10</v>
      </c>
      <c r="U1195">
        <v>8</v>
      </c>
      <c r="V1195">
        <v>8</v>
      </c>
      <c r="W1195" t="s">
        <v>38</v>
      </c>
      <c r="X1195" s="1" t="d">
        <v>2011-06-01</v>
      </c>
      <c r="Z1195" t="s">
        <v>59</v>
      </c>
      <c r="AA1195" t="s">
        <v>40</v>
      </c>
      <c r="AB1195">
        <v>5</v>
      </c>
      <c r="AC1195">
        <v>0</v>
      </c>
      <c r="AD1195" t="s">
        <v>32</v>
      </c>
      <c r="AE1195" t="s">
        <v>42</v>
      </c>
      <c r="AF1195" t="s">
        <v>43</v>
      </c>
      <c r="AG1195">
        <f>IF(HR_Data[[#This Row],[Attrition]]="Yes",1,0)</f>
        <v>0</v>
      </c>
      <c r="AH1195" t="str">
        <f>IF(HR_Data[Date_of_termination]="","Active","Left")</f>
        <v>Active</v>
      </c>
      <c r="AI1195" t="str">
        <f>IF(HR_Data[YearsAtCompany]&lt;=2,"Fresher", IF(HR_Data[YearsAtCompany]&lt;=5,"Junior", IF(HR_Data[YearsAtCompany]&lt;=10, "Mid","Senior")))</f>
        <v>Mid</v>
      </c>
      <c r="AJ1195" s="2" t="str">
        <f>IF(HR_Data[MonthlyIncome]&lt;=300,"Low", IF(HR_Data[MonthlyIncome]&lt;=7000,"Medium", "High"))</f>
        <v>High</v>
      </c>
      <c r="AK1195" s="2" t="str">
        <f>VLOOKUP(HR_Data[JobRole], JobRole_Map[], 2, FALSE)</f>
        <v>Sales</v>
      </c>
    </row>
    <row r="1196" spans="1:37" x14ac:dyDescent="0.25">
      <c r="A1196" s="2">
        <v>41</v>
      </c>
      <c r="B1196" t="s">
        <v>41</v>
      </c>
      <c r="C1196" t="s">
        <v>33</v>
      </c>
      <c r="D1196" t="s">
        <v>53</v>
      </c>
      <c r="E1196">
        <v>6</v>
      </c>
      <c r="F1196" t="s">
        <v>35</v>
      </c>
      <c r="G1196">
        <v>3</v>
      </c>
      <c r="H1196">
        <v>3</v>
      </c>
      <c r="I1196" t="s">
        <v>64</v>
      </c>
      <c r="J1196">
        <v>3</v>
      </c>
      <c r="K1196" t="s">
        <v>37</v>
      </c>
      <c r="L1196">
        <v>9241</v>
      </c>
      <c r="M1196">
        <v>1</v>
      </c>
      <c r="N1196" t="s">
        <v>41</v>
      </c>
      <c r="O1196">
        <v>12</v>
      </c>
      <c r="P1196">
        <v>3</v>
      </c>
      <c r="Q1196">
        <v>0</v>
      </c>
      <c r="R1196">
        <v>10</v>
      </c>
      <c r="S1196">
        <v>3</v>
      </c>
      <c r="T1196">
        <v>10</v>
      </c>
      <c r="U1196">
        <v>8</v>
      </c>
      <c r="V1196">
        <v>7</v>
      </c>
      <c r="W1196" t="s">
        <v>51</v>
      </c>
      <c r="X1196" s="1" t="d">
        <v>2011-06-09</v>
      </c>
      <c r="Z1196" t="s">
        <v>45</v>
      </c>
      <c r="AA1196" t="s">
        <v>46</v>
      </c>
      <c r="AB1196">
        <v>5</v>
      </c>
      <c r="AC1196">
        <v>3</v>
      </c>
      <c r="AD1196" t="s">
        <v>32</v>
      </c>
      <c r="AE1196" t="s">
        <v>62</v>
      </c>
      <c r="AF1196" t="s">
        <v>48</v>
      </c>
      <c r="AG1196">
        <f>IF(HR_Data[[#This Row],[Attrition]]="Yes",1,0)</f>
        <v>0</v>
      </c>
      <c r="AH1196" t="str">
        <f>IF(HR_Data[Date_of_termination]="","Active","Left")</f>
        <v>Active</v>
      </c>
      <c r="AI1196" t="str">
        <f>IF(HR_Data[YearsAtCompany]&lt;=2,"Fresher", IF(HR_Data[YearsAtCompany]&lt;=5,"Junior", IF(HR_Data[YearsAtCompany]&lt;=10, "Mid","Senior")))</f>
        <v>Mid</v>
      </c>
      <c r="AJ1196" s="2" t="str">
        <f>IF(HR_Data[MonthlyIncome]&lt;=300,"Low", IF(HR_Data[MonthlyIncome]&lt;=7000,"Medium", "High"))</f>
        <v>High</v>
      </c>
      <c r="AK1196" s="2" t="str">
        <f>VLOOKUP(HR_Data[JobRole], JobRole_Map[], 2, FALSE)</f>
        <v>Sales</v>
      </c>
    </row>
    <row r="1197" spans="1:37" x14ac:dyDescent="0.25">
      <c r="A1197" s="2">
        <v>46</v>
      </c>
      <c r="B1197" t="s">
        <v>41</v>
      </c>
      <c r="C1197" t="s">
        <v>33</v>
      </c>
      <c r="D1197" t="s">
        <v>34</v>
      </c>
      <c r="E1197">
        <v>13</v>
      </c>
      <c r="F1197" t="s">
        <v>35</v>
      </c>
      <c r="G1197">
        <v>3</v>
      </c>
      <c r="H1197">
        <v>2</v>
      </c>
      <c r="I1197" t="s">
        <v>69</v>
      </c>
      <c r="J1197">
        <v>2</v>
      </c>
      <c r="K1197" t="s">
        <v>37</v>
      </c>
      <c r="L1197">
        <v>5562</v>
      </c>
      <c r="M1197">
        <v>6</v>
      </c>
      <c r="N1197" t="s">
        <v>41</v>
      </c>
      <c r="O1197">
        <v>14</v>
      </c>
      <c r="P1197">
        <v>3</v>
      </c>
      <c r="Q1197">
        <v>0</v>
      </c>
      <c r="R1197">
        <v>19</v>
      </c>
      <c r="S1197">
        <v>3</v>
      </c>
      <c r="T1197">
        <v>10</v>
      </c>
      <c r="U1197">
        <v>0</v>
      </c>
      <c r="V1197">
        <v>9</v>
      </c>
      <c r="W1197" t="s">
        <v>65</v>
      </c>
      <c r="X1197" s="1" t="d">
        <v>2011-03-16</v>
      </c>
      <c r="Z1197" t="s">
        <v>39</v>
      </c>
      <c r="AA1197" t="s">
        <v>46</v>
      </c>
      <c r="AB1197">
        <v>4</v>
      </c>
      <c r="AC1197">
        <v>2</v>
      </c>
      <c r="AD1197" t="s">
        <v>41</v>
      </c>
      <c r="AE1197" t="s">
        <v>42</v>
      </c>
      <c r="AF1197" t="s">
        <v>43</v>
      </c>
      <c r="AG1197">
        <f>IF(HR_Data[[#This Row],[Attrition]]="Yes",1,0)</f>
        <v>0</v>
      </c>
      <c r="AH1197" t="str">
        <f>IF(HR_Data[Date_of_termination]="","Active","Left")</f>
        <v>Active</v>
      </c>
      <c r="AI1197" t="str">
        <f>IF(HR_Data[YearsAtCompany]&lt;=2,"Fresher", IF(HR_Data[YearsAtCompany]&lt;=5,"Junior", IF(HR_Data[YearsAtCompany]&lt;=10, "Mid","Senior")))</f>
        <v>Mid</v>
      </c>
      <c r="AJ1197" s="2" t="str">
        <f>IF(HR_Data[MonthlyIncome]&lt;=300,"Low", IF(HR_Data[MonthlyIncome]&lt;=7000,"Medium", "High"))</f>
        <v>Medium</v>
      </c>
      <c r="AK1197" s="2" t="str">
        <f>VLOOKUP(HR_Data[JobRole], JobRole_Map[], 2, FALSE)</f>
        <v>Operations</v>
      </c>
    </row>
    <row r="1198" spans="1:37" x14ac:dyDescent="0.25">
      <c r="A1198" s="2">
        <v>30</v>
      </c>
      <c r="B1198" t="s">
        <v>41</v>
      </c>
      <c r="C1198" t="s">
        <v>33</v>
      </c>
      <c r="D1198" t="s">
        <v>34</v>
      </c>
      <c r="E1198">
        <v>16</v>
      </c>
      <c r="F1198" t="s">
        <v>35</v>
      </c>
      <c r="G1198">
        <v>3</v>
      </c>
      <c r="H1198">
        <v>1</v>
      </c>
      <c r="I1198" t="s">
        <v>44</v>
      </c>
      <c r="J1198">
        <v>4</v>
      </c>
      <c r="K1198" t="s">
        <v>50</v>
      </c>
      <c r="L1198">
        <v>2862</v>
      </c>
      <c r="M1198">
        <v>1</v>
      </c>
      <c r="N1198" t="s">
        <v>41</v>
      </c>
      <c r="O1198">
        <v>12</v>
      </c>
      <c r="P1198">
        <v>3</v>
      </c>
      <c r="Q1198">
        <v>1</v>
      </c>
      <c r="R1198">
        <v>10</v>
      </c>
      <c r="S1198">
        <v>2</v>
      </c>
      <c r="T1198">
        <v>10</v>
      </c>
      <c r="U1198">
        <v>0</v>
      </c>
      <c r="V1198">
        <v>8</v>
      </c>
      <c r="W1198" t="s">
        <v>38</v>
      </c>
      <c r="X1198" s="1" t="d">
        <v>2011-03-04</v>
      </c>
      <c r="Z1198" t="s">
        <v>45</v>
      </c>
      <c r="AA1198" t="s">
        <v>46</v>
      </c>
      <c r="AB1198">
        <v>3</v>
      </c>
      <c r="AC1198">
        <v>3</v>
      </c>
      <c r="AD1198" t="s">
        <v>32</v>
      </c>
      <c r="AE1198" t="s">
        <v>42</v>
      </c>
      <c r="AF1198" t="s">
        <v>48</v>
      </c>
      <c r="AG1198">
        <f>IF(HR_Data[[#This Row],[Attrition]]="Yes",1,0)</f>
        <v>0</v>
      </c>
      <c r="AH1198" t="str">
        <f>IF(HR_Data[Date_of_termination]="","Active","Left")</f>
        <v>Active</v>
      </c>
      <c r="AI1198" t="str">
        <f>IF(HR_Data[YearsAtCompany]&lt;=2,"Fresher", IF(HR_Data[YearsAtCompany]&lt;=5,"Junior", IF(HR_Data[YearsAtCompany]&lt;=10, "Mid","Senior")))</f>
        <v>Mid</v>
      </c>
      <c r="AJ1198" s="2" t="str">
        <f>IF(HR_Data[MonthlyIncome]&lt;=300,"Low", IF(HR_Data[MonthlyIncome]&lt;=7000,"Medium", "High"))</f>
        <v>Medium</v>
      </c>
      <c r="AK1198" s="2" t="str">
        <f>VLOOKUP(HR_Data[JobRole], JobRole_Map[], 2, FALSE)</f>
        <v>Technical</v>
      </c>
    </row>
    <row r="1199" spans="1:37" x14ac:dyDescent="0.25">
      <c r="A1199" s="2">
        <v>46</v>
      </c>
      <c r="B1199" t="s">
        <v>41</v>
      </c>
      <c r="C1199" t="s">
        <v>33</v>
      </c>
      <c r="D1199" t="s">
        <v>53</v>
      </c>
      <c r="E1199">
        <v>2</v>
      </c>
      <c r="F1199" t="s">
        <v>35</v>
      </c>
      <c r="G1199">
        <v>3</v>
      </c>
      <c r="H1199">
        <v>3</v>
      </c>
      <c r="I1199" t="s">
        <v>64</v>
      </c>
      <c r="J1199">
        <v>4</v>
      </c>
      <c r="K1199" t="s">
        <v>55</v>
      </c>
      <c r="L1199">
        <v>10368</v>
      </c>
      <c r="M1199">
        <v>4</v>
      </c>
      <c r="N1199" t="s">
        <v>32</v>
      </c>
      <c r="O1199">
        <v>12</v>
      </c>
      <c r="P1199">
        <v>3</v>
      </c>
      <c r="Q1199">
        <v>1</v>
      </c>
      <c r="R1199">
        <v>13</v>
      </c>
      <c r="S1199">
        <v>5</v>
      </c>
      <c r="T1199">
        <v>10</v>
      </c>
      <c r="U1199">
        <v>0</v>
      </c>
      <c r="V1199">
        <v>3</v>
      </c>
      <c r="W1199" t="s">
        <v>56</v>
      </c>
      <c r="X1199" s="1" t="d">
        <v>2011-04-20</v>
      </c>
      <c r="Z1199" t="s">
        <v>45</v>
      </c>
      <c r="AA1199" t="s">
        <v>46</v>
      </c>
      <c r="AB1199">
        <v>0</v>
      </c>
      <c r="AC1199">
        <v>1</v>
      </c>
      <c r="AD1199" t="s">
        <v>32</v>
      </c>
      <c r="AE1199" t="s">
        <v>60</v>
      </c>
      <c r="AF1199" t="s">
        <v>43</v>
      </c>
      <c r="AG1199">
        <f>IF(HR_Data[[#This Row],[Attrition]]="Yes",1,0)</f>
        <v>0</v>
      </c>
      <c r="AH1199" t="str">
        <f>IF(HR_Data[Date_of_termination]="","Active","Left")</f>
        <v>Active</v>
      </c>
      <c r="AI1199" t="str">
        <f>IF(HR_Data[YearsAtCompany]&lt;=2,"Fresher", IF(HR_Data[YearsAtCompany]&lt;=5,"Junior", IF(HR_Data[YearsAtCompany]&lt;=10, "Mid","Senior")))</f>
        <v>Mid</v>
      </c>
      <c r="AJ1199" s="2" t="str">
        <f>IF(HR_Data[MonthlyIncome]&lt;=300,"Low", IF(HR_Data[MonthlyIncome]&lt;=7000,"Medium", "High"))</f>
        <v>High</v>
      </c>
      <c r="AK1199" s="2" t="str">
        <f>VLOOKUP(HR_Data[JobRole], JobRole_Map[], 2, FALSE)</f>
        <v>Sales</v>
      </c>
    </row>
    <row r="1200" spans="1:37" x14ac:dyDescent="0.25">
      <c r="A1200" s="2">
        <v>37</v>
      </c>
      <c r="B1200" t="s">
        <v>41</v>
      </c>
      <c r="C1200" t="s">
        <v>33</v>
      </c>
      <c r="D1200" t="s">
        <v>70</v>
      </c>
      <c r="E1200">
        <v>8</v>
      </c>
      <c r="F1200" t="s">
        <v>35</v>
      </c>
      <c r="G1200">
        <v>3</v>
      </c>
      <c r="H1200">
        <v>2</v>
      </c>
      <c r="I1200" t="s">
        <v>70</v>
      </c>
      <c r="J1200">
        <v>2</v>
      </c>
      <c r="K1200" t="s">
        <v>55</v>
      </c>
      <c r="L1200">
        <v>4071</v>
      </c>
      <c r="M1200">
        <v>2</v>
      </c>
      <c r="N1200" t="s">
        <v>41</v>
      </c>
      <c r="O1200">
        <v>13</v>
      </c>
      <c r="P1200">
        <v>3</v>
      </c>
      <c r="Q1200">
        <v>0</v>
      </c>
      <c r="R1200">
        <v>19</v>
      </c>
      <c r="S1200">
        <v>4</v>
      </c>
      <c r="T1200">
        <v>10</v>
      </c>
      <c r="U1200">
        <v>4</v>
      </c>
      <c r="V1200">
        <v>7</v>
      </c>
      <c r="W1200" t="s">
        <v>51</v>
      </c>
      <c r="X1200" s="1" t="d">
        <v>2011-04-13</v>
      </c>
      <c r="Z1200" t="s">
        <v>52</v>
      </c>
      <c r="AA1200" t="s">
        <v>40</v>
      </c>
      <c r="AB1200">
        <v>2</v>
      </c>
      <c r="AC1200">
        <v>1</v>
      </c>
      <c r="AD1200" t="s">
        <v>41</v>
      </c>
      <c r="AE1200" t="s">
        <v>47</v>
      </c>
      <c r="AF1200" t="s">
        <v>43</v>
      </c>
      <c r="AG1200">
        <f>IF(HR_Data[[#This Row],[Attrition]]="Yes",1,0)</f>
        <v>0</v>
      </c>
      <c r="AH1200" t="str">
        <f>IF(HR_Data[Date_of_termination]="","Active","Left")</f>
        <v>Active</v>
      </c>
      <c r="AI1200" t="str">
        <f>IF(HR_Data[YearsAtCompany]&lt;=2,"Fresher", IF(HR_Data[YearsAtCompany]&lt;=5,"Junior", IF(HR_Data[YearsAtCompany]&lt;=10, "Mid","Senior")))</f>
        <v>Mid</v>
      </c>
      <c r="AJ1200" s="2" t="str">
        <f>IF(HR_Data[MonthlyIncome]&lt;=300,"Low", IF(HR_Data[MonthlyIncome]&lt;=7000,"Medium", "High"))</f>
        <v>Medium</v>
      </c>
      <c r="AK1200" s="2" t="str">
        <f>VLOOKUP(HR_Data[JobRole], JobRole_Map[], 2, FALSE)</f>
        <v>HR</v>
      </c>
    </row>
    <row r="1201" spans="1:37" x14ac:dyDescent="0.25">
      <c r="A1201" s="2">
        <v>35</v>
      </c>
      <c r="B1201" t="s">
        <v>32</v>
      </c>
      <c r="C1201" t="s">
        <v>33</v>
      </c>
      <c r="D1201" t="s">
        <v>53</v>
      </c>
      <c r="E1201">
        <v>27</v>
      </c>
      <c r="F1201" t="s">
        <v>35</v>
      </c>
      <c r="G1201">
        <v>3</v>
      </c>
      <c r="H1201">
        <v>2</v>
      </c>
      <c r="I1201" t="s">
        <v>64</v>
      </c>
      <c r="J1201">
        <v>4</v>
      </c>
      <c r="K1201" t="s">
        <v>37</v>
      </c>
      <c r="L1201">
        <v>5813</v>
      </c>
      <c r="M1201">
        <v>1</v>
      </c>
      <c r="N1201" t="s">
        <v>32</v>
      </c>
      <c r="O1201">
        <v>18</v>
      </c>
      <c r="P1201">
        <v>3</v>
      </c>
      <c r="Q1201">
        <v>0</v>
      </c>
      <c r="R1201">
        <v>10</v>
      </c>
      <c r="S1201">
        <v>2</v>
      </c>
      <c r="T1201">
        <v>10</v>
      </c>
      <c r="U1201">
        <v>7</v>
      </c>
      <c r="V1201">
        <v>7</v>
      </c>
      <c r="W1201" t="s">
        <v>38</v>
      </c>
      <c r="X1201" s="1" t="d">
        <v>2011-03-20</v>
      </c>
      <c r="Z1201" t="s">
        <v>63</v>
      </c>
      <c r="AA1201" t="s">
        <v>40</v>
      </c>
      <c r="AB1201">
        <v>4</v>
      </c>
      <c r="AC1201">
        <v>1</v>
      </c>
      <c r="AD1201" t="s">
        <v>32</v>
      </c>
      <c r="AE1201" t="s">
        <v>42</v>
      </c>
      <c r="AF1201" t="s">
        <v>43</v>
      </c>
      <c r="AG1201">
        <f>IF(HR_Data[[#This Row],[Attrition]]="Yes",1,0)</f>
        <v>1</v>
      </c>
      <c r="AH1201" t="str">
        <f>IF(HR_Data[Date_of_termination]="","Active","Left")</f>
        <v>Active</v>
      </c>
      <c r="AI1201" t="str">
        <f>IF(HR_Data[YearsAtCompany]&lt;=2,"Fresher", IF(HR_Data[YearsAtCompany]&lt;=5,"Junior", IF(HR_Data[YearsAtCompany]&lt;=10, "Mid","Senior")))</f>
        <v>Mid</v>
      </c>
      <c r="AJ1201" s="2" t="str">
        <f>IF(HR_Data[MonthlyIncome]&lt;=300,"Low", IF(HR_Data[MonthlyIncome]&lt;=7000,"Medium", "High"))</f>
        <v>Medium</v>
      </c>
      <c r="AK1201" s="2" t="str">
        <f>VLOOKUP(HR_Data[JobRole], JobRole_Map[], 2, FALSE)</f>
        <v>Sales</v>
      </c>
    </row>
    <row r="1202" spans="1:37" x14ac:dyDescent="0.25">
      <c r="A1202" s="2">
        <v>33</v>
      </c>
      <c r="B1202" t="s">
        <v>41</v>
      </c>
      <c r="C1202" t="s">
        <v>33</v>
      </c>
      <c r="D1202" t="s">
        <v>34</v>
      </c>
      <c r="E1202">
        <v>8</v>
      </c>
      <c r="F1202" t="s">
        <v>35</v>
      </c>
      <c r="G1202">
        <v>4</v>
      </c>
      <c r="H1202">
        <v>1</v>
      </c>
      <c r="I1202" t="s">
        <v>44</v>
      </c>
      <c r="J1202">
        <v>1</v>
      </c>
      <c r="K1202" t="s">
        <v>50</v>
      </c>
      <c r="L1202">
        <v>3143</v>
      </c>
      <c r="M1202">
        <v>6</v>
      </c>
      <c r="N1202" t="s">
        <v>41</v>
      </c>
      <c r="O1202">
        <v>19</v>
      </c>
      <c r="P1202">
        <v>3</v>
      </c>
      <c r="Q1202">
        <v>1</v>
      </c>
      <c r="R1202">
        <v>14</v>
      </c>
      <c r="S1202">
        <v>1</v>
      </c>
      <c r="T1202">
        <v>10</v>
      </c>
      <c r="U1202">
        <v>7</v>
      </c>
      <c r="V1202">
        <v>6</v>
      </c>
      <c r="W1202" t="s">
        <v>56</v>
      </c>
      <c r="X1202" s="1" t="d">
        <v>2011-05-03</v>
      </c>
      <c r="Z1202" t="s">
        <v>45</v>
      </c>
      <c r="AA1202" t="s">
        <v>40</v>
      </c>
      <c r="AB1202">
        <v>0</v>
      </c>
      <c r="AC1202">
        <v>0</v>
      </c>
      <c r="AD1202" t="s">
        <v>41</v>
      </c>
      <c r="AE1202" t="s">
        <v>62</v>
      </c>
      <c r="AF1202" t="s">
        <v>48</v>
      </c>
      <c r="AG1202">
        <f>IF(HR_Data[[#This Row],[Attrition]]="Yes",1,0)</f>
        <v>0</v>
      </c>
      <c r="AH1202" t="str">
        <f>IF(HR_Data[Date_of_termination]="","Active","Left")</f>
        <v>Active</v>
      </c>
      <c r="AI1202" t="str">
        <f>IF(HR_Data[YearsAtCompany]&lt;=2,"Fresher", IF(HR_Data[YearsAtCompany]&lt;=5,"Junior", IF(HR_Data[YearsAtCompany]&lt;=10, "Mid","Senior")))</f>
        <v>Mid</v>
      </c>
      <c r="AJ1202" s="2" t="str">
        <f>IF(HR_Data[MonthlyIncome]&lt;=300,"Low", IF(HR_Data[MonthlyIncome]&lt;=7000,"Medium", "High"))</f>
        <v>Medium</v>
      </c>
      <c r="AK1202" s="2" t="str">
        <f>VLOOKUP(HR_Data[JobRole], JobRole_Map[], 2, FALSE)</f>
        <v>Technical</v>
      </c>
    </row>
    <row r="1203" spans="1:37" x14ac:dyDescent="0.25">
      <c r="A1203" s="2">
        <v>37</v>
      </c>
      <c r="B1203" t="s">
        <v>32</v>
      </c>
      <c r="C1203" t="s">
        <v>33</v>
      </c>
      <c r="D1203" t="s">
        <v>34</v>
      </c>
      <c r="E1203">
        <v>10</v>
      </c>
      <c r="F1203" t="s">
        <v>35</v>
      </c>
      <c r="G1203">
        <v>3</v>
      </c>
      <c r="H1203">
        <v>2</v>
      </c>
      <c r="I1203" t="s">
        <v>67</v>
      </c>
      <c r="J1203">
        <v>1</v>
      </c>
      <c r="K1203" t="s">
        <v>37</v>
      </c>
      <c r="L1203">
        <v>4213</v>
      </c>
      <c r="M1203">
        <v>1</v>
      </c>
      <c r="N1203" t="s">
        <v>41</v>
      </c>
      <c r="O1203">
        <v>15</v>
      </c>
      <c r="P1203">
        <v>3</v>
      </c>
      <c r="Q1203">
        <v>0</v>
      </c>
      <c r="R1203">
        <v>10</v>
      </c>
      <c r="S1203">
        <v>4</v>
      </c>
      <c r="T1203">
        <v>10</v>
      </c>
      <c r="U1203">
        <v>0</v>
      </c>
      <c r="V1203">
        <v>8</v>
      </c>
      <c r="W1203" t="s">
        <v>56</v>
      </c>
      <c r="X1203" s="1" t="d">
        <v>2011-02-01</v>
      </c>
      <c r="Z1203" t="s">
        <v>39</v>
      </c>
      <c r="AA1203" t="s">
        <v>40</v>
      </c>
      <c r="AB1203">
        <v>4</v>
      </c>
      <c r="AC1203">
        <v>2</v>
      </c>
      <c r="AD1203" t="s">
        <v>32</v>
      </c>
      <c r="AE1203" t="s">
        <v>60</v>
      </c>
      <c r="AF1203" t="s">
        <v>57</v>
      </c>
      <c r="AG1203">
        <f>IF(HR_Data[[#This Row],[Attrition]]="Yes",1,0)</f>
        <v>1</v>
      </c>
      <c r="AH1203" t="str">
        <f>IF(HR_Data[Date_of_termination]="","Active","Left")</f>
        <v>Active</v>
      </c>
      <c r="AI1203" t="str">
        <f>IF(HR_Data[YearsAtCompany]&lt;=2,"Fresher", IF(HR_Data[YearsAtCompany]&lt;=5,"Junior", IF(HR_Data[YearsAtCompany]&lt;=10, "Mid","Senior")))</f>
        <v>Mid</v>
      </c>
      <c r="AJ1203" s="2" t="str">
        <f>IF(HR_Data[MonthlyIncome]&lt;=300,"Low", IF(HR_Data[MonthlyIncome]&lt;=7000,"Medium", "High"))</f>
        <v>Medium</v>
      </c>
      <c r="AK1203" s="2" t="str">
        <f>VLOOKUP(HR_Data[JobRole], JobRole_Map[], 2, FALSE)</f>
        <v>Operations</v>
      </c>
    </row>
    <row r="1204" spans="1:37" x14ac:dyDescent="0.25">
      <c r="A1204" s="2">
        <v>34</v>
      </c>
      <c r="B1204" t="s">
        <v>41</v>
      </c>
      <c r="C1204" t="s">
        <v>33</v>
      </c>
      <c r="D1204" t="s">
        <v>53</v>
      </c>
      <c r="E1204">
        <v>8</v>
      </c>
      <c r="F1204" t="s">
        <v>35</v>
      </c>
      <c r="G1204">
        <v>4</v>
      </c>
      <c r="H1204">
        <v>2</v>
      </c>
      <c r="I1204" t="s">
        <v>64</v>
      </c>
      <c r="J1204">
        <v>3</v>
      </c>
      <c r="K1204" t="s">
        <v>50</v>
      </c>
      <c r="L1204">
        <v>6799</v>
      </c>
      <c r="M1204">
        <v>1</v>
      </c>
      <c r="N1204" t="s">
        <v>41</v>
      </c>
      <c r="O1204">
        <v>21</v>
      </c>
      <c r="P1204">
        <v>4</v>
      </c>
      <c r="Q1204">
        <v>2</v>
      </c>
      <c r="R1204">
        <v>10</v>
      </c>
      <c r="S1204">
        <v>5</v>
      </c>
      <c r="T1204">
        <v>10</v>
      </c>
      <c r="U1204">
        <v>4</v>
      </c>
      <c r="V1204">
        <v>8</v>
      </c>
      <c r="W1204" t="s">
        <v>38</v>
      </c>
      <c r="X1204" s="1" t="d">
        <v>2011-06-12</v>
      </c>
      <c r="Z1204" t="s">
        <v>59</v>
      </c>
      <c r="AA1204" t="s">
        <v>40</v>
      </c>
      <c r="AB1204">
        <v>0</v>
      </c>
      <c r="AC1204">
        <v>3</v>
      </c>
      <c r="AD1204" t="s">
        <v>32</v>
      </c>
      <c r="AE1204" t="s">
        <v>47</v>
      </c>
      <c r="AF1204" t="s">
        <v>57</v>
      </c>
      <c r="AG1204">
        <f>IF(HR_Data[[#This Row],[Attrition]]="Yes",1,0)</f>
        <v>0</v>
      </c>
      <c r="AH1204" t="str">
        <f>IF(HR_Data[Date_of_termination]="","Active","Left")</f>
        <v>Active</v>
      </c>
      <c r="AI1204" t="str">
        <f>IF(HR_Data[YearsAtCompany]&lt;=2,"Fresher", IF(HR_Data[YearsAtCompany]&lt;=5,"Junior", IF(HR_Data[YearsAtCompany]&lt;=10, "Mid","Senior")))</f>
        <v>Mid</v>
      </c>
      <c r="AJ1204" s="2" t="str">
        <f>IF(HR_Data[MonthlyIncome]&lt;=300,"Low", IF(HR_Data[MonthlyIncome]&lt;=7000,"Medium", "High"))</f>
        <v>Medium</v>
      </c>
      <c r="AK1204" s="2" t="str">
        <f>VLOOKUP(HR_Data[JobRole], JobRole_Map[], 2, FALSE)</f>
        <v>Sales</v>
      </c>
    </row>
    <row r="1205" spans="1:37" x14ac:dyDescent="0.25">
      <c r="A1205" s="2">
        <v>31</v>
      </c>
      <c r="B1205" t="s">
        <v>41</v>
      </c>
      <c r="C1205" t="s">
        <v>33</v>
      </c>
      <c r="D1205" t="s">
        <v>34</v>
      </c>
      <c r="E1205">
        <v>20</v>
      </c>
      <c r="F1205" t="s">
        <v>35</v>
      </c>
      <c r="G1205">
        <v>3</v>
      </c>
      <c r="H1205">
        <v>2</v>
      </c>
      <c r="I1205" t="s">
        <v>36</v>
      </c>
      <c r="J1205">
        <v>3</v>
      </c>
      <c r="K1205" t="s">
        <v>55</v>
      </c>
      <c r="L1205">
        <v>4197</v>
      </c>
      <c r="M1205">
        <v>1</v>
      </c>
      <c r="N1205" t="s">
        <v>41</v>
      </c>
      <c r="O1205">
        <v>11</v>
      </c>
      <c r="P1205">
        <v>3</v>
      </c>
      <c r="Q1205">
        <v>1</v>
      </c>
      <c r="R1205">
        <v>10</v>
      </c>
      <c r="S1205">
        <v>2</v>
      </c>
      <c r="T1205">
        <v>10</v>
      </c>
      <c r="U1205">
        <v>0</v>
      </c>
      <c r="V1205">
        <v>2</v>
      </c>
      <c r="W1205" t="s">
        <v>56</v>
      </c>
      <c r="X1205" s="1" t="d">
        <v>2011-06-27</v>
      </c>
      <c r="Z1205" t="s">
        <v>63</v>
      </c>
      <c r="AA1205" t="s">
        <v>46</v>
      </c>
      <c r="AB1205">
        <v>4</v>
      </c>
      <c r="AC1205">
        <v>1</v>
      </c>
      <c r="AD1205" t="s">
        <v>41</v>
      </c>
      <c r="AE1205" t="s">
        <v>62</v>
      </c>
      <c r="AF1205" t="s">
        <v>43</v>
      </c>
      <c r="AG1205">
        <f>IF(HR_Data[[#This Row],[Attrition]]="Yes",1,0)</f>
        <v>0</v>
      </c>
      <c r="AH1205" t="str">
        <f>IF(HR_Data[Date_of_termination]="","Active","Left")</f>
        <v>Active</v>
      </c>
      <c r="AI1205" t="str">
        <f>IF(HR_Data[YearsAtCompany]&lt;=2,"Fresher", IF(HR_Data[YearsAtCompany]&lt;=5,"Junior", IF(HR_Data[YearsAtCompany]&lt;=10, "Mid","Senior")))</f>
        <v>Mid</v>
      </c>
      <c r="AJ1205" s="2" t="str">
        <f>IF(HR_Data[MonthlyIncome]&lt;=300,"Low", IF(HR_Data[MonthlyIncome]&lt;=7000,"Medium", "High"))</f>
        <v>Medium</v>
      </c>
      <c r="AK1205" s="2" t="str">
        <f>VLOOKUP(HR_Data[JobRole], JobRole_Map[], 2, FALSE)</f>
        <v>Technical</v>
      </c>
    </row>
    <row r="1206" spans="1:37" x14ac:dyDescent="0.25">
      <c r="A1206" s="2">
        <v>36</v>
      </c>
      <c r="B1206" t="s">
        <v>41</v>
      </c>
      <c r="C1206" t="s">
        <v>61</v>
      </c>
      <c r="D1206" t="s">
        <v>70</v>
      </c>
      <c r="E1206">
        <v>2</v>
      </c>
      <c r="F1206" t="s">
        <v>35</v>
      </c>
      <c r="G1206">
        <v>2</v>
      </c>
      <c r="H1206">
        <v>2</v>
      </c>
      <c r="I1206" t="s">
        <v>70</v>
      </c>
      <c r="J1206">
        <v>4</v>
      </c>
      <c r="K1206" t="s">
        <v>37</v>
      </c>
      <c r="L1206">
        <v>3886</v>
      </c>
      <c r="M1206">
        <v>1</v>
      </c>
      <c r="N1206" t="s">
        <v>41</v>
      </c>
      <c r="O1206">
        <v>21</v>
      </c>
      <c r="P1206">
        <v>4</v>
      </c>
      <c r="Q1206">
        <v>0</v>
      </c>
      <c r="R1206">
        <v>10</v>
      </c>
      <c r="S1206">
        <v>2</v>
      </c>
      <c r="T1206">
        <v>10</v>
      </c>
      <c r="U1206">
        <v>0</v>
      </c>
      <c r="V1206">
        <v>8</v>
      </c>
      <c r="W1206" t="s">
        <v>56</v>
      </c>
      <c r="X1206" s="1" t="d">
        <v>2011-03-21</v>
      </c>
      <c r="Z1206" t="s">
        <v>63</v>
      </c>
      <c r="AA1206" t="s">
        <v>46</v>
      </c>
      <c r="AB1206">
        <v>1</v>
      </c>
      <c r="AC1206">
        <v>3</v>
      </c>
      <c r="AD1206" t="s">
        <v>41</v>
      </c>
      <c r="AE1206" t="s">
        <v>47</v>
      </c>
      <c r="AF1206" t="s">
        <v>48</v>
      </c>
      <c r="AG1206">
        <f>IF(HR_Data[[#This Row],[Attrition]]="Yes",1,0)</f>
        <v>0</v>
      </c>
      <c r="AH1206" t="str">
        <f>IF(HR_Data[Date_of_termination]="","Active","Left")</f>
        <v>Active</v>
      </c>
      <c r="AI1206" t="str">
        <f>IF(HR_Data[YearsAtCompany]&lt;=2,"Fresher", IF(HR_Data[YearsAtCompany]&lt;=5,"Junior", IF(HR_Data[YearsAtCompany]&lt;=10, "Mid","Senior")))</f>
        <v>Mid</v>
      </c>
      <c r="AJ1206" s="2" t="str">
        <f>IF(HR_Data[MonthlyIncome]&lt;=300,"Low", IF(HR_Data[MonthlyIncome]&lt;=7000,"Medium", "High"))</f>
        <v>Medium</v>
      </c>
      <c r="AK1206" s="2" t="str">
        <f>VLOOKUP(HR_Data[JobRole], JobRole_Map[], 2, FALSE)</f>
        <v>HR</v>
      </c>
    </row>
    <row r="1207" spans="1:37" x14ac:dyDescent="0.25">
      <c r="A1207" s="2">
        <v>33</v>
      </c>
      <c r="B1207" t="s">
        <v>41</v>
      </c>
      <c r="C1207" t="s">
        <v>33</v>
      </c>
      <c r="D1207" t="s">
        <v>53</v>
      </c>
      <c r="E1207">
        <v>10</v>
      </c>
      <c r="F1207" t="s">
        <v>35</v>
      </c>
      <c r="G1207">
        <v>3</v>
      </c>
      <c r="H1207">
        <v>2</v>
      </c>
      <c r="I1207" t="s">
        <v>64</v>
      </c>
      <c r="J1207">
        <v>3</v>
      </c>
      <c r="K1207" t="s">
        <v>37</v>
      </c>
      <c r="L1207">
        <v>5487</v>
      </c>
      <c r="M1207">
        <v>1</v>
      </c>
      <c r="N1207" t="s">
        <v>41</v>
      </c>
      <c r="O1207">
        <v>14</v>
      </c>
      <c r="P1207">
        <v>3</v>
      </c>
      <c r="Q1207">
        <v>0</v>
      </c>
      <c r="R1207">
        <v>10</v>
      </c>
      <c r="S1207">
        <v>2</v>
      </c>
      <c r="T1207">
        <v>10</v>
      </c>
      <c r="U1207">
        <v>0</v>
      </c>
      <c r="V1207">
        <v>9</v>
      </c>
      <c r="W1207" t="s">
        <v>56</v>
      </c>
      <c r="X1207" s="1" t="d">
        <v>2011-03-01</v>
      </c>
      <c r="Z1207" t="s">
        <v>59</v>
      </c>
      <c r="AA1207" t="s">
        <v>40</v>
      </c>
      <c r="AB1207">
        <v>0</v>
      </c>
      <c r="AC1207">
        <v>1</v>
      </c>
      <c r="AD1207" t="s">
        <v>32</v>
      </c>
      <c r="AE1207" t="s">
        <v>62</v>
      </c>
      <c r="AF1207" t="s">
        <v>57</v>
      </c>
      <c r="AG1207">
        <f>IF(HR_Data[[#This Row],[Attrition]]="Yes",1,0)</f>
        <v>0</v>
      </c>
      <c r="AH1207" t="str">
        <f>IF(HR_Data[Date_of_termination]="","Active","Left")</f>
        <v>Active</v>
      </c>
      <c r="AI1207" t="str">
        <f>IF(HR_Data[YearsAtCompany]&lt;=2,"Fresher", IF(HR_Data[YearsAtCompany]&lt;=5,"Junior", IF(HR_Data[YearsAtCompany]&lt;=10, "Mid","Senior")))</f>
        <v>Mid</v>
      </c>
      <c r="AJ1207" s="2" t="str">
        <f>IF(HR_Data[MonthlyIncome]&lt;=300,"Low", IF(HR_Data[MonthlyIncome]&lt;=7000,"Medium", "High"))</f>
        <v>Medium</v>
      </c>
      <c r="AK1207" s="2" t="str">
        <f>VLOOKUP(HR_Data[JobRole], JobRole_Map[], 2, FALSE)</f>
        <v>Sales</v>
      </c>
    </row>
    <row r="1208" spans="1:37" x14ac:dyDescent="0.25">
      <c r="A1208" s="2">
        <v>39</v>
      </c>
      <c r="B1208" t="s">
        <v>41</v>
      </c>
      <c r="C1208" t="s">
        <v>33</v>
      </c>
      <c r="D1208" t="s">
        <v>34</v>
      </c>
      <c r="E1208">
        <v>9</v>
      </c>
      <c r="F1208" t="s">
        <v>35</v>
      </c>
      <c r="G1208">
        <v>3</v>
      </c>
      <c r="H1208">
        <v>2</v>
      </c>
      <c r="I1208" t="s">
        <v>67</v>
      </c>
      <c r="J1208">
        <v>1</v>
      </c>
      <c r="K1208" t="s">
        <v>50</v>
      </c>
      <c r="L1208">
        <v>5151</v>
      </c>
      <c r="M1208">
        <v>1</v>
      </c>
      <c r="N1208" t="s">
        <v>41</v>
      </c>
      <c r="O1208">
        <v>25</v>
      </c>
      <c r="P1208">
        <v>4</v>
      </c>
      <c r="Q1208">
        <v>1</v>
      </c>
      <c r="R1208">
        <v>10</v>
      </c>
      <c r="S1208">
        <v>3</v>
      </c>
      <c r="T1208">
        <v>10</v>
      </c>
      <c r="U1208">
        <v>7</v>
      </c>
      <c r="V1208">
        <v>9</v>
      </c>
      <c r="W1208" t="s">
        <v>51</v>
      </c>
      <c r="X1208" s="1" t="d">
        <v>2011-02-02</v>
      </c>
      <c r="Z1208" t="s">
        <v>45</v>
      </c>
      <c r="AA1208" t="s">
        <v>46</v>
      </c>
      <c r="AB1208">
        <v>5</v>
      </c>
      <c r="AC1208">
        <v>2</v>
      </c>
      <c r="AD1208" t="s">
        <v>32</v>
      </c>
      <c r="AE1208" t="s">
        <v>42</v>
      </c>
      <c r="AF1208" t="s">
        <v>43</v>
      </c>
      <c r="AG1208">
        <f>IF(HR_Data[[#This Row],[Attrition]]="Yes",1,0)</f>
        <v>0</v>
      </c>
      <c r="AH1208" t="str">
        <f>IF(HR_Data[Date_of_termination]="","Active","Left")</f>
        <v>Active</v>
      </c>
      <c r="AI1208" t="str">
        <f>IF(HR_Data[YearsAtCompany]&lt;=2,"Fresher", IF(HR_Data[YearsAtCompany]&lt;=5,"Junior", IF(HR_Data[YearsAtCompany]&lt;=10, "Mid","Senior")))</f>
        <v>Mid</v>
      </c>
      <c r="AJ1208" s="2" t="str">
        <f>IF(HR_Data[MonthlyIncome]&lt;=300,"Low", IF(HR_Data[MonthlyIncome]&lt;=7000,"Medium", "High"))</f>
        <v>Medium</v>
      </c>
      <c r="AK1208" s="2" t="str">
        <f>VLOOKUP(HR_Data[JobRole], JobRole_Map[], 2, FALSE)</f>
        <v>Operations</v>
      </c>
    </row>
    <row r="1209" spans="1:37" x14ac:dyDescent="0.25">
      <c r="A1209" s="2">
        <v>31</v>
      </c>
      <c r="B1209" t="s">
        <v>41</v>
      </c>
      <c r="C1209" t="s">
        <v>61</v>
      </c>
      <c r="D1209" t="s">
        <v>34</v>
      </c>
      <c r="E1209">
        <v>1</v>
      </c>
      <c r="F1209" t="s">
        <v>35</v>
      </c>
      <c r="G1209">
        <v>1</v>
      </c>
      <c r="H1209">
        <v>2</v>
      </c>
      <c r="I1209" t="s">
        <v>44</v>
      </c>
      <c r="J1209">
        <v>1</v>
      </c>
      <c r="K1209" t="s">
        <v>50</v>
      </c>
      <c r="L1209">
        <v>5003</v>
      </c>
      <c r="M1209">
        <v>1</v>
      </c>
      <c r="N1209" t="s">
        <v>41</v>
      </c>
      <c r="O1209">
        <v>21</v>
      </c>
      <c r="P1209">
        <v>4</v>
      </c>
      <c r="Q1209">
        <v>0</v>
      </c>
      <c r="R1209">
        <v>10</v>
      </c>
      <c r="S1209">
        <v>6</v>
      </c>
      <c r="T1209">
        <v>10</v>
      </c>
      <c r="U1209">
        <v>8</v>
      </c>
      <c r="V1209">
        <v>7</v>
      </c>
      <c r="W1209" t="s">
        <v>38</v>
      </c>
      <c r="X1209" s="1" t="d">
        <v>2011-04-25</v>
      </c>
      <c r="Z1209" t="s">
        <v>63</v>
      </c>
      <c r="AA1209" t="s">
        <v>40</v>
      </c>
      <c r="AB1209">
        <v>3</v>
      </c>
      <c r="AC1209">
        <v>3</v>
      </c>
      <c r="AD1209" t="s">
        <v>32</v>
      </c>
      <c r="AE1209" t="s">
        <v>62</v>
      </c>
      <c r="AF1209" t="s">
        <v>57</v>
      </c>
      <c r="AG1209">
        <f>IF(HR_Data[[#This Row],[Attrition]]="Yes",1,0)</f>
        <v>0</v>
      </c>
      <c r="AH1209" t="str">
        <f>IF(HR_Data[Date_of_termination]="","Active","Left")</f>
        <v>Active</v>
      </c>
      <c r="AI1209" t="str">
        <f>IF(HR_Data[YearsAtCompany]&lt;=2,"Fresher", IF(HR_Data[YearsAtCompany]&lt;=5,"Junior", IF(HR_Data[YearsAtCompany]&lt;=10, "Mid","Senior")))</f>
        <v>Mid</v>
      </c>
      <c r="AJ1209" s="2" t="str">
        <f>IF(HR_Data[MonthlyIncome]&lt;=300,"Low", IF(HR_Data[MonthlyIncome]&lt;=7000,"Medium", "High"))</f>
        <v>Medium</v>
      </c>
      <c r="AK1209" s="2" t="str">
        <f>VLOOKUP(HR_Data[JobRole], JobRole_Map[], 2, FALSE)</f>
        <v>Technical</v>
      </c>
    </row>
    <row r="1210" spans="1:37" x14ac:dyDescent="0.25">
      <c r="A1210" s="2">
        <v>35</v>
      </c>
      <c r="B1210" t="s">
        <v>41</v>
      </c>
      <c r="C1210" t="s">
        <v>33</v>
      </c>
      <c r="D1210" t="s">
        <v>53</v>
      </c>
      <c r="E1210">
        <v>7</v>
      </c>
      <c r="F1210" t="s">
        <v>58</v>
      </c>
      <c r="G1210">
        <v>3</v>
      </c>
      <c r="H1210">
        <v>2</v>
      </c>
      <c r="I1210" t="s">
        <v>64</v>
      </c>
      <c r="J1210">
        <v>4</v>
      </c>
      <c r="K1210" t="s">
        <v>50</v>
      </c>
      <c r="L1210">
        <v>5204</v>
      </c>
      <c r="M1210">
        <v>1</v>
      </c>
      <c r="N1210" t="s">
        <v>32</v>
      </c>
      <c r="O1210">
        <v>11</v>
      </c>
      <c r="P1210">
        <v>3</v>
      </c>
      <c r="Q1210">
        <v>0</v>
      </c>
      <c r="R1210">
        <v>10</v>
      </c>
      <c r="S1210">
        <v>2</v>
      </c>
      <c r="T1210">
        <v>10</v>
      </c>
      <c r="U1210">
        <v>0</v>
      </c>
      <c r="V1210">
        <v>9</v>
      </c>
      <c r="W1210" t="s">
        <v>65</v>
      </c>
      <c r="X1210" s="1" t="d">
        <v>2011-05-02</v>
      </c>
      <c r="Z1210" t="s">
        <v>63</v>
      </c>
      <c r="AA1210" t="s">
        <v>40</v>
      </c>
      <c r="AB1210">
        <v>0</v>
      </c>
      <c r="AC1210">
        <v>2</v>
      </c>
      <c r="AD1210" t="s">
        <v>41</v>
      </c>
      <c r="AE1210" t="s">
        <v>62</v>
      </c>
      <c r="AF1210" t="s">
        <v>48</v>
      </c>
      <c r="AG1210">
        <f>IF(HR_Data[[#This Row],[Attrition]]="Yes",1,0)</f>
        <v>0</v>
      </c>
      <c r="AH1210" t="str">
        <f>IF(HR_Data[Date_of_termination]="","Active","Left")</f>
        <v>Active</v>
      </c>
      <c r="AI1210" t="str">
        <f>IF(HR_Data[YearsAtCompany]&lt;=2,"Fresher", IF(HR_Data[YearsAtCompany]&lt;=5,"Junior", IF(HR_Data[YearsAtCompany]&lt;=10, "Mid","Senior")))</f>
        <v>Mid</v>
      </c>
      <c r="AJ1210" s="2" t="str">
        <f>IF(HR_Data[MonthlyIncome]&lt;=300,"Low", IF(HR_Data[MonthlyIncome]&lt;=7000,"Medium", "High"))</f>
        <v>Medium</v>
      </c>
      <c r="AK1210" s="2" t="str">
        <f>VLOOKUP(HR_Data[JobRole], JobRole_Map[], 2, FALSE)</f>
        <v>Sales</v>
      </c>
    </row>
    <row r="1211" spans="1:37" x14ac:dyDescent="0.25">
      <c r="A1211" s="2">
        <v>31</v>
      </c>
      <c r="B1211" t="s">
        <v>32</v>
      </c>
      <c r="C1211" t="s">
        <v>61</v>
      </c>
      <c r="D1211" t="s">
        <v>53</v>
      </c>
      <c r="E1211">
        <v>26</v>
      </c>
      <c r="F1211" t="s">
        <v>35</v>
      </c>
      <c r="G1211">
        <v>3</v>
      </c>
      <c r="H1211">
        <v>2</v>
      </c>
      <c r="I1211" t="s">
        <v>64</v>
      </c>
      <c r="J1211">
        <v>4</v>
      </c>
      <c r="K1211" t="s">
        <v>50</v>
      </c>
      <c r="L1211">
        <v>5617</v>
      </c>
      <c r="M1211">
        <v>1</v>
      </c>
      <c r="N1211" t="s">
        <v>32</v>
      </c>
      <c r="O1211">
        <v>11</v>
      </c>
      <c r="P1211">
        <v>3</v>
      </c>
      <c r="Q1211">
        <v>0</v>
      </c>
      <c r="R1211">
        <v>10</v>
      </c>
      <c r="S1211">
        <v>4</v>
      </c>
      <c r="T1211">
        <v>10</v>
      </c>
      <c r="U1211">
        <v>0</v>
      </c>
      <c r="V1211">
        <v>8</v>
      </c>
      <c r="W1211" t="s">
        <v>65</v>
      </c>
      <c r="X1211" s="1" t="d">
        <v>2011-01-18</v>
      </c>
      <c r="Z1211" t="s">
        <v>59</v>
      </c>
      <c r="AA1211" t="s">
        <v>40</v>
      </c>
      <c r="AB1211">
        <v>1</v>
      </c>
      <c r="AC1211">
        <v>0</v>
      </c>
      <c r="AD1211" t="s">
        <v>41</v>
      </c>
      <c r="AE1211" t="s">
        <v>42</v>
      </c>
      <c r="AF1211" t="s">
        <v>43</v>
      </c>
      <c r="AG1211">
        <f>IF(HR_Data[[#This Row],[Attrition]]="Yes",1,0)</f>
        <v>1</v>
      </c>
      <c r="AH1211" t="str">
        <f>IF(HR_Data[Date_of_termination]="","Active","Left")</f>
        <v>Active</v>
      </c>
      <c r="AI1211" t="str">
        <f>IF(HR_Data[YearsAtCompany]&lt;=2,"Fresher", IF(HR_Data[YearsAtCompany]&lt;=5,"Junior", IF(HR_Data[YearsAtCompany]&lt;=10, "Mid","Senior")))</f>
        <v>Mid</v>
      </c>
      <c r="AJ1211" s="2" t="str">
        <f>IF(HR_Data[MonthlyIncome]&lt;=300,"Low", IF(HR_Data[MonthlyIncome]&lt;=7000,"Medium", "High"))</f>
        <v>Medium</v>
      </c>
      <c r="AK1211" s="2" t="str">
        <f>VLOOKUP(HR_Data[JobRole], JobRole_Map[], 2, FALSE)</f>
        <v>Sales</v>
      </c>
    </row>
    <row r="1212" spans="1:37" x14ac:dyDescent="0.25">
      <c r="A1212" s="2">
        <v>43</v>
      </c>
      <c r="B1212" t="s">
        <v>41</v>
      </c>
      <c r="C1212" t="s">
        <v>33</v>
      </c>
      <c r="D1212" t="s">
        <v>34</v>
      </c>
      <c r="E1212">
        <v>11</v>
      </c>
      <c r="F1212" t="s">
        <v>35</v>
      </c>
      <c r="G1212">
        <v>3</v>
      </c>
      <c r="H1212">
        <v>3</v>
      </c>
      <c r="I1212" t="s">
        <v>69</v>
      </c>
      <c r="J1212">
        <v>3</v>
      </c>
      <c r="K1212" t="s">
        <v>50</v>
      </c>
      <c r="L1212">
        <v>7510</v>
      </c>
      <c r="M1212">
        <v>1</v>
      </c>
      <c r="N1212" t="s">
        <v>41</v>
      </c>
      <c r="O1212">
        <v>17</v>
      </c>
      <c r="P1212">
        <v>3</v>
      </c>
      <c r="Q1212">
        <v>1</v>
      </c>
      <c r="R1212">
        <v>10</v>
      </c>
      <c r="S1212">
        <v>1</v>
      </c>
      <c r="T1212">
        <v>10</v>
      </c>
      <c r="U1212">
        <v>0</v>
      </c>
      <c r="V1212">
        <v>9</v>
      </c>
      <c r="W1212" t="s">
        <v>65</v>
      </c>
      <c r="X1212" s="1" t="d">
        <v>2011-04-18</v>
      </c>
      <c r="Z1212" t="s">
        <v>52</v>
      </c>
      <c r="AA1212" t="s">
        <v>46</v>
      </c>
      <c r="AB1212">
        <v>1</v>
      </c>
      <c r="AC1212">
        <v>1</v>
      </c>
      <c r="AD1212" t="s">
        <v>41</v>
      </c>
      <c r="AE1212" t="s">
        <v>42</v>
      </c>
      <c r="AF1212" t="s">
        <v>43</v>
      </c>
      <c r="AG1212">
        <f>IF(HR_Data[[#This Row],[Attrition]]="Yes",1,0)</f>
        <v>0</v>
      </c>
      <c r="AH1212" t="str">
        <f>IF(HR_Data[Date_of_termination]="","Active","Left")</f>
        <v>Active</v>
      </c>
      <c r="AI1212" t="str">
        <f>IF(HR_Data[YearsAtCompany]&lt;=2,"Fresher", IF(HR_Data[YearsAtCompany]&lt;=5,"Junior", IF(HR_Data[YearsAtCompany]&lt;=10, "Mid","Senior")))</f>
        <v>Mid</v>
      </c>
      <c r="AJ1212" s="2" t="str">
        <f>IF(HR_Data[MonthlyIncome]&lt;=300,"Low", IF(HR_Data[MonthlyIncome]&lt;=7000,"Medium", "High"))</f>
        <v>High</v>
      </c>
      <c r="AK1212" s="2" t="str">
        <f>VLOOKUP(HR_Data[JobRole], JobRole_Map[], 2, FALSE)</f>
        <v>Operations</v>
      </c>
    </row>
    <row r="1213" spans="1:37" x14ac:dyDescent="0.25">
      <c r="A1213" s="2">
        <v>55</v>
      </c>
      <c r="B1213" t="s">
        <v>41</v>
      </c>
      <c r="C1213" t="s">
        <v>33</v>
      </c>
      <c r="D1213" t="s">
        <v>70</v>
      </c>
      <c r="E1213">
        <v>26</v>
      </c>
      <c r="F1213" t="s">
        <v>35</v>
      </c>
      <c r="G1213">
        <v>4</v>
      </c>
      <c r="H1213">
        <v>5</v>
      </c>
      <c r="I1213" t="s">
        <v>66</v>
      </c>
      <c r="J1213">
        <v>2</v>
      </c>
      <c r="K1213" t="s">
        <v>50</v>
      </c>
      <c r="L1213">
        <v>19636</v>
      </c>
      <c r="M1213">
        <v>4</v>
      </c>
      <c r="N1213" t="s">
        <v>32</v>
      </c>
      <c r="O1213">
        <v>18</v>
      </c>
      <c r="P1213">
        <v>3</v>
      </c>
      <c r="Q1213">
        <v>1</v>
      </c>
      <c r="R1213">
        <v>35</v>
      </c>
      <c r="S1213">
        <v>0</v>
      </c>
      <c r="T1213">
        <v>10</v>
      </c>
      <c r="U1213">
        <v>1</v>
      </c>
      <c r="V1213">
        <v>4</v>
      </c>
      <c r="W1213" t="s">
        <v>65</v>
      </c>
      <c r="X1213" s="1" t="d">
        <v>2011-04-11</v>
      </c>
      <c r="Z1213" t="s">
        <v>52</v>
      </c>
      <c r="AA1213" t="s">
        <v>40</v>
      </c>
      <c r="AB1213">
        <v>1</v>
      </c>
      <c r="AC1213">
        <v>3</v>
      </c>
      <c r="AD1213" t="s">
        <v>41</v>
      </c>
      <c r="AE1213" t="s">
        <v>62</v>
      </c>
      <c r="AF1213" t="s">
        <v>57</v>
      </c>
      <c r="AG1213">
        <f>IF(HR_Data[[#This Row],[Attrition]]="Yes",1,0)</f>
        <v>0</v>
      </c>
      <c r="AH1213" t="str">
        <f>IF(HR_Data[Date_of_termination]="","Active","Left")</f>
        <v>Active</v>
      </c>
      <c r="AI1213" t="str">
        <f>IF(HR_Data[YearsAtCompany]&lt;=2,"Fresher", IF(HR_Data[YearsAtCompany]&lt;=5,"Junior", IF(HR_Data[YearsAtCompany]&lt;=10, "Mid","Senior")))</f>
        <v>Mid</v>
      </c>
      <c r="AJ1213" s="2" t="str">
        <f>IF(HR_Data[MonthlyIncome]&lt;=300,"Low", IF(HR_Data[MonthlyIncome]&lt;=7000,"Medium", "High"))</f>
        <v>High</v>
      </c>
      <c r="AK1213" s="2" t="str">
        <f>VLOOKUP(HR_Data[JobRole], JobRole_Map[], 2, FALSE)</f>
        <v>Management</v>
      </c>
    </row>
    <row r="1214" spans="1:37" x14ac:dyDescent="0.25">
      <c r="A1214" s="2">
        <v>40</v>
      </c>
      <c r="B1214" t="s">
        <v>41</v>
      </c>
      <c r="C1214" t="s">
        <v>61</v>
      </c>
      <c r="D1214" t="s">
        <v>34</v>
      </c>
      <c r="E1214">
        <v>11</v>
      </c>
      <c r="F1214" t="s">
        <v>58</v>
      </c>
      <c r="G1214">
        <v>3</v>
      </c>
      <c r="H1214">
        <v>2</v>
      </c>
      <c r="I1214" t="s">
        <v>36</v>
      </c>
      <c r="J1214">
        <v>3</v>
      </c>
      <c r="K1214" t="s">
        <v>50</v>
      </c>
      <c r="L1214">
        <v>6323</v>
      </c>
      <c r="M1214">
        <v>1</v>
      </c>
      <c r="N1214" t="s">
        <v>41</v>
      </c>
      <c r="O1214">
        <v>11</v>
      </c>
      <c r="P1214">
        <v>3</v>
      </c>
      <c r="Q1214">
        <v>1</v>
      </c>
      <c r="R1214">
        <v>10</v>
      </c>
      <c r="S1214">
        <v>2</v>
      </c>
      <c r="T1214">
        <v>10</v>
      </c>
      <c r="U1214">
        <v>9</v>
      </c>
      <c r="V1214">
        <v>4</v>
      </c>
      <c r="W1214" t="s">
        <v>38</v>
      </c>
      <c r="X1214" s="1" t="d">
        <v>2011-06-21</v>
      </c>
      <c r="Z1214" t="s">
        <v>59</v>
      </c>
      <c r="AA1214" t="s">
        <v>40</v>
      </c>
      <c r="AB1214">
        <v>5</v>
      </c>
      <c r="AC1214">
        <v>3</v>
      </c>
      <c r="AD1214" t="s">
        <v>32</v>
      </c>
      <c r="AE1214" t="s">
        <v>47</v>
      </c>
      <c r="AF1214" t="s">
        <v>43</v>
      </c>
      <c r="AG1214">
        <f>IF(HR_Data[[#This Row],[Attrition]]="Yes",1,0)</f>
        <v>0</v>
      </c>
      <c r="AH1214" t="str">
        <f>IF(HR_Data[Date_of_termination]="","Active","Left")</f>
        <v>Active</v>
      </c>
      <c r="AI1214" t="str">
        <f>IF(HR_Data[YearsAtCompany]&lt;=2,"Fresher", IF(HR_Data[YearsAtCompany]&lt;=5,"Junior", IF(HR_Data[YearsAtCompany]&lt;=10, "Mid","Senior")))</f>
        <v>Mid</v>
      </c>
      <c r="AJ1214" s="2" t="str">
        <f>IF(HR_Data[MonthlyIncome]&lt;=300,"Low", IF(HR_Data[MonthlyIncome]&lt;=7000,"Medium", "High"))</f>
        <v>Medium</v>
      </c>
      <c r="AK1214" s="2" t="str">
        <f>VLOOKUP(HR_Data[JobRole], JobRole_Map[], 2, FALSE)</f>
        <v>Technical</v>
      </c>
    </row>
    <row r="1215" spans="1:37" x14ac:dyDescent="0.25">
      <c r="A1215" s="2">
        <v>35</v>
      </c>
      <c r="B1215" t="s">
        <v>41</v>
      </c>
      <c r="C1215" t="s">
        <v>33</v>
      </c>
      <c r="D1215" t="s">
        <v>34</v>
      </c>
      <c r="E1215">
        <v>9</v>
      </c>
      <c r="F1215" t="s">
        <v>35</v>
      </c>
      <c r="G1215">
        <v>3</v>
      </c>
      <c r="H1215">
        <v>2</v>
      </c>
      <c r="I1215" t="s">
        <v>44</v>
      </c>
      <c r="J1215">
        <v>3</v>
      </c>
      <c r="K1215" t="s">
        <v>37</v>
      </c>
      <c r="L1215">
        <v>5098</v>
      </c>
      <c r="M1215">
        <v>1</v>
      </c>
      <c r="N1215" t="s">
        <v>41</v>
      </c>
      <c r="O1215">
        <v>19</v>
      </c>
      <c r="P1215">
        <v>3</v>
      </c>
      <c r="Q1215">
        <v>0</v>
      </c>
      <c r="R1215">
        <v>10</v>
      </c>
      <c r="S1215">
        <v>5</v>
      </c>
      <c r="T1215">
        <v>10</v>
      </c>
      <c r="U1215">
        <v>0</v>
      </c>
      <c r="V1215">
        <v>8</v>
      </c>
      <c r="W1215" t="s">
        <v>38</v>
      </c>
      <c r="X1215" s="1" t="d">
        <v>2011-02-23</v>
      </c>
      <c r="Z1215" t="s">
        <v>52</v>
      </c>
      <c r="AA1215" t="s">
        <v>40</v>
      </c>
      <c r="AB1215">
        <v>2</v>
      </c>
      <c r="AC1215">
        <v>0</v>
      </c>
      <c r="AD1215" t="s">
        <v>32</v>
      </c>
      <c r="AE1215" t="s">
        <v>47</v>
      </c>
      <c r="AF1215" t="s">
        <v>57</v>
      </c>
      <c r="AG1215">
        <f>IF(HR_Data[[#This Row],[Attrition]]="Yes",1,0)</f>
        <v>0</v>
      </c>
      <c r="AH1215" t="str">
        <f>IF(HR_Data[Date_of_termination]="","Active","Left")</f>
        <v>Active</v>
      </c>
      <c r="AI1215" t="str">
        <f>IF(HR_Data[YearsAtCompany]&lt;=2,"Fresher", IF(HR_Data[YearsAtCompany]&lt;=5,"Junior", IF(HR_Data[YearsAtCompany]&lt;=10, "Mid","Senior")))</f>
        <v>Mid</v>
      </c>
      <c r="AJ1215" s="2" t="str">
        <f>IF(HR_Data[MonthlyIncome]&lt;=300,"Low", IF(HR_Data[MonthlyIncome]&lt;=7000,"Medium", "High"))</f>
        <v>Medium</v>
      </c>
      <c r="AK1215" s="2" t="str">
        <f>VLOOKUP(HR_Data[JobRole], JobRole_Map[], 2, FALSE)</f>
        <v>Technical</v>
      </c>
    </row>
    <row r="1216" spans="1:37" x14ac:dyDescent="0.25">
      <c r="A1216" s="2">
        <v>56</v>
      </c>
      <c r="B1216" t="s">
        <v>32</v>
      </c>
      <c r="C1216" t="s">
        <v>33</v>
      </c>
      <c r="D1216" t="s">
        <v>34</v>
      </c>
      <c r="E1216">
        <v>7</v>
      </c>
      <c r="F1216" t="s">
        <v>35</v>
      </c>
      <c r="G1216">
        <v>3</v>
      </c>
      <c r="H1216">
        <v>1</v>
      </c>
      <c r="I1216" t="s">
        <v>36</v>
      </c>
      <c r="J1216">
        <v>3</v>
      </c>
      <c r="K1216" t="s">
        <v>50</v>
      </c>
      <c r="L1216">
        <v>2339</v>
      </c>
      <c r="M1216">
        <v>8</v>
      </c>
      <c r="N1216" t="s">
        <v>41</v>
      </c>
      <c r="O1216">
        <v>11</v>
      </c>
      <c r="P1216">
        <v>3</v>
      </c>
      <c r="Q1216">
        <v>1</v>
      </c>
      <c r="R1216">
        <v>14</v>
      </c>
      <c r="S1216">
        <v>4</v>
      </c>
      <c r="T1216">
        <v>10</v>
      </c>
      <c r="U1216">
        <v>9</v>
      </c>
      <c r="V1216">
        <v>8</v>
      </c>
      <c r="W1216" t="s">
        <v>51</v>
      </c>
      <c r="X1216" s="1" t="d">
        <v>2011-04-19</v>
      </c>
      <c r="Z1216" t="s">
        <v>45</v>
      </c>
      <c r="AA1216" t="s">
        <v>46</v>
      </c>
      <c r="AB1216">
        <v>5</v>
      </c>
      <c r="AC1216">
        <v>3</v>
      </c>
      <c r="AD1216" t="s">
        <v>41</v>
      </c>
      <c r="AE1216" t="s">
        <v>60</v>
      </c>
      <c r="AF1216" t="s">
        <v>43</v>
      </c>
      <c r="AG1216">
        <f>IF(HR_Data[[#This Row],[Attrition]]="Yes",1,0)</f>
        <v>1</v>
      </c>
      <c r="AH1216" t="str">
        <f>IF(HR_Data[Date_of_termination]="","Active","Left")</f>
        <v>Active</v>
      </c>
      <c r="AI1216" t="str">
        <f>IF(HR_Data[YearsAtCompany]&lt;=2,"Fresher", IF(HR_Data[YearsAtCompany]&lt;=5,"Junior", IF(HR_Data[YearsAtCompany]&lt;=10, "Mid","Senior")))</f>
        <v>Mid</v>
      </c>
      <c r="AJ1216" s="2" t="str">
        <f>IF(HR_Data[MonthlyIncome]&lt;=300,"Low", IF(HR_Data[MonthlyIncome]&lt;=7000,"Medium", "High"))</f>
        <v>Medium</v>
      </c>
      <c r="AK1216" s="2" t="str">
        <f>VLOOKUP(HR_Data[JobRole], JobRole_Map[], 2, FALSE)</f>
        <v>Technical</v>
      </c>
    </row>
    <row r="1217" spans="1:37" x14ac:dyDescent="0.25">
      <c r="A1217" s="2">
        <v>38</v>
      </c>
      <c r="B1217" t="s">
        <v>41</v>
      </c>
      <c r="C1217" t="s">
        <v>33</v>
      </c>
      <c r="D1217" t="s">
        <v>53</v>
      </c>
      <c r="E1217">
        <v>10</v>
      </c>
      <c r="F1217" t="s">
        <v>58</v>
      </c>
      <c r="G1217">
        <v>3</v>
      </c>
      <c r="H1217">
        <v>2</v>
      </c>
      <c r="I1217" t="s">
        <v>64</v>
      </c>
      <c r="J1217">
        <v>4</v>
      </c>
      <c r="K1217" t="s">
        <v>50</v>
      </c>
      <c r="L1217">
        <v>5343</v>
      </c>
      <c r="M1217">
        <v>1</v>
      </c>
      <c r="N1217" t="s">
        <v>41</v>
      </c>
      <c r="O1217">
        <v>11</v>
      </c>
      <c r="P1217">
        <v>3</v>
      </c>
      <c r="Q1217">
        <v>1</v>
      </c>
      <c r="R1217">
        <v>10</v>
      </c>
      <c r="S1217">
        <v>1</v>
      </c>
      <c r="T1217">
        <v>10</v>
      </c>
      <c r="U1217">
        <v>1</v>
      </c>
      <c r="V1217">
        <v>9</v>
      </c>
      <c r="W1217" t="s">
        <v>38</v>
      </c>
      <c r="X1217" s="1" t="d">
        <v>2011-03-26</v>
      </c>
      <c r="Z1217" t="s">
        <v>52</v>
      </c>
      <c r="AA1217" t="s">
        <v>46</v>
      </c>
      <c r="AB1217">
        <v>2</v>
      </c>
      <c r="AC1217">
        <v>1</v>
      </c>
      <c r="AD1217" t="s">
        <v>41</v>
      </c>
      <c r="AE1217" t="s">
        <v>42</v>
      </c>
      <c r="AF1217" t="s">
        <v>48</v>
      </c>
      <c r="AG1217">
        <f>IF(HR_Data[[#This Row],[Attrition]]="Yes",1,0)</f>
        <v>0</v>
      </c>
      <c r="AH1217" t="str">
        <f>IF(HR_Data[Date_of_termination]="","Active","Left")</f>
        <v>Active</v>
      </c>
      <c r="AI1217" t="str">
        <f>IF(HR_Data[YearsAtCompany]&lt;=2,"Fresher", IF(HR_Data[YearsAtCompany]&lt;=5,"Junior", IF(HR_Data[YearsAtCompany]&lt;=10, "Mid","Senior")))</f>
        <v>Mid</v>
      </c>
      <c r="AJ1217" s="2" t="str">
        <f>IF(HR_Data[MonthlyIncome]&lt;=300,"Low", IF(HR_Data[MonthlyIncome]&lt;=7000,"Medium", "High"))</f>
        <v>Medium</v>
      </c>
      <c r="AK1217" s="2" t="str">
        <f>VLOOKUP(HR_Data[JobRole], JobRole_Map[], 2, FALSE)</f>
        <v>Sales</v>
      </c>
    </row>
    <row r="1218" spans="1:37" x14ac:dyDescent="0.25">
      <c r="A1218" s="2">
        <v>35</v>
      </c>
      <c r="B1218" t="s">
        <v>41</v>
      </c>
      <c r="C1218" t="s">
        <v>61</v>
      </c>
      <c r="D1218" t="s">
        <v>34</v>
      </c>
      <c r="E1218">
        <v>18</v>
      </c>
      <c r="F1218" t="s">
        <v>35</v>
      </c>
      <c r="G1218">
        <v>3</v>
      </c>
      <c r="H1218">
        <v>2</v>
      </c>
      <c r="I1218" t="s">
        <v>69</v>
      </c>
      <c r="J1218">
        <v>3</v>
      </c>
      <c r="K1218" t="s">
        <v>50</v>
      </c>
      <c r="L1218">
        <v>5689</v>
      </c>
      <c r="M1218">
        <v>1</v>
      </c>
      <c r="N1218" t="s">
        <v>32</v>
      </c>
      <c r="O1218">
        <v>14</v>
      </c>
      <c r="P1218">
        <v>3</v>
      </c>
      <c r="Q1218">
        <v>2</v>
      </c>
      <c r="R1218">
        <v>10</v>
      </c>
      <c r="S1218">
        <v>2</v>
      </c>
      <c r="T1218">
        <v>10</v>
      </c>
      <c r="U1218">
        <v>0</v>
      </c>
      <c r="V1218">
        <v>2</v>
      </c>
      <c r="W1218" t="s">
        <v>51</v>
      </c>
      <c r="X1218" s="1" t="d">
        <v>2011-02-23</v>
      </c>
      <c r="Z1218" t="s">
        <v>39</v>
      </c>
      <c r="AA1218" t="s">
        <v>46</v>
      </c>
      <c r="AB1218">
        <v>5</v>
      </c>
      <c r="AC1218">
        <v>1</v>
      </c>
      <c r="AD1218" t="s">
        <v>32</v>
      </c>
      <c r="AE1218" t="s">
        <v>62</v>
      </c>
      <c r="AF1218" t="s">
        <v>43</v>
      </c>
      <c r="AG1218">
        <f>IF(HR_Data[[#This Row],[Attrition]]="Yes",1,0)</f>
        <v>0</v>
      </c>
      <c r="AH1218" t="str">
        <f>IF(HR_Data[Date_of_termination]="","Active","Left")</f>
        <v>Active</v>
      </c>
      <c r="AI1218" t="str">
        <f>IF(HR_Data[YearsAtCompany]&lt;=2,"Fresher", IF(HR_Data[YearsAtCompany]&lt;=5,"Junior", IF(HR_Data[YearsAtCompany]&lt;=10, "Mid","Senior")))</f>
        <v>Mid</v>
      </c>
      <c r="AJ1218" s="2" t="str">
        <f>IF(HR_Data[MonthlyIncome]&lt;=300,"Low", IF(HR_Data[MonthlyIncome]&lt;=7000,"Medium", "High"))</f>
        <v>Medium</v>
      </c>
      <c r="AK1218" s="2" t="str">
        <f>VLOOKUP(HR_Data[JobRole], JobRole_Map[], 2, FALSE)</f>
        <v>Operations</v>
      </c>
    </row>
    <row r="1219" spans="1:37" x14ac:dyDescent="0.25">
      <c r="A1219" s="2">
        <v>31</v>
      </c>
      <c r="B1219" t="s">
        <v>41</v>
      </c>
      <c r="C1219" t="s">
        <v>33</v>
      </c>
      <c r="D1219" t="s">
        <v>34</v>
      </c>
      <c r="E1219">
        <v>8</v>
      </c>
      <c r="F1219" t="s">
        <v>58</v>
      </c>
      <c r="G1219">
        <v>3</v>
      </c>
      <c r="H1219">
        <v>2</v>
      </c>
      <c r="I1219" t="s">
        <v>67</v>
      </c>
      <c r="J1219">
        <v>4</v>
      </c>
      <c r="K1219" t="s">
        <v>37</v>
      </c>
      <c r="L1219">
        <v>4424</v>
      </c>
      <c r="M1219">
        <v>1</v>
      </c>
      <c r="N1219" t="s">
        <v>41</v>
      </c>
      <c r="O1219">
        <v>23</v>
      </c>
      <c r="P1219">
        <v>4</v>
      </c>
      <c r="Q1219">
        <v>0</v>
      </c>
      <c r="R1219">
        <v>11</v>
      </c>
      <c r="S1219">
        <v>2</v>
      </c>
      <c r="T1219">
        <v>11</v>
      </c>
      <c r="U1219">
        <v>1</v>
      </c>
      <c r="V1219">
        <v>8</v>
      </c>
      <c r="W1219" t="s">
        <v>65</v>
      </c>
      <c r="X1219" s="1" t="d">
        <v>2010-03-23</v>
      </c>
      <c r="Z1219" t="s">
        <v>63</v>
      </c>
      <c r="AA1219" t="s">
        <v>46</v>
      </c>
      <c r="AB1219">
        <v>2</v>
      </c>
      <c r="AC1219">
        <v>0</v>
      </c>
      <c r="AD1219" t="s">
        <v>41</v>
      </c>
      <c r="AE1219" t="s">
        <v>62</v>
      </c>
      <c r="AF1219" t="s">
        <v>57</v>
      </c>
      <c r="AG1219">
        <f>IF(HR_Data[[#This Row],[Attrition]]="Yes",1,0)</f>
        <v>0</v>
      </c>
      <c r="AH1219" t="str">
        <f>IF(HR_Data[Date_of_termination]="","Active","Left")</f>
        <v>Active</v>
      </c>
      <c r="AI1219" t="str">
        <f>IF(HR_Data[YearsAtCompany]&lt;=2,"Fresher", IF(HR_Data[YearsAtCompany]&lt;=5,"Junior", IF(HR_Data[YearsAtCompany]&lt;=10, "Mid","Senior")))</f>
        <v>Senior</v>
      </c>
      <c r="AJ1219" s="2" t="str">
        <f>IF(HR_Data[MonthlyIncome]&lt;=300,"Low", IF(HR_Data[MonthlyIncome]&lt;=7000,"Medium", "High"))</f>
        <v>Medium</v>
      </c>
      <c r="AK1219" s="2" t="str">
        <f>VLOOKUP(HR_Data[JobRole], JobRole_Map[], 2, FALSE)</f>
        <v>Operations</v>
      </c>
    </row>
    <row r="1220" spans="1:37" x14ac:dyDescent="0.25">
      <c r="A1220" s="2">
        <v>30</v>
      </c>
      <c r="B1220" t="s">
        <v>41</v>
      </c>
      <c r="C1220" t="s">
        <v>33</v>
      </c>
      <c r="D1220" t="s">
        <v>34</v>
      </c>
      <c r="E1220">
        <v>2</v>
      </c>
      <c r="F1220" t="s">
        <v>35</v>
      </c>
      <c r="G1220">
        <v>2</v>
      </c>
      <c r="H1220">
        <v>2</v>
      </c>
      <c r="I1220" t="s">
        <v>69</v>
      </c>
      <c r="J1220">
        <v>4</v>
      </c>
      <c r="K1220" t="s">
        <v>50</v>
      </c>
      <c r="L1220">
        <v>4152</v>
      </c>
      <c r="M1220">
        <v>1</v>
      </c>
      <c r="N1220" t="s">
        <v>41</v>
      </c>
      <c r="O1220">
        <v>19</v>
      </c>
      <c r="P1220">
        <v>3</v>
      </c>
      <c r="Q1220">
        <v>3</v>
      </c>
      <c r="R1220">
        <v>11</v>
      </c>
      <c r="S1220">
        <v>3</v>
      </c>
      <c r="T1220">
        <v>11</v>
      </c>
      <c r="U1220">
        <v>10</v>
      </c>
      <c r="V1220">
        <v>8</v>
      </c>
      <c r="W1220" t="s">
        <v>56</v>
      </c>
      <c r="X1220" s="1" t="d">
        <v>2010-06-06</v>
      </c>
      <c r="Z1220" t="s">
        <v>52</v>
      </c>
      <c r="AA1220" t="s">
        <v>40</v>
      </c>
      <c r="AB1220">
        <v>4</v>
      </c>
      <c r="AC1220">
        <v>1</v>
      </c>
      <c r="AD1220" t="s">
        <v>32</v>
      </c>
      <c r="AE1220" t="s">
        <v>60</v>
      </c>
      <c r="AF1220" t="s">
        <v>57</v>
      </c>
      <c r="AG1220">
        <f>IF(HR_Data[[#This Row],[Attrition]]="Yes",1,0)</f>
        <v>0</v>
      </c>
      <c r="AH1220" t="str">
        <f>IF(HR_Data[Date_of_termination]="","Active","Left")</f>
        <v>Active</v>
      </c>
      <c r="AI1220" t="str">
        <f>IF(HR_Data[YearsAtCompany]&lt;=2,"Fresher", IF(HR_Data[YearsAtCompany]&lt;=5,"Junior", IF(HR_Data[YearsAtCompany]&lt;=10, "Mid","Senior")))</f>
        <v>Senior</v>
      </c>
      <c r="AJ1220" s="2" t="str">
        <f>IF(HR_Data[MonthlyIncome]&lt;=300,"Low", IF(HR_Data[MonthlyIncome]&lt;=7000,"Medium", "High"))</f>
        <v>Medium</v>
      </c>
      <c r="AK1220" s="2" t="str">
        <f>VLOOKUP(HR_Data[JobRole], JobRole_Map[], 2, FALSE)</f>
        <v>Operations</v>
      </c>
    </row>
    <row r="1221" spans="1:37" x14ac:dyDescent="0.25">
      <c r="A1221" s="2">
        <v>30</v>
      </c>
      <c r="B1221" t="s">
        <v>41</v>
      </c>
      <c r="C1221" t="s">
        <v>33</v>
      </c>
      <c r="D1221" t="s">
        <v>53</v>
      </c>
      <c r="E1221">
        <v>4</v>
      </c>
      <c r="F1221" t="s">
        <v>58</v>
      </c>
      <c r="G1221">
        <v>2</v>
      </c>
      <c r="H1221">
        <v>2</v>
      </c>
      <c r="I1221" t="s">
        <v>64</v>
      </c>
      <c r="J1221">
        <v>2</v>
      </c>
      <c r="K1221" t="s">
        <v>55</v>
      </c>
      <c r="L1221">
        <v>5209</v>
      </c>
      <c r="M1221">
        <v>1</v>
      </c>
      <c r="N1221" t="s">
        <v>32</v>
      </c>
      <c r="O1221">
        <v>12</v>
      </c>
      <c r="P1221">
        <v>3</v>
      </c>
      <c r="Q1221">
        <v>3</v>
      </c>
      <c r="R1221">
        <v>11</v>
      </c>
      <c r="S1221">
        <v>4</v>
      </c>
      <c r="T1221">
        <v>11</v>
      </c>
      <c r="U1221">
        <v>2</v>
      </c>
      <c r="V1221">
        <v>7</v>
      </c>
      <c r="W1221" t="s">
        <v>38</v>
      </c>
      <c r="X1221" s="1" t="d">
        <v>2010-05-28</v>
      </c>
      <c r="Z1221" t="s">
        <v>39</v>
      </c>
      <c r="AA1221" t="s">
        <v>46</v>
      </c>
      <c r="AB1221">
        <v>1</v>
      </c>
      <c r="AC1221">
        <v>1</v>
      </c>
      <c r="AD1221" t="s">
        <v>32</v>
      </c>
      <c r="AE1221" t="s">
        <v>42</v>
      </c>
      <c r="AF1221" t="s">
        <v>57</v>
      </c>
      <c r="AG1221">
        <f>IF(HR_Data[[#This Row],[Attrition]]="Yes",1,0)</f>
        <v>0</v>
      </c>
      <c r="AH1221" t="str">
        <f>IF(HR_Data[Date_of_termination]="","Active","Left")</f>
        <v>Active</v>
      </c>
      <c r="AI1221" t="str">
        <f>IF(HR_Data[YearsAtCompany]&lt;=2,"Fresher", IF(HR_Data[YearsAtCompany]&lt;=5,"Junior", IF(HR_Data[YearsAtCompany]&lt;=10, "Mid","Senior")))</f>
        <v>Senior</v>
      </c>
      <c r="AJ1221" s="2" t="str">
        <f>IF(HR_Data[MonthlyIncome]&lt;=300,"Low", IF(HR_Data[MonthlyIncome]&lt;=7000,"Medium", "High"))</f>
        <v>Medium</v>
      </c>
      <c r="AK1221" s="2" t="str">
        <f>VLOOKUP(HR_Data[JobRole], JobRole_Map[], 2, FALSE)</f>
        <v>Sales</v>
      </c>
    </row>
    <row r="1222" spans="1:37" x14ac:dyDescent="0.25">
      <c r="A1222" s="2">
        <v>32</v>
      </c>
      <c r="B1222" t="s">
        <v>41</v>
      </c>
      <c r="C1222" t="s">
        <v>33</v>
      </c>
      <c r="D1222" t="s">
        <v>53</v>
      </c>
      <c r="E1222">
        <v>6</v>
      </c>
      <c r="F1222" t="s">
        <v>35</v>
      </c>
      <c r="G1222">
        <v>3</v>
      </c>
      <c r="H1222">
        <v>2</v>
      </c>
      <c r="I1222" t="s">
        <v>64</v>
      </c>
      <c r="J1222">
        <v>3</v>
      </c>
      <c r="K1222" t="s">
        <v>37</v>
      </c>
      <c r="L1222">
        <v>5010</v>
      </c>
      <c r="M1222">
        <v>1</v>
      </c>
      <c r="N1222" t="s">
        <v>41</v>
      </c>
      <c r="O1222">
        <v>16</v>
      </c>
      <c r="P1222">
        <v>3</v>
      </c>
      <c r="Q1222">
        <v>0</v>
      </c>
      <c r="R1222">
        <v>12</v>
      </c>
      <c r="S1222">
        <v>0</v>
      </c>
      <c r="T1222">
        <v>11</v>
      </c>
      <c r="U1222">
        <v>5</v>
      </c>
      <c r="V1222">
        <v>7</v>
      </c>
      <c r="W1222" t="s">
        <v>65</v>
      </c>
      <c r="X1222" s="1" t="d">
        <v>2010-06-21</v>
      </c>
      <c r="Z1222" t="s">
        <v>63</v>
      </c>
      <c r="AA1222" t="s">
        <v>46</v>
      </c>
      <c r="AB1222">
        <v>2</v>
      </c>
      <c r="AC1222">
        <v>1</v>
      </c>
      <c r="AD1222" t="s">
        <v>41</v>
      </c>
      <c r="AE1222" t="s">
        <v>42</v>
      </c>
      <c r="AF1222" t="s">
        <v>43</v>
      </c>
      <c r="AG1222">
        <f>IF(HR_Data[[#This Row],[Attrition]]="Yes",1,0)</f>
        <v>0</v>
      </c>
      <c r="AH1222" t="str">
        <f>IF(HR_Data[Date_of_termination]="","Active","Left")</f>
        <v>Active</v>
      </c>
      <c r="AI1222" t="str">
        <f>IF(HR_Data[YearsAtCompany]&lt;=2,"Fresher", IF(HR_Data[YearsAtCompany]&lt;=5,"Junior", IF(HR_Data[YearsAtCompany]&lt;=10, "Mid","Senior")))</f>
        <v>Senior</v>
      </c>
      <c r="AJ1222" s="2" t="str">
        <f>IF(HR_Data[MonthlyIncome]&lt;=300,"Low", IF(HR_Data[MonthlyIncome]&lt;=7000,"Medium", "High"))</f>
        <v>Medium</v>
      </c>
      <c r="AK1222" s="2" t="str">
        <f>VLOOKUP(HR_Data[JobRole], JobRole_Map[], 2, FALSE)</f>
        <v>Sales</v>
      </c>
    </row>
    <row r="1223" spans="1:37" x14ac:dyDescent="0.25">
      <c r="A1223" s="2">
        <v>34</v>
      </c>
      <c r="B1223" t="s">
        <v>41</v>
      </c>
      <c r="C1223" t="s">
        <v>33</v>
      </c>
      <c r="D1223" t="s">
        <v>34</v>
      </c>
      <c r="E1223">
        <v>5</v>
      </c>
      <c r="F1223" t="s">
        <v>58</v>
      </c>
      <c r="G1223">
        <v>2</v>
      </c>
      <c r="H1223">
        <v>3</v>
      </c>
      <c r="I1223" t="s">
        <v>66</v>
      </c>
      <c r="J1223">
        <v>1</v>
      </c>
      <c r="K1223" t="s">
        <v>37</v>
      </c>
      <c r="L1223">
        <v>11631</v>
      </c>
      <c r="M1223">
        <v>2</v>
      </c>
      <c r="N1223" t="s">
        <v>41</v>
      </c>
      <c r="O1223">
        <v>12</v>
      </c>
      <c r="P1223">
        <v>3</v>
      </c>
      <c r="Q1223">
        <v>0</v>
      </c>
      <c r="R1223">
        <v>14</v>
      </c>
      <c r="S1223">
        <v>6</v>
      </c>
      <c r="T1223">
        <v>11</v>
      </c>
      <c r="U1223">
        <v>5</v>
      </c>
      <c r="V1223">
        <v>8</v>
      </c>
      <c r="W1223" t="s">
        <v>65</v>
      </c>
      <c r="X1223" s="1" t="d">
        <v>2010-01-05</v>
      </c>
      <c r="Z1223" t="s">
        <v>45</v>
      </c>
      <c r="AA1223" t="s">
        <v>40</v>
      </c>
      <c r="AB1223">
        <v>0</v>
      </c>
      <c r="AC1223">
        <v>1</v>
      </c>
      <c r="AD1223" t="s">
        <v>41</v>
      </c>
      <c r="AE1223" t="s">
        <v>42</v>
      </c>
      <c r="AF1223" t="s">
        <v>43</v>
      </c>
      <c r="AG1223">
        <f>IF(HR_Data[[#This Row],[Attrition]]="Yes",1,0)</f>
        <v>0</v>
      </c>
      <c r="AH1223" t="str">
        <f>IF(HR_Data[Date_of_termination]="","Active","Left")</f>
        <v>Active</v>
      </c>
      <c r="AI1223" t="str">
        <f>IF(HR_Data[YearsAtCompany]&lt;=2,"Fresher", IF(HR_Data[YearsAtCompany]&lt;=5,"Junior", IF(HR_Data[YearsAtCompany]&lt;=10, "Mid","Senior")))</f>
        <v>Senior</v>
      </c>
      <c r="AJ1223" s="2" t="str">
        <f>IF(HR_Data[MonthlyIncome]&lt;=300,"Low", IF(HR_Data[MonthlyIncome]&lt;=7000,"Medium", "High"))</f>
        <v>High</v>
      </c>
      <c r="AK1223" s="2" t="str">
        <f>VLOOKUP(HR_Data[JobRole], JobRole_Map[], 2, FALSE)</f>
        <v>Management</v>
      </c>
    </row>
    <row r="1224" spans="1:37" x14ac:dyDescent="0.25">
      <c r="A1224" s="2">
        <v>30</v>
      </c>
      <c r="B1224" t="s">
        <v>41</v>
      </c>
      <c r="C1224" t="s">
        <v>33</v>
      </c>
      <c r="D1224" t="s">
        <v>70</v>
      </c>
      <c r="E1224">
        <v>9</v>
      </c>
      <c r="F1224" t="s">
        <v>35</v>
      </c>
      <c r="G1224">
        <v>3</v>
      </c>
      <c r="H1224">
        <v>2</v>
      </c>
      <c r="I1224" t="s">
        <v>70</v>
      </c>
      <c r="J1224">
        <v>4</v>
      </c>
      <c r="K1224" t="s">
        <v>50</v>
      </c>
      <c r="L1224">
        <v>6347</v>
      </c>
      <c r="M1224">
        <v>0</v>
      </c>
      <c r="N1224" t="s">
        <v>32</v>
      </c>
      <c r="O1224">
        <v>19</v>
      </c>
      <c r="P1224">
        <v>3</v>
      </c>
      <c r="Q1224">
        <v>0</v>
      </c>
      <c r="R1224">
        <v>12</v>
      </c>
      <c r="S1224">
        <v>2</v>
      </c>
      <c r="T1224">
        <v>11</v>
      </c>
      <c r="U1224">
        <v>4</v>
      </c>
      <c r="V1224">
        <v>7</v>
      </c>
      <c r="W1224" t="s">
        <v>51</v>
      </c>
      <c r="X1224" s="1" t="d">
        <v>2010-02-03</v>
      </c>
      <c r="Z1224" t="s">
        <v>45</v>
      </c>
      <c r="AA1224" t="s">
        <v>46</v>
      </c>
      <c r="AB1224">
        <v>5</v>
      </c>
      <c r="AC1224">
        <v>2</v>
      </c>
      <c r="AD1224" t="s">
        <v>41</v>
      </c>
      <c r="AE1224" t="s">
        <v>42</v>
      </c>
      <c r="AF1224" t="s">
        <v>57</v>
      </c>
      <c r="AG1224">
        <f>IF(HR_Data[[#This Row],[Attrition]]="Yes",1,0)</f>
        <v>0</v>
      </c>
      <c r="AH1224" t="str">
        <f>IF(HR_Data[Date_of_termination]="","Active","Left")</f>
        <v>Active</v>
      </c>
      <c r="AI1224" t="str">
        <f>IF(HR_Data[YearsAtCompany]&lt;=2,"Fresher", IF(HR_Data[YearsAtCompany]&lt;=5,"Junior", IF(HR_Data[YearsAtCompany]&lt;=10, "Mid","Senior")))</f>
        <v>Senior</v>
      </c>
      <c r="AJ1224" s="2" t="str">
        <f>IF(HR_Data[MonthlyIncome]&lt;=300,"Low", IF(HR_Data[MonthlyIncome]&lt;=7000,"Medium", "High"))</f>
        <v>Medium</v>
      </c>
      <c r="AK1224" s="2" t="str">
        <f>VLOOKUP(HR_Data[JobRole], JobRole_Map[], 2, FALSE)</f>
        <v>HR</v>
      </c>
    </row>
    <row r="1225" spans="1:37" x14ac:dyDescent="0.25">
      <c r="A1225" s="2">
        <v>30</v>
      </c>
      <c r="B1225" t="s">
        <v>41</v>
      </c>
      <c r="C1225" t="s">
        <v>68</v>
      </c>
      <c r="D1225" t="s">
        <v>34</v>
      </c>
      <c r="E1225">
        <v>1</v>
      </c>
      <c r="F1225" t="s">
        <v>35</v>
      </c>
      <c r="G1225">
        <v>2</v>
      </c>
      <c r="H1225">
        <v>3</v>
      </c>
      <c r="I1225" t="s">
        <v>67</v>
      </c>
      <c r="J1225">
        <v>3</v>
      </c>
      <c r="K1225" t="s">
        <v>37</v>
      </c>
      <c r="L1225">
        <v>8474</v>
      </c>
      <c r="M1225">
        <v>1</v>
      </c>
      <c r="N1225" t="s">
        <v>41</v>
      </c>
      <c r="O1225">
        <v>22</v>
      </c>
      <c r="P1225">
        <v>4</v>
      </c>
      <c r="Q1225">
        <v>0</v>
      </c>
      <c r="R1225">
        <v>12</v>
      </c>
      <c r="S1225">
        <v>2</v>
      </c>
      <c r="T1225">
        <v>11</v>
      </c>
      <c r="U1225">
        <v>5</v>
      </c>
      <c r="V1225">
        <v>8</v>
      </c>
      <c r="W1225" t="s">
        <v>38</v>
      </c>
      <c r="X1225" s="1" t="d">
        <v>2010-01-17</v>
      </c>
      <c r="Z1225" t="s">
        <v>45</v>
      </c>
      <c r="AA1225" t="s">
        <v>40</v>
      </c>
      <c r="AB1225">
        <v>4</v>
      </c>
      <c r="AC1225">
        <v>2</v>
      </c>
      <c r="AD1225" t="s">
        <v>41</v>
      </c>
      <c r="AE1225" t="s">
        <v>47</v>
      </c>
      <c r="AF1225" t="s">
        <v>57</v>
      </c>
      <c r="AG1225">
        <f>IF(HR_Data[[#This Row],[Attrition]]="Yes",1,0)</f>
        <v>0</v>
      </c>
      <c r="AH1225" t="str">
        <f>IF(HR_Data[Date_of_termination]="","Active","Left")</f>
        <v>Active</v>
      </c>
      <c r="AI1225" t="str">
        <f>IF(HR_Data[YearsAtCompany]&lt;=2,"Fresher", IF(HR_Data[YearsAtCompany]&lt;=5,"Junior", IF(HR_Data[YearsAtCompany]&lt;=10, "Mid","Senior")))</f>
        <v>Senior</v>
      </c>
      <c r="AJ1225" s="2" t="str">
        <f>IF(HR_Data[MonthlyIncome]&lt;=300,"Low", IF(HR_Data[MonthlyIncome]&lt;=7000,"Medium", "High"))</f>
        <v>High</v>
      </c>
      <c r="AK1225" s="2" t="str">
        <f>VLOOKUP(HR_Data[JobRole], JobRole_Map[], 2, FALSE)</f>
        <v>Operations</v>
      </c>
    </row>
    <row r="1226" spans="1:37" x14ac:dyDescent="0.25">
      <c r="A1226" s="2">
        <v>29</v>
      </c>
      <c r="B1226" t="s">
        <v>41</v>
      </c>
      <c r="C1226" t="s">
        <v>61</v>
      </c>
      <c r="D1226" t="s">
        <v>53</v>
      </c>
      <c r="E1226">
        <v>1</v>
      </c>
      <c r="F1226" t="s">
        <v>58</v>
      </c>
      <c r="G1226">
        <v>3</v>
      </c>
      <c r="H1226">
        <v>3</v>
      </c>
      <c r="I1226" t="s">
        <v>64</v>
      </c>
      <c r="J1226">
        <v>4</v>
      </c>
      <c r="K1226" t="s">
        <v>50</v>
      </c>
      <c r="L1226">
        <v>7918</v>
      </c>
      <c r="M1226">
        <v>1</v>
      </c>
      <c r="N1226" t="s">
        <v>41</v>
      </c>
      <c r="O1226">
        <v>14</v>
      </c>
      <c r="P1226">
        <v>3</v>
      </c>
      <c r="Q1226">
        <v>1</v>
      </c>
      <c r="R1226">
        <v>11</v>
      </c>
      <c r="S1226">
        <v>5</v>
      </c>
      <c r="T1226">
        <v>11</v>
      </c>
      <c r="U1226">
        <v>4</v>
      </c>
      <c r="V1226">
        <v>1</v>
      </c>
      <c r="W1226" t="s">
        <v>51</v>
      </c>
      <c r="X1226" s="1" t="d">
        <v>2010-06-29</v>
      </c>
      <c r="Z1226" t="s">
        <v>52</v>
      </c>
      <c r="AA1226" t="s">
        <v>40</v>
      </c>
      <c r="AB1226">
        <v>3</v>
      </c>
      <c r="AC1226">
        <v>3</v>
      </c>
      <c r="AD1226" t="s">
        <v>32</v>
      </c>
      <c r="AE1226" t="s">
        <v>47</v>
      </c>
      <c r="AF1226" t="s">
        <v>48</v>
      </c>
      <c r="AG1226">
        <f>IF(HR_Data[[#This Row],[Attrition]]="Yes",1,0)</f>
        <v>0</v>
      </c>
      <c r="AH1226" t="str">
        <f>IF(HR_Data[Date_of_termination]="","Active","Left")</f>
        <v>Active</v>
      </c>
      <c r="AI1226" t="str">
        <f>IF(HR_Data[YearsAtCompany]&lt;=2,"Fresher", IF(HR_Data[YearsAtCompany]&lt;=5,"Junior", IF(HR_Data[YearsAtCompany]&lt;=10, "Mid","Senior")))</f>
        <v>Senior</v>
      </c>
      <c r="AJ1226" s="2" t="str">
        <f>IF(HR_Data[MonthlyIncome]&lt;=300,"Low", IF(HR_Data[MonthlyIncome]&lt;=7000,"Medium", "High"))</f>
        <v>High</v>
      </c>
      <c r="AK1226" s="2" t="str">
        <f>VLOOKUP(HR_Data[JobRole], JobRole_Map[], 2, FALSE)</f>
        <v>Sales</v>
      </c>
    </row>
    <row r="1227" spans="1:37" x14ac:dyDescent="0.25">
      <c r="A1227" s="2">
        <v>34</v>
      </c>
      <c r="B1227" t="s">
        <v>41</v>
      </c>
      <c r="C1227" t="s">
        <v>33</v>
      </c>
      <c r="D1227" t="s">
        <v>34</v>
      </c>
      <c r="E1227">
        <v>2</v>
      </c>
      <c r="F1227" t="s">
        <v>35</v>
      </c>
      <c r="G1227">
        <v>2</v>
      </c>
      <c r="H1227">
        <v>2</v>
      </c>
      <c r="I1227" t="s">
        <v>67</v>
      </c>
      <c r="J1227">
        <v>1</v>
      </c>
      <c r="K1227" t="s">
        <v>50</v>
      </c>
      <c r="L1227">
        <v>5957</v>
      </c>
      <c r="M1227">
        <v>6</v>
      </c>
      <c r="N1227" t="s">
        <v>41</v>
      </c>
      <c r="O1227">
        <v>13</v>
      </c>
      <c r="P1227">
        <v>3</v>
      </c>
      <c r="Q1227">
        <v>1</v>
      </c>
      <c r="R1227">
        <v>13</v>
      </c>
      <c r="S1227">
        <v>3</v>
      </c>
      <c r="T1227">
        <v>11</v>
      </c>
      <c r="U1227">
        <v>5</v>
      </c>
      <c r="V1227">
        <v>9</v>
      </c>
      <c r="W1227" t="s">
        <v>65</v>
      </c>
      <c r="X1227" s="1" t="d">
        <v>2010-01-14</v>
      </c>
      <c r="Z1227" t="s">
        <v>45</v>
      </c>
      <c r="AA1227" t="s">
        <v>40</v>
      </c>
      <c r="AB1227">
        <v>3</v>
      </c>
      <c r="AC1227">
        <v>2</v>
      </c>
      <c r="AD1227" t="s">
        <v>32</v>
      </c>
      <c r="AE1227" t="s">
        <v>47</v>
      </c>
      <c r="AF1227" t="s">
        <v>57</v>
      </c>
      <c r="AG1227">
        <f>IF(HR_Data[[#This Row],[Attrition]]="Yes",1,0)</f>
        <v>0</v>
      </c>
      <c r="AH1227" t="str">
        <f>IF(HR_Data[Date_of_termination]="","Active","Left")</f>
        <v>Active</v>
      </c>
      <c r="AI1227" t="str">
        <f>IF(HR_Data[YearsAtCompany]&lt;=2,"Fresher", IF(HR_Data[YearsAtCompany]&lt;=5,"Junior", IF(HR_Data[YearsAtCompany]&lt;=10, "Mid","Senior")))</f>
        <v>Senior</v>
      </c>
      <c r="AJ1227" s="2" t="str">
        <f>IF(HR_Data[MonthlyIncome]&lt;=300,"Low", IF(HR_Data[MonthlyIncome]&lt;=7000,"Medium", "High"))</f>
        <v>Medium</v>
      </c>
      <c r="AK1227" s="2" t="str">
        <f>VLOOKUP(HR_Data[JobRole], JobRole_Map[], 2, FALSE)</f>
        <v>Operations</v>
      </c>
    </row>
    <row r="1228" spans="1:37" x14ac:dyDescent="0.25">
      <c r="A1228" s="2">
        <v>35</v>
      </c>
      <c r="B1228" t="s">
        <v>41</v>
      </c>
      <c r="C1228" t="s">
        <v>33</v>
      </c>
      <c r="D1228" t="s">
        <v>53</v>
      </c>
      <c r="E1228">
        <v>16</v>
      </c>
      <c r="F1228" t="s">
        <v>35</v>
      </c>
      <c r="G1228">
        <v>3</v>
      </c>
      <c r="H1228">
        <v>3</v>
      </c>
      <c r="I1228" t="s">
        <v>64</v>
      </c>
      <c r="J1228">
        <v>2</v>
      </c>
      <c r="K1228" t="s">
        <v>50</v>
      </c>
      <c r="L1228">
        <v>8020</v>
      </c>
      <c r="M1228">
        <v>0</v>
      </c>
      <c r="N1228" t="s">
        <v>41</v>
      </c>
      <c r="O1228">
        <v>15</v>
      </c>
      <c r="P1228">
        <v>3</v>
      </c>
      <c r="Q1228">
        <v>2</v>
      </c>
      <c r="R1228">
        <v>12</v>
      </c>
      <c r="S1228">
        <v>3</v>
      </c>
      <c r="T1228">
        <v>11</v>
      </c>
      <c r="U1228">
        <v>6</v>
      </c>
      <c r="V1228">
        <v>9</v>
      </c>
      <c r="W1228" t="s">
        <v>51</v>
      </c>
      <c r="X1228" s="1" t="d">
        <v>2010-03-29</v>
      </c>
      <c r="Z1228" t="s">
        <v>59</v>
      </c>
      <c r="AA1228" t="s">
        <v>46</v>
      </c>
      <c r="AB1228">
        <v>1</v>
      </c>
      <c r="AC1228">
        <v>3</v>
      </c>
      <c r="AD1228" t="s">
        <v>32</v>
      </c>
      <c r="AE1228" t="s">
        <v>62</v>
      </c>
      <c r="AF1228" t="s">
        <v>48</v>
      </c>
      <c r="AG1228">
        <f>IF(HR_Data[[#This Row],[Attrition]]="Yes",1,0)</f>
        <v>0</v>
      </c>
      <c r="AH1228" t="str">
        <f>IF(HR_Data[Date_of_termination]="","Active","Left")</f>
        <v>Active</v>
      </c>
      <c r="AI1228" t="str">
        <f>IF(HR_Data[YearsAtCompany]&lt;=2,"Fresher", IF(HR_Data[YearsAtCompany]&lt;=5,"Junior", IF(HR_Data[YearsAtCompany]&lt;=10, "Mid","Senior")))</f>
        <v>Senior</v>
      </c>
      <c r="AJ1228" s="2" t="str">
        <f>IF(HR_Data[MonthlyIncome]&lt;=300,"Low", IF(HR_Data[MonthlyIncome]&lt;=7000,"Medium", "High"))</f>
        <v>High</v>
      </c>
      <c r="AK1228" s="2" t="str">
        <f>VLOOKUP(HR_Data[JobRole], JobRole_Map[], 2, FALSE)</f>
        <v>Sales</v>
      </c>
    </row>
    <row r="1229" spans="1:37" x14ac:dyDescent="0.25">
      <c r="A1229" s="2">
        <v>38</v>
      </c>
      <c r="B1229" t="s">
        <v>41</v>
      </c>
      <c r="C1229" t="s">
        <v>33</v>
      </c>
      <c r="D1229" t="s">
        <v>34</v>
      </c>
      <c r="E1229">
        <v>15</v>
      </c>
      <c r="F1229" t="s">
        <v>35</v>
      </c>
      <c r="G1229">
        <v>2</v>
      </c>
      <c r="H1229">
        <v>3</v>
      </c>
      <c r="I1229" t="s">
        <v>49</v>
      </c>
      <c r="J1229">
        <v>4</v>
      </c>
      <c r="K1229" t="s">
        <v>55</v>
      </c>
      <c r="L1229">
        <v>11510</v>
      </c>
      <c r="M1229">
        <v>0</v>
      </c>
      <c r="N1229" t="s">
        <v>32</v>
      </c>
      <c r="O1229">
        <v>14</v>
      </c>
      <c r="P1229">
        <v>3</v>
      </c>
      <c r="Q1229">
        <v>1</v>
      </c>
      <c r="R1229">
        <v>12</v>
      </c>
      <c r="S1229">
        <v>3</v>
      </c>
      <c r="T1229">
        <v>11</v>
      </c>
      <c r="U1229">
        <v>2</v>
      </c>
      <c r="V1229">
        <v>9</v>
      </c>
      <c r="W1229" t="s">
        <v>38</v>
      </c>
      <c r="X1229" s="1" t="d">
        <v>2010-03-30</v>
      </c>
      <c r="Z1229" t="s">
        <v>59</v>
      </c>
      <c r="AA1229" t="s">
        <v>46</v>
      </c>
      <c r="AB1229">
        <v>1</v>
      </c>
      <c r="AC1229">
        <v>3</v>
      </c>
      <c r="AD1229" t="s">
        <v>41</v>
      </c>
      <c r="AE1229" t="s">
        <v>42</v>
      </c>
      <c r="AF1229" t="s">
        <v>57</v>
      </c>
      <c r="AG1229">
        <f>IF(HR_Data[[#This Row],[Attrition]]="Yes",1,0)</f>
        <v>0</v>
      </c>
      <c r="AH1229" t="str">
        <f>IF(HR_Data[Date_of_termination]="","Active","Left")</f>
        <v>Active</v>
      </c>
      <c r="AI1229" t="str">
        <f>IF(HR_Data[YearsAtCompany]&lt;=2,"Fresher", IF(HR_Data[YearsAtCompany]&lt;=5,"Junior", IF(HR_Data[YearsAtCompany]&lt;=10, "Mid","Senior")))</f>
        <v>Senior</v>
      </c>
      <c r="AJ1229" s="2" t="str">
        <f>IF(HR_Data[MonthlyIncome]&lt;=300,"Low", IF(HR_Data[MonthlyIncome]&lt;=7000,"Medium", "High"))</f>
        <v>High</v>
      </c>
      <c r="AK1229" s="2" t="str">
        <f>VLOOKUP(HR_Data[JobRole], JobRole_Map[], 2, FALSE)</f>
        <v>Management</v>
      </c>
    </row>
    <row r="1230" spans="1:37" x14ac:dyDescent="0.25">
      <c r="A1230" s="2">
        <v>31</v>
      </c>
      <c r="B1230" t="s">
        <v>41</v>
      </c>
      <c r="C1230" t="s">
        <v>33</v>
      </c>
      <c r="D1230" t="s">
        <v>34</v>
      </c>
      <c r="E1230">
        <v>7</v>
      </c>
      <c r="F1230" t="s">
        <v>58</v>
      </c>
      <c r="G1230">
        <v>3</v>
      </c>
      <c r="H1230">
        <v>3</v>
      </c>
      <c r="I1230" t="s">
        <v>67</v>
      </c>
      <c r="J1230">
        <v>4</v>
      </c>
      <c r="K1230" t="s">
        <v>37</v>
      </c>
      <c r="L1230">
        <v>7143</v>
      </c>
      <c r="M1230">
        <v>1</v>
      </c>
      <c r="N1230" t="s">
        <v>32</v>
      </c>
      <c r="O1230">
        <v>14</v>
      </c>
      <c r="P1230">
        <v>3</v>
      </c>
      <c r="Q1230">
        <v>0</v>
      </c>
      <c r="R1230">
        <v>11</v>
      </c>
      <c r="S1230">
        <v>2</v>
      </c>
      <c r="T1230">
        <v>11</v>
      </c>
      <c r="U1230">
        <v>4</v>
      </c>
      <c r="V1230">
        <v>10</v>
      </c>
      <c r="W1230" t="s">
        <v>65</v>
      </c>
      <c r="X1230" s="1" t="d">
        <v>2010-03-18</v>
      </c>
      <c r="Z1230" t="s">
        <v>45</v>
      </c>
      <c r="AA1230" t="s">
        <v>46</v>
      </c>
      <c r="AB1230">
        <v>4</v>
      </c>
      <c r="AC1230">
        <v>3</v>
      </c>
      <c r="AD1230" t="s">
        <v>32</v>
      </c>
      <c r="AE1230" t="s">
        <v>60</v>
      </c>
      <c r="AF1230" t="s">
        <v>48</v>
      </c>
      <c r="AG1230">
        <f>IF(HR_Data[[#This Row],[Attrition]]="Yes",1,0)</f>
        <v>0</v>
      </c>
      <c r="AH1230" t="str">
        <f>IF(HR_Data[Date_of_termination]="","Active","Left")</f>
        <v>Active</v>
      </c>
      <c r="AI1230" t="str">
        <f>IF(HR_Data[YearsAtCompany]&lt;=2,"Fresher", IF(HR_Data[YearsAtCompany]&lt;=5,"Junior", IF(HR_Data[YearsAtCompany]&lt;=10, "Mid","Senior")))</f>
        <v>Senior</v>
      </c>
      <c r="AJ1230" s="2" t="str">
        <f>IF(HR_Data[MonthlyIncome]&lt;=300,"Low", IF(HR_Data[MonthlyIncome]&lt;=7000,"Medium", "High"))</f>
        <v>High</v>
      </c>
      <c r="AK1230" s="2" t="str">
        <f>VLOOKUP(HR_Data[JobRole], JobRole_Map[], 2, FALSE)</f>
        <v>Operations</v>
      </c>
    </row>
    <row r="1231" spans="1:37" x14ac:dyDescent="0.25">
      <c r="A1231" s="2">
        <v>30</v>
      </c>
      <c r="B1231" t="s">
        <v>41</v>
      </c>
      <c r="C1231" t="s">
        <v>68</v>
      </c>
      <c r="D1231" t="s">
        <v>34</v>
      </c>
      <c r="E1231">
        <v>2</v>
      </c>
      <c r="F1231" t="s">
        <v>58</v>
      </c>
      <c r="G1231">
        <v>3</v>
      </c>
      <c r="H1231">
        <v>1</v>
      </c>
      <c r="I1231" t="s">
        <v>36</v>
      </c>
      <c r="J1231">
        <v>4</v>
      </c>
      <c r="K1231" t="s">
        <v>37</v>
      </c>
      <c r="L1231">
        <v>2564</v>
      </c>
      <c r="M1231">
        <v>0</v>
      </c>
      <c r="N1231" t="s">
        <v>41</v>
      </c>
      <c r="O1231">
        <v>14</v>
      </c>
      <c r="P1231">
        <v>3</v>
      </c>
      <c r="Q1231">
        <v>0</v>
      </c>
      <c r="R1231">
        <v>12</v>
      </c>
      <c r="S1231">
        <v>2</v>
      </c>
      <c r="T1231">
        <v>11</v>
      </c>
      <c r="U1231">
        <v>6</v>
      </c>
      <c r="V1231">
        <v>7</v>
      </c>
      <c r="W1231" t="s">
        <v>38</v>
      </c>
      <c r="X1231" s="1" t="d">
        <v>2010-06-22</v>
      </c>
      <c r="Z1231" t="s">
        <v>52</v>
      </c>
      <c r="AA1231" t="s">
        <v>46</v>
      </c>
      <c r="AB1231">
        <v>0</v>
      </c>
      <c r="AC1231">
        <v>0</v>
      </c>
      <c r="AD1231" t="s">
        <v>41</v>
      </c>
      <c r="AE1231" t="s">
        <v>62</v>
      </c>
      <c r="AF1231" t="s">
        <v>43</v>
      </c>
      <c r="AG1231">
        <f>IF(HR_Data[[#This Row],[Attrition]]="Yes",1,0)</f>
        <v>0</v>
      </c>
      <c r="AH1231" t="str">
        <f>IF(HR_Data[Date_of_termination]="","Active","Left")</f>
        <v>Active</v>
      </c>
      <c r="AI1231" t="str">
        <f>IF(HR_Data[YearsAtCompany]&lt;=2,"Fresher", IF(HR_Data[YearsAtCompany]&lt;=5,"Junior", IF(HR_Data[YearsAtCompany]&lt;=10, "Mid","Senior")))</f>
        <v>Senior</v>
      </c>
      <c r="AJ1231" s="2" t="str">
        <f>IF(HR_Data[MonthlyIncome]&lt;=300,"Low", IF(HR_Data[MonthlyIncome]&lt;=7000,"Medium", "High"))</f>
        <v>Medium</v>
      </c>
      <c r="AK1231" s="2" t="str">
        <f>VLOOKUP(HR_Data[JobRole], JobRole_Map[], 2, FALSE)</f>
        <v>Technical</v>
      </c>
    </row>
    <row r="1232" spans="1:37" x14ac:dyDescent="0.25">
      <c r="A1232" s="2">
        <v>35</v>
      </c>
      <c r="B1232" t="s">
        <v>41</v>
      </c>
      <c r="C1232" t="s">
        <v>33</v>
      </c>
      <c r="D1232" t="s">
        <v>53</v>
      </c>
      <c r="E1232">
        <v>1</v>
      </c>
      <c r="F1232" t="s">
        <v>35</v>
      </c>
      <c r="G1232">
        <v>3</v>
      </c>
      <c r="H1232">
        <v>2</v>
      </c>
      <c r="I1232" t="s">
        <v>64</v>
      </c>
      <c r="J1232">
        <v>3</v>
      </c>
      <c r="K1232" t="s">
        <v>50</v>
      </c>
      <c r="L1232">
        <v>4717</v>
      </c>
      <c r="M1232">
        <v>9</v>
      </c>
      <c r="N1232" t="s">
        <v>41</v>
      </c>
      <c r="O1232">
        <v>11</v>
      </c>
      <c r="P1232">
        <v>3</v>
      </c>
      <c r="Q1232">
        <v>0</v>
      </c>
      <c r="R1232">
        <v>15</v>
      </c>
      <c r="S1232">
        <v>2</v>
      </c>
      <c r="T1232">
        <v>11</v>
      </c>
      <c r="U1232">
        <v>6</v>
      </c>
      <c r="V1232">
        <v>9</v>
      </c>
      <c r="W1232" t="s">
        <v>65</v>
      </c>
      <c r="X1232" s="1" t="d">
        <v>2010-03-19</v>
      </c>
      <c r="Z1232" t="s">
        <v>63</v>
      </c>
      <c r="AA1232" t="s">
        <v>40</v>
      </c>
      <c r="AB1232">
        <v>5</v>
      </c>
      <c r="AC1232">
        <v>1</v>
      </c>
      <c r="AD1232" t="s">
        <v>41</v>
      </c>
      <c r="AE1232" t="s">
        <v>42</v>
      </c>
      <c r="AF1232" t="s">
        <v>43</v>
      </c>
      <c r="AG1232">
        <f>IF(HR_Data[[#This Row],[Attrition]]="Yes",1,0)</f>
        <v>0</v>
      </c>
      <c r="AH1232" t="str">
        <f>IF(HR_Data[Date_of_termination]="","Active","Left")</f>
        <v>Active</v>
      </c>
      <c r="AI1232" t="str">
        <f>IF(HR_Data[YearsAtCompany]&lt;=2,"Fresher", IF(HR_Data[YearsAtCompany]&lt;=5,"Junior", IF(HR_Data[YearsAtCompany]&lt;=10, "Mid","Senior")))</f>
        <v>Senior</v>
      </c>
      <c r="AJ1232" s="2" t="str">
        <f>IF(HR_Data[MonthlyIncome]&lt;=300,"Low", IF(HR_Data[MonthlyIncome]&lt;=7000,"Medium", "High"))</f>
        <v>Medium</v>
      </c>
      <c r="AK1232" s="2" t="str">
        <f>VLOOKUP(HR_Data[JobRole], JobRole_Map[], 2, FALSE)</f>
        <v>Sales</v>
      </c>
    </row>
    <row r="1233" spans="1:37" x14ac:dyDescent="0.25">
      <c r="A1233" s="2">
        <v>36</v>
      </c>
      <c r="B1233" t="s">
        <v>41</v>
      </c>
      <c r="C1233" t="s">
        <v>33</v>
      </c>
      <c r="D1233" t="s">
        <v>34</v>
      </c>
      <c r="E1233">
        <v>2</v>
      </c>
      <c r="F1233" t="s">
        <v>35</v>
      </c>
      <c r="G1233">
        <v>3</v>
      </c>
      <c r="H1233">
        <v>1</v>
      </c>
      <c r="I1233" t="s">
        <v>36</v>
      </c>
      <c r="J1233">
        <v>3</v>
      </c>
      <c r="K1233" t="s">
        <v>37</v>
      </c>
      <c r="L1233">
        <v>2519</v>
      </c>
      <c r="M1233">
        <v>4</v>
      </c>
      <c r="N1233" t="s">
        <v>41</v>
      </c>
      <c r="O1233">
        <v>21</v>
      </c>
      <c r="P1233">
        <v>4</v>
      </c>
      <c r="Q1233">
        <v>0</v>
      </c>
      <c r="R1233">
        <v>16</v>
      </c>
      <c r="S1233">
        <v>6</v>
      </c>
      <c r="T1233">
        <v>11</v>
      </c>
      <c r="U1233">
        <v>3</v>
      </c>
      <c r="V1233">
        <v>9</v>
      </c>
      <c r="W1233" t="s">
        <v>38</v>
      </c>
      <c r="X1233" s="1" t="d">
        <v>2010-06-19</v>
      </c>
      <c r="Z1233" t="s">
        <v>63</v>
      </c>
      <c r="AA1233" t="s">
        <v>40</v>
      </c>
      <c r="AB1233">
        <v>0</v>
      </c>
      <c r="AC1233">
        <v>3</v>
      </c>
      <c r="AD1233" t="s">
        <v>41</v>
      </c>
      <c r="AE1233" t="s">
        <v>60</v>
      </c>
      <c r="AF1233" t="s">
        <v>48</v>
      </c>
      <c r="AG1233">
        <f>IF(HR_Data[[#This Row],[Attrition]]="Yes",1,0)</f>
        <v>0</v>
      </c>
      <c r="AH1233" t="str">
        <f>IF(HR_Data[Date_of_termination]="","Active","Left")</f>
        <v>Active</v>
      </c>
      <c r="AI1233" t="str">
        <f>IF(HR_Data[YearsAtCompany]&lt;=2,"Fresher", IF(HR_Data[YearsAtCompany]&lt;=5,"Junior", IF(HR_Data[YearsAtCompany]&lt;=10, "Mid","Senior")))</f>
        <v>Senior</v>
      </c>
      <c r="AJ1233" s="2" t="str">
        <f>IF(HR_Data[MonthlyIncome]&lt;=300,"Low", IF(HR_Data[MonthlyIncome]&lt;=7000,"Medium", "High"))</f>
        <v>Medium</v>
      </c>
      <c r="AK1233" s="2" t="str">
        <f>VLOOKUP(HR_Data[JobRole], JobRole_Map[], 2, FALSE)</f>
        <v>Technical</v>
      </c>
    </row>
    <row r="1234" spans="1:37" x14ac:dyDescent="0.25">
      <c r="A1234" s="2">
        <v>40</v>
      </c>
      <c r="B1234" t="s">
        <v>41</v>
      </c>
      <c r="C1234" t="s">
        <v>33</v>
      </c>
      <c r="D1234" t="s">
        <v>34</v>
      </c>
      <c r="E1234">
        <v>20</v>
      </c>
      <c r="F1234" t="s">
        <v>35</v>
      </c>
      <c r="G1234">
        <v>3</v>
      </c>
      <c r="H1234">
        <v>3</v>
      </c>
      <c r="I1234" t="s">
        <v>69</v>
      </c>
      <c r="J1234">
        <v>4</v>
      </c>
      <c r="K1234" t="s">
        <v>50</v>
      </c>
      <c r="L1234">
        <v>10322</v>
      </c>
      <c r="M1234">
        <v>4</v>
      </c>
      <c r="N1234" t="s">
        <v>41</v>
      </c>
      <c r="O1234">
        <v>20</v>
      </c>
      <c r="P1234">
        <v>4</v>
      </c>
      <c r="Q1234">
        <v>1</v>
      </c>
      <c r="R1234">
        <v>14</v>
      </c>
      <c r="S1234">
        <v>6</v>
      </c>
      <c r="T1234">
        <v>11</v>
      </c>
      <c r="U1234">
        <v>11</v>
      </c>
      <c r="V1234">
        <v>1</v>
      </c>
      <c r="W1234" t="s">
        <v>65</v>
      </c>
      <c r="X1234" s="1" t="d">
        <v>2010-06-07</v>
      </c>
      <c r="Z1234" t="s">
        <v>39</v>
      </c>
      <c r="AA1234" t="s">
        <v>46</v>
      </c>
      <c r="AB1234">
        <v>3</v>
      </c>
      <c r="AC1234">
        <v>3</v>
      </c>
      <c r="AD1234" t="s">
        <v>32</v>
      </c>
      <c r="AE1234" t="s">
        <v>62</v>
      </c>
      <c r="AF1234" t="s">
        <v>43</v>
      </c>
      <c r="AG1234">
        <f>IF(HR_Data[[#This Row],[Attrition]]="Yes",1,0)</f>
        <v>0</v>
      </c>
      <c r="AH1234" t="str">
        <f>IF(HR_Data[Date_of_termination]="","Active","Left")</f>
        <v>Active</v>
      </c>
      <c r="AI1234" t="str">
        <f>IF(HR_Data[YearsAtCompany]&lt;=2,"Fresher", IF(HR_Data[YearsAtCompany]&lt;=5,"Junior", IF(HR_Data[YearsAtCompany]&lt;=10, "Mid","Senior")))</f>
        <v>Senior</v>
      </c>
      <c r="AJ1234" s="2" t="str">
        <f>IF(HR_Data[MonthlyIncome]&lt;=300,"Low", IF(HR_Data[MonthlyIncome]&lt;=7000,"Medium", "High"))</f>
        <v>High</v>
      </c>
      <c r="AK1234" s="2" t="str">
        <f>VLOOKUP(HR_Data[JobRole], JobRole_Map[], 2, FALSE)</f>
        <v>Operations</v>
      </c>
    </row>
    <row r="1235" spans="1:37" x14ac:dyDescent="0.25">
      <c r="A1235" s="2">
        <v>36</v>
      </c>
      <c r="B1235" t="s">
        <v>41</v>
      </c>
      <c r="C1235" t="s">
        <v>68</v>
      </c>
      <c r="D1235" t="s">
        <v>34</v>
      </c>
      <c r="E1235">
        <v>18</v>
      </c>
      <c r="F1235" t="s">
        <v>35</v>
      </c>
      <c r="G1235">
        <v>3</v>
      </c>
      <c r="H1235">
        <v>2</v>
      </c>
      <c r="I1235" t="s">
        <v>67</v>
      </c>
      <c r="J1235">
        <v>4</v>
      </c>
      <c r="K1235" t="s">
        <v>37</v>
      </c>
      <c r="L1235">
        <v>7779</v>
      </c>
      <c r="M1235">
        <v>2</v>
      </c>
      <c r="N1235" t="s">
        <v>41</v>
      </c>
      <c r="O1235">
        <v>20</v>
      </c>
      <c r="P1235">
        <v>4</v>
      </c>
      <c r="Q1235">
        <v>0</v>
      </c>
      <c r="R1235">
        <v>18</v>
      </c>
      <c r="S1235">
        <v>0</v>
      </c>
      <c r="T1235">
        <v>11</v>
      </c>
      <c r="U1235">
        <v>0</v>
      </c>
      <c r="V1235">
        <v>9</v>
      </c>
      <c r="W1235" t="s">
        <v>51</v>
      </c>
      <c r="X1235" s="1" t="d">
        <v>2010-04-15</v>
      </c>
      <c r="Z1235" t="s">
        <v>59</v>
      </c>
      <c r="AA1235" t="s">
        <v>46</v>
      </c>
      <c r="AB1235">
        <v>4</v>
      </c>
      <c r="AC1235">
        <v>3</v>
      </c>
      <c r="AD1235" t="s">
        <v>41</v>
      </c>
      <c r="AE1235" t="s">
        <v>47</v>
      </c>
      <c r="AF1235" t="s">
        <v>57</v>
      </c>
      <c r="AG1235">
        <f>IF(HR_Data[[#This Row],[Attrition]]="Yes",1,0)</f>
        <v>0</v>
      </c>
      <c r="AH1235" t="str">
        <f>IF(HR_Data[Date_of_termination]="","Active","Left")</f>
        <v>Active</v>
      </c>
      <c r="AI1235" t="str">
        <f>IF(HR_Data[YearsAtCompany]&lt;=2,"Fresher", IF(HR_Data[YearsAtCompany]&lt;=5,"Junior", IF(HR_Data[YearsAtCompany]&lt;=10, "Mid","Senior")))</f>
        <v>Senior</v>
      </c>
      <c r="AJ1235" s="2" t="str">
        <f>IF(HR_Data[MonthlyIncome]&lt;=300,"Low", IF(HR_Data[MonthlyIncome]&lt;=7000,"Medium", "High"))</f>
        <v>High</v>
      </c>
      <c r="AK1235" s="2" t="str">
        <f>VLOOKUP(HR_Data[JobRole], JobRole_Map[], 2, FALSE)</f>
        <v>Operations</v>
      </c>
    </row>
    <row r="1236" spans="1:37" x14ac:dyDescent="0.25">
      <c r="A1236" s="2">
        <v>29</v>
      </c>
      <c r="B1236" t="s">
        <v>32</v>
      </c>
      <c r="C1236" t="s">
        <v>33</v>
      </c>
      <c r="D1236" t="s">
        <v>53</v>
      </c>
      <c r="E1236">
        <v>23</v>
      </c>
      <c r="F1236" t="s">
        <v>58</v>
      </c>
      <c r="G1236">
        <v>2</v>
      </c>
      <c r="H1236">
        <v>3</v>
      </c>
      <c r="I1236" t="s">
        <v>64</v>
      </c>
      <c r="J1236">
        <v>1</v>
      </c>
      <c r="K1236" t="s">
        <v>50</v>
      </c>
      <c r="L1236">
        <v>7336</v>
      </c>
      <c r="M1236">
        <v>1</v>
      </c>
      <c r="N1236" t="s">
        <v>41</v>
      </c>
      <c r="O1236">
        <v>13</v>
      </c>
      <c r="P1236">
        <v>3</v>
      </c>
      <c r="Q1236">
        <v>1</v>
      </c>
      <c r="R1236">
        <v>11</v>
      </c>
      <c r="S1236">
        <v>3</v>
      </c>
      <c r="T1236">
        <v>11</v>
      </c>
      <c r="U1236">
        <v>3</v>
      </c>
      <c r="V1236">
        <v>10</v>
      </c>
      <c r="W1236" t="s">
        <v>65</v>
      </c>
      <c r="X1236" s="1" t="d">
        <v>2010-06-24</v>
      </c>
      <c r="Z1236" t="s">
        <v>45</v>
      </c>
      <c r="AA1236" t="s">
        <v>46</v>
      </c>
      <c r="AB1236">
        <v>3</v>
      </c>
      <c r="AC1236">
        <v>2</v>
      </c>
      <c r="AD1236" t="s">
        <v>32</v>
      </c>
      <c r="AE1236" t="s">
        <v>62</v>
      </c>
      <c r="AF1236" t="s">
        <v>48</v>
      </c>
      <c r="AG1236">
        <f>IF(HR_Data[[#This Row],[Attrition]]="Yes",1,0)</f>
        <v>1</v>
      </c>
      <c r="AH1236" t="str">
        <f>IF(HR_Data[Date_of_termination]="","Active","Left")</f>
        <v>Active</v>
      </c>
      <c r="AI1236" t="str">
        <f>IF(HR_Data[YearsAtCompany]&lt;=2,"Fresher", IF(HR_Data[YearsAtCompany]&lt;=5,"Junior", IF(HR_Data[YearsAtCompany]&lt;=10, "Mid","Senior")))</f>
        <v>Senior</v>
      </c>
      <c r="AJ1236" s="2" t="str">
        <f>IF(HR_Data[MonthlyIncome]&lt;=300,"Low", IF(HR_Data[MonthlyIncome]&lt;=7000,"Medium", "High"))</f>
        <v>High</v>
      </c>
      <c r="AK1236" s="2" t="str">
        <f>VLOOKUP(HR_Data[JobRole], JobRole_Map[], 2, FALSE)</f>
        <v>Sales</v>
      </c>
    </row>
    <row r="1237" spans="1:37" x14ac:dyDescent="0.25">
      <c r="A1237" s="2">
        <v>60</v>
      </c>
      <c r="B1237" t="s">
        <v>41</v>
      </c>
      <c r="C1237" t="s">
        <v>33</v>
      </c>
      <c r="D1237" t="s">
        <v>53</v>
      </c>
      <c r="E1237">
        <v>7</v>
      </c>
      <c r="F1237" t="s">
        <v>35</v>
      </c>
      <c r="G1237">
        <v>4</v>
      </c>
      <c r="H1237">
        <v>2</v>
      </c>
      <c r="I1237" t="s">
        <v>64</v>
      </c>
      <c r="J1237">
        <v>4</v>
      </c>
      <c r="K1237" t="s">
        <v>55</v>
      </c>
      <c r="L1237">
        <v>5220</v>
      </c>
      <c r="M1237">
        <v>0</v>
      </c>
      <c r="N1237" t="s">
        <v>32</v>
      </c>
      <c r="O1237">
        <v>18</v>
      </c>
      <c r="P1237">
        <v>3</v>
      </c>
      <c r="Q1237">
        <v>1</v>
      </c>
      <c r="R1237">
        <v>12</v>
      </c>
      <c r="S1237">
        <v>3</v>
      </c>
      <c r="T1237">
        <v>11</v>
      </c>
      <c r="U1237">
        <v>1</v>
      </c>
      <c r="V1237">
        <v>9</v>
      </c>
      <c r="W1237" t="s">
        <v>51</v>
      </c>
      <c r="X1237" s="1" t="d">
        <v>2010-02-24</v>
      </c>
      <c r="Z1237" t="s">
        <v>59</v>
      </c>
      <c r="AA1237" t="s">
        <v>46</v>
      </c>
      <c r="AB1237">
        <v>3</v>
      </c>
      <c r="AC1237">
        <v>1</v>
      </c>
      <c r="AD1237" t="s">
        <v>41</v>
      </c>
      <c r="AE1237" t="s">
        <v>62</v>
      </c>
      <c r="AF1237" t="s">
        <v>57</v>
      </c>
      <c r="AG1237">
        <f>IF(HR_Data[[#This Row],[Attrition]]="Yes",1,0)</f>
        <v>0</v>
      </c>
      <c r="AH1237" t="str">
        <f>IF(HR_Data[Date_of_termination]="","Active","Left")</f>
        <v>Active</v>
      </c>
      <c r="AI1237" t="str">
        <f>IF(HR_Data[YearsAtCompany]&lt;=2,"Fresher", IF(HR_Data[YearsAtCompany]&lt;=5,"Junior", IF(HR_Data[YearsAtCompany]&lt;=10, "Mid","Senior")))</f>
        <v>Senior</v>
      </c>
      <c r="AJ1237" s="2" t="str">
        <f>IF(HR_Data[MonthlyIncome]&lt;=300,"Low", IF(HR_Data[MonthlyIncome]&lt;=7000,"Medium", "High"))</f>
        <v>Medium</v>
      </c>
      <c r="AK1237" s="2" t="str">
        <f>VLOOKUP(HR_Data[JobRole], JobRole_Map[], 2, FALSE)</f>
        <v>Sales</v>
      </c>
    </row>
    <row r="1238" spans="1:37" x14ac:dyDescent="0.25">
      <c r="A1238" s="2">
        <v>30</v>
      </c>
      <c r="B1238" t="s">
        <v>41</v>
      </c>
      <c r="C1238" t="s">
        <v>33</v>
      </c>
      <c r="D1238" t="s">
        <v>34</v>
      </c>
      <c r="E1238">
        <v>1</v>
      </c>
      <c r="F1238" t="s">
        <v>35</v>
      </c>
      <c r="G1238">
        <v>3</v>
      </c>
      <c r="H1238">
        <v>1</v>
      </c>
      <c r="I1238" t="s">
        <v>44</v>
      </c>
      <c r="J1238">
        <v>2</v>
      </c>
      <c r="K1238" t="s">
        <v>50</v>
      </c>
      <c r="L1238">
        <v>3579</v>
      </c>
      <c r="M1238">
        <v>0</v>
      </c>
      <c r="N1238" t="s">
        <v>32</v>
      </c>
      <c r="O1238">
        <v>21</v>
      </c>
      <c r="P1238">
        <v>4</v>
      </c>
      <c r="Q1238">
        <v>1</v>
      </c>
      <c r="R1238">
        <v>12</v>
      </c>
      <c r="S1238">
        <v>2</v>
      </c>
      <c r="T1238">
        <v>11</v>
      </c>
      <c r="U1238">
        <v>5</v>
      </c>
      <c r="V1238">
        <v>7</v>
      </c>
      <c r="W1238" t="s">
        <v>65</v>
      </c>
      <c r="X1238" s="1" t="d">
        <v>2010-01-12</v>
      </c>
      <c r="Z1238" t="s">
        <v>52</v>
      </c>
      <c r="AA1238" t="s">
        <v>40</v>
      </c>
      <c r="AB1238">
        <v>0</v>
      </c>
      <c r="AC1238">
        <v>1</v>
      </c>
      <c r="AD1238" t="s">
        <v>41</v>
      </c>
      <c r="AE1238" t="s">
        <v>42</v>
      </c>
      <c r="AF1238" t="s">
        <v>48</v>
      </c>
      <c r="AG1238">
        <f>IF(HR_Data[[#This Row],[Attrition]]="Yes",1,0)</f>
        <v>0</v>
      </c>
      <c r="AH1238" t="str">
        <f>IF(HR_Data[Date_of_termination]="","Active","Left")</f>
        <v>Active</v>
      </c>
      <c r="AI1238" t="str">
        <f>IF(HR_Data[YearsAtCompany]&lt;=2,"Fresher", IF(HR_Data[YearsAtCompany]&lt;=5,"Junior", IF(HR_Data[YearsAtCompany]&lt;=10, "Mid","Senior")))</f>
        <v>Senior</v>
      </c>
      <c r="AJ1238" s="2" t="str">
        <f>IF(HR_Data[MonthlyIncome]&lt;=300,"Low", IF(HR_Data[MonthlyIncome]&lt;=7000,"Medium", "High"))</f>
        <v>Medium</v>
      </c>
      <c r="AK1238" s="2" t="str">
        <f>VLOOKUP(HR_Data[JobRole], JobRole_Map[], 2, FALSE)</f>
        <v>Technical</v>
      </c>
    </row>
    <row r="1239" spans="1:37" x14ac:dyDescent="0.25">
      <c r="A1239" s="2">
        <v>36</v>
      </c>
      <c r="B1239" t="s">
        <v>41</v>
      </c>
      <c r="C1239" t="s">
        <v>61</v>
      </c>
      <c r="D1239" t="s">
        <v>34</v>
      </c>
      <c r="E1239">
        <v>3</v>
      </c>
      <c r="F1239" t="s">
        <v>35</v>
      </c>
      <c r="G1239">
        <v>3</v>
      </c>
      <c r="H1239">
        <v>1</v>
      </c>
      <c r="I1239" t="s">
        <v>44</v>
      </c>
      <c r="J1239">
        <v>2</v>
      </c>
      <c r="K1239" t="s">
        <v>50</v>
      </c>
      <c r="L1239">
        <v>3692</v>
      </c>
      <c r="M1239">
        <v>1</v>
      </c>
      <c r="N1239" t="s">
        <v>41</v>
      </c>
      <c r="O1239">
        <v>12</v>
      </c>
      <c r="P1239">
        <v>3</v>
      </c>
      <c r="Q1239">
        <v>0</v>
      </c>
      <c r="R1239">
        <v>12</v>
      </c>
      <c r="S1239">
        <v>2</v>
      </c>
      <c r="T1239">
        <v>11</v>
      </c>
      <c r="U1239">
        <v>0</v>
      </c>
      <c r="V1239">
        <v>7</v>
      </c>
      <c r="W1239" t="s">
        <v>51</v>
      </c>
      <c r="X1239" s="1" t="d">
        <v>2010-06-15</v>
      </c>
      <c r="Z1239" t="s">
        <v>39</v>
      </c>
      <c r="AA1239" t="s">
        <v>46</v>
      </c>
      <c r="AB1239">
        <v>4</v>
      </c>
      <c r="AC1239">
        <v>3</v>
      </c>
      <c r="AD1239" t="s">
        <v>32</v>
      </c>
      <c r="AE1239" t="s">
        <v>62</v>
      </c>
      <c r="AF1239" t="s">
        <v>48</v>
      </c>
      <c r="AG1239">
        <f>IF(HR_Data[[#This Row],[Attrition]]="Yes",1,0)</f>
        <v>0</v>
      </c>
      <c r="AH1239" t="str">
        <f>IF(HR_Data[Date_of_termination]="","Active","Left")</f>
        <v>Active</v>
      </c>
      <c r="AI1239" t="str">
        <f>IF(HR_Data[YearsAtCompany]&lt;=2,"Fresher", IF(HR_Data[YearsAtCompany]&lt;=5,"Junior", IF(HR_Data[YearsAtCompany]&lt;=10, "Mid","Senior")))</f>
        <v>Senior</v>
      </c>
      <c r="AJ1239" s="2" t="str">
        <f>IF(HR_Data[MonthlyIncome]&lt;=300,"Low", IF(HR_Data[MonthlyIncome]&lt;=7000,"Medium", "High"))</f>
        <v>Medium</v>
      </c>
      <c r="AK1239" s="2" t="str">
        <f>VLOOKUP(HR_Data[JobRole], JobRole_Map[], 2, FALSE)</f>
        <v>Technical</v>
      </c>
    </row>
    <row r="1240" spans="1:37" x14ac:dyDescent="0.25">
      <c r="A1240" s="2">
        <v>46</v>
      </c>
      <c r="B1240" t="s">
        <v>41</v>
      </c>
      <c r="C1240" t="s">
        <v>33</v>
      </c>
      <c r="D1240" t="s">
        <v>53</v>
      </c>
      <c r="E1240">
        <v>4</v>
      </c>
      <c r="F1240" t="s">
        <v>58</v>
      </c>
      <c r="G1240">
        <v>2</v>
      </c>
      <c r="H1240">
        <v>5</v>
      </c>
      <c r="I1240" t="s">
        <v>66</v>
      </c>
      <c r="J1240">
        <v>2</v>
      </c>
      <c r="K1240" t="s">
        <v>50</v>
      </c>
      <c r="L1240">
        <v>18789</v>
      </c>
      <c r="M1240">
        <v>2</v>
      </c>
      <c r="N1240" t="s">
        <v>41</v>
      </c>
      <c r="O1240">
        <v>14</v>
      </c>
      <c r="P1240">
        <v>3</v>
      </c>
      <c r="Q1240">
        <v>1</v>
      </c>
      <c r="R1240">
        <v>26</v>
      </c>
      <c r="S1240">
        <v>2</v>
      </c>
      <c r="T1240">
        <v>11</v>
      </c>
      <c r="U1240">
        <v>0</v>
      </c>
      <c r="V1240">
        <v>8</v>
      </c>
      <c r="W1240" t="s">
        <v>51</v>
      </c>
      <c r="X1240" s="1" t="d">
        <v>2010-06-28</v>
      </c>
      <c r="Z1240" t="s">
        <v>52</v>
      </c>
      <c r="AA1240" t="s">
        <v>40</v>
      </c>
      <c r="AB1240">
        <v>0</v>
      </c>
      <c r="AC1240">
        <v>2</v>
      </c>
      <c r="AD1240" t="s">
        <v>41</v>
      </c>
      <c r="AE1240" t="s">
        <v>60</v>
      </c>
      <c r="AF1240" t="s">
        <v>48</v>
      </c>
      <c r="AG1240">
        <f>IF(HR_Data[[#This Row],[Attrition]]="Yes",1,0)</f>
        <v>0</v>
      </c>
      <c r="AH1240" t="str">
        <f>IF(HR_Data[Date_of_termination]="","Active","Left")</f>
        <v>Active</v>
      </c>
      <c r="AI1240" t="str">
        <f>IF(HR_Data[YearsAtCompany]&lt;=2,"Fresher", IF(HR_Data[YearsAtCompany]&lt;=5,"Junior", IF(HR_Data[YearsAtCompany]&lt;=10, "Mid","Senior")))</f>
        <v>Senior</v>
      </c>
      <c r="AJ1240" s="2" t="str">
        <f>IF(HR_Data[MonthlyIncome]&lt;=300,"Low", IF(HR_Data[MonthlyIncome]&lt;=7000,"Medium", "High"))</f>
        <v>High</v>
      </c>
      <c r="AK1240" s="2" t="str">
        <f>VLOOKUP(HR_Data[JobRole], JobRole_Map[], 2, FALSE)</f>
        <v>Management</v>
      </c>
    </row>
    <row r="1241" spans="1:37" x14ac:dyDescent="0.25">
      <c r="A1241" s="2">
        <v>34</v>
      </c>
      <c r="B1241" t="s">
        <v>41</v>
      </c>
      <c r="C1241" t="s">
        <v>61</v>
      </c>
      <c r="D1241" t="s">
        <v>34</v>
      </c>
      <c r="E1241">
        <v>19</v>
      </c>
      <c r="F1241" t="s">
        <v>58</v>
      </c>
      <c r="G1241">
        <v>3</v>
      </c>
      <c r="H1241">
        <v>2</v>
      </c>
      <c r="I1241" t="s">
        <v>36</v>
      </c>
      <c r="J1241">
        <v>2</v>
      </c>
      <c r="K1241" t="s">
        <v>55</v>
      </c>
      <c r="L1241">
        <v>4444</v>
      </c>
      <c r="M1241">
        <v>4</v>
      </c>
      <c r="N1241" t="s">
        <v>41</v>
      </c>
      <c r="O1241">
        <v>13</v>
      </c>
      <c r="P1241">
        <v>3</v>
      </c>
      <c r="Q1241">
        <v>2</v>
      </c>
      <c r="R1241">
        <v>15</v>
      </c>
      <c r="S1241">
        <v>2</v>
      </c>
      <c r="T1241">
        <v>11</v>
      </c>
      <c r="U1241">
        <v>5</v>
      </c>
      <c r="V1241">
        <v>10</v>
      </c>
      <c r="W1241" t="s">
        <v>51</v>
      </c>
      <c r="X1241" s="1" t="d">
        <v>2010-05-24</v>
      </c>
      <c r="Z1241" t="s">
        <v>39</v>
      </c>
      <c r="AA1241" t="s">
        <v>46</v>
      </c>
      <c r="AB1241">
        <v>1</v>
      </c>
      <c r="AC1241">
        <v>2</v>
      </c>
      <c r="AD1241" t="s">
        <v>32</v>
      </c>
      <c r="AE1241" t="s">
        <v>42</v>
      </c>
      <c r="AF1241" t="s">
        <v>57</v>
      </c>
      <c r="AG1241">
        <f>IF(HR_Data[[#This Row],[Attrition]]="Yes",1,0)</f>
        <v>0</v>
      </c>
      <c r="AH1241" t="str">
        <f>IF(HR_Data[Date_of_termination]="","Active","Left")</f>
        <v>Active</v>
      </c>
      <c r="AI1241" t="str">
        <f>IF(HR_Data[YearsAtCompany]&lt;=2,"Fresher", IF(HR_Data[YearsAtCompany]&lt;=5,"Junior", IF(HR_Data[YearsAtCompany]&lt;=10, "Mid","Senior")))</f>
        <v>Senior</v>
      </c>
      <c r="AJ1241" s="2" t="str">
        <f>IF(HR_Data[MonthlyIncome]&lt;=300,"Low", IF(HR_Data[MonthlyIncome]&lt;=7000,"Medium", "High"))</f>
        <v>Medium</v>
      </c>
      <c r="AK1241" s="2" t="str">
        <f>VLOOKUP(HR_Data[JobRole], JobRole_Map[], 2, FALSE)</f>
        <v>Technical</v>
      </c>
    </row>
    <row r="1242" spans="1:37" x14ac:dyDescent="0.25">
      <c r="A1242" s="2">
        <v>35</v>
      </c>
      <c r="B1242" t="s">
        <v>41</v>
      </c>
      <c r="C1242" t="s">
        <v>33</v>
      </c>
      <c r="D1242" t="s">
        <v>34</v>
      </c>
      <c r="E1242">
        <v>16</v>
      </c>
      <c r="F1242" t="s">
        <v>58</v>
      </c>
      <c r="G1242">
        <v>2</v>
      </c>
      <c r="H1242">
        <v>3</v>
      </c>
      <c r="I1242" t="s">
        <v>69</v>
      </c>
      <c r="J1242">
        <v>2</v>
      </c>
      <c r="K1242" t="s">
        <v>37</v>
      </c>
      <c r="L1242">
        <v>8606</v>
      </c>
      <c r="M1242">
        <v>1</v>
      </c>
      <c r="N1242" t="s">
        <v>41</v>
      </c>
      <c r="O1242">
        <v>19</v>
      </c>
      <c r="P1242">
        <v>3</v>
      </c>
      <c r="Q1242">
        <v>0</v>
      </c>
      <c r="R1242">
        <v>11</v>
      </c>
      <c r="S1242">
        <v>3</v>
      </c>
      <c r="T1242">
        <v>11</v>
      </c>
      <c r="U1242">
        <v>3</v>
      </c>
      <c r="V1242">
        <v>3</v>
      </c>
      <c r="W1242" t="s">
        <v>38</v>
      </c>
      <c r="X1242" s="1" t="d">
        <v>2010-03-15</v>
      </c>
      <c r="Z1242" t="s">
        <v>45</v>
      </c>
      <c r="AA1242" t="s">
        <v>40</v>
      </c>
      <c r="AB1242">
        <v>5</v>
      </c>
      <c r="AC1242">
        <v>3</v>
      </c>
      <c r="AD1242" t="s">
        <v>32</v>
      </c>
      <c r="AE1242" t="s">
        <v>62</v>
      </c>
      <c r="AF1242" t="s">
        <v>43</v>
      </c>
      <c r="AG1242">
        <f>IF(HR_Data[[#This Row],[Attrition]]="Yes",1,0)</f>
        <v>0</v>
      </c>
      <c r="AH1242" t="str">
        <f>IF(HR_Data[Date_of_termination]="","Active","Left")</f>
        <v>Active</v>
      </c>
      <c r="AI1242" t="str">
        <f>IF(HR_Data[YearsAtCompany]&lt;=2,"Fresher", IF(HR_Data[YearsAtCompany]&lt;=5,"Junior", IF(HR_Data[YearsAtCompany]&lt;=10, "Mid","Senior")))</f>
        <v>Senior</v>
      </c>
      <c r="AJ1242" s="2" t="str">
        <f>IF(HR_Data[MonthlyIncome]&lt;=300,"Low", IF(HR_Data[MonthlyIncome]&lt;=7000,"Medium", "High"))</f>
        <v>High</v>
      </c>
      <c r="AK1242" s="2" t="str">
        <f>VLOOKUP(HR_Data[JobRole], JobRole_Map[], 2, FALSE)</f>
        <v>Operations</v>
      </c>
    </row>
    <row r="1243" spans="1:37" x14ac:dyDescent="0.25">
      <c r="A1243" s="2">
        <v>34</v>
      </c>
      <c r="B1243" t="s">
        <v>41</v>
      </c>
      <c r="C1243" t="s">
        <v>33</v>
      </c>
      <c r="D1243" t="s">
        <v>53</v>
      </c>
      <c r="E1243">
        <v>7</v>
      </c>
      <c r="F1243" t="s">
        <v>35</v>
      </c>
      <c r="G1243">
        <v>3</v>
      </c>
      <c r="H1243">
        <v>1</v>
      </c>
      <c r="I1243" t="s">
        <v>54</v>
      </c>
      <c r="J1243">
        <v>3</v>
      </c>
      <c r="K1243" t="s">
        <v>50</v>
      </c>
      <c r="L1243">
        <v>2308</v>
      </c>
      <c r="M1243">
        <v>0</v>
      </c>
      <c r="N1243" t="s">
        <v>32</v>
      </c>
      <c r="O1243">
        <v>25</v>
      </c>
      <c r="P1243">
        <v>4</v>
      </c>
      <c r="Q1243">
        <v>1</v>
      </c>
      <c r="R1243">
        <v>12</v>
      </c>
      <c r="S1243">
        <v>4</v>
      </c>
      <c r="T1243">
        <v>11</v>
      </c>
      <c r="U1243">
        <v>5</v>
      </c>
      <c r="V1243">
        <v>7</v>
      </c>
      <c r="W1243" t="s">
        <v>51</v>
      </c>
      <c r="X1243" s="1" t="d">
        <v>2010-06-26</v>
      </c>
      <c r="Z1243" t="s">
        <v>45</v>
      </c>
      <c r="AA1243" t="s">
        <v>46</v>
      </c>
      <c r="AB1243">
        <v>1</v>
      </c>
      <c r="AC1243">
        <v>2</v>
      </c>
      <c r="AD1243" t="s">
        <v>32</v>
      </c>
      <c r="AE1243" t="s">
        <v>47</v>
      </c>
      <c r="AF1243" t="s">
        <v>57</v>
      </c>
      <c r="AG1243">
        <f>IF(HR_Data[[#This Row],[Attrition]]="Yes",1,0)</f>
        <v>0</v>
      </c>
      <c r="AH1243" t="str">
        <f>IF(HR_Data[Date_of_termination]="","Active","Left")</f>
        <v>Active</v>
      </c>
      <c r="AI1243" t="str">
        <f>IF(HR_Data[YearsAtCompany]&lt;=2,"Fresher", IF(HR_Data[YearsAtCompany]&lt;=5,"Junior", IF(HR_Data[YearsAtCompany]&lt;=10, "Mid","Senior")))</f>
        <v>Senior</v>
      </c>
      <c r="AJ1243" s="2" t="str">
        <f>IF(HR_Data[MonthlyIncome]&lt;=300,"Low", IF(HR_Data[MonthlyIncome]&lt;=7000,"Medium", "High"))</f>
        <v>Medium</v>
      </c>
      <c r="AK1243" s="2" t="str">
        <f>VLOOKUP(HR_Data[JobRole], JobRole_Map[], 2, FALSE)</f>
        <v>Sales</v>
      </c>
    </row>
    <row r="1244" spans="1:37" x14ac:dyDescent="0.25">
      <c r="A1244" s="2">
        <v>34</v>
      </c>
      <c r="B1244" t="s">
        <v>41</v>
      </c>
      <c r="C1244" t="s">
        <v>33</v>
      </c>
      <c r="D1244" t="s">
        <v>34</v>
      </c>
      <c r="E1244">
        <v>3</v>
      </c>
      <c r="F1244" t="s">
        <v>58</v>
      </c>
      <c r="G1244">
        <v>3</v>
      </c>
      <c r="H1244">
        <v>2</v>
      </c>
      <c r="I1244" t="s">
        <v>44</v>
      </c>
      <c r="J1244">
        <v>2</v>
      </c>
      <c r="K1244" t="s">
        <v>55</v>
      </c>
      <c r="L1244">
        <v>5433</v>
      </c>
      <c r="M1244">
        <v>1</v>
      </c>
      <c r="N1244" t="s">
        <v>41</v>
      </c>
      <c r="O1244">
        <v>12</v>
      </c>
      <c r="P1244">
        <v>3</v>
      </c>
      <c r="Q1244">
        <v>1</v>
      </c>
      <c r="R1244">
        <v>11</v>
      </c>
      <c r="S1244">
        <v>2</v>
      </c>
      <c r="T1244">
        <v>11</v>
      </c>
      <c r="U1244">
        <v>7</v>
      </c>
      <c r="V1244">
        <v>9</v>
      </c>
      <c r="W1244" t="s">
        <v>65</v>
      </c>
      <c r="X1244" s="1" t="d">
        <v>2010-06-21</v>
      </c>
      <c r="Z1244" t="s">
        <v>39</v>
      </c>
      <c r="AA1244" t="s">
        <v>46</v>
      </c>
      <c r="AB1244">
        <v>0</v>
      </c>
      <c r="AC1244">
        <v>3</v>
      </c>
      <c r="AD1244" t="s">
        <v>41</v>
      </c>
      <c r="AE1244" t="s">
        <v>42</v>
      </c>
      <c r="AF1244" t="s">
        <v>48</v>
      </c>
      <c r="AG1244">
        <f>IF(HR_Data[[#This Row],[Attrition]]="Yes",1,0)</f>
        <v>0</v>
      </c>
      <c r="AH1244" t="str">
        <f>IF(HR_Data[Date_of_termination]="","Active","Left")</f>
        <v>Active</v>
      </c>
      <c r="AI1244" t="str">
        <f>IF(HR_Data[YearsAtCompany]&lt;=2,"Fresher", IF(HR_Data[YearsAtCompany]&lt;=5,"Junior", IF(HR_Data[YearsAtCompany]&lt;=10, "Mid","Senior")))</f>
        <v>Senior</v>
      </c>
      <c r="AJ1244" s="2" t="str">
        <f>IF(HR_Data[MonthlyIncome]&lt;=300,"Low", IF(HR_Data[MonthlyIncome]&lt;=7000,"Medium", "High"))</f>
        <v>Medium</v>
      </c>
      <c r="AK1244" s="2" t="str">
        <f>VLOOKUP(HR_Data[JobRole], JobRole_Map[], 2, FALSE)</f>
        <v>Technical</v>
      </c>
    </row>
    <row r="1245" spans="1:37" x14ac:dyDescent="0.25">
      <c r="A1245" s="2">
        <v>35</v>
      </c>
      <c r="B1245" t="s">
        <v>32</v>
      </c>
      <c r="C1245" t="s">
        <v>61</v>
      </c>
      <c r="D1245" t="s">
        <v>53</v>
      </c>
      <c r="E1245">
        <v>12</v>
      </c>
      <c r="F1245" t="s">
        <v>35</v>
      </c>
      <c r="G1245">
        <v>3</v>
      </c>
      <c r="H1245">
        <v>2</v>
      </c>
      <c r="I1245" t="s">
        <v>64</v>
      </c>
      <c r="J1245">
        <v>4</v>
      </c>
      <c r="K1245" t="s">
        <v>37</v>
      </c>
      <c r="L1245">
        <v>4581</v>
      </c>
      <c r="M1245">
        <v>3</v>
      </c>
      <c r="N1245" t="s">
        <v>32</v>
      </c>
      <c r="O1245">
        <v>24</v>
      </c>
      <c r="P1245">
        <v>4</v>
      </c>
      <c r="Q1245">
        <v>0</v>
      </c>
      <c r="R1245">
        <v>13</v>
      </c>
      <c r="S1245">
        <v>2</v>
      </c>
      <c r="T1245">
        <v>11</v>
      </c>
      <c r="U1245">
        <v>6</v>
      </c>
      <c r="V1245">
        <v>7</v>
      </c>
      <c r="W1245" t="s">
        <v>51</v>
      </c>
      <c r="X1245" s="1" t="d">
        <v>2010-04-16</v>
      </c>
      <c r="Z1245" t="s">
        <v>39</v>
      </c>
      <c r="AA1245" t="s">
        <v>40</v>
      </c>
      <c r="AB1245">
        <v>4</v>
      </c>
      <c r="AC1245">
        <v>0</v>
      </c>
      <c r="AD1245" t="s">
        <v>32</v>
      </c>
      <c r="AE1245" t="s">
        <v>47</v>
      </c>
      <c r="AF1245" t="s">
        <v>57</v>
      </c>
      <c r="AG1245">
        <f>IF(HR_Data[[#This Row],[Attrition]]="Yes",1,0)</f>
        <v>1</v>
      </c>
      <c r="AH1245" t="str">
        <f>IF(HR_Data[Date_of_termination]="","Active","Left")</f>
        <v>Active</v>
      </c>
      <c r="AI1245" t="str">
        <f>IF(HR_Data[YearsAtCompany]&lt;=2,"Fresher", IF(HR_Data[YearsAtCompany]&lt;=5,"Junior", IF(HR_Data[YearsAtCompany]&lt;=10, "Mid","Senior")))</f>
        <v>Senior</v>
      </c>
      <c r="AJ1245" s="2" t="str">
        <f>IF(HR_Data[MonthlyIncome]&lt;=300,"Low", IF(HR_Data[MonthlyIncome]&lt;=7000,"Medium", "High"))</f>
        <v>Medium</v>
      </c>
      <c r="AK1245" s="2" t="str">
        <f>VLOOKUP(HR_Data[JobRole], JobRole_Map[], 2, FALSE)</f>
        <v>Sales</v>
      </c>
    </row>
    <row r="1246" spans="1:37" x14ac:dyDescent="0.25">
      <c r="A1246" s="2">
        <v>33</v>
      </c>
      <c r="B1246" t="s">
        <v>41</v>
      </c>
      <c r="C1246" t="s">
        <v>68</v>
      </c>
      <c r="D1246" t="s">
        <v>53</v>
      </c>
      <c r="E1246">
        <v>2</v>
      </c>
      <c r="F1246" t="s">
        <v>58</v>
      </c>
      <c r="G1246">
        <v>3</v>
      </c>
      <c r="H1246">
        <v>2</v>
      </c>
      <c r="I1246" t="s">
        <v>64</v>
      </c>
      <c r="J1246">
        <v>2</v>
      </c>
      <c r="K1246" t="s">
        <v>37</v>
      </c>
      <c r="L1246">
        <v>5147</v>
      </c>
      <c r="M1246">
        <v>8</v>
      </c>
      <c r="N1246" t="s">
        <v>41</v>
      </c>
      <c r="O1246">
        <v>15</v>
      </c>
      <c r="P1246">
        <v>3</v>
      </c>
      <c r="Q1246">
        <v>0</v>
      </c>
      <c r="R1246">
        <v>13</v>
      </c>
      <c r="S1246">
        <v>2</v>
      </c>
      <c r="T1246">
        <v>11</v>
      </c>
      <c r="U1246">
        <v>1</v>
      </c>
      <c r="V1246">
        <v>7</v>
      </c>
      <c r="W1246" t="s">
        <v>56</v>
      </c>
      <c r="X1246" s="1" t="d">
        <v>2010-03-12</v>
      </c>
      <c r="Z1246" t="s">
        <v>63</v>
      </c>
      <c r="AA1246" t="s">
        <v>40</v>
      </c>
      <c r="AB1246">
        <v>5</v>
      </c>
      <c r="AC1246">
        <v>2</v>
      </c>
      <c r="AD1246" t="s">
        <v>41</v>
      </c>
      <c r="AE1246" t="s">
        <v>62</v>
      </c>
      <c r="AF1246" t="s">
        <v>43</v>
      </c>
      <c r="AG1246">
        <f>IF(HR_Data[[#This Row],[Attrition]]="Yes",1,0)</f>
        <v>0</v>
      </c>
      <c r="AH1246" t="str">
        <f>IF(HR_Data[Date_of_termination]="","Active","Left")</f>
        <v>Active</v>
      </c>
      <c r="AI1246" t="str">
        <f>IF(HR_Data[YearsAtCompany]&lt;=2,"Fresher", IF(HR_Data[YearsAtCompany]&lt;=5,"Junior", IF(HR_Data[YearsAtCompany]&lt;=10, "Mid","Senior")))</f>
        <v>Senior</v>
      </c>
      <c r="AJ1246" s="2" t="str">
        <f>IF(HR_Data[MonthlyIncome]&lt;=300,"Low", IF(HR_Data[MonthlyIncome]&lt;=7000,"Medium", "High"))</f>
        <v>Medium</v>
      </c>
      <c r="AK1246" s="2" t="str">
        <f>VLOOKUP(HR_Data[JobRole], JobRole_Map[], 2, FALSE)</f>
        <v>Sales</v>
      </c>
    </row>
    <row r="1247" spans="1:37" x14ac:dyDescent="0.25">
      <c r="A1247" s="2">
        <v>38</v>
      </c>
      <c r="B1247" t="s">
        <v>41</v>
      </c>
      <c r="C1247" t="s">
        <v>68</v>
      </c>
      <c r="D1247" t="s">
        <v>70</v>
      </c>
      <c r="E1247">
        <v>2</v>
      </c>
      <c r="F1247" t="s">
        <v>35</v>
      </c>
      <c r="G1247">
        <v>3</v>
      </c>
      <c r="H1247">
        <v>1</v>
      </c>
      <c r="I1247" t="s">
        <v>70</v>
      </c>
      <c r="J1247">
        <v>2</v>
      </c>
      <c r="K1247" t="s">
        <v>55</v>
      </c>
      <c r="L1247">
        <v>2592</v>
      </c>
      <c r="M1247">
        <v>5</v>
      </c>
      <c r="N1247" t="s">
        <v>41</v>
      </c>
      <c r="O1247">
        <v>13</v>
      </c>
      <c r="P1247">
        <v>3</v>
      </c>
      <c r="Q1247">
        <v>3</v>
      </c>
      <c r="R1247">
        <v>13</v>
      </c>
      <c r="S1247">
        <v>3</v>
      </c>
      <c r="T1247">
        <v>11</v>
      </c>
      <c r="U1247">
        <v>3</v>
      </c>
      <c r="V1247">
        <v>8</v>
      </c>
      <c r="W1247" t="s">
        <v>65</v>
      </c>
      <c r="X1247" s="1" t="d">
        <v>2010-04-18</v>
      </c>
      <c r="Z1247" t="s">
        <v>45</v>
      </c>
      <c r="AA1247" t="s">
        <v>40</v>
      </c>
      <c r="AB1247">
        <v>5</v>
      </c>
      <c r="AC1247">
        <v>3</v>
      </c>
      <c r="AD1247" t="s">
        <v>32</v>
      </c>
      <c r="AE1247" t="s">
        <v>60</v>
      </c>
      <c r="AF1247" t="s">
        <v>48</v>
      </c>
      <c r="AG1247">
        <f>IF(HR_Data[[#This Row],[Attrition]]="Yes",1,0)</f>
        <v>0</v>
      </c>
      <c r="AH1247" t="str">
        <f>IF(HR_Data[Date_of_termination]="","Active","Left")</f>
        <v>Active</v>
      </c>
      <c r="AI1247" t="str">
        <f>IF(HR_Data[YearsAtCompany]&lt;=2,"Fresher", IF(HR_Data[YearsAtCompany]&lt;=5,"Junior", IF(HR_Data[YearsAtCompany]&lt;=10, "Mid","Senior")))</f>
        <v>Senior</v>
      </c>
      <c r="AJ1247" s="2" t="str">
        <f>IF(HR_Data[MonthlyIncome]&lt;=300,"Low", IF(HR_Data[MonthlyIncome]&lt;=7000,"Medium", "High"))</f>
        <v>Medium</v>
      </c>
      <c r="AK1247" s="2" t="str">
        <f>VLOOKUP(HR_Data[JobRole], JobRole_Map[], 2, FALSE)</f>
        <v>HR</v>
      </c>
    </row>
    <row r="1248" spans="1:37" x14ac:dyDescent="0.25">
      <c r="A1248" s="2">
        <v>29</v>
      </c>
      <c r="B1248" t="s">
        <v>41</v>
      </c>
      <c r="C1248" t="s">
        <v>61</v>
      </c>
      <c r="D1248" t="s">
        <v>34</v>
      </c>
      <c r="E1248">
        <v>20</v>
      </c>
      <c r="F1248" t="s">
        <v>35</v>
      </c>
      <c r="G1248">
        <v>3</v>
      </c>
      <c r="H1248">
        <v>1</v>
      </c>
      <c r="I1248" t="s">
        <v>36</v>
      </c>
      <c r="J1248">
        <v>4</v>
      </c>
      <c r="K1248" t="s">
        <v>50</v>
      </c>
      <c r="L1248">
        <v>3812</v>
      </c>
      <c r="M1248">
        <v>1</v>
      </c>
      <c r="N1248" t="s">
        <v>41</v>
      </c>
      <c r="O1248">
        <v>13</v>
      </c>
      <c r="P1248">
        <v>3</v>
      </c>
      <c r="Q1248">
        <v>0</v>
      </c>
      <c r="R1248">
        <v>11</v>
      </c>
      <c r="S1248">
        <v>3</v>
      </c>
      <c r="T1248">
        <v>11</v>
      </c>
      <c r="U1248">
        <v>3</v>
      </c>
      <c r="V1248">
        <v>10</v>
      </c>
      <c r="W1248" t="s">
        <v>65</v>
      </c>
      <c r="X1248" s="1" t="d">
        <v>2010-04-13</v>
      </c>
      <c r="Z1248" t="s">
        <v>63</v>
      </c>
      <c r="AA1248" t="s">
        <v>40</v>
      </c>
      <c r="AB1248">
        <v>1</v>
      </c>
      <c r="AC1248">
        <v>2</v>
      </c>
      <c r="AD1248" t="s">
        <v>41</v>
      </c>
      <c r="AE1248" t="s">
        <v>60</v>
      </c>
      <c r="AF1248" t="s">
        <v>48</v>
      </c>
      <c r="AG1248">
        <f>IF(HR_Data[[#This Row],[Attrition]]="Yes",1,0)</f>
        <v>0</v>
      </c>
      <c r="AH1248" t="str">
        <f>IF(HR_Data[Date_of_termination]="","Active","Left")</f>
        <v>Active</v>
      </c>
      <c r="AI1248" t="str">
        <f>IF(HR_Data[YearsAtCompany]&lt;=2,"Fresher", IF(HR_Data[YearsAtCompany]&lt;=5,"Junior", IF(HR_Data[YearsAtCompany]&lt;=10, "Mid","Senior")))</f>
        <v>Senior</v>
      </c>
      <c r="AJ1248" s="2" t="str">
        <f>IF(HR_Data[MonthlyIncome]&lt;=300,"Low", IF(HR_Data[MonthlyIncome]&lt;=7000,"Medium", "High"))</f>
        <v>Medium</v>
      </c>
      <c r="AK1248" s="2" t="str">
        <f>VLOOKUP(HR_Data[JobRole], JobRole_Map[], 2, FALSE)</f>
        <v>Technical</v>
      </c>
    </row>
    <row r="1249" spans="1:37" x14ac:dyDescent="0.25">
      <c r="A1249" s="2">
        <v>31</v>
      </c>
      <c r="B1249" t="s">
        <v>41</v>
      </c>
      <c r="C1249" t="s">
        <v>68</v>
      </c>
      <c r="D1249" t="s">
        <v>34</v>
      </c>
      <c r="E1249">
        <v>10</v>
      </c>
      <c r="F1249" t="s">
        <v>58</v>
      </c>
      <c r="G1249">
        <v>3</v>
      </c>
      <c r="H1249">
        <v>3</v>
      </c>
      <c r="I1249" t="s">
        <v>49</v>
      </c>
      <c r="J1249">
        <v>3</v>
      </c>
      <c r="K1249" t="s">
        <v>50</v>
      </c>
      <c r="L1249">
        <v>11031</v>
      </c>
      <c r="M1249">
        <v>4</v>
      </c>
      <c r="N1249" t="s">
        <v>41</v>
      </c>
      <c r="O1249">
        <v>20</v>
      </c>
      <c r="P1249">
        <v>4</v>
      </c>
      <c r="Q1249">
        <v>1</v>
      </c>
      <c r="R1249">
        <v>13</v>
      </c>
      <c r="S1249">
        <v>2</v>
      </c>
      <c r="T1249">
        <v>11</v>
      </c>
      <c r="U1249">
        <v>4</v>
      </c>
      <c r="V1249">
        <v>8</v>
      </c>
      <c r="W1249" t="s">
        <v>65</v>
      </c>
      <c r="X1249" s="1" t="d">
        <v>2010-04-28</v>
      </c>
      <c r="Z1249" t="s">
        <v>63</v>
      </c>
      <c r="AA1249" t="s">
        <v>46</v>
      </c>
      <c r="AB1249">
        <v>1</v>
      </c>
      <c r="AC1249">
        <v>2</v>
      </c>
      <c r="AD1249" t="s">
        <v>32</v>
      </c>
      <c r="AE1249" t="s">
        <v>42</v>
      </c>
      <c r="AF1249" t="s">
        <v>48</v>
      </c>
      <c r="AG1249">
        <f>IF(HR_Data[[#This Row],[Attrition]]="Yes",1,0)</f>
        <v>0</v>
      </c>
      <c r="AH1249" t="str">
        <f>IF(HR_Data[Date_of_termination]="","Active","Left")</f>
        <v>Active</v>
      </c>
      <c r="AI1249" t="str">
        <f>IF(HR_Data[YearsAtCompany]&lt;=2,"Fresher", IF(HR_Data[YearsAtCompany]&lt;=5,"Junior", IF(HR_Data[YearsAtCompany]&lt;=10, "Mid","Senior")))</f>
        <v>Senior</v>
      </c>
      <c r="AJ1249" s="2" t="str">
        <f>IF(HR_Data[MonthlyIncome]&lt;=300,"Low", IF(HR_Data[MonthlyIncome]&lt;=7000,"Medium", "High"))</f>
        <v>High</v>
      </c>
      <c r="AK1249" s="2" t="str">
        <f>VLOOKUP(HR_Data[JobRole], JobRole_Map[], 2, FALSE)</f>
        <v>Management</v>
      </c>
    </row>
    <row r="1250" spans="1:37" x14ac:dyDescent="0.25">
      <c r="A1250" s="2">
        <v>40</v>
      </c>
      <c r="B1250" t="s">
        <v>41</v>
      </c>
      <c r="C1250" t="s">
        <v>33</v>
      </c>
      <c r="D1250" t="s">
        <v>53</v>
      </c>
      <c r="E1250">
        <v>2</v>
      </c>
      <c r="F1250" t="s">
        <v>58</v>
      </c>
      <c r="G1250">
        <v>3</v>
      </c>
      <c r="H1250">
        <v>2</v>
      </c>
      <c r="I1250" t="s">
        <v>64</v>
      </c>
      <c r="J1250">
        <v>2</v>
      </c>
      <c r="K1250" t="s">
        <v>50</v>
      </c>
      <c r="L1250">
        <v>5677</v>
      </c>
      <c r="M1250">
        <v>3</v>
      </c>
      <c r="N1250" t="s">
        <v>41</v>
      </c>
      <c r="O1250">
        <v>14</v>
      </c>
      <c r="P1250">
        <v>3</v>
      </c>
      <c r="Q1250">
        <v>1</v>
      </c>
      <c r="R1250">
        <v>15</v>
      </c>
      <c r="S1250">
        <v>4</v>
      </c>
      <c r="T1250">
        <v>11</v>
      </c>
      <c r="U1250">
        <v>5</v>
      </c>
      <c r="V1250">
        <v>10</v>
      </c>
      <c r="W1250" t="s">
        <v>56</v>
      </c>
      <c r="X1250" s="1" t="d">
        <v>2010-06-13</v>
      </c>
      <c r="Z1250" t="s">
        <v>63</v>
      </c>
      <c r="AA1250" t="s">
        <v>46</v>
      </c>
      <c r="AB1250">
        <v>3</v>
      </c>
      <c r="AC1250">
        <v>2</v>
      </c>
      <c r="AD1250" t="s">
        <v>32</v>
      </c>
      <c r="AE1250" t="s">
        <v>62</v>
      </c>
      <c r="AF1250" t="s">
        <v>48</v>
      </c>
      <c r="AG1250">
        <f>IF(HR_Data[[#This Row],[Attrition]]="Yes",1,0)</f>
        <v>0</v>
      </c>
      <c r="AH1250" t="str">
        <f>IF(HR_Data[Date_of_termination]="","Active","Left")</f>
        <v>Active</v>
      </c>
      <c r="AI1250" t="str">
        <f>IF(HR_Data[YearsAtCompany]&lt;=2,"Fresher", IF(HR_Data[YearsAtCompany]&lt;=5,"Junior", IF(HR_Data[YearsAtCompany]&lt;=10, "Mid","Senior")))</f>
        <v>Senior</v>
      </c>
      <c r="AJ1250" s="2" t="str">
        <f>IF(HR_Data[MonthlyIncome]&lt;=300,"Low", IF(HR_Data[MonthlyIncome]&lt;=7000,"Medium", "High"))</f>
        <v>Medium</v>
      </c>
      <c r="AK1250" s="2" t="str">
        <f>VLOOKUP(HR_Data[JobRole], JobRole_Map[], 2, FALSE)</f>
        <v>Sales</v>
      </c>
    </row>
    <row r="1251" spans="1:37" x14ac:dyDescent="0.25">
      <c r="A1251" s="2">
        <v>34</v>
      </c>
      <c r="B1251" t="s">
        <v>41</v>
      </c>
      <c r="C1251" t="s">
        <v>33</v>
      </c>
      <c r="D1251" t="s">
        <v>34</v>
      </c>
      <c r="E1251">
        <v>7</v>
      </c>
      <c r="F1251" t="s">
        <v>58</v>
      </c>
      <c r="G1251">
        <v>3</v>
      </c>
      <c r="H1251">
        <v>3</v>
      </c>
      <c r="I1251" t="s">
        <v>49</v>
      </c>
      <c r="J1251">
        <v>2</v>
      </c>
      <c r="K1251" t="s">
        <v>37</v>
      </c>
      <c r="L1251">
        <v>11994</v>
      </c>
      <c r="M1251">
        <v>0</v>
      </c>
      <c r="N1251" t="s">
        <v>41</v>
      </c>
      <c r="O1251">
        <v>11</v>
      </c>
      <c r="P1251">
        <v>3</v>
      </c>
      <c r="Q1251">
        <v>0</v>
      </c>
      <c r="R1251">
        <v>13</v>
      </c>
      <c r="S1251">
        <v>4</v>
      </c>
      <c r="T1251">
        <v>12</v>
      </c>
      <c r="U1251">
        <v>2</v>
      </c>
      <c r="V1251">
        <v>11</v>
      </c>
      <c r="W1251" t="s">
        <v>56</v>
      </c>
      <c r="X1251" s="1" t="d">
        <v>2009-02-25</v>
      </c>
      <c r="Z1251" t="s">
        <v>52</v>
      </c>
      <c r="AA1251" t="s">
        <v>46</v>
      </c>
      <c r="AB1251">
        <v>3</v>
      </c>
      <c r="AC1251">
        <v>2</v>
      </c>
      <c r="AD1251" t="s">
        <v>32</v>
      </c>
      <c r="AE1251" t="s">
        <v>42</v>
      </c>
      <c r="AF1251" t="s">
        <v>43</v>
      </c>
      <c r="AG1251">
        <f>IF(HR_Data[[#This Row],[Attrition]]="Yes",1,0)</f>
        <v>0</v>
      </c>
      <c r="AH1251" t="str">
        <f>IF(HR_Data[Date_of_termination]="","Active","Left")</f>
        <v>Active</v>
      </c>
      <c r="AI1251" t="str">
        <f>IF(HR_Data[YearsAtCompany]&lt;=2,"Fresher", IF(HR_Data[YearsAtCompany]&lt;=5,"Junior", IF(HR_Data[YearsAtCompany]&lt;=10, "Mid","Senior")))</f>
        <v>Senior</v>
      </c>
      <c r="AJ1251" s="2" t="str">
        <f>IF(HR_Data[MonthlyIncome]&lt;=300,"Low", IF(HR_Data[MonthlyIncome]&lt;=7000,"Medium", "High"))</f>
        <v>High</v>
      </c>
      <c r="AK1251" s="2" t="str">
        <f>VLOOKUP(HR_Data[JobRole], JobRole_Map[], 2, FALSE)</f>
        <v>Management</v>
      </c>
    </row>
    <row r="1252" spans="1:37" x14ac:dyDescent="0.25">
      <c r="A1252" s="2">
        <v>30</v>
      </c>
      <c r="B1252" t="s">
        <v>41</v>
      </c>
      <c r="C1252" t="s">
        <v>61</v>
      </c>
      <c r="D1252" t="s">
        <v>34</v>
      </c>
      <c r="E1252">
        <v>1</v>
      </c>
      <c r="F1252" t="s">
        <v>58</v>
      </c>
      <c r="G1252">
        <v>3</v>
      </c>
      <c r="H1252">
        <v>2</v>
      </c>
      <c r="I1252" t="s">
        <v>36</v>
      </c>
      <c r="J1252">
        <v>4</v>
      </c>
      <c r="K1252" t="s">
        <v>37</v>
      </c>
      <c r="L1252">
        <v>4011</v>
      </c>
      <c r="M1252">
        <v>1</v>
      </c>
      <c r="N1252" t="s">
        <v>41</v>
      </c>
      <c r="O1252">
        <v>23</v>
      </c>
      <c r="P1252">
        <v>4</v>
      </c>
      <c r="Q1252">
        <v>0</v>
      </c>
      <c r="R1252">
        <v>12</v>
      </c>
      <c r="S1252">
        <v>2</v>
      </c>
      <c r="T1252">
        <v>12</v>
      </c>
      <c r="U1252">
        <v>3</v>
      </c>
      <c r="V1252">
        <v>7</v>
      </c>
      <c r="W1252" t="s">
        <v>38</v>
      </c>
      <c r="X1252" s="1" t="d">
        <v>2009-05-25</v>
      </c>
      <c r="Z1252" t="s">
        <v>59</v>
      </c>
      <c r="AA1252" t="s">
        <v>46</v>
      </c>
      <c r="AB1252">
        <v>1</v>
      </c>
      <c r="AC1252">
        <v>1</v>
      </c>
      <c r="AD1252" t="s">
        <v>32</v>
      </c>
      <c r="AE1252" t="s">
        <v>47</v>
      </c>
      <c r="AF1252" t="s">
        <v>57</v>
      </c>
      <c r="AG1252">
        <f>IF(HR_Data[[#This Row],[Attrition]]="Yes",1,0)</f>
        <v>0</v>
      </c>
      <c r="AH1252" t="str">
        <f>IF(HR_Data[Date_of_termination]="","Active","Left")</f>
        <v>Active</v>
      </c>
      <c r="AI1252" t="str">
        <f>IF(HR_Data[YearsAtCompany]&lt;=2,"Fresher", IF(HR_Data[YearsAtCompany]&lt;=5,"Junior", IF(HR_Data[YearsAtCompany]&lt;=10, "Mid","Senior")))</f>
        <v>Senior</v>
      </c>
      <c r="AJ1252" s="2" t="str">
        <f>IF(HR_Data[MonthlyIncome]&lt;=300,"Low", IF(HR_Data[MonthlyIncome]&lt;=7000,"Medium", "High"))</f>
        <v>Medium</v>
      </c>
      <c r="AK1252" s="2" t="str">
        <f>VLOOKUP(HR_Data[JobRole], JobRole_Map[], 2, FALSE)</f>
        <v>Technical</v>
      </c>
    </row>
    <row r="1253" spans="1:37" x14ac:dyDescent="0.25">
      <c r="A1253" s="2">
        <v>40</v>
      </c>
      <c r="B1253" t="s">
        <v>41</v>
      </c>
      <c r="C1253" t="s">
        <v>33</v>
      </c>
      <c r="D1253" t="s">
        <v>53</v>
      </c>
      <c r="E1253">
        <v>4</v>
      </c>
      <c r="F1253" t="s">
        <v>35</v>
      </c>
      <c r="G1253">
        <v>2</v>
      </c>
      <c r="H1253">
        <v>3</v>
      </c>
      <c r="I1253" t="s">
        <v>64</v>
      </c>
      <c r="J1253">
        <v>4</v>
      </c>
      <c r="K1253" t="s">
        <v>50</v>
      </c>
      <c r="L1253">
        <v>10855</v>
      </c>
      <c r="M1253">
        <v>7</v>
      </c>
      <c r="N1253" t="s">
        <v>41</v>
      </c>
      <c r="O1253">
        <v>11</v>
      </c>
      <c r="P1253">
        <v>3</v>
      </c>
      <c r="Q1253">
        <v>1</v>
      </c>
      <c r="R1253">
        <v>15</v>
      </c>
      <c r="S1253">
        <v>2</v>
      </c>
      <c r="T1253">
        <v>12</v>
      </c>
      <c r="U1253">
        <v>2</v>
      </c>
      <c r="V1253">
        <v>11</v>
      </c>
      <c r="W1253" t="s">
        <v>38</v>
      </c>
      <c r="X1253" s="1" t="d">
        <v>2009-03-31</v>
      </c>
      <c r="Z1253" t="s">
        <v>39</v>
      </c>
      <c r="AA1253" t="s">
        <v>40</v>
      </c>
      <c r="AB1253">
        <v>1</v>
      </c>
      <c r="AC1253">
        <v>1</v>
      </c>
      <c r="AD1253" t="s">
        <v>41</v>
      </c>
      <c r="AE1253" t="s">
        <v>62</v>
      </c>
      <c r="AF1253" t="s">
        <v>48</v>
      </c>
      <c r="AG1253">
        <f>IF(HR_Data[[#This Row],[Attrition]]="Yes",1,0)</f>
        <v>0</v>
      </c>
      <c r="AH1253" t="str">
        <f>IF(HR_Data[Date_of_termination]="","Active","Left")</f>
        <v>Active</v>
      </c>
      <c r="AI1253" t="str">
        <f>IF(HR_Data[YearsAtCompany]&lt;=2,"Fresher", IF(HR_Data[YearsAtCompany]&lt;=5,"Junior", IF(HR_Data[YearsAtCompany]&lt;=10, "Mid","Senior")))</f>
        <v>Senior</v>
      </c>
      <c r="AJ1253" s="2" t="str">
        <f>IF(HR_Data[MonthlyIncome]&lt;=300,"Low", IF(HR_Data[MonthlyIncome]&lt;=7000,"Medium", "High"))</f>
        <v>High</v>
      </c>
      <c r="AK1253" s="2" t="str">
        <f>VLOOKUP(HR_Data[JobRole], JobRole_Map[], 2, FALSE)</f>
        <v>Sales</v>
      </c>
    </row>
    <row r="1254" spans="1:37" x14ac:dyDescent="0.25">
      <c r="A1254" s="2">
        <v>30</v>
      </c>
      <c r="B1254" t="s">
        <v>41</v>
      </c>
      <c r="C1254" t="s">
        <v>68</v>
      </c>
      <c r="D1254" t="s">
        <v>34</v>
      </c>
      <c r="E1254">
        <v>9</v>
      </c>
      <c r="F1254" t="s">
        <v>35</v>
      </c>
      <c r="G1254">
        <v>3</v>
      </c>
      <c r="H1254">
        <v>2</v>
      </c>
      <c r="I1254" t="s">
        <v>36</v>
      </c>
      <c r="J1254">
        <v>1</v>
      </c>
      <c r="K1254" t="s">
        <v>55</v>
      </c>
      <c r="L1254">
        <v>3072</v>
      </c>
      <c r="M1254">
        <v>1</v>
      </c>
      <c r="N1254" t="s">
        <v>41</v>
      </c>
      <c r="O1254">
        <v>11</v>
      </c>
      <c r="P1254">
        <v>3</v>
      </c>
      <c r="Q1254">
        <v>2</v>
      </c>
      <c r="R1254">
        <v>12</v>
      </c>
      <c r="S1254">
        <v>4</v>
      </c>
      <c r="T1254">
        <v>12</v>
      </c>
      <c r="U1254">
        <v>6</v>
      </c>
      <c r="V1254">
        <v>10</v>
      </c>
      <c r="W1254" t="s">
        <v>38</v>
      </c>
      <c r="X1254" s="1" t="d">
        <v>2009-01-12</v>
      </c>
      <c r="Z1254" t="s">
        <v>39</v>
      </c>
      <c r="AA1254" t="s">
        <v>40</v>
      </c>
      <c r="AB1254">
        <v>3</v>
      </c>
      <c r="AC1254">
        <v>1</v>
      </c>
      <c r="AD1254" t="s">
        <v>41</v>
      </c>
      <c r="AE1254" t="s">
        <v>60</v>
      </c>
      <c r="AF1254" t="s">
        <v>48</v>
      </c>
      <c r="AG1254">
        <f>IF(HR_Data[[#This Row],[Attrition]]="Yes",1,0)</f>
        <v>0</v>
      </c>
      <c r="AH1254" t="str">
        <f>IF(HR_Data[Date_of_termination]="","Active","Left")</f>
        <v>Active</v>
      </c>
      <c r="AI1254" t="str">
        <f>IF(HR_Data[YearsAtCompany]&lt;=2,"Fresher", IF(HR_Data[YearsAtCompany]&lt;=5,"Junior", IF(HR_Data[YearsAtCompany]&lt;=10, "Mid","Senior")))</f>
        <v>Senior</v>
      </c>
      <c r="AJ1254" s="2" t="str">
        <f>IF(HR_Data[MonthlyIncome]&lt;=300,"Low", IF(HR_Data[MonthlyIncome]&lt;=7000,"Medium", "High"))</f>
        <v>Medium</v>
      </c>
      <c r="AK1254" s="2" t="str">
        <f>VLOOKUP(HR_Data[JobRole], JobRole_Map[], 2, FALSE)</f>
        <v>Technical</v>
      </c>
    </row>
    <row r="1255" spans="1:37" x14ac:dyDescent="0.25">
      <c r="A1255" s="2">
        <v>53</v>
      </c>
      <c r="B1255" t="s">
        <v>41</v>
      </c>
      <c r="C1255" t="s">
        <v>33</v>
      </c>
      <c r="D1255" t="s">
        <v>34</v>
      </c>
      <c r="E1255">
        <v>23</v>
      </c>
      <c r="F1255" t="s">
        <v>58</v>
      </c>
      <c r="G1255">
        <v>3</v>
      </c>
      <c r="H1255">
        <v>4</v>
      </c>
      <c r="I1255" t="s">
        <v>49</v>
      </c>
      <c r="J1255">
        <v>4</v>
      </c>
      <c r="K1255" t="s">
        <v>37</v>
      </c>
      <c r="L1255">
        <v>14275</v>
      </c>
      <c r="M1255">
        <v>6</v>
      </c>
      <c r="N1255" t="s">
        <v>41</v>
      </c>
      <c r="O1255">
        <v>18</v>
      </c>
      <c r="P1255">
        <v>3</v>
      </c>
      <c r="Q1255">
        <v>0</v>
      </c>
      <c r="R1255">
        <v>33</v>
      </c>
      <c r="S1255">
        <v>0</v>
      </c>
      <c r="T1255">
        <v>12</v>
      </c>
      <c r="U1255">
        <v>3</v>
      </c>
      <c r="V1255">
        <v>8</v>
      </c>
      <c r="W1255" t="s">
        <v>65</v>
      </c>
      <c r="X1255" s="1" t="d">
        <v>2009-01-19</v>
      </c>
      <c r="Z1255" t="s">
        <v>52</v>
      </c>
      <c r="AA1255" t="s">
        <v>40</v>
      </c>
      <c r="AB1255">
        <v>4</v>
      </c>
      <c r="AC1255">
        <v>1</v>
      </c>
      <c r="AD1255" t="s">
        <v>32</v>
      </c>
      <c r="AE1255" t="s">
        <v>62</v>
      </c>
      <c r="AF1255" t="s">
        <v>43</v>
      </c>
      <c r="AG1255">
        <f>IF(HR_Data[[#This Row],[Attrition]]="Yes",1,0)</f>
        <v>0</v>
      </c>
      <c r="AH1255" t="str">
        <f>IF(HR_Data[Date_of_termination]="","Active","Left")</f>
        <v>Active</v>
      </c>
      <c r="AI1255" t="str">
        <f>IF(HR_Data[YearsAtCompany]&lt;=2,"Fresher", IF(HR_Data[YearsAtCompany]&lt;=5,"Junior", IF(HR_Data[YearsAtCompany]&lt;=10, "Mid","Senior")))</f>
        <v>Senior</v>
      </c>
      <c r="AJ1255" s="2" t="str">
        <f>IF(HR_Data[MonthlyIncome]&lt;=300,"Low", IF(HR_Data[MonthlyIncome]&lt;=7000,"Medium", "High"))</f>
        <v>High</v>
      </c>
      <c r="AK1255" s="2" t="str">
        <f>VLOOKUP(HR_Data[JobRole], JobRole_Map[], 2, FALSE)</f>
        <v>Management</v>
      </c>
    </row>
    <row r="1256" spans="1:37" x14ac:dyDescent="0.25">
      <c r="A1256" s="2">
        <v>50</v>
      </c>
      <c r="B1256" t="s">
        <v>41</v>
      </c>
      <c r="C1256" t="s">
        <v>33</v>
      </c>
      <c r="D1256" t="s">
        <v>34</v>
      </c>
      <c r="E1256">
        <v>24</v>
      </c>
      <c r="F1256" t="s">
        <v>35</v>
      </c>
      <c r="G1256">
        <v>3</v>
      </c>
      <c r="H1256">
        <v>4</v>
      </c>
      <c r="I1256" t="s">
        <v>67</v>
      </c>
      <c r="J1256">
        <v>3</v>
      </c>
      <c r="K1256" t="s">
        <v>50</v>
      </c>
      <c r="L1256">
        <v>13973</v>
      </c>
      <c r="M1256">
        <v>3</v>
      </c>
      <c r="N1256" t="s">
        <v>32</v>
      </c>
      <c r="O1256">
        <v>18</v>
      </c>
      <c r="P1256">
        <v>3</v>
      </c>
      <c r="Q1256">
        <v>1</v>
      </c>
      <c r="R1256">
        <v>22</v>
      </c>
      <c r="S1256">
        <v>2</v>
      </c>
      <c r="T1256">
        <v>12</v>
      </c>
      <c r="U1256">
        <v>1</v>
      </c>
      <c r="V1256">
        <v>5</v>
      </c>
      <c r="W1256" t="s">
        <v>65</v>
      </c>
      <c r="X1256" s="1" t="d">
        <v>2009-03-12</v>
      </c>
      <c r="Z1256" t="s">
        <v>63</v>
      </c>
      <c r="AA1256" t="s">
        <v>40</v>
      </c>
      <c r="AB1256">
        <v>3</v>
      </c>
      <c r="AC1256">
        <v>2</v>
      </c>
      <c r="AD1256" t="s">
        <v>32</v>
      </c>
      <c r="AE1256" t="s">
        <v>60</v>
      </c>
      <c r="AF1256" t="s">
        <v>43</v>
      </c>
      <c r="AG1256">
        <f>IF(HR_Data[[#This Row],[Attrition]]="Yes",1,0)</f>
        <v>0</v>
      </c>
      <c r="AH1256" t="str">
        <f>IF(HR_Data[Date_of_termination]="","Active","Left")</f>
        <v>Active</v>
      </c>
      <c r="AI1256" t="str">
        <f>IF(HR_Data[YearsAtCompany]&lt;=2,"Fresher", IF(HR_Data[YearsAtCompany]&lt;=5,"Junior", IF(HR_Data[YearsAtCompany]&lt;=10, "Mid","Senior")))</f>
        <v>Senior</v>
      </c>
      <c r="AJ1256" s="2" t="str">
        <f>IF(HR_Data[MonthlyIncome]&lt;=300,"Low", IF(HR_Data[MonthlyIncome]&lt;=7000,"Medium", "High"))</f>
        <v>High</v>
      </c>
      <c r="AK1256" s="2" t="str">
        <f>VLOOKUP(HR_Data[JobRole], JobRole_Map[], 2, FALSE)</f>
        <v>Operations</v>
      </c>
    </row>
    <row r="1257" spans="1:37" x14ac:dyDescent="0.25">
      <c r="A1257" s="2">
        <v>44</v>
      </c>
      <c r="B1257" t="s">
        <v>41</v>
      </c>
      <c r="C1257" t="s">
        <v>33</v>
      </c>
      <c r="D1257" t="s">
        <v>53</v>
      </c>
      <c r="E1257">
        <v>28</v>
      </c>
      <c r="F1257" t="s">
        <v>58</v>
      </c>
      <c r="G1257">
        <v>4</v>
      </c>
      <c r="H1257">
        <v>4</v>
      </c>
      <c r="I1257" t="s">
        <v>64</v>
      </c>
      <c r="J1257">
        <v>4</v>
      </c>
      <c r="K1257" t="s">
        <v>50</v>
      </c>
      <c r="L1257">
        <v>13320</v>
      </c>
      <c r="M1257">
        <v>3</v>
      </c>
      <c r="N1257" t="s">
        <v>32</v>
      </c>
      <c r="O1257">
        <v>18</v>
      </c>
      <c r="P1257">
        <v>3</v>
      </c>
      <c r="Q1257">
        <v>1</v>
      </c>
      <c r="R1257">
        <v>23</v>
      </c>
      <c r="S1257">
        <v>2</v>
      </c>
      <c r="T1257">
        <v>12</v>
      </c>
      <c r="U1257">
        <v>11</v>
      </c>
      <c r="V1257">
        <v>11</v>
      </c>
      <c r="W1257" t="s">
        <v>38</v>
      </c>
      <c r="X1257" s="1" t="d">
        <v>2009-03-12</v>
      </c>
      <c r="Z1257" t="s">
        <v>52</v>
      </c>
      <c r="AA1257" t="s">
        <v>40</v>
      </c>
      <c r="AB1257">
        <v>4</v>
      </c>
      <c r="AC1257">
        <v>2</v>
      </c>
      <c r="AD1257" t="s">
        <v>41</v>
      </c>
      <c r="AE1257" t="s">
        <v>42</v>
      </c>
      <c r="AF1257" t="s">
        <v>43</v>
      </c>
      <c r="AG1257">
        <f>IF(HR_Data[[#This Row],[Attrition]]="Yes",1,0)</f>
        <v>0</v>
      </c>
      <c r="AH1257" t="str">
        <f>IF(HR_Data[Date_of_termination]="","Active","Left")</f>
        <v>Active</v>
      </c>
      <c r="AI1257" t="str">
        <f>IF(HR_Data[YearsAtCompany]&lt;=2,"Fresher", IF(HR_Data[YearsAtCompany]&lt;=5,"Junior", IF(HR_Data[YearsAtCompany]&lt;=10, "Mid","Senior")))</f>
        <v>Senior</v>
      </c>
      <c r="AJ1257" s="2" t="str">
        <f>IF(HR_Data[MonthlyIncome]&lt;=300,"Low", IF(HR_Data[MonthlyIncome]&lt;=7000,"Medium", "High"))</f>
        <v>High</v>
      </c>
      <c r="AK1257" s="2" t="str">
        <f>VLOOKUP(HR_Data[JobRole], JobRole_Map[], 2, FALSE)</f>
        <v>Sales</v>
      </c>
    </row>
    <row r="1258" spans="1:37" x14ac:dyDescent="0.25">
      <c r="A1258" s="2">
        <v>46</v>
      </c>
      <c r="B1258" t="s">
        <v>41</v>
      </c>
      <c r="C1258" t="s">
        <v>33</v>
      </c>
      <c r="D1258" t="s">
        <v>53</v>
      </c>
      <c r="E1258">
        <v>3</v>
      </c>
      <c r="F1258" t="s">
        <v>35</v>
      </c>
      <c r="G1258">
        <v>3</v>
      </c>
      <c r="H1258">
        <v>4</v>
      </c>
      <c r="I1258" t="s">
        <v>66</v>
      </c>
      <c r="J1258">
        <v>3</v>
      </c>
      <c r="K1258" t="s">
        <v>50</v>
      </c>
      <c r="L1258">
        <v>17465</v>
      </c>
      <c r="M1258">
        <v>3</v>
      </c>
      <c r="N1258" t="s">
        <v>41</v>
      </c>
      <c r="O1258">
        <v>12</v>
      </c>
      <c r="P1258">
        <v>3</v>
      </c>
      <c r="Q1258">
        <v>1</v>
      </c>
      <c r="R1258">
        <v>23</v>
      </c>
      <c r="S1258">
        <v>3</v>
      </c>
      <c r="T1258">
        <v>12</v>
      </c>
      <c r="U1258">
        <v>4</v>
      </c>
      <c r="V1258">
        <v>9</v>
      </c>
      <c r="W1258" t="s">
        <v>38</v>
      </c>
      <c r="X1258" s="1" t="d">
        <v>2009-03-25</v>
      </c>
      <c r="Z1258" t="s">
        <v>63</v>
      </c>
      <c r="AA1258" t="s">
        <v>40</v>
      </c>
      <c r="AB1258">
        <v>5</v>
      </c>
      <c r="AC1258">
        <v>0</v>
      </c>
      <c r="AD1258" t="s">
        <v>32</v>
      </c>
      <c r="AE1258" t="s">
        <v>47</v>
      </c>
      <c r="AF1258" t="s">
        <v>43</v>
      </c>
      <c r="AG1258">
        <f>IF(HR_Data[[#This Row],[Attrition]]="Yes",1,0)</f>
        <v>0</v>
      </c>
      <c r="AH1258" t="str">
        <f>IF(HR_Data[Date_of_termination]="","Active","Left")</f>
        <v>Active</v>
      </c>
      <c r="AI1258" t="str">
        <f>IF(HR_Data[YearsAtCompany]&lt;=2,"Fresher", IF(HR_Data[YearsAtCompany]&lt;=5,"Junior", IF(HR_Data[YearsAtCompany]&lt;=10, "Mid","Senior")))</f>
        <v>Senior</v>
      </c>
      <c r="AJ1258" s="2" t="str">
        <f>IF(HR_Data[MonthlyIncome]&lt;=300,"Low", IF(HR_Data[MonthlyIncome]&lt;=7000,"Medium", "High"))</f>
        <v>High</v>
      </c>
      <c r="AK1258" s="2" t="str">
        <f>VLOOKUP(HR_Data[JobRole], JobRole_Map[], 2, FALSE)</f>
        <v>Management</v>
      </c>
    </row>
    <row r="1259" spans="1:37" x14ac:dyDescent="0.25">
      <c r="A1259" s="2">
        <v>40</v>
      </c>
      <c r="B1259" t="s">
        <v>41</v>
      </c>
      <c r="C1259" t="s">
        <v>33</v>
      </c>
      <c r="D1259" t="s">
        <v>34</v>
      </c>
      <c r="E1259">
        <v>2</v>
      </c>
      <c r="F1259" t="s">
        <v>58</v>
      </c>
      <c r="G1259">
        <v>4</v>
      </c>
      <c r="H1259">
        <v>2</v>
      </c>
      <c r="I1259" t="s">
        <v>69</v>
      </c>
      <c r="J1259">
        <v>3</v>
      </c>
      <c r="K1259" t="s">
        <v>55</v>
      </c>
      <c r="L1259">
        <v>6377</v>
      </c>
      <c r="M1259">
        <v>5</v>
      </c>
      <c r="N1259" t="s">
        <v>41</v>
      </c>
      <c r="O1259">
        <v>20</v>
      </c>
      <c r="P1259">
        <v>4</v>
      </c>
      <c r="Q1259">
        <v>3</v>
      </c>
      <c r="R1259">
        <v>15</v>
      </c>
      <c r="S1259">
        <v>0</v>
      </c>
      <c r="T1259">
        <v>12</v>
      </c>
      <c r="U1259">
        <v>11</v>
      </c>
      <c r="V1259">
        <v>8</v>
      </c>
      <c r="W1259" t="s">
        <v>65</v>
      </c>
      <c r="X1259" s="1" t="d">
        <v>2009-02-03</v>
      </c>
      <c r="Z1259" t="s">
        <v>63</v>
      </c>
      <c r="AA1259" t="s">
        <v>46</v>
      </c>
      <c r="AB1259">
        <v>5</v>
      </c>
      <c r="AC1259">
        <v>3</v>
      </c>
      <c r="AD1259" t="s">
        <v>41</v>
      </c>
      <c r="AE1259" t="s">
        <v>42</v>
      </c>
      <c r="AF1259" t="s">
        <v>43</v>
      </c>
      <c r="AG1259">
        <f>IF(HR_Data[[#This Row],[Attrition]]="Yes",1,0)</f>
        <v>0</v>
      </c>
      <c r="AH1259" t="str">
        <f>IF(HR_Data[Date_of_termination]="","Active","Left")</f>
        <v>Active</v>
      </c>
      <c r="AI1259" t="str">
        <f>IF(HR_Data[YearsAtCompany]&lt;=2,"Fresher", IF(HR_Data[YearsAtCompany]&lt;=5,"Junior", IF(HR_Data[YearsAtCompany]&lt;=10, "Mid","Senior")))</f>
        <v>Senior</v>
      </c>
      <c r="AJ1259" s="2" t="str">
        <f>IF(HR_Data[MonthlyIncome]&lt;=300,"Low", IF(HR_Data[MonthlyIncome]&lt;=7000,"Medium", "High"))</f>
        <v>Medium</v>
      </c>
      <c r="AK1259" s="2" t="str">
        <f>VLOOKUP(HR_Data[JobRole], JobRole_Map[], 2, FALSE)</f>
        <v>Operations</v>
      </c>
    </row>
    <row r="1260" spans="1:37" x14ac:dyDescent="0.25">
      <c r="A1260" s="2">
        <v>42</v>
      </c>
      <c r="B1260" t="s">
        <v>41</v>
      </c>
      <c r="C1260" t="s">
        <v>61</v>
      </c>
      <c r="D1260" t="s">
        <v>34</v>
      </c>
      <c r="E1260">
        <v>9</v>
      </c>
      <c r="F1260" t="s">
        <v>58</v>
      </c>
      <c r="G1260">
        <v>3</v>
      </c>
      <c r="H1260">
        <v>1</v>
      </c>
      <c r="I1260" t="s">
        <v>36</v>
      </c>
      <c r="J1260">
        <v>4</v>
      </c>
      <c r="K1260" t="s">
        <v>37</v>
      </c>
      <c r="L1260">
        <v>3673</v>
      </c>
      <c r="M1260">
        <v>1</v>
      </c>
      <c r="N1260" t="s">
        <v>41</v>
      </c>
      <c r="O1260">
        <v>13</v>
      </c>
      <c r="P1260">
        <v>3</v>
      </c>
      <c r="Q1260">
        <v>0</v>
      </c>
      <c r="R1260">
        <v>12</v>
      </c>
      <c r="S1260">
        <v>3</v>
      </c>
      <c r="T1260">
        <v>12</v>
      </c>
      <c r="U1260">
        <v>5</v>
      </c>
      <c r="V1260">
        <v>8</v>
      </c>
      <c r="W1260" t="s">
        <v>56</v>
      </c>
      <c r="X1260" s="1" t="d">
        <v>2009-03-25</v>
      </c>
      <c r="Z1260" t="s">
        <v>52</v>
      </c>
      <c r="AA1260" t="s">
        <v>46</v>
      </c>
      <c r="AB1260">
        <v>3</v>
      </c>
      <c r="AC1260">
        <v>2</v>
      </c>
      <c r="AD1260" t="s">
        <v>41</v>
      </c>
      <c r="AE1260" t="s">
        <v>60</v>
      </c>
      <c r="AF1260" t="s">
        <v>48</v>
      </c>
      <c r="AG1260">
        <f>IF(HR_Data[[#This Row],[Attrition]]="Yes",1,0)</f>
        <v>0</v>
      </c>
      <c r="AH1260" t="str">
        <f>IF(HR_Data[Date_of_termination]="","Active","Left")</f>
        <v>Active</v>
      </c>
      <c r="AI1260" t="str">
        <f>IF(HR_Data[YearsAtCompany]&lt;=2,"Fresher", IF(HR_Data[YearsAtCompany]&lt;=5,"Junior", IF(HR_Data[YearsAtCompany]&lt;=10, "Mid","Senior")))</f>
        <v>Senior</v>
      </c>
      <c r="AJ1260" s="2" t="str">
        <f>IF(HR_Data[MonthlyIncome]&lt;=300,"Low", IF(HR_Data[MonthlyIncome]&lt;=7000,"Medium", "High"))</f>
        <v>Medium</v>
      </c>
      <c r="AK1260" s="2" t="str">
        <f>VLOOKUP(HR_Data[JobRole], JobRole_Map[], 2, FALSE)</f>
        <v>Technical</v>
      </c>
    </row>
    <row r="1261" spans="1:37" x14ac:dyDescent="0.25">
      <c r="A1261" s="2">
        <v>57</v>
      </c>
      <c r="B1261" t="s">
        <v>41</v>
      </c>
      <c r="C1261" t="s">
        <v>33</v>
      </c>
      <c r="D1261" t="s">
        <v>34</v>
      </c>
      <c r="E1261">
        <v>1</v>
      </c>
      <c r="F1261" t="s">
        <v>35</v>
      </c>
      <c r="G1261">
        <v>4</v>
      </c>
      <c r="H1261">
        <v>2</v>
      </c>
      <c r="I1261" t="s">
        <v>44</v>
      </c>
      <c r="J1261">
        <v>3</v>
      </c>
      <c r="K1261" t="s">
        <v>50</v>
      </c>
      <c r="L1261">
        <v>4900</v>
      </c>
      <c r="M1261">
        <v>0</v>
      </c>
      <c r="N1261" t="s">
        <v>41</v>
      </c>
      <c r="O1261">
        <v>24</v>
      </c>
      <c r="P1261">
        <v>4</v>
      </c>
      <c r="Q1261">
        <v>1</v>
      </c>
      <c r="R1261">
        <v>13</v>
      </c>
      <c r="S1261">
        <v>2</v>
      </c>
      <c r="T1261">
        <v>12</v>
      </c>
      <c r="U1261">
        <v>2</v>
      </c>
      <c r="V1261">
        <v>8</v>
      </c>
      <c r="W1261" t="s">
        <v>38</v>
      </c>
      <c r="X1261" s="1" t="d">
        <v>2009-03-02</v>
      </c>
      <c r="Z1261" t="s">
        <v>45</v>
      </c>
      <c r="AA1261" t="s">
        <v>40</v>
      </c>
      <c r="AB1261">
        <v>0</v>
      </c>
      <c r="AC1261">
        <v>1</v>
      </c>
      <c r="AD1261" t="s">
        <v>41</v>
      </c>
      <c r="AE1261" t="s">
        <v>62</v>
      </c>
      <c r="AF1261" t="s">
        <v>48</v>
      </c>
      <c r="AG1261">
        <f>IF(HR_Data[[#This Row],[Attrition]]="Yes",1,0)</f>
        <v>0</v>
      </c>
      <c r="AH1261" t="str">
        <f>IF(HR_Data[Date_of_termination]="","Active","Left")</f>
        <v>Active</v>
      </c>
      <c r="AI1261" t="str">
        <f>IF(HR_Data[YearsAtCompany]&lt;=2,"Fresher", IF(HR_Data[YearsAtCompany]&lt;=5,"Junior", IF(HR_Data[YearsAtCompany]&lt;=10, "Mid","Senior")))</f>
        <v>Senior</v>
      </c>
      <c r="AJ1261" s="2" t="str">
        <f>IF(HR_Data[MonthlyIncome]&lt;=300,"Low", IF(HR_Data[MonthlyIncome]&lt;=7000,"Medium", "High"))</f>
        <v>Medium</v>
      </c>
      <c r="AK1261" s="2" t="str">
        <f>VLOOKUP(HR_Data[JobRole], JobRole_Map[], 2, FALSE)</f>
        <v>Technical</v>
      </c>
    </row>
    <row r="1262" spans="1:37" x14ac:dyDescent="0.25">
      <c r="A1262" s="2">
        <v>31</v>
      </c>
      <c r="B1262" t="s">
        <v>41</v>
      </c>
      <c r="C1262" t="s">
        <v>33</v>
      </c>
      <c r="D1262" t="s">
        <v>53</v>
      </c>
      <c r="E1262">
        <v>29</v>
      </c>
      <c r="F1262" t="s">
        <v>58</v>
      </c>
      <c r="G1262">
        <v>2</v>
      </c>
      <c r="H1262">
        <v>2</v>
      </c>
      <c r="I1262" t="s">
        <v>64</v>
      </c>
      <c r="J1262">
        <v>4</v>
      </c>
      <c r="K1262" t="s">
        <v>50</v>
      </c>
      <c r="L1262">
        <v>5468</v>
      </c>
      <c r="M1262">
        <v>1</v>
      </c>
      <c r="N1262" t="s">
        <v>41</v>
      </c>
      <c r="O1262">
        <v>14</v>
      </c>
      <c r="P1262">
        <v>3</v>
      </c>
      <c r="Q1262">
        <v>2</v>
      </c>
      <c r="R1262">
        <v>13</v>
      </c>
      <c r="S1262">
        <v>3</v>
      </c>
      <c r="T1262">
        <v>12</v>
      </c>
      <c r="U1262">
        <v>5</v>
      </c>
      <c r="V1262">
        <v>7</v>
      </c>
      <c r="W1262" t="s">
        <v>65</v>
      </c>
      <c r="X1262" s="1" t="d">
        <v>2009-03-16</v>
      </c>
      <c r="Z1262" t="s">
        <v>45</v>
      </c>
      <c r="AA1262" t="s">
        <v>40</v>
      </c>
      <c r="AB1262">
        <v>2</v>
      </c>
      <c r="AC1262">
        <v>0</v>
      </c>
      <c r="AD1262" t="s">
        <v>41</v>
      </c>
      <c r="AE1262" t="s">
        <v>62</v>
      </c>
      <c r="AF1262" t="s">
        <v>57</v>
      </c>
      <c r="AG1262">
        <f>IF(HR_Data[[#This Row],[Attrition]]="Yes",1,0)</f>
        <v>0</v>
      </c>
      <c r="AH1262" t="str">
        <f>IF(HR_Data[Date_of_termination]="","Active","Left")</f>
        <v>Active</v>
      </c>
      <c r="AI1262" t="str">
        <f>IF(HR_Data[YearsAtCompany]&lt;=2,"Fresher", IF(HR_Data[YearsAtCompany]&lt;=5,"Junior", IF(HR_Data[YearsAtCompany]&lt;=10, "Mid","Senior")))</f>
        <v>Senior</v>
      </c>
      <c r="AJ1262" s="2" t="str">
        <f>IF(HR_Data[MonthlyIncome]&lt;=300,"Low", IF(HR_Data[MonthlyIncome]&lt;=7000,"Medium", "High"))</f>
        <v>Medium</v>
      </c>
      <c r="AK1262" s="2" t="str">
        <f>VLOOKUP(HR_Data[JobRole], JobRole_Map[], 2, FALSE)</f>
        <v>Sales</v>
      </c>
    </row>
    <row r="1263" spans="1:37" x14ac:dyDescent="0.25">
      <c r="A1263" s="2">
        <v>36</v>
      </c>
      <c r="B1263" t="s">
        <v>41</v>
      </c>
      <c r="C1263" t="s">
        <v>33</v>
      </c>
      <c r="D1263" t="s">
        <v>34</v>
      </c>
      <c r="E1263">
        <v>10</v>
      </c>
      <c r="F1263" t="s">
        <v>35</v>
      </c>
      <c r="G1263">
        <v>3</v>
      </c>
      <c r="H1263">
        <v>3</v>
      </c>
      <c r="I1263" t="s">
        <v>69</v>
      </c>
      <c r="J1263">
        <v>1</v>
      </c>
      <c r="K1263" t="s">
        <v>50</v>
      </c>
      <c r="L1263">
        <v>8321</v>
      </c>
      <c r="M1263">
        <v>7</v>
      </c>
      <c r="N1263" t="s">
        <v>32</v>
      </c>
      <c r="O1263">
        <v>13</v>
      </c>
      <c r="P1263">
        <v>3</v>
      </c>
      <c r="Q1263">
        <v>1</v>
      </c>
      <c r="R1263">
        <v>15</v>
      </c>
      <c r="S1263">
        <v>1</v>
      </c>
      <c r="T1263">
        <v>12</v>
      </c>
      <c r="U1263">
        <v>5</v>
      </c>
      <c r="V1263">
        <v>7</v>
      </c>
      <c r="W1263" t="s">
        <v>51</v>
      </c>
      <c r="X1263" s="1" t="d">
        <v>2009-04-30</v>
      </c>
      <c r="Z1263" t="s">
        <v>39</v>
      </c>
      <c r="AA1263" t="s">
        <v>46</v>
      </c>
      <c r="AB1263">
        <v>1</v>
      </c>
      <c r="AC1263">
        <v>0</v>
      </c>
      <c r="AD1263" t="s">
        <v>41</v>
      </c>
      <c r="AE1263" t="s">
        <v>42</v>
      </c>
      <c r="AF1263" t="s">
        <v>48</v>
      </c>
      <c r="AG1263">
        <f>IF(HR_Data[[#This Row],[Attrition]]="Yes",1,0)</f>
        <v>0</v>
      </c>
      <c r="AH1263" t="str">
        <f>IF(HR_Data[Date_of_termination]="","Active","Left")</f>
        <v>Active</v>
      </c>
      <c r="AI1263" t="str">
        <f>IF(HR_Data[YearsAtCompany]&lt;=2,"Fresher", IF(HR_Data[YearsAtCompany]&lt;=5,"Junior", IF(HR_Data[YearsAtCompany]&lt;=10, "Mid","Senior")))</f>
        <v>Senior</v>
      </c>
      <c r="AJ1263" s="2" t="str">
        <f>IF(HR_Data[MonthlyIncome]&lt;=300,"Low", IF(HR_Data[MonthlyIncome]&lt;=7000,"Medium", "High"))</f>
        <v>High</v>
      </c>
      <c r="AK1263" s="2" t="str">
        <f>VLOOKUP(HR_Data[JobRole], JobRole_Map[], 2, FALSE)</f>
        <v>Operations</v>
      </c>
    </row>
    <row r="1264" spans="1:37" x14ac:dyDescent="0.25">
      <c r="A1264" s="2">
        <v>30</v>
      </c>
      <c r="B1264" t="s">
        <v>41</v>
      </c>
      <c r="C1264" t="s">
        <v>33</v>
      </c>
      <c r="D1264" t="s">
        <v>34</v>
      </c>
      <c r="E1264">
        <v>1</v>
      </c>
      <c r="F1264" t="s">
        <v>35</v>
      </c>
      <c r="G1264">
        <v>3</v>
      </c>
      <c r="H1264">
        <v>1</v>
      </c>
      <c r="I1264" t="s">
        <v>36</v>
      </c>
      <c r="J1264">
        <v>2</v>
      </c>
      <c r="K1264" t="s">
        <v>50</v>
      </c>
      <c r="L1264">
        <v>3748</v>
      </c>
      <c r="M1264">
        <v>1</v>
      </c>
      <c r="N1264" t="s">
        <v>41</v>
      </c>
      <c r="O1264">
        <v>13</v>
      </c>
      <c r="P1264">
        <v>3</v>
      </c>
      <c r="Q1264">
        <v>0</v>
      </c>
      <c r="R1264">
        <v>12</v>
      </c>
      <c r="S1264">
        <v>6</v>
      </c>
      <c r="T1264">
        <v>12</v>
      </c>
      <c r="U1264">
        <v>1</v>
      </c>
      <c r="V1264">
        <v>7</v>
      </c>
      <c r="W1264" t="s">
        <v>38</v>
      </c>
      <c r="X1264" s="1" t="d">
        <v>2009-06-01</v>
      </c>
      <c r="Z1264" t="s">
        <v>52</v>
      </c>
      <c r="AA1264" t="s">
        <v>46</v>
      </c>
      <c r="AB1264">
        <v>2</v>
      </c>
      <c r="AC1264">
        <v>1</v>
      </c>
      <c r="AD1264" t="s">
        <v>41</v>
      </c>
      <c r="AE1264" t="s">
        <v>47</v>
      </c>
      <c r="AF1264" t="s">
        <v>57</v>
      </c>
      <c r="AG1264">
        <f>IF(HR_Data[[#This Row],[Attrition]]="Yes",1,0)</f>
        <v>0</v>
      </c>
      <c r="AH1264" t="str">
        <f>IF(HR_Data[Date_of_termination]="","Active","Left")</f>
        <v>Active</v>
      </c>
      <c r="AI1264" t="str">
        <f>IF(HR_Data[YearsAtCompany]&lt;=2,"Fresher", IF(HR_Data[YearsAtCompany]&lt;=5,"Junior", IF(HR_Data[YearsAtCompany]&lt;=10, "Mid","Senior")))</f>
        <v>Senior</v>
      </c>
      <c r="AJ1264" s="2" t="str">
        <f>IF(HR_Data[MonthlyIncome]&lt;=300,"Low", IF(HR_Data[MonthlyIncome]&lt;=7000,"Medium", "High"))</f>
        <v>Medium</v>
      </c>
      <c r="AK1264" s="2" t="str">
        <f>VLOOKUP(HR_Data[JobRole], JobRole_Map[], 2, FALSE)</f>
        <v>Technical</v>
      </c>
    </row>
    <row r="1265" spans="1:37" x14ac:dyDescent="0.25">
      <c r="A1265" s="2">
        <v>38</v>
      </c>
      <c r="B1265" t="s">
        <v>41</v>
      </c>
      <c r="C1265" t="s">
        <v>68</v>
      </c>
      <c r="D1265" t="s">
        <v>34</v>
      </c>
      <c r="E1265">
        <v>6</v>
      </c>
      <c r="F1265" t="s">
        <v>58</v>
      </c>
      <c r="G1265">
        <v>1</v>
      </c>
      <c r="H1265">
        <v>2</v>
      </c>
      <c r="I1265" t="s">
        <v>44</v>
      </c>
      <c r="J1265">
        <v>4</v>
      </c>
      <c r="K1265" t="s">
        <v>55</v>
      </c>
      <c r="L1265">
        <v>5329</v>
      </c>
      <c r="M1265">
        <v>7</v>
      </c>
      <c r="N1265" t="s">
        <v>32</v>
      </c>
      <c r="O1265">
        <v>12</v>
      </c>
      <c r="P1265">
        <v>3</v>
      </c>
      <c r="Q1265">
        <v>3</v>
      </c>
      <c r="R1265">
        <v>17</v>
      </c>
      <c r="S1265">
        <v>3</v>
      </c>
      <c r="T1265">
        <v>13</v>
      </c>
      <c r="U1265">
        <v>1</v>
      </c>
      <c r="V1265">
        <v>9</v>
      </c>
      <c r="W1265" t="s">
        <v>56</v>
      </c>
      <c r="X1265" s="1" t="d">
        <v>2008-02-10</v>
      </c>
      <c r="Z1265" t="s">
        <v>39</v>
      </c>
      <c r="AA1265" t="s">
        <v>40</v>
      </c>
      <c r="AB1265">
        <v>2</v>
      </c>
      <c r="AC1265">
        <v>2</v>
      </c>
      <c r="AD1265" t="s">
        <v>32</v>
      </c>
      <c r="AE1265" t="s">
        <v>60</v>
      </c>
      <c r="AF1265" t="s">
        <v>57</v>
      </c>
      <c r="AG1265">
        <f>IF(HR_Data[[#This Row],[Attrition]]="Yes",1,0)</f>
        <v>0</v>
      </c>
      <c r="AH1265" t="str">
        <f>IF(HR_Data[Date_of_termination]="","Active","Left")</f>
        <v>Active</v>
      </c>
      <c r="AI1265" t="str">
        <f>IF(HR_Data[YearsAtCompany]&lt;=2,"Fresher", IF(HR_Data[YearsAtCompany]&lt;=5,"Junior", IF(HR_Data[YearsAtCompany]&lt;=10, "Mid","Senior")))</f>
        <v>Senior</v>
      </c>
      <c r="AJ1265" s="2" t="str">
        <f>IF(HR_Data[MonthlyIncome]&lt;=300,"Low", IF(HR_Data[MonthlyIncome]&lt;=7000,"Medium", "High"))</f>
        <v>Medium</v>
      </c>
      <c r="AK1265" s="2" t="str">
        <f>VLOOKUP(HR_Data[JobRole], JobRole_Map[], 2, FALSE)</f>
        <v>Technical</v>
      </c>
    </row>
    <row r="1266" spans="1:37" x14ac:dyDescent="0.25">
      <c r="A1266" s="2">
        <v>51</v>
      </c>
      <c r="B1266" t="s">
        <v>41</v>
      </c>
      <c r="C1266" t="s">
        <v>61</v>
      </c>
      <c r="D1266" t="s">
        <v>34</v>
      </c>
      <c r="E1266">
        <v>1</v>
      </c>
      <c r="F1266" t="s">
        <v>58</v>
      </c>
      <c r="G1266">
        <v>2</v>
      </c>
      <c r="H1266">
        <v>3</v>
      </c>
      <c r="I1266" t="s">
        <v>69</v>
      </c>
      <c r="J1266">
        <v>1</v>
      </c>
      <c r="K1266" t="s">
        <v>37</v>
      </c>
      <c r="L1266">
        <v>7484</v>
      </c>
      <c r="M1266">
        <v>3</v>
      </c>
      <c r="N1266" t="s">
        <v>41</v>
      </c>
      <c r="O1266">
        <v>20</v>
      </c>
      <c r="P1266">
        <v>4</v>
      </c>
      <c r="Q1266">
        <v>0</v>
      </c>
      <c r="R1266">
        <v>23</v>
      </c>
      <c r="S1266">
        <v>1</v>
      </c>
      <c r="T1266">
        <v>13</v>
      </c>
      <c r="U1266">
        <v>12</v>
      </c>
      <c r="V1266">
        <v>8</v>
      </c>
      <c r="W1266" t="s">
        <v>65</v>
      </c>
      <c r="X1266" s="1" t="d">
        <v>2008-03-10</v>
      </c>
      <c r="Z1266" t="s">
        <v>63</v>
      </c>
      <c r="AA1266" t="s">
        <v>40</v>
      </c>
      <c r="AB1266">
        <v>2</v>
      </c>
      <c r="AC1266">
        <v>3</v>
      </c>
      <c r="AD1266" t="s">
        <v>41</v>
      </c>
      <c r="AE1266" t="s">
        <v>60</v>
      </c>
      <c r="AF1266" t="s">
        <v>43</v>
      </c>
      <c r="AG1266">
        <f>IF(HR_Data[[#This Row],[Attrition]]="Yes",1,0)</f>
        <v>0</v>
      </c>
      <c r="AH1266" t="str">
        <f>IF(HR_Data[Date_of_termination]="","Active","Left")</f>
        <v>Active</v>
      </c>
      <c r="AI1266" t="str">
        <f>IF(HR_Data[YearsAtCompany]&lt;=2,"Fresher", IF(HR_Data[YearsAtCompany]&lt;=5,"Junior", IF(HR_Data[YearsAtCompany]&lt;=10, "Mid","Senior")))</f>
        <v>Senior</v>
      </c>
      <c r="AJ1266" s="2" t="str">
        <f>IF(HR_Data[MonthlyIncome]&lt;=300,"Low", IF(HR_Data[MonthlyIncome]&lt;=7000,"Medium", "High"))</f>
        <v>High</v>
      </c>
      <c r="AK1266" s="2" t="str">
        <f>VLOOKUP(HR_Data[JobRole], JobRole_Map[], 2, FALSE)</f>
        <v>Operations</v>
      </c>
    </row>
    <row r="1267" spans="1:37" x14ac:dyDescent="0.25">
      <c r="A1267" s="2">
        <v>36</v>
      </c>
      <c r="B1267" t="s">
        <v>41</v>
      </c>
      <c r="C1267" t="s">
        <v>33</v>
      </c>
      <c r="D1267" t="s">
        <v>34</v>
      </c>
      <c r="E1267">
        <v>5</v>
      </c>
      <c r="F1267" t="s">
        <v>35</v>
      </c>
      <c r="G1267">
        <v>3</v>
      </c>
      <c r="H1267">
        <v>2</v>
      </c>
      <c r="I1267" t="s">
        <v>36</v>
      </c>
      <c r="J1267">
        <v>2</v>
      </c>
      <c r="K1267" t="s">
        <v>37</v>
      </c>
      <c r="L1267">
        <v>5914</v>
      </c>
      <c r="M1267">
        <v>8</v>
      </c>
      <c r="N1267" t="s">
        <v>41</v>
      </c>
      <c r="O1267">
        <v>16</v>
      </c>
      <c r="P1267">
        <v>3</v>
      </c>
      <c r="Q1267">
        <v>0</v>
      </c>
      <c r="R1267">
        <v>16</v>
      </c>
      <c r="S1267">
        <v>3</v>
      </c>
      <c r="T1267">
        <v>13</v>
      </c>
      <c r="U1267">
        <v>3</v>
      </c>
      <c r="V1267">
        <v>7</v>
      </c>
      <c r="W1267" t="s">
        <v>38</v>
      </c>
      <c r="X1267" s="1" t="d">
        <v>2008-03-07</v>
      </c>
      <c r="Z1267" t="s">
        <v>63</v>
      </c>
      <c r="AA1267" t="s">
        <v>46</v>
      </c>
      <c r="AB1267">
        <v>0</v>
      </c>
      <c r="AC1267">
        <v>2</v>
      </c>
      <c r="AD1267" t="s">
        <v>32</v>
      </c>
      <c r="AE1267" t="s">
        <v>60</v>
      </c>
      <c r="AF1267" t="s">
        <v>48</v>
      </c>
      <c r="AG1267">
        <f>IF(HR_Data[[#This Row],[Attrition]]="Yes",1,0)</f>
        <v>0</v>
      </c>
      <c r="AH1267" t="str">
        <f>IF(HR_Data[Date_of_termination]="","Active","Left")</f>
        <v>Active</v>
      </c>
      <c r="AI1267" t="str">
        <f>IF(HR_Data[YearsAtCompany]&lt;=2,"Fresher", IF(HR_Data[YearsAtCompany]&lt;=5,"Junior", IF(HR_Data[YearsAtCompany]&lt;=10, "Mid","Senior")))</f>
        <v>Senior</v>
      </c>
      <c r="AJ1267" s="2" t="str">
        <f>IF(HR_Data[MonthlyIncome]&lt;=300,"Low", IF(HR_Data[MonthlyIncome]&lt;=7000,"Medium", "High"))</f>
        <v>Medium</v>
      </c>
      <c r="AK1267" s="2" t="str">
        <f>VLOOKUP(HR_Data[JobRole], JobRole_Map[], 2, FALSE)</f>
        <v>Technical</v>
      </c>
    </row>
    <row r="1268" spans="1:37" x14ac:dyDescent="0.25">
      <c r="A1268" s="2">
        <v>32</v>
      </c>
      <c r="B1268" t="s">
        <v>41</v>
      </c>
      <c r="C1268" t="s">
        <v>33</v>
      </c>
      <c r="D1268" t="s">
        <v>53</v>
      </c>
      <c r="E1268">
        <v>7</v>
      </c>
      <c r="F1268" t="s">
        <v>35</v>
      </c>
      <c r="G1268">
        <v>2</v>
      </c>
      <c r="H1268">
        <v>2</v>
      </c>
      <c r="I1268" t="s">
        <v>64</v>
      </c>
      <c r="J1268">
        <v>3</v>
      </c>
      <c r="K1268" t="s">
        <v>50</v>
      </c>
      <c r="L1268">
        <v>5484</v>
      </c>
      <c r="M1268">
        <v>1</v>
      </c>
      <c r="N1268" t="s">
        <v>41</v>
      </c>
      <c r="O1268">
        <v>14</v>
      </c>
      <c r="P1268">
        <v>3</v>
      </c>
      <c r="Q1268">
        <v>1</v>
      </c>
      <c r="R1268">
        <v>13</v>
      </c>
      <c r="S1268">
        <v>3</v>
      </c>
      <c r="T1268">
        <v>13</v>
      </c>
      <c r="U1268">
        <v>4</v>
      </c>
      <c r="V1268">
        <v>8</v>
      </c>
      <c r="W1268" t="s">
        <v>51</v>
      </c>
      <c r="X1268" s="1" t="d">
        <v>2008-06-09</v>
      </c>
      <c r="Z1268" t="s">
        <v>52</v>
      </c>
      <c r="AA1268" t="s">
        <v>46</v>
      </c>
      <c r="AB1268">
        <v>1</v>
      </c>
      <c r="AC1268">
        <v>1</v>
      </c>
      <c r="AD1268" t="s">
        <v>41</v>
      </c>
      <c r="AE1268" t="s">
        <v>42</v>
      </c>
      <c r="AF1268" t="s">
        <v>57</v>
      </c>
      <c r="AG1268">
        <f>IF(HR_Data[[#This Row],[Attrition]]="Yes",1,0)</f>
        <v>0</v>
      </c>
      <c r="AH1268" t="str">
        <f>IF(HR_Data[Date_of_termination]="","Active","Left")</f>
        <v>Active</v>
      </c>
      <c r="AI1268" t="str">
        <f>IF(HR_Data[YearsAtCompany]&lt;=2,"Fresher", IF(HR_Data[YearsAtCompany]&lt;=5,"Junior", IF(HR_Data[YearsAtCompany]&lt;=10, "Mid","Senior")))</f>
        <v>Senior</v>
      </c>
      <c r="AJ1268" s="2" t="str">
        <f>IF(HR_Data[MonthlyIncome]&lt;=300,"Low", IF(HR_Data[MonthlyIncome]&lt;=7000,"Medium", "High"))</f>
        <v>Medium</v>
      </c>
      <c r="AK1268" s="2" t="str">
        <f>VLOOKUP(HR_Data[JobRole], JobRole_Map[], 2, FALSE)</f>
        <v>Sales</v>
      </c>
    </row>
    <row r="1269" spans="1:37" x14ac:dyDescent="0.25">
      <c r="A1269" s="2">
        <v>32</v>
      </c>
      <c r="B1269" t="s">
        <v>41</v>
      </c>
      <c r="C1269" t="s">
        <v>33</v>
      </c>
      <c r="D1269" t="s">
        <v>53</v>
      </c>
      <c r="E1269">
        <v>8</v>
      </c>
      <c r="F1269" t="s">
        <v>58</v>
      </c>
      <c r="G1269">
        <v>2</v>
      </c>
      <c r="H1269">
        <v>2</v>
      </c>
      <c r="I1269" t="s">
        <v>64</v>
      </c>
      <c r="J1269">
        <v>2</v>
      </c>
      <c r="K1269" t="s">
        <v>50</v>
      </c>
      <c r="L1269">
        <v>5228</v>
      </c>
      <c r="M1269">
        <v>1</v>
      </c>
      <c r="N1269" t="s">
        <v>32</v>
      </c>
      <c r="O1269">
        <v>11</v>
      </c>
      <c r="P1269">
        <v>3</v>
      </c>
      <c r="Q1269">
        <v>0</v>
      </c>
      <c r="R1269">
        <v>13</v>
      </c>
      <c r="S1269">
        <v>2</v>
      </c>
      <c r="T1269">
        <v>13</v>
      </c>
      <c r="U1269">
        <v>11</v>
      </c>
      <c r="V1269">
        <v>9</v>
      </c>
      <c r="W1269" t="s">
        <v>56</v>
      </c>
      <c r="X1269" s="1" t="d">
        <v>2008-04-09</v>
      </c>
      <c r="Z1269" t="s">
        <v>39</v>
      </c>
      <c r="AA1269" t="s">
        <v>46</v>
      </c>
      <c r="AB1269">
        <v>2</v>
      </c>
      <c r="AC1269">
        <v>0</v>
      </c>
      <c r="AD1269" t="s">
        <v>41</v>
      </c>
      <c r="AE1269" t="s">
        <v>60</v>
      </c>
      <c r="AF1269" t="s">
        <v>43</v>
      </c>
      <c r="AG1269">
        <f>IF(HR_Data[[#This Row],[Attrition]]="Yes",1,0)</f>
        <v>0</v>
      </c>
      <c r="AH1269" t="str">
        <f>IF(HR_Data[Date_of_termination]="","Active","Left")</f>
        <v>Active</v>
      </c>
      <c r="AI1269" t="str">
        <f>IF(HR_Data[YearsAtCompany]&lt;=2,"Fresher", IF(HR_Data[YearsAtCompany]&lt;=5,"Junior", IF(HR_Data[YearsAtCompany]&lt;=10, "Mid","Senior")))</f>
        <v>Senior</v>
      </c>
      <c r="AJ1269" s="2" t="str">
        <f>IF(HR_Data[MonthlyIncome]&lt;=300,"Low", IF(HR_Data[MonthlyIncome]&lt;=7000,"Medium", "High"))</f>
        <v>Medium</v>
      </c>
      <c r="AK1269" s="2" t="str">
        <f>VLOOKUP(HR_Data[JobRole], JobRole_Map[], 2, FALSE)</f>
        <v>Sales</v>
      </c>
    </row>
    <row r="1270" spans="1:37" x14ac:dyDescent="0.25">
      <c r="A1270" s="2">
        <v>36</v>
      </c>
      <c r="B1270" t="s">
        <v>41</v>
      </c>
      <c r="C1270" t="s">
        <v>61</v>
      </c>
      <c r="D1270" t="s">
        <v>53</v>
      </c>
      <c r="E1270">
        <v>3</v>
      </c>
      <c r="F1270" t="s">
        <v>35</v>
      </c>
      <c r="G1270">
        <v>2</v>
      </c>
      <c r="H1270">
        <v>3</v>
      </c>
      <c r="I1270" t="s">
        <v>64</v>
      </c>
      <c r="J1270">
        <v>4</v>
      </c>
      <c r="K1270" t="s">
        <v>50</v>
      </c>
      <c r="L1270">
        <v>9699</v>
      </c>
      <c r="M1270">
        <v>4</v>
      </c>
      <c r="N1270" t="s">
        <v>41</v>
      </c>
      <c r="O1270">
        <v>11</v>
      </c>
      <c r="P1270">
        <v>3</v>
      </c>
      <c r="Q1270">
        <v>1</v>
      </c>
      <c r="R1270">
        <v>16</v>
      </c>
      <c r="S1270">
        <v>2</v>
      </c>
      <c r="T1270">
        <v>13</v>
      </c>
      <c r="U1270">
        <v>1</v>
      </c>
      <c r="V1270">
        <v>12</v>
      </c>
      <c r="W1270" t="s">
        <v>65</v>
      </c>
      <c r="X1270" s="1" t="d">
        <v>2008-05-05</v>
      </c>
      <c r="Z1270" t="s">
        <v>59</v>
      </c>
      <c r="AA1270" t="s">
        <v>46</v>
      </c>
      <c r="AB1270">
        <v>2</v>
      </c>
      <c r="AC1270">
        <v>0</v>
      </c>
      <c r="AD1270" t="s">
        <v>32</v>
      </c>
      <c r="AE1270" t="s">
        <v>62</v>
      </c>
      <c r="AF1270" t="s">
        <v>48</v>
      </c>
      <c r="AG1270">
        <f>IF(HR_Data[[#This Row],[Attrition]]="Yes",1,0)</f>
        <v>0</v>
      </c>
      <c r="AH1270" t="str">
        <f>IF(HR_Data[Date_of_termination]="","Active","Left")</f>
        <v>Active</v>
      </c>
      <c r="AI1270" t="str">
        <f>IF(HR_Data[YearsAtCompany]&lt;=2,"Fresher", IF(HR_Data[YearsAtCompany]&lt;=5,"Junior", IF(HR_Data[YearsAtCompany]&lt;=10, "Mid","Senior")))</f>
        <v>Senior</v>
      </c>
      <c r="AJ1270" s="2" t="str">
        <f>IF(HR_Data[MonthlyIncome]&lt;=300,"Low", IF(HR_Data[MonthlyIncome]&lt;=7000,"Medium", "High"))</f>
        <v>High</v>
      </c>
      <c r="AK1270" s="2" t="str">
        <f>VLOOKUP(HR_Data[JobRole], JobRole_Map[], 2, FALSE)</f>
        <v>Sales</v>
      </c>
    </row>
    <row r="1271" spans="1:37" x14ac:dyDescent="0.25">
      <c r="A1271" s="2">
        <v>31</v>
      </c>
      <c r="B1271" t="s">
        <v>41</v>
      </c>
      <c r="C1271" t="s">
        <v>33</v>
      </c>
      <c r="D1271" t="s">
        <v>34</v>
      </c>
      <c r="E1271">
        <v>7</v>
      </c>
      <c r="F1271" t="s">
        <v>58</v>
      </c>
      <c r="G1271">
        <v>3</v>
      </c>
      <c r="H1271">
        <v>2</v>
      </c>
      <c r="I1271" t="s">
        <v>67</v>
      </c>
      <c r="J1271">
        <v>1</v>
      </c>
      <c r="K1271" t="s">
        <v>50</v>
      </c>
      <c r="L1271">
        <v>4306</v>
      </c>
      <c r="M1271">
        <v>1</v>
      </c>
      <c r="N1271" t="s">
        <v>41</v>
      </c>
      <c r="O1271">
        <v>12</v>
      </c>
      <c r="P1271">
        <v>3</v>
      </c>
      <c r="Q1271">
        <v>1</v>
      </c>
      <c r="R1271">
        <v>13</v>
      </c>
      <c r="S1271">
        <v>5</v>
      </c>
      <c r="T1271">
        <v>13</v>
      </c>
      <c r="U1271">
        <v>3</v>
      </c>
      <c r="V1271">
        <v>12</v>
      </c>
      <c r="W1271" t="s">
        <v>56</v>
      </c>
      <c r="X1271" s="1" t="d">
        <v>2008-02-23</v>
      </c>
      <c r="Z1271" t="s">
        <v>39</v>
      </c>
      <c r="AA1271" t="s">
        <v>46</v>
      </c>
      <c r="AB1271">
        <v>4</v>
      </c>
      <c r="AC1271">
        <v>0</v>
      </c>
      <c r="AD1271" t="s">
        <v>32</v>
      </c>
      <c r="AE1271" t="s">
        <v>62</v>
      </c>
      <c r="AF1271" t="s">
        <v>43</v>
      </c>
      <c r="AG1271">
        <f>IF(HR_Data[[#This Row],[Attrition]]="Yes",1,0)</f>
        <v>0</v>
      </c>
      <c r="AH1271" t="str">
        <f>IF(HR_Data[Date_of_termination]="","Active","Left")</f>
        <v>Active</v>
      </c>
      <c r="AI1271" t="str">
        <f>IF(HR_Data[YearsAtCompany]&lt;=2,"Fresher", IF(HR_Data[YearsAtCompany]&lt;=5,"Junior", IF(HR_Data[YearsAtCompany]&lt;=10, "Mid","Senior")))</f>
        <v>Senior</v>
      </c>
      <c r="AJ1271" s="2" t="str">
        <f>IF(HR_Data[MonthlyIncome]&lt;=300,"Low", IF(HR_Data[MonthlyIncome]&lt;=7000,"Medium", "High"))</f>
        <v>Medium</v>
      </c>
      <c r="AK1271" s="2" t="str">
        <f>VLOOKUP(HR_Data[JobRole], JobRole_Map[], 2, FALSE)</f>
        <v>Operations</v>
      </c>
    </row>
    <row r="1272" spans="1:37" x14ac:dyDescent="0.25">
      <c r="A1272" s="2">
        <v>37</v>
      </c>
      <c r="B1272" t="s">
        <v>41</v>
      </c>
      <c r="C1272" t="s">
        <v>68</v>
      </c>
      <c r="D1272" t="s">
        <v>34</v>
      </c>
      <c r="E1272">
        <v>25</v>
      </c>
      <c r="F1272" t="s">
        <v>58</v>
      </c>
      <c r="G1272">
        <v>3</v>
      </c>
      <c r="H1272">
        <v>2</v>
      </c>
      <c r="I1272" t="s">
        <v>44</v>
      </c>
      <c r="J1272">
        <v>3</v>
      </c>
      <c r="K1272" t="s">
        <v>50</v>
      </c>
      <c r="L1272">
        <v>4449</v>
      </c>
      <c r="M1272">
        <v>3</v>
      </c>
      <c r="N1272" t="s">
        <v>32</v>
      </c>
      <c r="O1272">
        <v>15</v>
      </c>
      <c r="P1272">
        <v>3</v>
      </c>
      <c r="Q1272">
        <v>2</v>
      </c>
      <c r="R1272">
        <v>15</v>
      </c>
      <c r="S1272">
        <v>2</v>
      </c>
      <c r="T1272">
        <v>13</v>
      </c>
      <c r="U1272">
        <v>10</v>
      </c>
      <c r="V1272">
        <v>7</v>
      </c>
      <c r="W1272" t="s">
        <v>38</v>
      </c>
      <c r="X1272" s="1" t="d">
        <v>2008-02-22</v>
      </c>
      <c r="Z1272" t="s">
        <v>63</v>
      </c>
      <c r="AA1272" t="s">
        <v>40</v>
      </c>
      <c r="AB1272">
        <v>3</v>
      </c>
      <c r="AC1272">
        <v>1</v>
      </c>
      <c r="AD1272" t="s">
        <v>41</v>
      </c>
      <c r="AE1272" t="s">
        <v>60</v>
      </c>
      <c r="AF1272" t="s">
        <v>48</v>
      </c>
      <c r="AG1272">
        <f>IF(HR_Data[[#This Row],[Attrition]]="Yes",1,0)</f>
        <v>0</v>
      </c>
      <c r="AH1272" t="str">
        <f>IF(HR_Data[Date_of_termination]="","Active","Left")</f>
        <v>Active</v>
      </c>
      <c r="AI1272" t="str">
        <f>IF(HR_Data[YearsAtCompany]&lt;=2,"Fresher", IF(HR_Data[YearsAtCompany]&lt;=5,"Junior", IF(HR_Data[YearsAtCompany]&lt;=10, "Mid","Senior")))</f>
        <v>Senior</v>
      </c>
      <c r="AJ1272" s="2" t="str">
        <f>IF(HR_Data[MonthlyIncome]&lt;=300,"Low", IF(HR_Data[MonthlyIncome]&lt;=7000,"Medium", "High"))</f>
        <v>Medium</v>
      </c>
      <c r="AK1272" s="2" t="str">
        <f>VLOOKUP(HR_Data[JobRole], JobRole_Map[], 2, FALSE)</f>
        <v>Technical</v>
      </c>
    </row>
    <row r="1273" spans="1:37" x14ac:dyDescent="0.25">
      <c r="A1273" s="2">
        <v>31</v>
      </c>
      <c r="B1273" t="s">
        <v>41</v>
      </c>
      <c r="C1273" t="s">
        <v>33</v>
      </c>
      <c r="D1273" t="s">
        <v>34</v>
      </c>
      <c r="E1273">
        <v>9</v>
      </c>
      <c r="F1273" t="s">
        <v>35</v>
      </c>
      <c r="G1273">
        <v>3</v>
      </c>
      <c r="H1273">
        <v>3</v>
      </c>
      <c r="I1273" t="s">
        <v>67</v>
      </c>
      <c r="J1273">
        <v>2</v>
      </c>
      <c r="K1273" t="s">
        <v>55</v>
      </c>
      <c r="L1273">
        <v>10648</v>
      </c>
      <c r="M1273">
        <v>1</v>
      </c>
      <c r="N1273" t="s">
        <v>41</v>
      </c>
      <c r="O1273">
        <v>25</v>
      </c>
      <c r="P1273">
        <v>4</v>
      </c>
      <c r="Q1273">
        <v>1</v>
      </c>
      <c r="R1273">
        <v>13</v>
      </c>
      <c r="S1273">
        <v>6</v>
      </c>
      <c r="T1273">
        <v>13</v>
      </c>
      <c r="U1273">
        <v>0</v>
      </c>
      <c r="V1273">
        <v>8</v>
      </c>
      <c r="W1273" t="s">
        <v>56</v>
      </c>
      <c r="X1273" s="1" t="d">
        <v>2008-05-18</v>
      </c>
      <c r="Z1273" t="s">
        <v>52</v>
      </c>
      <c r="AA1273" t="s">
        <v>46</v>
      </c>
      <c r="AB1273">
        <v>3</v>
      </c>
      <c r="AC1273">
        <v>3</v>
      </c>
      <c r="AD1273" t="s">
        <v>32</v>
      </c>
      <c r="AE1273" t="s">
        <v>60</v>
      </c>
      <c r="AF1273" t="s">
        <v>43</v>
      </c>
      <c r="AG1273">
        <f>IF(HR_Data[[#This Row],[Attrition]]="Yes",1,0)</f>
        <v>0</v>
      </c>
      <c r="AH1273" t="str">
        <f>IF(HR_Data[Date_of_termination]="","Active","Left")</f>
        <v>Active</v>
      </c>
      <c r="AI1273" t="str">
        <f>IF(HR_Data[YearsAtCompany]&lt;=2,"Fresher", IF(HR_Data[YearsAtCompany]&lt;=5,"Junior", IF(HR_Data[YearsAtCompany]&lt;=10, "Mid","Senior")))</f>
        <v>Senior</v>
      </c>
      <c r="AJ1273" s="2" t="str">
        <f>IF(HR_Data[MonthlyIncome]&lt;=300,"Low", IF(HR_Data[MonthlyIncome]&lt;=7000,"Medium", "High"))</f>
        <v>High</v>
      </c>
      <c r="AK1273" s="2" t="str">
        <f>VLOOKUP(HR_Data[JobRole], JobRole_Map[], 2, FALSE)</f>
        <v>Operations</v>
      </c>
    </row>
    <row r="1274" spans="1:37" x14ac:dyDescent="0.25">
      <c r="A1274" s="2">
        <v>33</v>
      </c>
      <c r="B1274" t="s">
        <v>41</v>
      </c>
      <c r="C1274" t="s">
        <v>61</v>
      </c>
      <c r="D1274" t="s">
        <v>34</v>
      </c>
      <c r="E1274">
        <v>6</v>
      </c>
      <c r="F1274" t="s">
        <v>35</v>
      </c>
      <c r="G1274">
        <v>3</v>
      </c>
      <c r="H1274">
        <v>2</v>
      </c>
      <c r="I1274" t="s">
        <v>69</v>
      </c>
      <c r="J1274">
        <v>4</v>
      </c>
      <c r="K1274" t="s">
        <v>55</v>
      </c>
      <c r="L1274">
        <v>7725</v>
      </c>
      <c r="M1274">
        <v>3</v>
      </c>
      <c r="N1274" t="s">
        <v>41</v>
      </c>
      <c r="O1274">
        <v>23</v>
      </c>
      <c r="P1274">
        <v>4</v>
      </c>
      <c r="Q1274">
        <v>1</v>
      </c>
      <c r="R1274">
        <v>15</v>
      </c>
      <c r="S1274">
        <v>2</v>
      </c>
      <c r="T1274">
        <v>13</v>
      </c>
      <c r="U1274">
        <v>4</v>
      </c>
      <c r="V1274">
        <v>7</v>
      </c>
      <c r="W1274" t="s">
        <v>38</v>
      </c>
      <c r="X1274" s="1" t="d">
        <v>2008-02-20</v>
      </c>
      <c r="Z1274" t="s">
        <v>63</v>
      </c>
      <c r="AA1274" t="s">
        <v>46</v>
      </c>
      <c r="AB1274">
        <v>2</v>
      </c>
      <c r="AC1274">
        <v>0</v>
      </c>
      <c r="AD1274" t="s">
        <v>32</v>
      </c>
      <c r="AE1274" t="s">
        <v>42</v>
      </c>
      <c r="AF1274" t="s">
        <v>43</v>
      </c>
      <c r="AG1274">
        <f>IF(HR_Data[[#This Row],[Attrition]]="Yes",1,0)</f>
        <v>0</v>
      </c>
      <c r="AH1274" t="str">
        <f>IF(HR_Data[Date_of_termination]="","Active","Left")</f>
        <v>Active</v>
      </c>
      <c r="AI1274" t="str">
        <f>IF(HR_Data[YearsAtCompany]&lt;=2,"Fresher", IF(HR_Data[YearsAtCompany]&lt;=5,"Junior", IF(HR_Data[YearsAtCompany]&lt;=10, "Mid","Senior")))</f>
        <v>Senior</v>
      </c>
      <c r="AJ1274" s="2" t="str">
        <f>IF(HR_Data[MonthlyIncome]&lt;=300,"Low", IF(HR_Data[MonthlyIncome]&lt;=7000,"Medium", "High"))</f>
        <v>High</v>
      </c>
      <c r="AK1274" s="2" t="str">
        <f>VLOOKUP(HR_Data[JobRole], JobRole_Map[], 2, FALSE)</f>
        <v>Operations</v>
      </c>
    </row>
    <row r="1275" spans="1:37" x14ac:dyDescent="0.25">
      <c r="A1275" s="2">
        <v>33</v>
      </c>
      <c r="B1275" t="s">
        <v>41</v>
      </c>
      <c r="C1275" t="s">
        <v>33</v>
      </c>
      <c r="D1275" t="s">
        <v>34</v>
      </c>
      <c r="E1275">
        <v>7</v>
      </c>
      <c r="F1275" t="s">
        <v>35</v>
      </c>
      <c r="G1275">
        <v>3</v>
      </c>
      <c r="H1275">
        <v>3</v>
      </c>
      <c r="I1275" t="s">
        <v>49</v>
      </c>
      <c r="J1275">
        <v>3</v>
      </c>
      <c r="K1275" t="s">
        <v>50</v>
      </c>
      <c r="L1275">
        <v>11691</v>
      </c>
      <c r="M1275">
        <v>0</v>
      </c>
      <c r="N1275" t="s">
        <v>41</v>
      </c>
      <c r="O1275">
        <v>11</v>
      </c>
      <c r="P1275">
        <v>3</v>
      </c>
      <c r="Q1275">
        <v>0</v>
      </c>
      <c r="R1275">
        <v>14</v>
      </c>
      <c r="S1275">
        <v>3</v>
      </c>
      <c r="T1275">
        <v>13</v>
      </c>
      <c r="U1275">
        <v>3</v>
      </c>
      <c r="V1275">
        <v>7</v>
      </c>
      <c r="W1275" t="s">
        <v>38</v>
      </c>
      <c r="X1275" s="1" t="d">
        <v>2008-05-29</v>
      </c>
      <c r="Z1275" t="s">
        <v>45</v>
      </c>
      <c r="AA1275" t="s">
        <v>46</v>
      </c>
      <c r="AB1275">
        <v>2</v>
      </c>
      <c r="AC1275">
        <v>3</v>
      </c>
      <c r="AD1275" t="s">
        <v>32</v>
      </c>
      <c r="AE1275" t="s">
        <v>47</v>
      </c>
      <c r="AF1275" t="s">
        <v>57</v>
      </c>
      <c r="AG1275">
        <f>IF(HR_Data[[#This Row],[Attrition]]="Yes",1,0)</f>
        <v>0</v>
      </c>
      <c r="AH1275" t="str">
        <f>IF(HR_Data[Date_of_termination]="","Active","Left")</f>
        <v>Active</v>
      </c>
      <c r="AI1275" t="str">
        <f>IF(HR_Data[YearsAtCompany]&lt;=2,"Fresher", IF(HR_Data[YearsAtCompany]&lt;=5,"Junior", IF(HR_Data[YearsAtCompany]&lt;=10, "Mid","Senior")))</f>
        <v>Senior</v>
      </c>
      <c r="AJ1275" s="2" t="str">
        <f>IF(HR_Data[MonthlyIncome]&lt;=300,"Low", IF(HR_Data[MonthlyIncome]&lt;=7000,"Medium", "High"))</f>
        <v>High</v>
      </c>
      <c r="AK1275" s="2" t="str">
        <f>VLOOKUP(HR_Data[JobRole], JobRole_Map[], 2, FALSE)</f>
        <v>Management</v>
      </c>
    </row>
    <row r="1276" spans="1:37" x14ac:dyDescent="0.25">
      <c r="A1276" s="2">
        <v>35</v>
      </c>
      <c r="B1276" t="s">
        <v>41</v>
      </c>
      <c r="C1276" t="s">
        <v>33</v>
      </c>
      <c r="D1276" t="s">
        <v>34</v>
      </c>
      <c r="E1276">
        <v>25</v>
      </c>
      <c r="F1276" t="s">
        <v>35</v>
      </c>
      <c r="G1276">
        <v>2</v>
      </c>
      <c r="H1276">
        <v>3</v>
      </c>
      <c r="I1276" t="s">
        <v>67</v>
      </c>
      <c r="J1276">
        <v>2</v>
      </c>
      <c r="K1276" t="s">
        <v>50</v>
      </c>
      <c r="L1276">
        <v>10903</v>
      </c>
      <c r="M1276">
        <v>3</v>
      </c>
      <c r="N1276" t="s">
        <v>41</v>
      </c>
      <c r="O1276">
        <v>16</v>
      </c>
      <c r="P1276">
        <v>3</v>
      </c>
      <c r="Q1276">
        <v>0</v>
      </c>
      <c r="R1276">
        <v>16</v>
      </c>
      <c r="S1276">
        <v>2</v>
      </c>
      <c r="T1276">
        <v>13</v>
      </c>
      <c r="U1276">
        <v>4</v>
      </c>
      <c r="V1276">
        <v>8</v>
      </c>
      <c r="W1276" t="s">
        <v>51</v>
      </c>
      <c r="X1276" s="1" t="d">
        <v>2008-01-22</v>
      </c>
      <c r="Z1276" t="s">
        <v>59</v>
      </c>
      <c r="AA1276" t="s">
        <v>40</v>
      </c>
      <c r="AB1276">
        <v>4</v>
      </c>
      <c r="AC1276">
        <v>1</v>
      </c>
      <c r="AD1276" t="s">
        <v>32</v>
      </c>
      <c r="AE1276" t="s">
        <v>62</v>
      </c>
      <c r="AF1276" t="s">
        <v>43</v>
      </c>
      <c r="AG1276">
        <f>IF(HR_Data[[#This Row],[Attrition]]="Yes",1,0)</f>
        <v>0</v>
      </c>
      <c r="AH1276" t="str">
        <f>IF(HR_Data[Date_of_termination]="","Active","Left")</f>
        <v>Active</v>
      </c>
      <c r="AI1276" t="str">
        <f>IF(HR_Data[YearsAtCompany]&lt;=2,"Fresher", IF(HR_Data[YearsAtCompany]&lt;=5,"Junior", IF(HR_Data[YearsAtCompany]&lt;=10, "Mid","Senior")))</f>
        <v>Senior</v>
      </c>
      <c r="AJ1276" s="2" t="str">
        <f>IF(HR_Data[MonthlyIncome]&lt;=300,"Low", IF(HR_Data[MonthlyIncome]&lt;=7000,"Medium", "High"))</f>
        <v>High</v>
      </c>
      <c r="AK1276" s="2" t="str">
        <f>VLOOKUP(HR_Data[JobRole], JobRole_Map[], 2, FALSE)</f>
        <v>Operations</v>
      </c>
    </row>
    <row r="1277" spans="1:37" x14ac:dyDescent="0.25">
      <c r="A1277" s="2">
        <v>33</v>
      </c>
      <c r="B1277" t="s">
        <v>32</v>
      </c>
      <c r="C1277" t="s">
        <v>61</v>
      </c>
      <c r="D1277" t="s">
        <v>34</v>
      </c>
      <c r="E1277">
        <v>29</v>
      </c>
      <c r="F1277" t="s">
        <v>58</v>
      </c>
      <c r="G1277">
        <v>2</v>
      </c>
      <c r="H1277">
        <v>2</v>
      </c>
      <c r="I1277" t="s">
        <v>44</v>
      </c>
      <c r="J1277">
        <v>3</v>
      </c>
      <c r="K1277" t="s">
        <v>37</v>
      </c>
      <c r="L1277">
        <v>4508</v>
      </c>
      <c r="M1277">
        <v>1</v>
      </c>
      <c r="N1277" t="s">
        <v>41</v>
      </c>
      <c r="O1277">
        <v>22</v>
      </c>
      <c r="P1277">
        <v>4</v>
      </c>
      <c r="Q1277">
        <v>0</v>
      </c>
      <c r="R1277">
        <v>14</v>
      </c>
      <c r="S1277">
        <v>4</v>
      </c>
      <c r="T1277">
        <v>13</v>
      </c>
      <c r="U1277">
        <v>3</v>
      </c>
      <c r="V1277">
        <v>8</v>
      </c>
      <c r="W1277" t="s">
        <v>38</v>
      </c>
      <c r="X1277" s="1" t="d">
        <v>2008-01-21</v>
      </c>
      <c r="Z1277" t="s">
        <v>39</v>
      </c>
      <c r="AA1277" t="s">
        <v>40</v>
      </c>
      <c r="AB1277">
        <v>1</v>
      </c>
      <c r="AC1277">
        <v>3</v>
      </c>
      <c r="AD1277" t="s">
        <v>32</v>
      </c>
      <c r="AE1277" t="s">
        <v>47</v>
      </c>
      <c r="AF1277" t="s">
        <v>57</v>
      </c>
      <c r="AG1277">
        <f>IF(HR_Data[[#This Row],[Attrition]]="Yes",1,0)</f>
        <v>1</v>
      </c>
      <c r="AH1277" t="str">
        <f>IF(HR_Data[Date_of_termination]="","Active","Left")</f>
        <v>Active</v>
      </c>
      <c r="AI1277" t="str">
        <f>IF(HR_Data[YearsAtCompany]&lt;=2,"Fresher", IF(HR_Data[YearsAtCompany]&lt;=5,"Junior", IF(HR_Data[YearsAtCompany]&lt;=10, "Mid","Senior")))</f>
        <v>Senior</v>
      </c>
      <c r="AJ1277" s="2" t="str">
        <f>IF(HR_Data[MonthlyIncome]&lt;=300,"Low", IF(HR_Data[MonthlyIncome]&lt;=7000,"Medium", "High"))</f>
        <v>Medium</v>
      </c>
      <c r="AK1277" s="2" t="str">
        <f>VLOOKUP(HR_Data[JobRole], JobRole_Map[], 2, FALSE)</f>
        <v>Technical</v>
      </c>
    </row>
    <row r="1278" spans="1:37" x14ac:dyDescent="0.25">
      <c r="A1278" s="2">
        <v>34</v>
      </c>
      <c r="B1278" t="s">
        <v>41</v>
      </c>
      <c r="C1278" t="s">
        <v>61</v>
      </c>
      <c r="D1278" t="s">
        <v>34</v>
      </c>
      <c r="E1278">
        <v>1</v>
      </c>
      <c r="F1278" t="s">
        <v>35</v>
      </c>
      <c r="G1278">
        <v>2</v>
      </c>
      <c r="H1278">
        <v>2</v>
      </c>
      <c r="I1278" t="s">
        <v>69</v>
      </c>
      <c r="J1278">
        <v>1</v>
      </c>
      <c r="K1278" t="s">
        <v>37</v>
      </c>
      <c r="L1278">
        <v>5343</v>
      </c>
      <c r="M1278">
        <v>0</v>
      </c>
      <c r="N1278" t="s">
        <v>41</v>
      </c>
      <c r="O1278">
        <v>20</v>
      </c>
      <c r="P1278">
        <v>4</v>
      </c>
      <c r="Q1278">
        <v>0</v>
      </c>
      <c r="R1278">
        <v>14</v>
      </c>
      <c r="S1278">
        <v>3</v>
      </c>
      <c r="T1278">
        <v>13</v>
      </c>
      <c r="U1278">
        <v>4</v>
      </c>
      <c r="V1278">
        <v>9</v>
      </c>
      <c r="W1278" t="s">
        <v>56</v>
      </c>
      <c r="X1278" s="1" t="d">
        <v>2008-01-22</v>
      </c>
      <c r="Z1278" t="s">
        <v>39</v>
      </c>
      <c r="AA1278" t="s">
        <v>40</v>
      </c>
      <c r="AB1278">
        <v>5</v>
      </c>
      <c r="AC1278">
        <v>1</v>
      </c>
      <c r="AD1278" t="s">
        <v>41</v>
      </c>
      <c r="AE1278" t="s">
        <v>60</v>
      </c>
      <c r="AF1278" t="s">
        <v>43</v>
      </c>
      <c r="AG1278">
        <f>IF(HR_Data[[#This Row],[Attrition]]="Yes",1,0)</f>
        <v>0</v>
      </c>
      <c r="AH1278" t="str">
        <f>IF(HR_Data[Date_of_termination]="","Active","Left")</f>
        <v>Active</v>
      </c>
      <c r="AI1278" t="str">
        <f>IF(HR_Data[YearsAtCompany]&lt;=2,"Fresher", IF(HR_Data[YearsAtCompany]&lt;=5,"Junior", IF(HR_Data[YearsAtCompany]&lt;=10, "Mid","Senior")))</f>
        <v>Senior</v>
      </c>
      <c r="AJ1278" s="2" t="str">
        <f>IF(HR_Data[MonthlyIncome]&lt;=300,"Low", IF(HR_Data[MonthlyIncome]&lt;=7000,"Medium", "High"))</f>
        <v>Medium</v>
      </c>
      <c r="AK1278" s="2" t="str">
        <f>VLOOKUP(HR_Data[JobRole], JobRole_Map[], 2, FALSE)</f>
        <v>Operations</v>
      </c>
    </row>
    <row r="1279" spans="1:37" x14ac:dyDescent="0.25">
      <c r="A1279" s="2">
        <v>35</v>
      </c>
      <c r="B1279" t="s">
        <v>41</v>
      </c>
      <c r="C1279" t="s">
        <v>68</v>
      </c>
      <c r="D1279" t="s">
        <v>53</v>
      </c>
      <c r="E1279">
        <v>8</v>
      </c>
      <c r="F1279" t="s">
        <v>58</v>
      </c>
      <c r="G1279">
        <v>2</v>
      </c>
      <c r="H1279">
        <v>3</v>
      </c>
      <c r="I1279" t="s">
        <v>64</v>
      </c>
      <c r="J1279">
        <v>4</v>
      </c>
      <c r="K1279" t="s">
        <v>50</v>
      </c>
      <c r="L1279">
        <v>10377</v>
      </c>
      <c r="M1279">
        <v>4</v>
      </c>
      <c r="N1279" t="s">
        <v>32</v>
      </c>
      <c r="O1279">
        <v>11</v>
      </c>
      <c r="P1279">
        <v>3</v>
      </c>
      <c r="Q1279">
        <v>1</v>
      </c>
      <c r="R1279">
        <v>16</v>
      </c>
      <c r="S1279">
        <v>6</v>
      </c>
      <c r="T1279">
        <v>13</v>
      </c>
      <c r="U1279">
        <v>4</v>
      </c>
      <c r="V1279">
        <v>12</v>
      </c>
      <c r="W1279" t="s">
        <v>56</v>
      </c>
      <c r="X1279" s="1" t="d">
        <v>2008-05-25</v>
      </c>
      <c r="Z1279" t="s">
        <v>63</v>
      </c>
      <c r="AA1279" t="s">
        <v>40</v>
      </c>
      <c r="AB1279">
        <v>1</v>
      </c>
      <c r="AC1279">
        <v>0</v>
      </c>
      <c r="AD1279" t="s">
        <v>32</v>
      </c>
      <c r="AE1279" t="s">
        <v>42</v>
      </c>
      <c r="AF1279" t="s">
        <v>43</v>
      </c>
      <c r="AG1279">
        <f>IF(HR_Data[[#This Row],[Attrition]]="Yes",1,0)</f>
        <v>0</v>
      </c>
      <c r="AH1279" t="str">
        <f>IF(HR_Data[Date_of_termination]="","Active","Left")</f>
        <v>Active</v>
      </c>
      <c r="AI1279" t="str">
        <f>IF(HR_Data[YearsAtCompany]&lt;=2,"Fresher", IF(HR_Data[YearsAtCompany]&lt;=5,"Junior", IF(HR_Data[YearsAtCompany]&lt;=10, "Mid","Senior")))</f>
        <v>Senior</v>
      </c>
      <c r="AJ1279" s="2" t="str">
        <f>IF(HR_Data[MonthlyIncome]&lt;=300,"Low", IF(HR_Data[MonthlyIncome]&lt;=7000,"Medium", "High"))</f>
        <v>High</v>
      </c>
      <c r="AK1279" s="2" t="str">
        <f>VLOOKUP(HR_Data[JobRole], JobRole_Map[], 2, FALSE)</f>
        <v>Sales</v>
      </c>
    </row>
    <row r="1280" spans="1:37" x14ac:dyDescent="0.25">
      <c r="A1280" s="2">
        <v>31</v>
      </c>
      <c r="B1280" t="s">
        <v>41</v>
      </c>
      <c r="C1280" t="s">
        <v>33</v>
      </c>
      <c r="D1280" t="s">
        <v>53</v>
      </c>
      <c r="E1280">
        <v>8</v>
      </c>
      <c r="F1280" t="s">
        <v>35</v>
      </c>
      <c r="G1280">
        <v>3</v>
      </c>
      <c r="H1280">
        <v>3</v>
      </c>
      <c r="I1280" t="s">
        <v>64</v>
      </c>
      <c r="J1280">
        <v>4</v>
      </c>
      <c r="K1280" t="s">
        <v>55</v>
      </c>
      <c r="L1280">
        <v>10793</v>
      </c>
      <c r="M1280">
        <v>1</v>
      </c>
      <c r="N1280" t="s">
        <v>41</v>
      </c>
      <c r="O1280">
        <v>18</v>
      </c>
      <c r="P1280">
        <v>3</v>
      </c>
      <c r="Q1280">
        <v>1</v>
      </c>
      <c r="R1280">
        <v>13</v>
      </c>
      <c r="S1280">
        <v>5</v>
      </c>
      <c r="T1280">
        <v>13</v>
      </c>
      <c r="U1280">
        <v>9</v>
      </c>
      <c r="V1280">
        <v>9</v>
      </c>
      <c r="W1280" t="s">
        <v>56</v>
      </c>
      <c r="X1280" s="1" t="d">
        <v>2008-03-15</v>
      </c>
      <c r="Z1280" t="s">
        <v>59</v>
      </c>
      <c r="AA1280" t="s">
        <v>40</v>
      </c>
      <c r="AB1280">
        <v>1</v>
      </c>
      <c r="AC1280">
        <v>1</v>
      </c>
      <c r="AD1280" t="s">
        <v>41</v>
      </c>
      <c r="AE1280" t="s">
        <v>60</v>
      </c>
      <c r="AF1280" t="s">
        <v>48</v>
      </c>
      <c r="AG1280">
        <f>IF(HR_Data[[#This Row],[Attrition]]="Yes",1,0)</f>
        <v>0</v>
      </c>
      <c r="AH1280" t="str">
        <f>IF(HR_Data[Date_of_termination]="","Active","Left")</f>
        <v>Active</v>
      </c>
      <c r="AI1280" t="str">
        <f>IF(HR_Data[YearsAtCompany]&lt;=2,"Fresher", IF(HR_Data[YearsAtCompany]&lt;=5,"Junior", IF(HR_Data[YearsAtCompany]&lt;=10, "Mid","Senior")))</f>
        <v>Senior</v>
      </c>
      <c r="AJ1280" s="2" t="str">
        <f>IF(HR_Data[MonthlyIncome]&lt;=300,"Low", IF(HR_Data[MonthlyIncome]&lt;=7000,"Medium", "High"))</f>
        <v>High</v>
      </c>
      <c r="AK1280" s="2" t="str">
        <f>VLOOKUP(HR_Data[JobRole], JobRole_Map[], 2, FALSE)</f>
        <v>Sales</v>
      </c>
    </row>
    <row r="1281" spans="1:37" x14ac:dyDescent="0.25">
      <c r="A1281" s="2">
        <v>34</v>
      </c>
      <c r="B1281" t="s">
        <v>41</v>
      </c>
      <c r="C1281" t="s">
        <v>33</v>
      </c>
      <c r="D1281" t="s">
        <v>53</v>
      </c>
      <c r="E1281">
        <v>3</v>
      </c>
      <c r="F1281" t="s">
        <v>35</v>
      </c>
      <c r="G1281">
        <v>1</v>
      </c>
      <c r="H1281">
        <v>2</v>
      </c>
      <c r="I1281" t="s">
        <v>64</v>
      </c>
      <c r="J1281">
        <v>1</v>
      </c>
      <c r="K1281" t="s">
        <v>37</v>
      </c>
      <c r="L1281">
        <v>4759</v>
      </c>
      <c r="M1281">
        <v>3</v>
      </c>
      <c r="N1281" t="s">
        <v>41</v>
      </c>
      <c r="O1281">
        <v>18</v>
      </c>
      <c r="P1281">
        <v>3</v>
      </c>
      <c r="Q1281">
        <v>0</v>
      </c>
      <c r="R1281">
        <v>15</v>
      </c>
      <c r="S1281">
        <v>2</v>
      </c>
      <c r="T1281">
        <v>13</v>
      </c>
      <c r="U1281">
        <v>3</v>
      </c>
      <c r="V1281">
        <v>12</v>
      </c>
      <c r="W1281" t="s">
        <v>65</v>
      </c>
      <c r="X1281" s="1" t="d">
        <v>2008-03-24</v>
      </c>
      <c r="Z1281" t="s">
        <v>59</v>
      </c>
      <c r="AA1281" t="s">
        <v>40</v>
      </c>
      <c r="AB1281">
        <v>3</v>
      </c>
      <c r="AC1281">
        <v>3</v>
      </c>
      <c r="AD1281" t="s">
        <v>41</v>
      </c>
      <c r="AE1281" t="s">
        <v>62</v>
      </c>
      <c r="AF1281" t="s">
        <v>48</v>
      </c>
      <c r="AG1281">
        <f>IF(HR_Data[[#This Row],[Attrition]]="Yes",1,0)</f>
        <v>0</v>
      </c>
      <c r="AH1281" t="str">
        <f>IF(HR_Data[Date_of_termination]="","Active","Left")</f>
        <v>Active</v>
      </c>
      <c r="AI1281" t="str">
        <f>IF(HR_Data[YearsAtCompany]&lt;=2,"Fresher", IF(HR_Data[YearsAtCompany]&lt;=5,"Junior", IF(HR_Data[YearsAtCompany]&lt;=10, "Mid","Senior")))</f>
        <v>Senior</v>
      </c>
      <c r="AJ1281" s="2" t="str">
        <f>IF(HR_Data[MonthlyIncome]&lt;=300,"Low", IF(HR_Data[MonthlyIncome]&lt;=7000,"Medium", "High"))</f>
        <v>Medium</v>
      </c>
      <c r="AK1281" s="2" t="str">
        <f>VLOOKUP(HR_Data[JobRole], JobRole_Map[], 2, FALSE)</f>
        <v>Sales</v>
      </c>
    </row>
    <row r="1282" spans="1:37" x14ac:dyDescent="0.25">
      <c r="A1282" s="2">
        <v>46</v>
      </c>
      <c r="B1282" t="s">
        <v>41</v>
      </c>
      <c r="C1282" t="s">
        <v>33</v>
      </c>
      <c r="D1282" t="s">
        <v>53</v>
      </c>
      <c r="E1282">
        <v>3</v>
      </c>
      <c r="F1282" t="s">
        <v>58</v>
      </c>
      <c r="G1282">
        <v>3</v>
      </c>
      <c r="H1282">
        <v>4</v>
      </c>
      <c r="I1282" t="s">
        <v>66</v>
      </c>
      <c r="J1282">
        <v>2</v>
      </c>
      <c r="K1282" t="s">
        <v>50</v>
      </c>
      <c r="L1282">
        <v>16606</v>
      </c>
      <c r="M1282">
        <v>8</v>
      </c>
      <c r="N1282" t="s">
        <v>41</v>
      </c>
      <c r="O1282">
        <v>12</v>
      </c>
      <c r="P1282">
        <v>3</v>
      </c>
      <c r="Q1282">
        <v>1</v>
      </c>
      <c r="R1282">
        <v>23</v>
      </c>
      <c r="S1282">
        <v>2</v>
      </c>
      <c r="T1282">
        <v>13</v>
      </c>
      <c r="U1282">
        <v>5</v>
      </c>
      <c r="V1282">
        <v>1</v>
      </c>
      <c r="W1282" t="s">
        <v>56</v>
      </c>
      <c r="X1282" s="1" t="d">
        <v>2008-04-07</v>
      </c>
      <c r="Z1282" t="s">
        <v>45</v>
      </c>
      <c r="AA1282" t="s">
        <v>46</v>
      </c>
      <c r="AB1282">
        <v>5</v>
      </c>
      <c r="AC1282">
        <v>3</v>
      </c>
      <c r="AD1282" t="s">
        <v>32</v>
      </c>
      <c r="AE1282" t="s">
        <v>62</v>
      </c>
      <c r="AF1282" t="s">
        <v>57</v>
      </c>
      <c r="AG1282">
        <f>IF(HR_Data[[#This Row],[Attrition]]="Yes",1,0)</f>
        <v>0</v>
      </c>
      <c r="AH1282" t="str">
        <f>IF(HR_Data[Date_of_termination]="","Active","Left")</f>
        <v>Active</v>
      </c>
      <c r="AI1282" t="str">
        <f>IF(HR_Data[YearsAtCompany]&lt;=2,"Fresher", IF(HR_Data[YearsAtCompany]&lt;=5,"Junior", IF(HR_Data[YearsAtCompany]&lt;=10, "Mid","Senior")))</f>
        <v>Senior</v>
      </c>
      <c r="AJ1282" s="2" t="str">
        <f>IF(HR_Data[MonthlyIncome]&lt;=300,"Low", IF(HR_Data[MonthlyIncome]&lt;=7000,"Medium", "High"))</f>
        <v>High</v>
      </c>
      <c r="AK1282" s="2" t="str">
        <f>VLOOKUP(HR_Data[JobRole], JobRole_Map[], 2, FALSE)</f>
        <v>Management</v>
      </c>
    </row>
    <row r="1283" spans="1:37" x14ac:dyDescent="0.25">
      <c r="A1283" s="2">
        <v>35</v>
      </c>
      <c r="B1283" t="s">
        <v>32</v>
      </c>
      <c r="C1283" t="s">
        <v>33</v>
      </c>
      <c r="D1283" t="s">
        <v>53</v>
      </c>
      <c r="E1283">
        <v>10</v>
      </c>
      <c r="F1283" t="s">
        <v>35</v>
      </c>
      <c r="G1283">
        <v>2</v>
      </c>
      <c r="H1283">
        <v>3</v>
      </c>
      <c r="I1283" t="s">
        <v>64</v>
      </c>
      <c r="J1283">
        <v>1</v>
      </c>
      <c r="K1283" t="s">
        <v>50</v>
      </c>
      <c r="L1283">
        <v>10306</v>
      </c>
      <c r="M1283">
        <v>9</v>
      </c>
      <c r="N1283" t="s">
        <v>41</v>
      </c>
      <c r="O1283">
        <v>17</v>
      </c>
      <c r="P1283">
        <v>3</v>
      </c>
      <c r="Q1283">
        <v>0</v>
      </c>
      <c r="R1283">
        <v>15</v>
      </c>
      <c r="S1283">
        <v>3</v>
      </c>
      <c r="T1283">
        <v>13</v>
      </c>
      <c r="U1283">
        <v>6</v>
      </c>
      <c r="V1283">
        <v>0</v>
      </c>
      <c r="W1283" t="s">
        <v>38</v>
      </c>
      <c r="X1283" s="1" t="d">
        <v>2008-04-20</v>
      </c>
      <c r="Z1283" t="s">
        <v>45</v>
      </c>
      <c r="AA1283" t="s">
        <v>46</v>
      </c>
      <c r="AB1283">
        <v>4</v>
      </c>
      <c r="AC1283">
        <v>2</v>
      </c>
      <c r="AD1283" t="s">
        <v>32</v>
      </c>
      <c r="AE1283" t="s">
        <v>62</v>
      </c>
      <c r="AF1283" t="s">
        <v>48</v>
      </c>
      <c r="AG1283">
        <f>IF(HR_Data[[#This Row],[Attrition]]="Yes",1,0)</f>
        <v>1</v>
      </c>
      <c r="AH1283" t="str">
        <f>IF(HR_Data[Date_of_termination]="","Active","Left")</f>
        <v>Active</v>
      </c>
      <c r="AI1283" t="str">
        <f>IF(HR_Data[YearsAtCompany]&lt;=2,"Fresher", IF(HR_Data[YearsAtCompany]&lt;=5,"Junior", IF(HR_Data[YearsAtCompany]&lt;=10, "Mid","Senior")))</f>
        <v>Senior</v>
      </c>
      <c r="AJ1283" s="2" t="str">
        <f>IF(HR_Data[MonthlyIncome]&lt;=300,"Low", IF(HR_Data[MonthlyIncome]&lt;=7000,"Medium", "High"))</f>
        <v>High</v>
      </c>
      <c r="AK1283" s="2" t="str">
        <f>VLOOKUP(HR_Data[JobRole], JobRole_Map[], 2, FALSE)</f>
        <v>Sales</v>
      </c>
    </row>
    <row r="1284" spans="1:37" x14ac:dyDescent="0.25">
      <c r="A1284" s="2">
        <v>38</v>
      </c>
      <c r="B1284" t="s">
        <v>41</v>
      </c>
      <c r="C1284" t="s">
        <v>61</v>
      </c>
      <c r="D1284" t="s">
        <v>34</v>
      </c>
      <c r="E1284">
        <v>1</v>
      </c>
      <c r="F1284" t="s">
        <v>35</v>
      </c>
      <c r="G1284">
        <v>3</v>
      </c>
      <c r="H1284">
        <v>2</v>
      </c>
      <c r="I1284" t="s">
        <v>44</v>
      </c>
      <c r="J1284">
        <v>4</v>
      </c>
      <c r="K1284" t="s">
        <v>50</v>
      </c>
      <c r="L1284">
        <v>4735</v>
      </c>
      <c r="M1284">
        <v>7</v>
      </c>
      <c r="N1284" t="s">
        <v>41</v>
      </c>
      <c r="O1284">
        <v>15</v>
      </c>
      <c r="P1284">
        <v>3</v>
      </c>
      <c r="Q1284">
        <v>2</v>
      </c>
      <c r="R1284">
        <v>19</v>
      </c>
      <c r="S1284">
        <v>4</v>
      </c>
      <c r="T1284">
        <v>13</v>
      </c>
      <c r="U1284">
        <v>2</v>
      </c>
      <c r="V1284">
        <v>9</v>
      </c>
      <c r="W1284" t="s">
        <v>51</v>
      </c>
      <c r="X1284" s="1" t="d">
        <v>2008-02-03</v>
      </c>
      <c r="Z1284" t="s">
        <v>39</v>
      </c>
      <c r="AA1284" t="s">
        <v>46</v>
      </c>
      <c r="AB1284">
        <v>5</v>
      </c>
      <c r="AC1284">
        <v>3</v>
      </c>
      <c r="AD1284" t="s">
        <v>41</v>
      </c>
      <c r="AE1284" t="s">
        <v>60</v>
      </c>
      <c r="AF1284" t="s">
        <v>57</v>
      </c>
      <c r="AG1284">
        <f>IF(HR_Data[[#This Row],[Attrition]]="Yes",1,0)</f>
        <v>0</v>
      </c>
      <c r="AH1284" t="str">
        <f>IF(HR_Data[Date_of_termination]="","Active","Left")</f>
        <v>Active</v>
      </c>
      <c r="AI1284" t="str">
        <f>IF(HR_Data[YearsAtCompany]&lt;=2,"Fresher", IF(HR_Data[YearsAtCompany]&lt;=5,"Junior", IF(HR_Data[YearsAtCompany]&lt;=10, "Mid","Senior")))</f>
        <v>Senior</v>
      </c>
      <c r="AJ1284" s="2" t="str">
        <f>IF(HR_Data[MonthlyIncome]&lt;=300,"Low", IF(HR_Data[MonthlyIncome]&lt;=7000,"Medium", "High"))</f>
        <v>Medium</v>
      </c>
      <c r="AK1284" s="2" t="str">
        <f>VLOOKUP(HR_Data[JobRole], JobRole_Map[], 2, FALSE)</f>
        <v>Technical</v>
      </c>
    </row>
    <row r="1285" spans="1:37" x14ac:dyDescent="0.25">
      <c r="A1285" s="2">
        <v>36</v>
      </c>
      <c r="B1285" t="s">
        <v>41</v>
      </c>
      <c r="C1285" t="s">
        <v>33</v>
      </c>
      <c r="D1285" t="s">
        <v>53</v>
      </c>
      <c r="E1285">
        <v>2</v>
      </c>
      <c r="F1285" t="s">
        <v>58</v>
      </c>
      <c r="G1285">
        <v>3</v>
      </c>
      <c r="H1285">
        <v>2</v>
      </c>
      <c r="I1285" t="s">
        <v>54</v>
      </c>
      <c r="J1285">
        <v>4</v>
      </c>
      <c r="K1285" t="s">
        <v>37</v>
      </c>
      <c r="L1285">
        <v>4502</v>
      </c>
      <c r="M1285">
        <v>3</v>
      </c>
      <c r="N1285" t="s">
        <v>41</v>
      </c>
      <c r="O1285">
        <v>15</v>
      </c>
      <c r="P1285">
        <v>3</v>
      </c>
      <c r="Q1285">
        <v>0</v>
      </c>
      <c r="R1285">
        <v>17</v>
      </c>
      <c r="S1285">
        <v>2</v>
      </c>
      <c r="T1285">
        <v>13</v>
      </c>
      <c r="U1285">
        <v>6</v>
      </c>
      <c r="V1285">
        <v>7</v>
      </c>
      <c r="W1285" t="s">
        <v>56</v>
      </c>
      <c r="X1285" s="1" t="d">
        <v>2008-03-09</v>
      </c>
      <c r="Z1285" t="s">
        <v>45</v>
      </c>
      <c r="AA1285" t="s">
        <v>46</v>
      </c>
      <c r="AB1285">
        <v>0</v>
      </c>
      <c r="AC1285">
        <v>0</v>
      </c>
      <c r="AD1285" t="s">
        <v>32</v>
      </c>
      <c r="AE1285" t="s">
        <v>60</v>
      </c>
      <c r="AF1285" t="s">
        <v>43</v>
      </c>
      <c r="AG1285">
        <f>IF(HR_Data[[#This Row],[Attrition]]="Yes",1,0)</f>
        <v>0</v>
      </c>
      <c r="AH1285" t="str">
        <f>IF(HR_Data[Date_of_termination]="","Active","Left")</f>
        <v>Active</v>
      </c>
      <c r="AI1285" t="str">
        <f>IF(HR_Data[YearsAtCompany]&lt;=2,"Fresher", IF(HR_Data[YearsAtCompany]&lt;=5,"Junior", IF(HR_Data[YearsAtCompany]&lt;=10, "Mid","Senior")))</f>
        <v>Senior</v>
      </c>
      <c r="AJ1285" s="2" t="str">
        <f>IF(HR_Data[MonthlyIncome]&lt;=300,"Low", IF(HR_Data[MonthlyIncome]&lt;=7000,"Medium", "High"))</f>
        <v>Medium</v>
      </c>
      <c r="AK1285" s="2" t="str">
        <f>VLOOKUP(HR_Data[JobRole], JobRole_Map[], 2, FALSE)</f>
        <v>Sales</v>
      </c>
    </row>
    <row r="1286" spans="1:37" x14ac:dyDescent="0.25">
      <c r="A1286" s="2">
        <v>42</v>
      </c>
      <c r="B1286" t="s">
        <v>41</v>
      </c>
      <c r="C1286" t="s">
        <v>33</v>
      </c>
      <c r="D1286" t="s">
        <v>34</v>
      </c>
      <c r="E1286">
        <v>6</v>
      </c>
      <c r="F1286" t="s">
        <v>35</v>
      </c>
      <c r="G1286">
        <v>3</v>
      </c>
      <c r="H1286">
        <v>3</v>
      </c>
      <c r="I1286" t="s">
        <v>49</v>
      </c>
      <c r="J1286">
        <v>1</v>
      </c>
      <c r="K1286" t="s">
        <v>50</v>
      </c>
      <c r="L1286">
        <v>13348</v>
      </c>
      <c r="M1286">
        <v>9</v>
      </c>
      <c r="N1286" t="s">
        <v>41</v>
      </c>
      <c r="O1286">
        <v>13</v>
      </c>
      <c r="P1286">
        <v>3</v>
      </c>
      <c r="Q1286">
        <v>1</v>
      </c>
      <c r="R1286">
        <v>18</v>
      </c>
      <c r="S1286">
        <v>3</v>
      </c>
      <c r="T1286">
        <v>13</v>
      </c>
      <c r="U1286">
        <v>5</v>
      </c>
      <c r="V1286">
        <v>7</v>
      </c>
      <c r="W1286" t="s">
        <v>38</v>
      </c>
      <c r="X1286" s="1" t="d">
        <v>2008-06-22</v>
      </c>
      <c r="Z1286" t="s">
        <v>59</v>
      </c>
      <c r="AA1286" t="s">
        <v>46</v>
      </c>
      <c r="AB1286">
        <v>2</v>
      </c>
      <c r="AC1286">
        <v>3</v>
      </c>
      <c r="AD1286" t="s">
        <v>32</v>
      </c>
      <c r="AE1286" t="s">
        <v>60</v>
      </c>
      <c r="AF1286" t="s">
        <v>57</v>
      </c>
      <c r="AG1286">
        <f>IF(HR_Data[[#This Row],[Attrition]]="Yes",1,0)</f>
        <v>0</v>
      </c>
      <c r="AH1286" t="str">
        <f>IF(HR_Data[Date_of_termination]="","Active","Left")</f>
        <v>Active</v>
      </c>
      <c r="AI1286" t="str">
        <f>IF(HR_Data[YearsAtCompany]&lt;=2,"Fresher", IF(HR_Data[YearsAtCompany]&lt;=5,"Junior", IF(HR_Data[YearsAtCompany]&lt;=10, "Mid","Senior")))</f>
        <v>Senior</v>
      </c>
      <c r="AJ1286" s="2" t="str">
        <f>IF(HR_Data[MonthlyIncome]&lt;=300,"Low", IF(HR_Data[MonthlyIncome]&lt;=7000,"Medium", "High"))</f>
        <v>High</v>
      </c>
      <c r="AK1286" s="2" t="str">
        <f>VLOOKUP(HR_Data[JobRole], JobRole_Map[], 2, FALSE)</f>
        <v>Management</v>
      </c>
    </row>
    <row r="1287" spans="1:37" x14ac:dyDescent="0.25">
      <c r="A1287" s="2">
        <v>47</v>
      </c>
      <c r="B1287" t="s">
        <v>41</v>
      </c>
      <c r="C1287" t="s">
        <v>68</v>
      </c>
      <c r="D1287" t="s">
        <v>34</v>
      </c>
      <c r="E1287">
        <v>1</v>
      </c>
      <c r="F1287" t="s">
        <v>58</v>
      </c>
      <c r="G1287">
        <v>3</v>
      </c>
      <c r="H1287">
        <v>3</v>
      </c>
      <c r="I1287" t="s">
        <v>49</v>
      </c>
      <c r="J1287">
        <v>2</v>
      </c>
      <c r="K1287" t="s">
        <v>50</v>
      </c>
      <c r="L1287">
        <v>11957</v>
      </c>
      <c r="M1287">
        <v>0</v>
      </c>
      <c r="N1287" t="s">
        <v>41</v>
      </c>
      <c r="O1287">
        <v>18</v>
      </c>
      <c r="P1287">
        <v>3</v>
      </c>
      <c r="Q1287">
        <v>2</v>
      </c>
      <c r="R1287">
        <v>14</v>
      </c>
      <c r="S1287">
        <v>3</v>
      </c>
      <c r="T1287">
        <v>13</v>
      </c>
      <c r="U1287">
        <v>5</v>
      </c>
      <c r="V1287">
        <v>12</v>
      </c>
      <c r="W1287" t="s">
        <v>56</v>
      </c>
      <c r="X1287" s="1" t="d">
        <v>2008-04-19</v>
      </c>
      <c r="Z1287" t="s">
        <v>52</v>
      </c>
      <c r="AA1287" t="s">
        <v>40</v>
      </c>
      <c r="AB1287">
        <v>3</v>
      </c>
      <c r="AC1287">
        <v>1</v>
      </c>
      <c r="AD1287" t="s">
        <v>32</v>
      </c>
      <c r="AE1287" t="s">
        <v>42</v>
      </c>
      <c r="AF1287" t="s">
        <v>48</v>
      </c>
      <c r="AG1287">
        <f>IF(HR_Data[[#This Row],[Attrition]]="Yes",1,0)</f>
        <v>0</v>
      </c>
      <c r="AH1287" t="str">
        <f>IF(HR_Data[Date_of_termination]="","Active","Left")</f>
        <v>Active</v>
      </c>
      <c r="AI1287" t="str">
        <f>IF(HR_Data[YearsAtCompany]&lt;=2,"Fresher", IF(HR_Data[YearsAtCompany]&lt;=5,"Junior", IF(HR_Data[YearsAtCompany]&lt;=10, "Mid","Senior")))</f>
        <v>Senior</v>
      </c>
      <c r="AJ1287" s="2" t="str">
        <f>IF(HR_Data[MonthlyIncome]&lt;=300,"Low", IF(HR_Data[MonthlyIncome]&lt;=7000,"Medium", "High"))</f>
        <v>High</v>
      </c>
      <c r="AK1287" s="2" t="str">
        <f>VLOOKUP(HR_Data[JobRole], JobRole_Map[], 2, FALSE)</f>
        <v>Management</v>
      </c>
    </row>
    <row r="1288" spans="1:37" x14ac:dyDescent="0.25">
      <c r="A1288" s="2">
        <v>56</v>
      </c>
      <c r="B1288" t="s">
        <v>41</v>
      </c>
      <c r="C1288" t="s">
        <v>68</v>
      </c>
      <c r="D1288" t="s">
        <v>34</v>
      </c>
      <c r="E1288">
        <v>1</v>
      </c>
      <c r="F1288" t="s">
        <v>35</v>
      </c>
      <c r="G1288">
        <v>3</v>
      </c>
      <c r="H1288">
        <v>2</v>
      </c>
      <c r="I1288" t="s">
        <v>69</v>
      </c>
      <c r="J1288">
        <v>3</v>
      </c>
      <c r="K1288" t="s">
        <v>55</v>
      </c>
      <c r="L1288">
        <v>6306</v>
      </c>
      <c r="M1288">
        <v>1</v>
      </c>
      <c r="N1288" t="s">
        <v>41</v>
      </c>
      <c r="O1288">
        <v>21</v>
      </c>
      <c r="P1288">
        <v>4</v>
      </c>
      <c r="Q1288">
        <v>1</v>
      </c>
      <c r="R1288">
        <v>13</v>
      </c>
      <c r="S1288">
        <v>2</v>
      </c>
      <c r="T1288">
        <v>13</v>
      </c>
      <c r="U1288">
        <v>1</v>
      </c>
      <c r="V1288">
        <v>9</v>
      </c>
      <c r="W1288" t="s">
        <v>56</v>
      </c>
      <c r="X1288" s="1" t="d">
        <v>2008-06-24</v>
      </c>
      <c r="Z1288" t="s">
        <v>59</v>
      </c>
      <c r="AA1288" t="s">
        <v>40</v>
      </c>
      <c r="AB1288">
        <v>5</v>
      </c>
      <c r="AC1288">
        <v>0</v>
      </c>
      <c r="AD1288" t="s">
        <v>32</v>
      </c>
      <c r="AE1288" t="s">
        <v>60</v>
      </c>
      <c r="AF1288" t="s">
        <v>48</v>
      </c>
      <c r="AG1288">
        <f>IF(HR_Data[[#This Row],[Attrition]]="Yes",1,0)</f>
        <v>0</v>
      </c>
      <c r="AH1288" t="str">
        <f>IF(HR_Data[Date_of_termination]="","Active","Left")</f>
        <v>Active</v>
      </c>
      <c r="AI1288" t="str">
        <f>IF(HR_Data[YearsAtCompany]&lt;=2,"Fresher", IF(HR_Data[YearsAtCompany]&lt;=5,"Junior", IF(HR_Data[YearsAtCompany]&lt;=10, "Mid","Senior")))</f>
        <v>Senior</v>
      </c>
      <c r="AJ1288" s="2" t="str">
        <f>IF(HR_Data[MonthlyIncome]&lt;=300,"Low", IF(HR_Data[MonthlyIncome]&lt;=7000,"Medium", "High"))</f>
        <v>Medium</v>
      </c>
      <c r="AK1288" s="2" t="str">
        <f>VLOOKUP(HR_Data[JobRole], JobRole_Map[], 2, FALSE)</f>
        <v>Operations</v>
      </c>
    </row>
    <row r="1289" spans="1:37" x14ac:dyDescent="0.25">
      <c r="A1289" s="2">
        <v>53</v>
      </c>
      <c r="B1289" t="s">
        <v>41</v>
      </c>
      <c r="C1289" t="s">
        <v>33</v>
      </c>
      <c r="D1289" t="s">
        <v>34</v>
      </c>
      <c r="E1289">
        <v>5</v>
      </c>
      <c r="F1289" t="s">
        <v>58</v>
      </c>
      <c r="G1289">
        <v>3</v>
      </c>
      <c r="H1289">
        <v>5</v>
      </c>
      <c r="I1289" t="s">
        <v>66</v>
      </c>
      <c r="J1289">
        <v>3</v>
      </c>
      <c r="K1289" t="s">
        <v>55</v>
      </c>
      <c r="L1289">
        <v>19094</v>
      </c>
      <c r="M1289">
        <v>4</v>
      </c>
      <c r="N1289" t="s">
        <v>41</v>
      </c>
      <c r="O1289">
        <v>11</v>
      </c>
      <c r="P1289">
        <v>3</v>
      </c>
      <c r="Q1289">
        <v>1</v>
      </c>
      <c r="R1289">
        <v>26</v>
      </c>
      <c r="S1289">
        <v>3</v>
      </c>
      <c r="T1289">
        <v>14</v>
      </c>
      <c r="U1289">
        <v>4</v>
      </c>
      <c r="V1289">
        <v>8</v>
      </c>
      <c r="W1289" t="s">
        <v>51</v>
      </c>
      <c r="X1289" s="1" t="d">
        <v>2007-03-13</v>
      </c>
      <c r="Z1289" t="s">
        <v>63</v>
      </c>
      <c r="AA1289" t="s">
        <v>46</v>
      </c>
      <c r="AB1289">
        <v>5</v>
      </c>
      <c r="AC1289">
        <v>2</v>
      </c>
      <c r="AD1289" t="s">
        <v>32</v>
      </c>
      <c r="AE1289" t="s">
        <v>62</v>
      </c>
      <c r="AF1289" t="s">
        <v>57</v>
      </c>
      <c r="AG1289">
        <f>IF(HR_Data[[#This Row],[Attrition]]="Yes",1,0)</f>
        <v>0</v>
      </c>
      <c r="AH1289" t="str">
        <f>IF(HR_Data[Date_of_termination]="","Active","Left")</f>
        <v>Active</v>
      </c>
      <c r="AI1289" t="str">
        <f>IF(HR_Data[YearsAtCompany]&lt;=2,"Fresher", IF(HR_Data[YearsAtCompany]&lt;=5,"Junior", IF(HR_Data[YearsAtCompany]&lt;=10, "Mid","Senior")))</f>
        <v>Senior</v>
      </c>
      <c r="AJ1289" s="2" t="str">
        <f>IF(HR_Data[MonthlyIncome]&lt;=300,"Low", IF(HR_Data[MonthlyIncome]&lt;=7000,"Medium", "High"))</f>
        <v>High</v>
      </c>
      <c r="AK1289" s="2" t="str">
        <f>VLOOKUP(HR_Data[JobRole], JobRole_Map[], 2, FALSE)</f>
        <v>Management</v>
      </c>
    </row>
    <row r="1290" spans="1:37" x14ac:dyDescent="0.25">
      <c r="A1290" s="2">
        <v>32</v>
      </c>
      <c r="B1290" t="s">
        <v>32</v>
      </c>
      <c r="C1290" t="s">
        <v>33</v>
      </c>
      <c r="D1290" t="s">
        <v>53</v>
      </c>
      <c r="E1290">
        <v>4</v>
      </c>
      <c r="F1290" t="s">
        <v>35</v>
      </c>
      <c r="G1290">
        <v>1</v>
      </c>
      <c r="H1290">
        <v>3</v>
      </c>
      <c r="I1290" t="s">
        <v>64</v>
      </c>
      <c r="J1290">
        <v>4</v>
      </c>
      <c r="K1290" t="s">
        <v>50</v>
      </c>
      <c r="L1290">
        <v>10400</v>
      </c>
      <c r="M1290">
        <v>1</v>
      </c>
      <c r="N1290" t="s">
        <v>41</v>
      </c>
      <c r="O1290">
        <v>11</v>
      </c>
      <c r="P1290">
        <v>3</v>
      </c>
      <c r="Q1290">
        <v>0</v>
      </c>
      <c r="R1290">
        <v>14</v>
      </c>
      <c r="S1290">
        <v>2</v>
      </c>
      <c r="T1290">
        <v>14</v>
      </c>
      <c r="U1290">
        <v>9</v>
      </c>
      <c r="V1290">
        <v>8</v>
      </c>
      <c r="W1290" t="s">
        <v>56</v>
      </c>
      <c r="X1290" s="1" t="d">
        <v>2007-01-12</v>
      </c>
      <c r="Z1290" t="s">
        <v>39</v>
      </c>
      <c r="AA1290" t="s">
        <v>46</v>
      </c>
      <c r="AB1290">
        <v>2</v>
      </c>
      <c r="AC1290">
        <v>3</v>
      </c>
      <c r="AD1290" t="s">
        <v>32</v>
      </c>
      <c r="AE1290" t="s">
        <v>42</v>
      </c>
      <c r="AF1290" t="s">
        <v>48</v>
      </c>
      <c r="AG1290">
        <f>IF(HR_Data[[#This Row],[Attrition]]="Yes",1,0)</f>
        <v>1</v>
      </c>
      <c r="AH1290" t="str">
        <f>IF(HR_Data[Date_of_termination]="","Active","Left")</f>
        <v>Active</v>
      </c>
      <c r="AI1290" t="str">
        <f>IF(HR_Data[YearsAtCompany]&lt;=2,"Fresher", IF(HR_Data[YearsAtCompany]&lt;=5,"Junior", IF(HR_Data[YearsAtCompany]&lt;=10, "Mid","Senior")))</f>
        <v>Senior</v>
      </c>
      <c r="AJ1290" s="2" t="str">
        <f>IF(HR_Data[MonthlyIncome]&lt;=300,"Low", IF(HR_Data[MonthlyIncome]&lt;=7000,"Medium", "High"))</f>
        <v>High</v>
      </c>
      <c r="AK1290" s="2" t="str">
        <f>VLOOKUP(HR_Data[JobRole], JobRole_Map[], 2, FALSE)</f>
        <v>Sales</v>
      </c>
    </row>
    <row r="1291" spans="1:37" x14ac:dyDescent="0.25">
      <c r="A1291" s="2">
        <v>41</v>
      </c>
      <c r="B1291" t="s">
        <v>41</v>
      </c>
      <c r="C1291" t="s">
        <v>68</v>
      </c>
      <c r="D1291" t="s">
        <v>53</v>
      </c>
      <c r="E1291">
        <v>10</v>
      </c>
      <c r="F1291" t="s">
        <v>35</v>
      </c>
      <c r="G1291">
        <v>3</v>
      </c>
      <c r="H1291">
        <v>2</v>
      </c>
      <c r="I1291" t="s">
        <v>64</v>
      </c>
      <c r="J1291">
        <v>4</v>
      </c>
      <c r="K1291" t="s">
        <v>37</v>
      </c>
      <c r="L1291">
        <v>6230</v>
      </c>
      <c r="M1291">
        <v>7</v>
      </c>
      <c r="N1291" t="s">
        <v>41</v>
      </c>
      <c r="O1291">
        <v>14</v>
      </c>
      <c r="P1291">
        <v>3</v>
      </c>
      <c r="Q1291">
        <v>0</v>
      </c>
      <c r="R1291">
        <v>16</v>
      </c>
      <c r="S1291">
        <v>3</v>
      </c>
      <c r="T1291">
        <v>14</v>
      </c>
      <c r="U1291">
        <v>1</v>
      </c>
      <c r="V1291">
        <v>10</v>
      </c>
      <c r="W1291" t="s">
        <v>51</v>
      </c>
      <c r="X1291" s="1" t="d">
        <v>2007-03-25</v>
      </c>
      <c r="Z1291" t="s">
        <v>39</v>
      </c>
      <c r="AA1291" t="s">
        <v>40</v>
      </c>
      <c r="AB1291">
        <v>5</v>
      </c>
      <c r="AC1291">
        <v>1</v>
      </c>
      <c r="AD1291" t="s">
        <v>41</v>
      </c>
      <c r="AE1291" t="s">
        <v>60</v>
      </c>
      <c r="AF1291" t="s">
        <v>57</v>
      </c>
      <c r="AG1291">
        <f>IF(HR_Data[[#This Row],[Attrition]]="Yes",1,0)</f>
        <v>0</v>
      </c>
      <c r="AH1291" t="str">
        <f>IF(HR_Data[Date_of_termination]="","Active","Left")</f>
        <v>Active</v>
      </c>
      <c r="AI1291" t="str">
        <f>IF(HR_Data[YearsAtCompany]&lt;=2,"Fresher", IF(HR_Data[YearsAtCompany]&lt;=5,"Junior", IF(HR_Data[YearsAtCompany]&lt;=10, "Mid","Senior")))</f>
        <v>Senior</v>
      </c>
      <c r="AJ1291" s="2" t="str">
        <f>IF(HR_Data[MonthlyIncome]&lt;=300,"Low", IF(HR_Data[MonthlyIncome]&lt;=7000,"Medium", "High"))</f>
        <v>Medium</v>
      </c>
      <c r="AK1291" s="2" t="str">
        <f>VLOOKUP(HR_Data[JobRole], JobRole_Map[], 2, FALSE)</f>
        <v>Sales</v>
      </c>
    </row>
    <row r="1292" spans="1:37" x14ac:dyDescent="0.25">
      <c r="A1292" s="2">
        <v>53</v>
      </c>
      <c r="B1292" t="s">
        <v>41</v>
      </c>
      <c r="C1292" t="s">
        <v>33</v>
      </c>
      <c r="D1292" t="s">
        <v>53</v>
      </c>
      <c r="E1292">
        <v>1</v>
      </c>
      <c r="F1292" t="s">
        <v>58</v>
      </c>
      <c r="G1292">
        <v>3</v>
      </c>
      <c r="H1292">
        <v>2</v>
      </c>
      <c r="I1292" t="s">
        <v>64</v>
      </c>
      <c r="J1292">
        <v>1</v>
      </c>
      <c r="K1292" t="s">
        <v>37</v>
      </c>
      <c r="L1292">
        <v>8381</v>
      </c>
      <c r="M1292">
        <v>7</v>
      </c>
      <c r="N1292" t="s">
        <v>41</v>
      </c>
      <c r="O1292">
        <v>20</v>
      </c>
      <c r="P1292">
        <v>4</v>
      </c>
      <c r="Q1292">
        <v>0</v>
      </c>
      <c r="R1292">
        <v>18</v>
      </c>
      <c r="S1292">
        <v>2</v>
      </c>
      <c r="T1292">
        <v>14</v>
      </c>
      <c r="U1292">
        <v>8</v>
      </c>
      <c r="V1292">
        <v>10</v>
      </c>
      <c r="W1292" t="s">
        <v>56</v>
      </c>
      <c r="X1292" s="1" t="d">
        <v>2007-05-27</v>
      </c>
      <c r="Z1292" t="s">
        <v>45</v>
      </c>
      <c r="AA1292" t="s">
        <v>46</v>
      </c>
      <c r="AB1292">
        <v>4</v>
      </c>
      <c r="AC1292">
        <v>1</v>
      </c>
      <c r="AD1292" t="s">
        <v>41</v>
      </c>
      <c r="AE1292" t="s">
        <v>62</v>
      </c>
      <c r="AF1292" t="s">
        <v>48</v>
      </c>
      <c r="AG1292">
        <f>IF(HR_Data[[#This Row],[Attrition]]="Yes",1,0)</f>
        <v>0</v>
      </c>
      <c r="AH1292" t="str">
        <f>IF(HR_Data[Date_of_termination]="","Active","Left")</f>
        <v>Active</v>
      </c>
      <c r="AI1292" t="str">
        <f>IF(HR_Data[YearsAtCompany]&lt;=2,"Fresher", IF(HR_Data[YearsAtCompany]&lt;=5,"Junior", IF(HR_Data[YearsAtCompany]&lt;=10, "Mid","Senior")))</f>
        <v>Senior</v>
      </c>
      <c r="AJ1292" s="2" t="str">
        <f>IF(HR_Data[MonthlyIncome]&lt;=300,"Low", IF(HR_Data[MonthlyIncome]&lt;=7000,"Medium", "High"))</f>
        <v>High</v>
      </c>
      <c r="AK1292" s="2" t="str">
        <f>VLOOKUP(HR_Data[JobRole], JobRole_Map[], 2, FALSE)</f>
        <v>Sales</v>
      </c>
    </row>
    <row r="1293" spans="1:37" x14ac:dyDescent="0.25">
      <c r="A1293" s="2">
        <v>32</v>
      </c>
      <c r="B1293" t="s">
        <v>41</v>
      </c>
      <c r="C1293" t="s">
        <v>33</v>
      </c>
      <c r="D1293" t="s">
        <v>34</v>
      </c>
      <c r="E1293">
        <v>4</v>
      </c>
      <c r="F1293" t="s">
        <v>58</v>
      </c>
      <c r="G1293">
        <v>2</v>
      </c>
      <c r="H1293">
        <v>2</v>
      </c>
      <c r="I1293" t="s">
        <v>67</v>
      </c>
      <c r="J1293">
        <v>3</v>
      </c>
      <c r="K1293" t="s">
        <v>50</v>
      </c>
      <c r="L1293">
        <v>6162</v>
      </c>
      <c r="M1293">
        <v>1</v>
      </c>
      <c r="N1293" t="s">
        <v>41</v>
      </c>
      <c r="O1293">
        <v>12</v>
      </c>
      <c r="P1293">
        <v>3</v>
      </c>
      <c r="Q1293">
        <v>1</v>
      </c>
      <c r="R1293">
        <v>14</v>
      </c>
      <c r="S1293">
        <v>3</v>
      </c>
      <c r="T1293">
        <v>14</v>
      </c>
      <c r="U1293">
        <v>6</v>
      </c>
      <c r="V1293">
        <v>8</v>
      </c>
      <c r="W1293" t="s">
        <v>56</v>
      </c>
      <c r="X1293" s="1" t="d">
        <v>2007-02-03</v>
      </c>
      <c r="Z1293" t="s">
        <v>39</v>
      </c>
      <c r="AA1293" t="s">
        <v>40</v>
      </c>
      <c r="AB1293">
        <v>3</v>
      </c>
      <c r="AC1293">
        <v>0</v>
      </c>
      <c r="AD1293" t="s">
        <v>41</v>
      </c>
      <c r="AE1293" t="s">
        <v>47</v>
      </c>
      <c r="AF1293" t="s">
        <v>48</v>
      </c>
      <c r="AG1293">
        <f>IF(HR_Data[[#This Row],[Attrition]]="Yes",1,0)</f>
        <v>0</v>
      </c>
      <c r="AH1293" t="str">
        <f>IF(HR_Data[Date_of_termination]="","Active","Left")</f>
        <v>Active</v>
      </c>
      <c r="AI1293" t="str">
        <f>IF(HR_Data[YearsAtCompany]&lt;=2,"Fresher", IF(HR_Data[YearsAtCompany]&lt;=5,"Junior", IF(HR_Data[YearsAtCompany]&lt;=10, "Mid","Senior")))</f>
        <v>Senior</v>
      </c>
      <c r="AJ1293" s="2" t="str">
        <f>IF(HR_Data[MonthlyIncome]&lt;=300,"Low", IF(HR_Data[MonthlyIncome]&lt;=7000,"Medium", "High"))</f>
        <v>Medium</v>
      </c>
      <c r="AK1293" s="2" t="str">
        <f>VLOOKUP(HR_Data[JobRole], JobRole_Map[], 2, FALSE)</f>
        <v>Operations</v>
      </c>
    </row>
    <row r="1294" spans="1:37" x14ac:dyDescent="0.25">
      <c r="A1294" s="2">
        <v>37</v>
      </c>
      <c r="B1294" t="s">
        <v>32</v>
      </c>
      <c r="C1294" t="s">
        <v>33</v>
      </c>
      <c r="D1294" t="s">
        <v>53</v>
      </c>
      <c r="E1294">
        <v>1</v>
      </c>
      <c r="F1294" t="s">
        <v>35</v>
      </c>
      <c r="G1294">
        <v>2</v>
      </c>
      <c r="H1294">
        <v>3</v>
      </c>
      <c r="I1294" t="s">
        <v>64</v>
      </c>
      <c r="J1294">
        <v>3</v>
      </c>
      <c r="K1294" t="s">
        <v>50</v>
      </c>
      <c r="L1294">
        <v>10609</v>
      </c>
      <c r="M1294">
        <v>5</v>
      </c>
      <c r="N1294" t="s">
        <v>41</v>
      </c>
      <c r="O1294">
        <v>11</v>
      </c>
      <c r="P1294">
        <v>3</v>
      </c>
      <c r="Q1294">
        <v>0</v>
      </c>
      <c r="R1294">
        <v>17</v>
      </c>
      <c r="S1294">
        <v>2</v>
      </c>
      <c r="T1294">
        <v>14</v>
      </c>
      <c r="U1294">
        <v>11</v>
      </c>
      <c r="V1294">
        <v>7</v>
      </c>
      <c r="W1294" t="s">
        <v>51</v>
      </c>
      <c r="X1294" s="1" t="d">
        <v>2007-02-16</v>
      </c>
      <c r="Z1294" t="s">
        <v>52</v>
      </c>
      <c r="AA1294" t="s">
        <v>40</v>
      </c>
      <c r="AB1294">
        <v>4</v>
      </c>
      <c r="AC1294">
        <v>2</v>
      </c>
      <c r="AD1294" t="s">
        <v>32</v>
      </c>
      <c r="AE1294" t="s">
        <v>42</v>
      </c>
      <c r="AF1294" t="s">
        <v>43</v>
      </c>
      <c r="AG1294">
        <f>IF(HR_Data[[#This Row],[Attrition]]="Yes",1,0)</f>
        <v>1</v>
      </c>
      <c r="AH1294" t="str">
        <f>IF(HR_Data[Date_of_termination]="","Active","Left")</f>
        <v>Active</v>
      </c>
      <c r="AI1294" t="str">
        <f>IF(HR_Data[YearsAtCompany]&lt;=2,"Fresher", IF(HR_Data[YearsAtCompany]&lt;=5,"Junior", IF(HR_Data[YearsAtCompany]&lt;=10, "Mid","Senior")))</f>
        <v>Senior</v>
      </c>
      <c r="AJ1294" s="2" t="str">
        <f>IF(HR_Data[MonthlyIncome]&lt;=300,"Low", IF(HR_Data[MonthlyIncome]&lt;=7000,"Medium", "High"))</f>
        <v>High</v>
      </c>
      <c r="AK1294" s="2" t="str">
        <f>VLOOKUP(HR_Data[JobRole], JobRole_Map[], 2, FALSE)</f>
        <v>Sales</v>
      </c>
    </row>
    <row r="1295" spans="1:37" x14ac:dyDescent="0.25">
      <c r="A1295" s="2">
        <v>36</v>
      </c>
      <c r="B1295" t="s">
        <v>41</v>
      </c>
      <c r="C1295" t="s">
        <v>33</v>
      </c>
      <c r="D1295" t="s">
        <v>34</v>
      </c>
      <c r="E1295">
        <v>12</v>
      </c>
      <c r="F1295" t="s">
        <v>58</v>
      </c>
      <c r="G1295">
        <v>2</v>
      </c>
      <c r="H1295">
        <v>3</v>
      </c>
      <c r="I1295" t="s">
        <v>67</v>
      </c>
      <c r="J1295">
        <v>4</v>
      </c>
      <c r="K1295" t="s">
        <v>37</v>
      </c>
      <c r="L1295">
        <v>8858</v>
      </c>
      <c r="M1295">
        <v>0</v>
      </c>
      <c r="N1295" t="s">
        <v>41</v>
      </c>
      <c r="O1295">
        <v>11</v>
      </c>
      <c r="P1295">
        <v>3</v>
      </c>
      <c r="Q1295">
        <v>0</v>
      </c>
      <c r="R1295">
        <v>15</v>
      </c>
      <c r="S1295">
        <v>2</v>
      </c>
      <c r="T1295">
        <v>14</v>
      </c>
      <c r="U1295">
        <v>7</v>
      </c>
      <c r="V1295">
        <v>8</v>
      </c>
      <c r="W1295" t="s">
        <v>56</v>
      </c>
      <c r="X1295" s="1" t="d">
        <v>2007-03-12</v>
      </c>
      <c r="Z1295" t="s">
        <v>45</v>
      </c>
      <c r="AA1295" t="s">
        <v>40</v>
      </c>
      <c r="AB1295">
        <v>0</v>
      </c>
      <c r="AC1295">
        <v>3</v>
      </c>
      <c r="AD1295" t="s">
        <v>41</v>
      </c>
      <c r="AE1295" t="s">
        <v>47</v>
      </c>
      <c r="AF1295" t="s">
        <v>48</v>
      </c>
      <c r="AG1295">
        <f>IF(HR_Data[[#This Row],[Attrition]]="Yes",1,0)</f>
        <v>0</v>
      </c>
      <c r="AH1295" t="str">
        <f>IF(HR_Data[Date_of_termination]="","Active","Left")</f>
        <v>Active</v>
      </c>
      <c r="AI1295" t="str">
        <f>IF(HR_Data[YearsAtCompany]&lt;=2,"Fresher", IF(HR_Data[YearsAtCompany]&lt;=5,"Junior", IF(HR_Data[YearsAtCompany]&lt;=10, "Mid","Senior")))</f>
        <v>Senior</v>
      </c>
      <c r="AJ1295" s="2" t="str">
        <f>IF(HR_Data[MonthlyIncome]&lt;=300,"Low", IF(HR_Data[MonthlyIncome]&lt;=7000,"Medium", "High"))</f>
        <v>High</v>
      </c>
      <c r="AK1295" s="2" t="str">
        <f>VLOOKUP(HR_Data[JobRole], JobRole_Map[], 2, FALSE)</f>
        <v>Operations</v>
      </c>
    </row>
    <row r="1296" spans="1:37" x14ac:dyDescent="0.25">
      <c r="A1296" s="2">
        <v>37</v>
      </c>
      <c r="B1296" t="s">
        <v>41</v>
      </c>
      <c r="C1296" t="s">
        <v>33</v>
      </c>
      <c r="D1296" t="s">
        <v>34</v>
      </c>
      <c r="E1296">
        <v>1</v>
      </c>
      <c r="F1296" t="s">
        <v>58</v>
      </c>
      <c r="G1296">
        <v>2</v>
      </c>
      <c r="H1296">
        <v>2</v>
      </c>
      <c r="I1296" t="s">
        <v>67</v>
      </c>
      <c r="J1296">
        <v>4</v>
      </c>
      <c r="K1296" t="s">
        <v>50</v>
      </c>
      <c r="L1296">
        <v>6474</v>
      </c>
      <c r="M1296">
        <v>1</v>
      </c>
      <c r="N1296" t="s">
        <v>41</v>
      </c>
      <c r="O1296">
        <v>13</v>
      </c>
      <c r="P1296">
        <v>3</v>
      </c>
      <c r="Q1296">
        <v>1</v>
      </c>
      <c r="R1296">
        <v>14</v>
      </c>
      <c r="S1296">
        <v>2</v>
      </c>
      <c r="T1296">
        <v>14</v>
      </c>
      <c r="U1296">
        <v>3</v>
      </c>
      <c r="V1296">
        <v>11</v>
      </c>
      <c r="W1296" t="s">
        <v>56</v>
      </c>
      <c r="X1296" s="1" t="d">
        <v>2007-06-06</v>
      </c>
      <c r="Z1296" t="s">
        <v>52</v>
      </c>
      <c r="AA1296" t="s">
        <v>46</v>
      </c>
      <c r="AB1296">
        <v>1</v>
      </c>
      <c r="AC1296">
        <v>3</v>
      </c>
      <c r="AD1296" t="s">
        <v>32</v>
      </c>
      <c r="AE1296" t="s">
        <v>60</v>
      </c>
      <c r="AF1296" t="s">
        <v>48</v>
      </c>
      <c r="AG1296">
        <f>IF(HR_Data[[#This Row],[Attrition]]="Yes",1,0)</f>
        <v>0</v>
      </c>
      <c r="AH1296" t="str">
        <f>IF(HR_Data[Date_of_termination]="","Active","Left")</f>
        <v>Active</v>
      </c>
      <c r="AI1296" t="str">
        <f>IF(HR_Data[YearsAtCompany]&lt;=2,"Fresher", IF(HR_Data[YearsAtCompany]&lt;=5,"Junior", IF(HR_Data[YearsAtCompany]&lt;=10, "Mid","Senior")))</f>
        <v>Senior</v>
      </c>
      <c r="AJ1296" s="2" t="str">
        <f>IF(HR_Data[MonthlyIncome]&lt;=300,"Low", IF(HR_Data[MonthlyIncome]&lt;=7000,"Medium", "High"))</f>
        <v>Medium</v>
      </c>
      <c r="AK1296" s="2" t="str">
        <f>VLOOKUP(HR_Data[JobRole], JobRole_Map[], 2, FALSE)</f>
        <v>Operations</v>
      </c>
    </row>
    <row r="1297" spans="1:37" x14ac:dyDescent="0.25">
      <c r="A1297" s="2">
        <v>33</v>
      </c>
      <c r="B1297" t="s">
        <v>41</v>
      </c>
      <c r="C1297" t="s">
        <v>33</v>
      </c>
      <c r="D1297" t="s">
        <v>34</v>
      </c>
      <c r="E1297">
        <v>9</v>
      </c>
      <c r="F1297" t="s">
        <v>35</v>
      </c>
      <c r="G1297">
        <v>3</v>
      </c>
      <c r="H1297">
        <v>1</v>
      </c>
      <c r="I1297" t="s">
        <v>44</v>
      </c>
      <c r="J1297">
        <v>4</v>
      </c>
      <c r="K1297" t="s">
        <v>50</v>
      </c>
      <c r="L1297">
        <v>2781</v>
      </c>
      <c r="M1297">
        <v>0</v>
      </c>
      <c r="N1297" t="s">
        <v>41</v>
      </c>
      <c r="O1297">
        <v>13</v>
      </c>
      <c r="P1297">
        <v>3</v>
      </c>
      <c r="Q1297">
        <v>1</v>
      </c>
      <c r="R1297">
        <v>15</v>
      </c>
      <c r="S1297">
        <v>5</v>
      </c>
      <c r="T1297">
        <v>14</v>
      </c>
      <c r="U1297">
        <v>4</v>
      </c>
      <c r="V1297">
        <v>10</v>
      </c>
      <c r="W1297" t="s">
        <v>56</v>
      </c>
      <c r="X1297" s="1" t="d">
        <v>2007-04-02</v>
      </c>
      <c r="Z1297" t="s">
        <v>45</v>
      </c>
      <c r="AA1297" t="s">
        <v>40</v>
      </c>
      <c r="AB1297">
        <v>3</v>
      </c>
      <c r="AC1297">
        <v>3</v>
      </c>
      <c r="AD1297" t="s">
        <v>32</v>
      </c>
      <c r="AE1297" t="s">
        <v>62</v>
      </c>
      <c r="AF1297" t="s">
        <v>48</v>
      </c>
      <c r="AG1297">
        <f>IF(HR_Data[[#This Row],[Attrition]]="Yes",1,0)</f>
        <v>0</v>
      </c>
      <c r="AH1297" t="str">
        <f>IF(HR_Data[Date_of_termination]="","Active","Left")</f>
        <v>Active</v>
      </c>
      <c r="AI1297" t="str">
        <f>IF(HR_Data[YearsAtCompany]&lt;=2,"Fresher", IF(HR_Data[YearsAtCompany]&lt;=5,"Junior", IF(HR_Data[YearsAtCompany]&lt;=10, "Mid","Senior")))</f>
        <v>Senior</v>
      </c>
      <c r="AJ1297" s="2" t="str">
        <f>IF(HR_Data[MonthlyIncome]&lt;=300,"Low", IF(HR_Data[MonthlyIncome]&lt;=7000,"Medium", "High"))</f>
        <v>Medium</v>
      </c>
      <c r="AK1297" s="2" t="str">
        <f>VLOOKUP(HR_Data[JobRole], JobRole_Map[], 2, FALSE)</f>
        <v>Technical</v>
      </c>
    </row>
    <row r="1298" spans="1:37" x14ac:dyDescent="0.25">
      <c r="A1298" s="2">
        <v>34</v>
      </c>
      <c r="B1298" t="s">
        <v>41</v>
      </c>
      <c r="C1298" t="s">
        <v>33</v>
      </c>
      <c r="D1298" t="s">
        <v>34</v>
      </c>
      <c r="E1298">
        <v>2</v>
      </c>
      <c r="F1298" t="s">
        <v>58</v>
      </c>
      <c r="G1298">
        <v>3</v>
      </c>
      <c r="H1298">
        <v>2</v>
      </c>
      <c r="I1298" t="s">
        <v>69</v>
      </c>
      <c r="J1298">
        <v>4</v>
      </c>
      <c r="K1298" t="s">
        <v>37</v>
      </c>
      <c r="L1298">
        <v>6687</v>
      </c>
      <c r="M1298">
        <v>1</v>
      </c>
      <c r="N1298" t="s">
        <v>41</v>
      </c>
      <c r="O1298">
        <v>11</v>
      </c>
      <c r="P1298">
        <v>3</v>
      </c>
      <c r="Q1298">
        <v>0</v>
      </c>
      <c r="R1298">
        <v>14</v>
      </c>
      <c r="S1298">
        <v>2</v>
      </c>
      <c r="T1298">
        <v>14</v>
      </c>
      <c r="U1298">
        <v>4</v>
      </c>
      <c r="V1298">
        <v>11</v>
      </c>
      <c r="W1298" t="s">
        <v>65</v>
      </c>
      <c r="X1298" s="1" t="d">
        <v>2007-03-15</v>
      </c>
      <c r="Z1298" t="s">
        <v>63</v>
      </c>
      <c r="AA1298" t="s">
        <v>40</v>
      </c>
      <c r="AB1298">
        <v>3</v>
      </c>
      <c r="AC1298">
        <v>3</v>
      </c>
      <c r="AD1298" t="s">
        <v>41</v>
      </c>
      <c r="AE1298" t="s">
        <v>60</v>
      </c>
      <c r="AF1298" t="s">
        <v>43</v>
      </c>
      <c r="AG1298">
        <f>IF(HR_Data[[#This Row],[Attrition]]="Yes",1,0)</f>
        <v>0</v>
      </c>
      <c r="AH1298" t="str">
        <f>IF(HR_Data[Date_of_termination]="","Active","Left")</f>
        <v>Active</v>
      </c>
      <c r="AI1298" t="str">
        <f>IF(HR_Data[YearsAtCompany]&lt;=2,"Fresher", IF(HR_Data[YearsAtCompany]&lt;=5,"Junior", IF(HR_Data[YearsAtCompany]&lt;=10, "Mid","Senior")))</f>
        <v>Senior</v>
      </c>
      <c r="AJ1298" s="2" t="str">
        <f>IF(HR_Data[MonthlyIncome]&lt;=300,"Low", IF(HR_Data[MonthlyIncome]&lt;=7000,"Medium", "High"))</f>
        <v>Medium</v>
      </c>
      <c r="AK1298" s="2" t="str">
        <f>VLOOKUP(HR_Data[JobRole], JobRole_Map[], 2, FALSE)</f>
        <v>Operations</v>
      </c>
    </row>
    <row r="1299" spans="1:37" x14ac:dyDescent="0.25">
      <c r="A1299" s="2">
        <v>34</v>
      </c>
      <c r="B1299" t="s">
        <v>41</v>
      </c>
      <c r="C1299" t="s">
        <v>61</v>
      </c>
      <c r="D1299" t="s">
        <v>34</v>
      </c>
      <c r="E1299">
        <v>15</v>
      </c>
      <c r="F1299" t="s">
        <v>35</v>
      </c>
      <c r="G1299">
        <v>3</v>
      </c>
      <c r="H1299">
        <v>4</v>
      </c>
      <c r="I1299" t="s">
        <v>49</v>
      </c>
      <c r="J1299">
        <v>1</v>
      </c>
      <c r="K1299" t="s">
        <v>55</v>
      </c>
      <c r="L1299">
        <v>17007</v>
      </c>
      <c r="M1299">
        <v>7</v>
      </c>
      <c r="N1299" t="s">
        <v>41</v>
      </c>
      <c r="O1299">
        <v>14</v>
      </c>
      <c r="P1299">
        <v>3</v>
      </c>
      <c r="Q1299">
        <v>2</v>
      </c>
      <c r="R1299">
        <v>16</v>
      </c>
      <c r="S1299">
        <v>3</v>
      </c>
      <c r="T1299">
        <v>14</v>
      </c>
      <c r="U1299">
        <v>6</v>
      </c>
      <c r="V1299">
        <v>9</v>
      </c>
      <c r="W1299" t="s">
        <v>51</v>
      </c>
      <c r="X1299" s="1" t="d">
        <v>2007-06-27</v>
      </c>
      <c r="Z1299" t="s">
        <v>59</v>
      </c>
      <c r="AA1299" t="s">
        <v>40</v>
      </c>
      <c r="AB1299">
        <v>4</v>
      </c>
      <c r="AC1299">
        <v>3</v>
      </c>
      <c r="AD1299" t="s">
        <v>32</v>
      </c>
      <c r="AE1299" t="s">
        <v>42</v>
      </c>
      <c r="AF1299" t="s">
        <v>48</v>
      </c>
      <c r="AG1299">
        <f>IF(HR_Data[[#This Row],[Attrition]]="Yes",1,0)</f>
        <v>0</v>
      </c>
      <c r="AH1299" t="str">
        <f>IF(HR_Data[Date_of_termination]="","Active","Left")</f>
        <v>Active</v>
      </c>
      <c r="AI1299" t="str">
        <f>IF(HR_Data[YearsAtCompany]&lt;=2,"Fresher", IF(HR_Data[YearsAtCompany]&lt;=5,"Junior", IF(HR_Data[YearsAtCompany]&lt;=10, "Mid","Senior")))</f>
        <v>Senior</v>
      </c>
      <c r="AJ1299" s="2" t="str">
        <f>IF(HR_Data[MonthlyIncome]&lt;=300,"Low", IF(HR_Data[MonthlyIncome]&lt;=7000,"Medium", "High"))</f>
        <v>High</v>
      </c>
      <c r="AK1299" s="2" t="str">
        <f>VLOOKUP(HR_Data[JobRole], JobRole_Map[], 2, FALSE)</f>
        <v>Management</v>
      </c>
    </row>
    <row r="1300" spans="1:37" x14ac:dyDescent="0.25">
      <c r="A1300" s="2">
        <v>54</v>
      </c>
      <c r="B1300" t="s">
        <v>41</v>
      </c>
      <c r="C1300" t="s">
        <v>61</v>
      </c>
      <c r="D1300" t="s">
        <v>34</v>
      </c>
      <c r="E1300">
        <v>11</v>
      </c>
      <c r="F1300" t="s">
        <v>58</v>
      </c>
      <c r="G1300">
        <v>3</v>
      </c>
      <c r="H1300">
        <v>4</v>
      </c>
      <c r="I1300" t="s">
        <v>66</v>
      </c>
      <c r="J1300">
        <v>4</v>
      </c>
      <c r="K1300" t="s">
        <v>55</v>
      </c>
      <c r="L1300">
        <v>16032</v>
      </c>
      <c r="M1300">
        <v>3</v>
      </c>
      <c r="N1300" t="s">
        <v>41</v>
      </c>
      <c r="O1300">
        <v>20</v>
      </c>
      <c r="P1300">
        <v>4</v>
      </c>
      <c r="Q1300">
        <v>1</v>
      </c>
      <c r="R1300">
        <v>26</v>
      </c>
      <c r="S1300">
        <v>2</v>
      </c>
      <c r="T1300">
        <v>14</v>
      </c>
      <c r="U1300">
        <v>1</v>
      </c>
      <c r="V1300">
        <v>12</v>
      </c>
      <c r="W1300" t="s">
        <v>65</v>
      </c>
      <c r="X1300" s="1" t="d">
        <v>2007-01-02</v>
      </c>
      <c r="Z1300" t="s">
        <v>59</v>
      </c>
      <c r="AA1300" t="s">
        <v>40</v>
      </c>
      <c r="AB1300">
        <v>3</v>
      </c>
      <c r="AC1300">
        <v>1</v>
      </c>
      <c r="AD1300" t="s">
        <v>41</v>
      </c>
      <c r="AE1300" t="s">
        <v>42</v>
      </c>
      <c r="AF1300" t="s">
        <v>43</v>
      </c>
      <c r="AG1300">
        <f>IF(HR_Data[[#This Row],[Attrition]]="Yes",1,0)</f>
        <v>0</v>
      </c>
      <c r="AH1300" t="str">
        <f>IF(HR_Data[Date_of_termination]="","Active","Left")</f>
        <v>Active</v>
      </c>
      <c r="AI1300" t="str">
        <f>IF(HR_Data[YearsAtCompany]&lt;=2,"Fresher", IF(HR_Data[YearsAtCompany]&lt;=5,"Junior", IF(HR_Data[YearsAtCompany]&lt;=10, "Mid","Senior")))</f>
        <v>Senior</v>
      </c>
      <c r="AJ1300" s="2" t="str">
        <f>IF(HR_Data[MonthlyIncome]&lt;=300,"Low", IF(HR_Data[MonthlyIncome]&lt;=7000,"Medium", "High"))</f>
        <v>High</v>
      </c>
      <c r="AK1300" s="2" t="str">
        <f>VLOOKUP(HR_Data[JobRole], JobRole_Map[], 2, FALSE)</f>
        <v>Management</v>
      </c>
    </row>
    <row r="1301" spans="1:37" x14ac:dyDescent="0.25">
      <c r="A1301" s="2">
        <v>35</v>
      </c>
      <c r="B1301" t="s">
        <v>41</v>
      </c>
      <c r="C1301" t="s">
        <v>68</v>
      </c>
      <c r="D1301" t="s">
        <v>34</v>
      </c>
      <c r="E1301">
        <v>8</v>
      </c>
      <c r="F1301" t="s">
        <v>58</v>
      </c>
      <c r="G1301">
        <v>3</v>
      </c>
      <c r="H1301">
        <v>2</v>
      </c>
      <c r="I1301" t="s">
        <v>69</v>
      </c>
      <c r="J1301">
        <v>3</v>
      </c>
      <c r="K1301" t="s">
        <v>50</v>
      </c>
      <c r="L1301">
        <v>4148</v>
      </c>
      <c r="M1301">
        <v>1</v>
      </c>
      <c r="N1301" t="s">
        <v>41</v>
      </c>
      <c r="O1301">
        <v>12</v>
      </c>
      <c r="P1301">
        <v>3</v>
      </c>
      <c r="Q1301">
        <v>1</v>
      </c>
      <c r="R1301">
        <v>15</v>
      </c>
      <c r="S1301">
        <v>5</v>
      </c>
      <c r="T1301">
        <v>14</v>
      </c>
      <c r="U1301">
        <v>2</v>
      </c>
      <c r="V1301">
        <v>9</v>
      </c>
      <c r="W1301" t="s">
        <v>65</v>
      </c>
      <c r="X1301" s="1" t="d">
        <v>2007-04-19</v>
      </c>
      <c r="Z1301" t="s">
        <v>39</v>
      </c>
      <c r="AA1301" t="s">
        <v>46</v>
      </c>
      <c r="AB1301">
        <v>3</v>
      </c>
      <c r="AC1301">
        <v>2</v>
      </c>
      <c r="AD1301" t="s">
        <v>32</v>
      </c>
      <c r="AE1301" t="s">
        <v>42</v>
      </c>
      <c r="AF1301" t="s">
        <v>48</v>
      </c>
      <c r="AG1301">
        <f>IF(HR_Data[[#This Row],[Attrition]]="Yes",1,0)</f>
        <v>0</v>
      </c>
      <c r="AH1301" t="str">
        <f>IF(HR_Data[Date_of_termination]="","Active","Left")</f>
        <v>Active</v>
      </c>
      <c r="AI1301" t="str">
        <f>IF(HR_Data[YearsAtCompany]&lt;=2,"Fresher", IF(HR_Data[YearsAtCompany]&lt;=5,"Junior", IF(HR_Data[YearsAtCompany]&lt;=10, "Mid","Senior")))</f>
        <v>Senior</v>
      </c>
      <c r="AJ1301" s="2" t="str">
        <f>IF(HR_Data[MonthlyIncome]&lt;=300,"Low", IF(HR_Data[MonthlyIncome]&lt;=7000,"Medium", "High"))</f>
        <v>Medium</v>
      </c>
      <c r="AK1301" s="2" t="str">
        <f>VLOOKUP(HR_Data[JobRole], JobRole_Map[], 2, FALSE)</f>
        <v>Operations</v>
      </c>
    </row>
    <row r="1302" spans="1:37" x14ac:dyDescent="0.25">
      <c r="A1302" s="2">
        <v>50</v>
      </c>
      <c r="B1302" t="s">
        <v>41</v>
      </c>
      <c r="C1302" t="s">
        <v>33</v>
      </c>
      <c r="D1302" t="s">
        <v>34</v>
      </c>
      <c r="E1302">
        <v>17</v>
      </c>
      <c r="F1302" t="s">
        <v>58</v>
      </c>
      <c r="G1302">
        <v>2</v>
      </c>
      <c r="H1302">
        <v>3</v>
      </c>
      <c r="I1302" t="s">
        <v>49</v>
      </c>
      <c r="J1302">
        <v>1</v>
      </c>
      <c r="K1302" t="s">
        <v>55</v>
      </c>
      <c r="L1302">
        <v>13269</v>
      </c>
      <c r="M1302">
        <v>5</v>
      </c>
      <c r="N1302" t="s">
        <v>41</v>
      </c>
      <c r="O1302">
        <v>15</v>
      </c>
      <c r="P1302">
        <v>3</v>
      </c>
      <c r="Q1302">
        <v>3</v>
      </c>
      <c r="R1302">
        <v>19</v>
      </c>
      <c r="S1302">
        <v>3</v>
      </c>
      <c r="T1302">
        <v>14</v>
      </c>
      <c r="U1302">
        <v>1</v>
      </c>
      <c r="V1302">
        <v>11</v>
      </c>
      <c r="W1302" t="s">
        <v>38</v>
      </c>
      <c r="X1302" s="1" t="d">
        <v>2007-03-19</v>
      </c>
      <c r="Z1302" t="s">
        <v>59</v>
      </c>
      <c r="AA1302" t="s">
        <v>40</v>
      </c>
      <c r="AB1302">
        <v>0</v>
      </c>
      <c r="AC1302">
        <v>3</v>
      </c>
      <c r="AD1302" t="s">
        <v>41</v>
      </c>
      <c r="AE1302" t="s">
        <v>42</v>
      </c>
      <c r="AF1302" t="s">
        <v>48</v>
      </c>
      <c r="AG1302">
        <f>IF(HR_Data[[#This Row],[Attrition]]="Yes",1,0)</f>
        <v>0</v>
      </c>
      <c r="AH1302" t="str">
        <f>IF(HR_Data[Date_of_termination]="","Active","Left")</f>
        <v>Active</v>
      </c>
      <c r="AI1302" t="str">
        <f>IF(HR_Data[YearsAtCompany]&lt;=2,"Fresher", IF(HR_Data[YearsAtCompany]&lt;=5,"Junior", IF(HR_Data[YearsAtCompany]&lt;=10, "Mid","Senior")))</f>
        <v>Senior</v>
      </c>
      <c r="AJ1302" s="2" t="str">
        <f>IF(HR_Data[MonthlyIncome]&lt;=300,"Low", IF(HR_Data[MonthlyIncome]&lt;=7000,"Medium", "High"))</f>
        <v>High</v>
      </c>
      <c r="AK1302" s="2" t="str">
        <f>VLOOKUP(HR_Data[JobRole], JobRole_Map[], 2, FALSE)</f>
        <v>Management</v>
      </c>
    </row>
    <row r="1303" spans="1:37" x14ac:dyDescent="0.25">
      <c r="A1303" s="2">
        <v>43</v>
      </c>
      <c r="B1303" t="s">
        <v>41</v>
      </c>
      <c r="C1303" t="s">
        <v>33</v>
      </c>
      <c r="D1303" t="s">
        <v>34</v>
      </c>
      <c r="E1303">
        <v>15</v>
      </c>
      <c r="F1303" t="s">
        <v>35</v>
      </c>
      <c r="G1303">
        <v>2</v>
      </c>
      <c r="H1303">
        <v>4</v>
      </c>
      <c r="I1303" t="s">
        <v>49</v>
      </c>
      <c r="J1303">
        <v>3</v>
      </c>
      <c r="K1303" t="s">
        <v>50</v>
      </c>
      <c r="L1303">
        <v>17603</v>
      </c>
      <c r="M1303">
        <v>1</v>
      </c>
      <c r="N1303" t="s">
        <v>41</v>
      </c>
      <c r="O1303">
        <v>24</v>
      </c>
      <c r="P1303">
        <v>4</v>
      </c>
      <c r="Q1303">
        <v>1</v>
      </c>
      <c r="R1303">
        <v>14</v>
      </c>
      <c r="S1303">
        <v>3</v>
      </c>
      <c r="T1303">
        <v>14</v>
      </c>
      <c r="U1303">
        <v>6</v>
      </c>
      <c r="V1303">
        <v>11</v>
      </c>
      <c r="W1303" t="s">
        <v>65</v>
      </c>
      <c r="X1303" s="1" t="d">
        <v>2007-03-11</v>
      </c>
      <c r="Z1303" t="s">
        <v>52</v>
      </c>
      <c r="AA1303" t="s">
        <v>46</v>
      </c>
      <c r="AB1303">
        <v>5</v>
      </c>
      <c r="AC1303">
        <v>3</v>
      </c>
      <c r="AD1303" t="s">
        <v>41</v>
      </c>
      <c r="AE1303" t="s">
        <v>62</v>
      </c>
      <c r="AF1303" t="s">
        <v>57</v>
      </c>
      <c r="AG1303">
        <f>IF(HR_Data[[#This Row],[Attrition]]="Yes",1,0)</f>
        <v>0</v>
      </c>
      <c r="AH1303" t="str">
        <f>IF(HR_Data[Date_of_termination]="","Active","Left")</f>
        <v>Active</v>
      </c>
      <c r="AI1303" t="str">
        <f>IF(HR_Data[YearsAtCompany]&lt;=2,"Fresher", IF(HR_Data[YearsAtCompany]&lt;=5,"Junior", IF(HR_Data[YearsAtCompany]&lt;=10, "Mid","Senior")))</f>
        <v>Senior</v>
      </c>
      <c r="AJ1303" s="2" t="str">
        <f>IF(HR_Data[MonthlyIncome]&lt;=300,"Low", IF(HR_Data[MonthlyIncome]&lt;=7000,"Medium", "High"))</f>
        <v>High</v>
      </c>
      <c r="AK1303" s="2" t="str">
        <f>VLOOKUP(HR_Data[JobRole], JobRole_Map[], 2, FALSE)</f>
        <v>Management</v>
      </c>
    </row>
    <row r="1304" spans="1:37" x14ac:dyDescent="0.25">
      <c r="A1304" s="2">
        <v>33</v>
      </c>
      <c r="B1304" t="s">
        <v>41</v>
      </c>
      <c r="C1304" t="s">
        <v>33</v>
      </c>
      <c r="D1304" t="s">
        <v>34</v>
      </c>
      <c r="E1304">
        <v>21</v>
      </c>
      <c r="F1304" t="s">
        <v>35</v>
      </c>
      <c r="G1304">
        <v>4</v>
      </c>
      <c r="H1304">
        <v>1</v>
      </c>
      <c r="I1304" t="s">
        <v>36</v>
      </c>
      <c r="J1304">
        <v>2</v>
      </c>
      <c r="K1304" t="s">
        <v>50</v>
      </c>
      <c r="L1304">
        <v>2028</v>
      </c>
      <c r="M1304">
        <v>1</v>
      </c>
      <c r="N1304" t="s">
        <v>41</v>
      </c>
      <c r="O1304">
        <v>18</v>
      </c>
      <c r="P1304">
        <v>3</v>
      </c>
      <c r="Q1304">
        <v>3</v>
      </c>
      <c r="R1304">
        <v>14</v>
      </c>
      <c r="S1304">
        <v>6</v>
      </c>
      <c r="T1304">
        <v>14</v>
      </c>
      <c r="U1304">
        <v>2</v>
      </c>
      <c r="V1304">
        <v>13</v>
      </c>
      <c r="W1304" t="s">
        <v>56</v>
      </c>
      <c r="X1304" s="1" t="d">
        <v>2007-02-05</v>
      </c>
      <c r="Z1304" t="s">
        <v>63</v>
      </c>
      <c r="AA1304" t="s">
        <v>40</v>
      </c>
      <c r="AB1304">
        <v>3</v>
      </c>
      <c r="AC1304">
        <v>0</v>
      </c>
      <c r="AD1304" t="s">
        <v>41</v>
      </c>
      <c r="AE1304" t="s">
        <v>47</v>
      </c>
      <c r="AF1304" t="s">
        <v>57</v>
      </c>
      <c r="AG1304">
        <f>IF(HR_Data[[#This Row],[Attrition]]="Yes",1,0)</f>
        <v>0</v>
      </c>
      <c r="AH1304" t="str">
        <f>IF(HR_Data[Date_of_termination]="","Active","Left")</f>
        <v>Active</v>
      </c>
      <c r="AI1304" t="str">
        <f>IF(HR_Data[YearsAtCompany]&lt;=2,"Fresher", IF(HR_Data[YearsAtCompany]&lt;=5,"Junior", IF(HR_Data[YearsAtCompany]&lt;=10, "Mid","Senior")))</f>
        <v>Senior</v>
      </c>
      <c r="AJ1304" s="2" t="str">
        <f>IF(HR_Data[MonthlyIncome]&lt;=300,"Low", IF(HR_Data[MonthlyIncome]&lt;=7000,"Medium", "High"))</f>
        <v>Medium</v>
      </c>
      <c r="AK1304" s="2" t="str">
        <f>VLOOKUP(HR_Data[JobRole], JobRole_Map[], 2, FALSE)</f>
        <v>Technical</v>
      </c>
    </row>
    <row r="1305" spans="1:37" x14ac:dyDescent="0.25">
      <c r="A1305" s="2">
        <v>34</v>
      </c>
      <c r="B1305" t="s">
        <v>41</v>
      </c>
      <c r="C1305" t="s">
        <v>33</v>
      </c>
      <c r="D1305" t="s">
        <v>53</v>
      </c>
      <c r="E1305">
        <v>1</v>
      </c>
      <c r="F1305" t="s">
        <v>35</v>
      </c>
      <c r="G1305">
        <v>3</v>
      </c>
      <c r="H1305">
        <v>3</v>
      </c>
      <c r="I1305" t="s">
        <v>64</v>
      </c>
      <c r="J1305">
        <v>4</v>
      </c>
      <c r="K1305" t="s">
        <v>37</v>
      </c>
      <c r="L1305">
        <v>9888</v>
      </c>
      <c r="M1305">
        <v>1</v>
      </c>
      <c r="N1305" t="s">
        <v>41</v>
      </c>
      <c r="O1305">
        <v>21</v>
      </c>
      <c r="P1305">
        <v>4</v>
      </c>
      <c r="Q1305">
        <v>0</v>
      </c>
      <c r="R1305">
        <v>14</v>
      </c>
      <c r="S1305">
        <v>3</v>
      </c>
      <c r="T1305">
        <v>14</v>
      </c>
      <c r="U1305">
        <v>2</v>
      </c>
      <c r="V1305">
        <v>1</v>
      </c>
      <c r="W1305" t="s">
        <v>65</v>
      </c>
      <c r="X1305" s="1" t="d">
        <v>2007-04-18</v>
      </c>
      <c r="Z1305" t="s">
        <v>63</v>
      </c>
      <c r="AA1305" t="s">
        <v>40</v>
      </c>
      <c r="AB1305">
        <v>1</v>
      </c>
      <c r="AC1305">
        <v>3</v>
      </c>
      <c r="AD1305" t="s">
        <v>41</v>
      </c>
      <c r="AE1305" t="s">
        <v>42</v>
      </c>
      <c r="AF1305" t="s">
        <v>57</v>
      </c>
      <c r="AG1305">
        <f>IF(HR_Data[[#This Row],[Attrition]]="Yes",1,0)</f>
        <v>0</v>
      </c>
      <c r="AH1305" t="str">
        <f>IF(HR_Data[Date_of_termination]="","Active","Left")</f>
        <v>Active</v>
      </c>
      <c r="AI1305" t="str">
        <f>IF(HR_Data[YearsAtCompany]&lt;=2,"Fresher", IF(HR_Data[YearsAtCompany]&lt;=5,"Junior", IF(HR_Data[YearsAtCompany]&lt;=10, "Mid","Senior")))</f>
        <v>Senior</v>
      </c>
      <c r="AJ1305" s="2" t="str">
        <f>IF(HR_Data[MonthlyIncome]&lt;=300,"Low", IF(HR_Data[MonthlyIncome]&lt;=7000,"Medium", "High"))</f>
        <v>High</v>
      </c>
      <c r="AK1305" s="2" t="str">
        <f>VLOOKUP(HR_Data[JobRole], JobRole_Map[], 2, FALSE)</f>
        <v>Sales</v>
      </c>
    </row>
    <row r="1306" spans="1:37" x14ac:dyDescent="0.25">
      <c r="A1306" s="2">
        <v>32</v>
      </c>
      <c r="B1306" t="s">
        <v>41</v>
      </c>
      <c r="C1306" t="s">
        <v>33</v>
      </c>
      <c r="D1306" t="s">
        <v>53</v>
      </c>
      <c r="E1306">
        <v>1</v>
      </c>
      <c r="F1306" t="s">
        <v>58</v>
      </c>
      <c r="G1306">
        <v>3</v>
      </c>
      <c r="H1306">
        <v>3</v>
      </c>
      <c r="I1306" t="s">
        <v>64</v>
      </c>
      <c r="J1306">
        <v>4</v>
      </c>
      <c r="K1306" t="s">
        <v>50</v>
      </c>
      <c r="L1306">
        <v>10422</v>
      </c>
      <c r="M1306">
        <v>1</v>
      </c>
      <c r="N1306" t="s">
        <v>41</v>
      </c>
      <c r="O1306">
        <v>19</v>
      </c>
      <c r="P1306">
        <v>3</v>
      </c>
      <c r="Q1306">
        <v>2</v>
      </c>
      <c r="R1306">
        <v>14</v>
      </c>
      <c r="S1306">
        <v>3</v>
      </c>
      <c r="T1306">
        <v>14</v>
      </c>
      <c r="U1306">
        <v>5</v>
      </c>
      <c r="V1306">
        <v>7</v>
      </c>
      <c r="W1306" t="s">
        <v>51</v>
      </c>
      <c r="X1306" s="1" t="d">
        <v>2007-04-19</v>
      </c>
      <c r="Z1306" t="s">
        <v>52</v>
      </c>
      <c r="AA1306" t="s">
        <v>46</v>
      </c>
      <c r="AB1306">
        <v>0</v>
      </c>
      <c r="AC1306">
        <v>2</v>
      </c>
      <c r="AD1306" t="s">
        <v>41</v>
      </c>
      <c r="AE1306" t="s">
        <v>62</v>
      </c>
      <c r="AF1306" t="s">
        <v>43</v>
      </c>
      <c r="AG1306">
        <f>IF(HR_Data[[#This Row],[Attrition]]="Yes",1,0)</f>
        <v>0</v>
      </c>
      <c r="AH1306" t="str">
        <f>IF(HR_Data[Date_of_termination]="","Active","Left")</f>
        <v>Active</v>
      </c>
      <c r="AI1306" t="str">
        <f>IF(HR_Data[YearsAtCompany]&lt;=2,"Fresher", IF(HR_Data[YearsAtCompany]&lt;=5,"Junior", IF(HR_Data[YearsAtCompany]&lt;=10, "Mid","Senior")))</f>
        <v>Senior</v>
      </c>
      <c r="AJ1306" s="2" t="str">
        <f>IF(HR_Data[MonthlyIncome]&lt;=300,"Low", IF(HR_Data[MonthlyIncome]&lt;=7000,"Medium", "High"))</f>
        <v>High</v>
      </c>
      <c r="AK1306" s="2" t="str">
        <f>VLOOKUP(HR_Data[JobRole], JobRole_Map[], 2, FALSE)</f>
        <v>Sales</v>
      </c>
    </row>
    <row r="1307" spans="1:37" x14ac:dyDescent="0.25">
      <c r="A1307" s="2">
        <v>33</v>
      </c>
      <c r="B1307" t="s">
        <v>41</v>
      </c>
      <c r="C1307" t="s">
        <v>61</v>
      </c>
      <c r="D1307" t="s">
        <v>34</v>
      </c>
      <c r="E1307">
        <v>1</v>
      </c>
      <c r="F1307" t="s">
        <v>58</v>
      </c>
      <c r="G1307">
        <v>3</v>
      </c>
      <c r="H1307">
        <v>3</v>
      </c>
      <c r="I1307" t="s">
        <v>49</v>
      </c>
      <c r="J1307">
        <v>4</v>
      </c>
      <c r="K1307" t="s">
        <v>37</v>
      </c>
      <c r="L1307">
        <v>13458</v>
      </c>
      <c r="M1307">
        <v>1</v>
      </c>
      <c r="N1307" t="s">
        <v>32</v>
      </c>
      <c r="O1307">
        <v>12</v>
      </c>
      <c r="P1307">
        <v>3</v>
      </c>
      <c r="Q1307">
        <v>0</v>
      </c>
      <c r="R1307">
        <v>15</v>
      </c>
      <c r="S1307">
        <v>1</v>
      </c>
      <c r="T1307">
        <v>15</v>
      </c>
      <c r="U1307">
        <v>8</v>
      </c>
      <c r="V1307">
        <v>12</v>
      </c>
      <c r="W1307" t="s">
        <v>38</v>
      </c>
      <c r="X1307" s="1" t="d">
        <v>2006-05-31</v>
      </c>
      <c r="Z1307" t="s">
        <v>59</v>
      </c>
      <c r="AA1307" t="s">
        <v>40</v>
      </c>
      <c r="AB1307">
        <v>0</v>
      </c>
      <c r="AC1307">
        <v>3</v>
      </c>
      <c r="AD1307" t="s">
        <v>32</v>
      </c>
      <c r="AE1307" t="s">
        <v>47</v>
      </c>
      <c r="AF1307" t="s">
        <v>48</v>
      </c>
      <c r="AG1307">
        <f>IF(HR_Data[[#This Row],[Attrition]]="Yes",1,0)</f>
        <v>0</v>
      </c>
      <c r="AH1307" t="str">
        <f>IF(HR_Data[Date_of_termination]="","Active","Left")</f>
        <v>Active</v>
      </c>
      <c r="AI1307" t="str">
        <f>IF(HR_Data[YearsAtCompany]&lt;=2,"Fresher", IF(HR_Data[YearsAtCompany]&lt;=5,"Junior", IF(HR_Data[YearsAtCompany]&lt;=10, "Mid","Senior")))</f>
        <v>Senior</v>
      </c>
      <c r="AJ1307" s="2" t="str">
        <f>IF(HR_Data[MonthlyIncome]&lt;=300,"Low", IF(HR_Data[MonthlyIncome]&lt;=7000,"Medium", "High"))</f>
        <v>High</v>
      </c>
      <c r="AK1307" s="2" t="str">
        <f>VLOOKUP(HR_Data[JobRole], JobRole_Map[], 2, FALSE)</f>
        <v>Management</v>
      </c>
    </row>
    <row r="1308" spans="1:37" x14ac:dyDescent="0.25">
      <c r="A1308" s="2">
        <v>35</v>
      </c>
      <c r="B1308" t="s">
        <v>41</v>
      </c>
      <c r="C1308" t="s">
        <v>33</v>
      </c>
      <c r="D1308" t="s">
        <v>53</v>
      </c>
      <c r="E1308">
        <v>1</v>
      </c>
      <c r="F1308" t="s">
        <v>35</v>
      </c>
      <c r="G1308">
        <v>2</v>
      </c>
      <c r="H1308">
        <v>2</v>
      </c>
      <c r="I1308" t="s">
        <v>64</v>
      </c>
      <c r="J1308">
        <v>1</v>
      </c>
      <c r="K1308" t="s">
        <v>37</v>
      </c>
      <c r="L1308">
        <v>4312</v>
      </c>
      <c r="M1308">
        <v>0</v>
      </c>
      <c r="N1308" t="s">
        <v>41</v>
      </c>
      <c r="O1308">
        <v>14</v>
      </c>
      <c r="P1308">
        <v>3</v>
      </c>
      <c r="Q1308">
        <v>0</v>
      </c>
      <c r="R1308">
        <v>16</v>
      </c>
      <c r="S1308">
        <v>2</v>
      </c>
      <c r="T1308">
        <v>15</v>
      </c>
      <c r="U1308">
        <v>2</v>
      </c>
      <c r="V1308">
        <v>8</v>
      </c>
      <c r="W1308" t="s">
        <v>65</v>
      </c>
      <c r="X1308" s="1" t="d">
        <v>2006-06-25</v>
      </c>
      <c r="Z1308" t="s">
        <v>59</v>
      </c>
      <c r="AA1308" t="s">
        <v>40</v>
      </c>
      <c r="AB1308">
        <v>5</v>
      </c>
      <c r="AC1308">
        <v>2</v>
      </c>
      <c r="AD1308" t="s">
        <v>41</v>
      </c>
      <c r="AE1308" t="s">
        <v>47</v>
      </c>
      <c r="AF1308" t="s">
        <v>57</v>
      </c>
      <c r="AG1308">
        <f>IF(HR_Data[[#This Row],[Attrition]]="Yes",1,0)</f>
        <v>0</v>
      </c>
      <c r="AH1308" t="str">
        <f>IF(HR_Data[Date_of_termination]="","Active","Left")</f>
        <v>Active</v>
      </c>
      <c r="AI1308" t="str">
        <f>IF(HR_Data[YearsAtCompany]&lt;=2,"Fresher", IF(HR_Data[YearsAtCompany]&lt;=5,"Junior", IF(HR_Data[YearsAtCompany]&lt;=10, "Mid","Senior")))</f>
        <v>Senior</v>
      </c>
      <c r="AJ1308" s="2" t="str">
        <f>IF(HR_Data[MonthlyIncome]&lt;=300,"Low", IF(HR_Data[MonthlyIncome]&lt;=7000,"Medium", "High"))</f>
        <v>Medium</v>
      </c>
      <c r="AK1308" s="2" t="str">
        <f>VLOOKUP(HR_Data[JobRole], JobRole_Map[], 2, FALSE)</f>
        <v>Sales</v>
      </c>
    </row>
    <row r="1309" spans="1:37" x14ac:dyDescent="0.25">
      <c r="A1309" s="2">
        <v>49</v>
      </c>
      <c r="B1309" t="s">
        <v>41</v>
      </c>
      <c r="C1309" t="s">
        <v>33</v>
      </c>
      <c r="D1309" t="s">
        <v>34</v>
      </c>
      <c r="E1309">
        <v>20</v>
      </c>
      <c r="F1309" t="s">
        <v>58</v>
      </c>
      <c r="G1309">
        <v>3</v>
      </c>
      <c r="H1309">
        <v>2</v>
      </c>
      <c r="I1309" t="s">
        <v>67</v>
      </c>
      <c r="J1309">
        <v>1</v>
      </c>
      <c r="K1309" t="s">
        <v>50</v>
      </c>
      <c r="L1309">
        <v>6567</v>
      </c>
      <c r="M1309">
        <v>1</v>
      </c>
      <c r="N1309" t="s">
        <v>41</v>
      </c>
      <c r="O1309">
        <v>14</v>
      </c>
      <c r="P1309">
        <v>3</v>
      </c>
      <c r="Q1309">
        <v>0</v>
      </c>
      <c r="R1309">
        <v>16</v>
      </c>
      <c r="S1309">
        <v>2</v>
      </c>
      <c r="T1309">
        <v>15</v>
      </c>
      <c r="U1309">
        <v>5</v>
      </c>
      <c r="V1309">
        <v>11</v>
      </c>
      <c r="W1309" t="s">
        <v>65</v>
      </c>
      <c r="X1309" s="1" t="d">
        <v>2006-03-11</v>
      </c>
      <c r="Z1309" t="s">
        <v>59</v>
      </c>
      <c r="AA1309" t="s">
        <v>46</v>
      </c>
      <c r="AB1309">
        <v>2</v>
      </c>
      <c r="AC1309">
        <v>1</v>
      </c>
      <c r="AD1309" t="s">
        <v>32</v>
      </c>
      <c r="AE1309" t="s">
        <v>60</v>
      </c>
      <c r="AF1309" t="s">
        <v>57</v>
      </c>
      <c r="AG1309">
        <f>IF(HR_Data[[#This Row],[Attrition]]="Yes",1,0)</f>
        <v>0</v>
      </c>
      <c r="AH1309" t="str">
        <f>IF(HR_Data[Date_of_termination]="","Active","Left")</f>
        <v>Active</v>
      </c>
      <c r="AI1309" t="str">
        <f>IF(HR_Data[YearsAtCompany]&lt;=2,"Fresher", IF(HR_Data[YearsAtCompany]&lt;=5,"Junior", IF(HR_Data[YearsAtCompany]&lt;=10, "Mid","Senior")))</f>
        <v>Senior</v>
      </c>
      <c r="AJ1309" s="2" t="str">
        <f>IF(HR_Data[MonthlyIncome]&lt;=300,"Low", IF(HR_Data[MonthlyIncome]&lt;=7000,"Medium", "High"))</f>
        <v>Medium</v>
      </c>
      <c r="AK1309" s="2" t="str">
        <f>VLOOKUP(HR_Data[JobRole], JobRole_Map[], 2, FALSE)</f>
        <v>Operations</v>
      </c>
    </row>
    <row r="1310" spans="1:37" x14ac:dyDescent="0.25">
      <c r="A1310" s="2">
        <v>39</v>
      </c>
      <c r="B1310" t="s">
        <v>41</v>
      </c>
      <c r="C1310" t="s">
        <v>33</v>
      </c>
      <c r="D1310" t="s">
        <v>53</v>
      </c>
      <c r="E1310">
        <v>4</v>
      </c>
      <c r="F1310" t="s">
        <v>58</v>
      </c>
      <c r="G1310">
        <v>2</v>
      </c>
      <c r="H1310">
        <v>2</v>
      </c>
      <c r="I1310" t="s">
        <v>64</v>
      </c>
      <c r="J1310">
        <v>3</v>
      </c>
      <c r="K1310" t="s">
        <v>50</v>
      </c>
      <c r="L1310">
        <v>5902</v>
      </c>
      <c r="M1310">
        <v>4</v>
      </c>
      <c r="N1310" t="s">
        <v>41</v>
      </c>
      <c r="O1310">
        <v>14</v>
      </c>
      <c r="P1310">
        <v>3</v>
      </c>
      <c r="Q1310">
        <v>1</v>
      </c>
      <c r="R1310">
        <v>17</v>
      </c>
      <c r="S1310">
        <v>1</v>
      </c>
      <c r="T1310">
        <v>15</v>
      </c>
      <c r="U1310">
        <v>5</v>
      </c>
      <c r="V1310">
        <v>9</v>
      </c>
      <c r="W1310" t="s">
        <v>51</v>
      </c>
      <c r="X1310" s="1" t="d">
        <v>2006-05-17</v>
      </c>
      <c r="Z1310" t="s">
        <v>63</v>
      </c>
      <c r="AA1310" t="s">
        <v>40</v>
      </c>
      <c r="AB1310">
        <v>4</v>
      </c>
      <c r="AC1310">
        <v>2</v>
      </c>
      <c r="AD1310" t="s">
        <v>32</v>
      </c>
      <c r="AE1310" t="s">
        <v>42</v>
      </c>
      <c r="AF1310" t="s">
        <v>43</v>
      </c>
      <c r="AG1310">
        <f>IF(HR_Data[[#This Row],[Attrition]]="Yes",1,0)</f>
        <v>0</v>
      </c>
      <c r="AH1310" t="str">
        <f>IF(HR_Data[Date_of_termination]="","Active","Left")</f>
        <v>Active</v>
      </c>
      <c r="AI1310" t="str">
        <f>IF(HR_Data[YearsAtCompany]&lt;=2,"Fresher", IF(HR_Data[YearsAtCompany]&lt;=5,"Junior", IF(HR_Data[YearsAtCompany]&lt;=10, "Mid","Senior")))</f>
        <v>Senior</v>
      </c>
      <c r="AJ1310" s="2" t="str">
        <f>IF(HR_Data[MonthlyIncome]&lt;=300,"Low", IF(HR_Data[MonthlyIncome]&lt;=7000,"Medium", "High"))</f>
        <v>Medium</v>
      </c>
      <c r="AK1310" s="2" t="str">
        <f>VLOOKUP(HR_Data[JobRole], JobRole_Map[], 2, FALSE)</f>
        <v>Sales</v>
      </c>
    </row>
    <row r="1311" spans="1:37" x14ac:dyDescent="0.25">
      <c r="A1311" s="2">
        <v>36</v>
      </c>
      <c r="B1311" t="s">
        <v>41</v>
      </c>
      <c r="C1311" t="s">
        <v>33</v>
      </c>
      <c r="D1311" t="s">
        <v>34</v>
      </c>
      <c r="E1311">
        <v>6</v>
      </c>
      <c r="F1311" t="s">
        <v>35</v>
      </c>
      <c r="G1311">
        <v>3</v>
      </c>
      <c r="H1311">
        <v>1</v>
      </c>
      <c r="I1311" t="s">
        <v>36</v>
      </c>
      <c r="J1311">
        <v>4</v>
      </c>
      <c r="K1311" t="s">
        <v>50</v>
      </c>
      <c r="L1311">
        <v>3210</v>
      </c>
      <c r="M1311">
        <v>0</v>
      </c>
      <c r="N1311" t="s">
        <v>41</v>
      </c>
      <c r="O1311">
        <v>11</v>
      </c>
      <c r="P1311">
        <v>3</v>
      </c>
      <c r="Q1311">
        <v>1</v>
      </c>
      <c r="R1311">
        <v>16</v>
      </c>
      <c r="S1311">
        <v>4</v>
      </c>
      <c r="T1311">
        <v>15</v>
      </c>
      <c r="U1311">
        <v>10</v>
      </c>
      <c r="V1311">
        <v>11</v>
      </c>
      <c r="W1311" t="s">
        <v>38</v>
      </c>
      <c r="X1311" s="1" t="d">
        <v>2006-02-04</v>
      </c>
      <c r="Z1311" t="s">
        <v>52</v>
      </c>
      <c r="AA1311" t="s">
        <v>40</v>
      </c>
      <c r="AB1311">
        <v>4</v>
      </c>
      <c r="AC1311">
        <v>3</v>
      </c>
      <c r="AD1311" t="s">
        <v>41</v>
      </c>
      <c r="AE1311" t="s">
        <v>42</v>
      </c>
      <c r="AF1311" t="s">
        <v>48</v>
      </c>
      <c r="AG1311">
        <f>IF(HR_Data[[#This Row],[Attrition]]="Yes",1,0)</f>
        <v>0</v>
      </c>
      <c r="AH1311" t="str">
        <f>IF(HR_Data[Date_of_termination]="","Active","Left")</f>
        <v>Active</v>
      </c>
      <c r="AI1311" t="str">
        <f>IF(HR_Data[YearsAtCompany]&lt;=2,"Fresher", IF(HR_Data[YearsAtCompany]&lt;=5,"Junior", IF(HR_Data[YearsAtCompany]&lt;=10, "Mid","Senior")))</f>
        <v>Senior</v>
      </c>
      <c r="AJ1311" s="2" t="str">
        <f>IF(HR_Data[MonthlyIncome]&lt;=300,"Low", IF(HR_Data[MonthlyIncome]&lt;=7000,"Medium", "High"))</f>
        <v>Medium</v>
      </c>
      <c r="AK1311" s="2" t="str">
        <f>VLOOKUP(HR_Data[JobRole], JobRole_Map[], 2, FALSE)</f>
        <v>Technical</v>
      </c>
    </row>
    <row r="1312" spans="1:37" x14ac:dyDescent="0.25">
      <c r="A1312" s="2">
        <v>38</v>
      </c>
      <c r="B1312" t="s">
        <v>41</v>
      </c>
      <c r="C1312" t="s">
        <v>61</v>
      </c>
      <c r="D1312" t="s">
        <v>34</v>
      </c>
      <c r="E1312">
        <v>2</v>
      </c>
      <c r="F1312" t="s">
        <v>58</v>
      </c>
      <c r="G1312">
        <v>4</v>
      </c>
      <c r="H1312">
        <v>2</v>
      </c>
      <c r="I1312" t="s">
        <v>67</v>
      </c>
      <c r="J1312">
        <v>1</v>
      </c>
      <c r="K1312" t="s">
        <v>37</v>
      </c>
      <c r="L1312">
        <v>5980</v>
      </c>
      <c r="M1312">
        <v>6</v>
      </c>
      <c r="N1312" t="s">
        <v>32</v>
      </c>
      <c r="O1312">
        <v>12</v>
      </c>
      <c r="P1312">
        <v>3</v>
      </c>
      <c r="Q1312">
        <v>0</v>
      </c>
      <c r="R1312">
        <v>17</v>
      </c>
      <c r="S1312">
        <v>2</v>
      </c>
      <c r="T1312">
        <v>15</v>
      </c>
      <c r="U1312">
        <v>4</v>
      </c>
      <c r="V1312">
        <v>12</v>
      </c>
      <c r="W1312" t="s">
        <v>65</v>
      </c>
      <c r="X1312" s="1" t="d">
        <v>2006-05-02</v>
      </c>
      <c r="Z1312" t="s">
        <v>52</v>
      </c>
      <c r="AA1312" t="s">
        <v>46</v>
      </c>
      <c r="AB1312">
        <v>4</v>
      </c>
      <c r="AC1312">
        <v>1</v>
      </c>
      <c r="AD1312" t="s">
        <v>32</v>
      </c>
      <c r="AE1312" t="s">
        <v>47</v>
      </c>
      <c r="AF1312" t="s">
        <v>57</v>
      </c>
      <c r="AG1312">
        <f>IF(HR_Data[[#This Row],[Attrition]]="Yes",1,0)</f>
        <v>0</v>
      </c>
      <c r="AH1312" t="str">
        <f>IF(HR_Data[Date_of_termination]="","Active","Left")</f>
        <v>Active</v>
      </c>
      <c r="AI1312" t="str">
        <f>IF(HR_Data[YearsAtCompany]&lt;=2,"Fresher", IF(HR_Data[YearsAtCompany]&lt;=5,"Junior", IF(HR_Data[YearsAtCompany]&lt;=10, "Mid","Senior")))</f>
        <v>Senior</v>
      </c>
      <c r="AJ1312" s="2" t="str">
        <f>IF(HR_Data[MonthlyIncome]&lt;=300,"Low", IF(HR_Data[MonthlyIncome]&lt;=7000,"Medium", "High"))</f>
        <v>Medium</v>
      </c>
      <c r="AK1312" s="2" t="str">
        <f>VLOOKUP(HR_Data[JobRole], JobRole_Map[], 2, FALSE)</f>
        <v>Operations</v>
      </c>
    </row>
    <row r="1313" spans="1:37" x14ac:dyDescent="0.25">
      <c r="A1313" s="2">
        <v>38</v>
      </c>
      <c r="B1313" t="s">
        <v>41</v>
      </c>
      <c r="C1313" t="s">
        <v>33</v>
      </c>
      <c r="D1313" t="s">
        <v>34</v>
      </c>
      <c r="E1313">
        <v>1</v>
      </c>
      <c r="F1313" t="s">
        <v>58</v>
      </c>
      <c r="G1313">
        <v>3</v>
      </c>
      <c r="H1313">
        <v>3</v>
      </c>
      <c r="I1313" t="s">
        <v>49</v>
      </c>
      <c r="J1313">
        <v>1</v>
      </c>
      <c r="K1313" t="s">
        <v>50</v>
      </c>
      <c r="L1313">
        <v>13582</v>
      </c>
      <c r="M1313">
        <v>1</v>
      </c>
      <c r="N1313" t="s">
        <v>41</v>
      </c>
      <c r="O1313">
        <v>13</v>
      </c>
      <c r="P1313">
        <v>3</v>
      </c>
      <c r="Q1313">
        <v>1</v>
      </c>
      <c r="R1313">
        <v>15</v>
      </c>
      <c r="S1313">
        <v>3</v>
      </c>
      <c r="T1313">
        <v>15</v>
      </c>
      <c r="U1313">
        <v>5</v>
      </c>
      <c r="V1313">
        <v>11</v>
      </c>
      <c r="W1313" t="s">
        <v>38</v>
      </c>
      <c r="X1313" s="1" t="d">
        <v>2006-05-23</v>
      </c>
      <c r="Z1313" t="s">
        <v>59</v>
      </c>
      <c r="AA1313" t="s">
        <v>40</v>
      </c>
      <c r="AB1313">
        <v>2</v>
      </c>
      <c r="AC1313">
        <v>3</v>
      </c>
      <c r="AD1313" t="s">
        <v>32</v>
      </c>
      <c r="AE1313" t="s">
        <v>62</v>
      </c>
      <c r="AF1313" t="s">
        <v>57</v>
      </c>
      <c r="AG1313">
        <f>IF(HR_Data[[#This Row],[Attrition]]="Yes",1,0)</f>
        <v>0</v>
      </c>
      <c r="AH1313" t="str">
        <f>IF(HR_Data[Date_of_termination]="","Active","Left")</f>
        <v>Active</v>
      </c>
      <c r="AI1313" t="str">
        <f>IF(HR_Data[YearsAtCompany]&lt;=2,"Fresher", IF(HR_Data[YearsAtCompany]&lt;=5,"Junior", IF(HR_Data[YearsAtCompany]&lt;=10, "Mid","Senior")))</f>
        <v>Senior</v>
      </c>
      <c r="AJ1313" s="2" t="str">
        <f>IF(HR_Data[MonthlyIncome]&lt;=300,"Low", IF(HR_Data[MonthlyIncome]&lt;=7000,"Medium", "High"))</f>
        <v>High</v>
      </c>
      <c r="AK1313" s="2" t="str">
        <f>VLOOKUP(HR_Data[JobRole], JobRole_Map[], 2, FALSE)</f>
        <v>Management</v>
      </c>
    </row>
    <row r="1314" spans="1:37" x14ac:dyDescent="0.25">
      <c r="A1314" s="2">
        <v>48</v>
      </c>
      <c r="B1314" t="s">
        <v>41</v>
      </c>
      <c r="C1314" t="s">
        <v>33</v>
      </c>
      <c r="D1314" t="s">
        <v>34</v>
      </c>
      <c r="E1314">
        <v>4</v>
      </c>
      <c r="F1314" t="s">
        <v>35</v>
      </c>
      <c r="G1314">
        <v>2</v>
      </c>
      <c r="H1314">
        <v>3</v>
      </c>
      <c r="I1314" t="s">
        <v>69</v>
      </c>
      <c r="J1314">
        <v>3</v>
      </c>
      <c r="K1314" t="s">
        <v>37</v>
      </c>
      <c r="L1314">
        <v>10999</v>
      </c>
      <c r="M1314">
        <v>7</v>
      </c>
      <c r="N1314" t="s">
        <v>41</v>
      </c>
      <c r="O1314">
        <v>14</v>
      </c>
      <c r="P1314">
        <v>3</v>
      </c>
      <c r="Q1314">
        <v>0</v>
      </c>
      <c r="R1314">
        <v>27</v>
      </c>
      <c r="S1314">
        <v>3</v>
      </c>
      <c r="T1314">
        <v>15</v>
      </c>
      <c r="U1314">
        <v>4</v>
      </c>
      <c r="V1314">
        <v>8</v>
      </c>
      <c r="W1314" t="s">
        <v>56</v>
      </c>
      <c r="X1314" s="1" t="d">
        <v>2006-04-30</v>
      </c>
      <c r="Z1314" t="s">
        <v>59</v>
      </c>
      <c r="AA1314" t="s">
        <v>46</v>
      </c>
      <c r="AB1314">
        <v>3</v>
      </c>
      <c r="AC1314">
        <v>1</v>
      </c>
      <c r="AD1314" t="s">
        <v>32</v>
      </c>
      <c r="AE1314" t="s">
        <v>60</v>
      </c>
      <c r="AF1314" t="s">
        <v>43</v>
      </c>
      <c r="AG1314">
        <f>IF(HR_Data[[#This Row],[Attrition]]="Yes",1,0)</f>
        <v>0</v>
      </c>
      <c r="AH1314" t="str">
        <f>IF(HR_Data[Date_of_termination]="","Active","Left")</f>
        <v>Active</v>
      </c>
      <c r="AI1314" t="str">
        <f>IF(HR_Data[YearsAtCompany]&lt;=2,"Fresher", IF(HR_Data[YearsAtCompany]&lt;=5,"Junior", IF(HR_Data[YearsAtCompany]&lt;=10, "Mid","Senior")))</f>
        <v>Senior</v>
      </c>
      <c r="AJ1314" s="2" t="str">
        <f>IF(HR_Data[MonthlyIncome]&lt;=300,"Low", IF(HR_Data[MonthlyIncome]&lt;=7000,"Medium", "High"))</f>
        <v>High</v>
      </c>
      <c r="AK1314" s="2" t="str">
        <f>VLOOKUP(HR_Data[JobRole], JobRole_Map[], 2, FALSE)</f>
        <v>Operations</v>
      </c>
    </row>
    <row r="1315" spans="1:37" x14ac:dyDescent="0.25">
      <c r="A1315" s="2">
        <v>34</v>
      </c>
      <c r="B1315" t="s">
        <v>41</v>
      </c>
      <c r="C1315" t="s">
        <v>33</v>
      </c>
      <c r="D1315" t="s">
        <v>53</v>
      </c>
      <c r="E1315">
        <v>1</v>
      </c>
      <c r="F1315" t="s">
        <v>35</v>
      </c>
      <c r="G1315">
        <v>4</v>
      </c>
      <c r="H1315">
        <v>2</v>
      </c>
      <c r="I1315" t="s">
        <v>64</v>
      </c>
      <c r="J1315">
        <v>4</v>
      </c>
      <c r="K1315" t="s">
        <v>55</v>
      </c>
      <c r="L1315">
        <v>9725</v>
      </c>
      <c r="M1315">
        <v>0</v>
      </c>
      <c r="N1315" t="s">
        <v>41</v>
      </c>
      <c r="O1315">
        <v>11</v>
      </c>
      <c r="P1315">
        <v>3</v>
      </c>
      <c r="Q1315">
        <v>1</v>
      </c>
      <c r="R1315">
        <v>16</v>
      </c>
      <c r="S1315">
        <v>2</v>
      </c>
      <c r="T1315">
        <v>15</v>
      </c>
      <c r="U1315">
        <v>0</v>
      </c>
      <c r="V1315">
        <v>9</v>
      </c>
      <c r="W1315" t="s">
        <v>51</v>
      </c>
      <c r="X1315" s="1" t="d">
        <v>2006-06-13</v>
      </c>
      <c r="Z1315" t="s">
        <v>52</v>
      </c>
      <c r="AA1315" t="s">
        <v>46</v>
      </c>
      <c r="AB1315">
        <v>0</v>
      </c>
      <c r="AC1315">
        <v>1</v>
      </c>
      <c r="AD1315" t="s">
        <v>32</v>
      </c>
      <c r="AE1315" t="s">
        <v>42</v>
      </c>
      <c r="AF1315" t="s">
        <v>48</v>
      </c>
      <c r="AG1315">
        <f>IF(HR_Data[[#This Row],[Attrition]]="Yes",1,0)</f>
        <v>0</v>
      </c>
      <c r="AH1315" t="str">
        <f>IF(HR_Data[Date_of_termination]="","Active","Left")</f>
        <v>Active</v>
      </c>
      <c r="AI1315" t="str">
        <f>IF(HR_Data[YearsAtCompany]&lt;=2,"Fresher", IF(HR_Data[YearsAtCompany]&lt;=5,"Junior", IF(HR_Data[YearsAtCompany]&lt;=10, "Mid","Senior")))</f>
        <v>Senior</v>
      </c>
      <c r="AJ1315" s="2" t="str">
        <f>IF(HR_Data[MonthlyIncome]&lt;=300,"Low", IF(HR_Data[MonthlyIncome]&lt;=7000,"Medium", "High"))</f>
        <v>High</v>
      </c>
      <c r="AK1315" s="2" t="str">
        <f>VLOOKUP(HR_Data[JobRole], JobRole_Map[], 2, FALSE)</f>
        <v>Sales</v>
      </c>
    </row>
    <row r="1316" spans="1:37" x14ac:dyDescent="0.25">
      <c r="A1316" s="2">
        <v>53</v>
      </c>
      <c r="B1316" t="s">
        <v>41</v>
      </c>
      <c r="C1316" t="s">
        <v>61</v>
      </c>
      <c r="D1316" t="s">
        <v>53</v>
      </c>
      <c r="E1316">
        <v>2</v>
      </c>
      <c r="F1316" t="s">
        <v>58</v>
      </c>
      <c r="G1316">
        <v>2</v>
      </c>
      <c r="H1316">
        <v>3</v>
      </c>
      <c r="I1316" t="s">
        <v>64</v>
      </c>
      <c r="J1316">
        <v>2</v>
      </c>
      <c r="K1316" t="s">
        <v>50</v>
      </c>
      <c r="L1316">
        <v>7525</v>
      </c>
      <c r="M1316">
        <v>2</v>
      </c>
      <c r="N1316" t="s">
        <v>41</v>
      </c>
      <c r="O1316">
        <v>12</v>
      </c>
      <c r="P1316">
        <v>3</v>
      </c>
      <c r="Q1316">
        <v>1</v>
      </c>
      <c r="R1316">
        <v>30</v>
      </c>
      <c r="S1316">
        <v>2</v>
      </c>
      <c r="T1316">
        <v>15</v>
      </c>
      <c r="U1316">
        <v>6</v>
      </c>
      <c r="V1316">
        <v>12</v>
      </c>
      <c r="W1316" t="s">
        <v>56</v>
      </c>
      <c r="X1316" s="1" t="d">
        <v>2006-03-28</v>
      </c>
      <c r="Z1316" t="s">
        <v>63</v>
      </c>
      <c r="AA1316" t="s">
        <v>46</v>
      </c>
      <c r="AB1316">
        <v>5</v>
      </c>
      <c r="AC1316">
        <v>2</v>
      </c>
      <c r="AD1316" t="s">
        <v>32</v>
      </c>
      <c r="AE1316" t="s">
        <v>62</v>
      </c>
      <c r="AF1316" t="s">
        <v>43</v>
      </c>
      <c r="AG1316">
        <f>IF(HR_Data[[#This Row],[Attrition]]="Yes",1,0)</f>
        <v>0</v>
      </c>
      <c r="AH1316" t="str">
        <f>IF(HR_Data[Date_of_termination]="","Active","Left")</f>
        <v>Active</v>
      </c>
      <c r="AI1316" t="str">
        <f>IF(HR_Data[YearsAtCompany]&lt;=2,"Fresher", IF(HR_Data[YearsAtCompany]&lt;=5,"Junior", IF(HR_Data[YearsAtCompany]&lt;=10, "Mid","Senior")))</f>
        <v>Senior</v>
      </c>
      <c r="AJ1316" s="2" t="str">
        <f>IF(HR_Data[MonthlyIncome]&lt;=300,"Low", IF(HR_Data[MonthlyIncome]&lt;=7000,"Medium", "High"))</f>
        <v>High</v>
      </c>
      <c r="AK1316" s="2" t="str">
        <f>VLOOKUP(HR_Data[JobRole], JobRole_Map[], 2, FALSE)</f>
        <v>Sales</v>
      </c>
    </row>
    <row r="1317" spans="1:37" x14ac:dyDescent="0.25">
      <c r="A1317" s="2">
        <v>45</v>
      </c>
      <c r="B1317" t="s">
        <v>41</v>
      </c>
      <c r="C1317" t="s">
        <v>68</v>
      </c>
      <c r="D1317" t="s">
        <v>53</v>
      </c>
      <c r="E1317">
        <v>9</v>
      </c>
      <c r="F1317" t="s">
        <v>58</v>
      </c>
      <c r="G1317">
        <v>2</v>
      </c>
      <c r="H1317">
        <v>2</v>
      </c>
      <c r="I1317" t="s">
        <v>64</v>
      </c>
      <c r="J1317">
        <v>3</v>
      </c>
      <c r="K1317" t="s">
        <v>50</v>
      </c>
      <c r="L1317">
        <v>5593</v>
      </c>
      <c r="M1317">
        <v>1</v>
      </c>
      <c r="N1317" t="s">
        <v>41</v>
      </c>
      <c r="O1317">
        <v>13</v>
      </c>
      <c r="P1317">
        <v>3</v>
      </c>
      <c r="Q1317">
        <v>1</v>
      </c>
      <c r="R1317">
        <v>15</v>
      </c>
      <c r="S1317">
        <v>2</v>
      </c>
      <c r="T1317">
        <v>15</v>
      </c>
      <c r="U1317">
        <v>4</v>
      </c>
      <c r="V1317">
        <v>12</v>
      </c>
      <c r="W1317" t="s">
        <v>56</v>
      </c>
      <c r="X1317" s="1" t="d">
        <v>2006-05-02</v>
      </c>
      <c r="Z1317" t="s">
        <v>39</v>
      </c>
      <c r="AA1317" t="s">
        <v>46</v>
      </c>
      <c r="AB1317">
        <v>3</v>
      </c>
      <c r="AC1317">
        <v>1</v>
      </c>
      <c r="AD1317" t="s">
        <v>41</v>
      </c>
      <c r="AE1317" t="s">
        <v>60</v>
      </c>
      <c r="AF1317" t="s">
        <v>43</v>
      </c>
      <c r="AG1317">
        <f>IF(HR_Data[[#This Row],[Attrition]]="Yes",1,0)</f>
        <v>0</v>
      </c>
      <c r="AH1317" t="str">
        <f>IF(HR_Data[Date_of_termination]="","Active","Left")</f>
        <v>Active</v>
      </c>
      <c r="AI1317" t="str">
        <f>IF(HR_Data[YearsAtCompany]&lt;=2,"Fresher", IF(HR_Data[YearsAtCompany]&lt;=5,"Junior", IF(HR_Data[YearsAtCompany]&lt;=10, "Mid","Senior")))</f>
        <v>Senior</v>
      </c>
      <c r="AJ1317" s="2" t="str">
        <f>IF(HR_Data[MonthlyIncome]&lt;=300,"Low", IF(HR_Data[MonthlyIncome]&lt;=7000,"Medium", "High"))</f>
        <v>Medium</v>
      </c>
      <c r="AK1317" s="2" t="str">
        <f>VLOOKUP(HR_Data[JobRole], JobRole_Map[], 2, FALSE)</f>
        <v>Sales</v>
      </c>
    </row>
    <row r="1318" spans="1:37" x14ac:dyDescent="0.25">
      <c r="A1318" s="2">
        <v>36</v>
      </c>
      <c r="B1318" t="s">
        <v>41</v>
      </c>
      <c r="C1318" t="s">
        <v>61</v>
      </c>
      <c r="D1318" t="s">
        <v>53</v>
      </c>
      <c r="E1318">
        <v>7</v>
      </c>
      <c r="F1318" t="s">
        <v>58</v>
      </c>
      <c r="G1318">
        <v>4</v>
      </c>
      <c r="H1318">
        <v>2</v>
      </c>
      <c r="I1318" t="s">
        <v>64</v>
      </c>
      <c r="J1318">
        <v>1</v>
      </c>
      <c r="K1318" t="s">
        <v>50</v>
      </c>
      <c r="L1318">
        <v>4639</v>
      </c>
      <c r="M1318">
        <v>2</v>
      </c>
      <c r="N1318" t="s">
        <v>41</v>
      </c>
      <c r="O1318">
        <v>16</v>
      </c>
      <c r="P1318">
        <v>3</v>
      </c>
      <c r="Q1318">
        <v>1</v>
      </c>
      <c r="R1318">
        <v>17</v>
      </c>
      <c r="S1318">
        <v>2</v>
      </c>
      <c r="T1318">
        <v>15</v>
      </c>
      <c r="U1318">
        <v>6</v>
      </c>
      <c r="V1318">
        <v>13</v>
      </c>
      <c r="W1318" t="s">
        <v>56</v>
      </c>
      <c r="X1318" s="1" t="d">
        <v>2006-06-14</v>
      </c>
      <c r="Z1318" t="s">
        <v>63</v>
      </c>
      <c r="AA1318" t="s">
        <v>40</v>
      </c>
      <c r="AB1318">
        <v>4</v>
      </c>
      <c r="AC1318">
        <v>2</v>
      </c>
      <c r="AD1318" t="s">
        <v>32</v>
      </c>
      <c r="AE1318" t="s">
        <v>42</v>
      </c>
      <c r="AF1318" t="s">
        <v>57</v>
      </c>
      <c r="AG1318">
        <f>IF(HR_Data[[#This Row],[Attrition]]="Yes",1,0)</f>
        <v>0</v>
      </c>
      <c r="AH1318" t="str">
        <f>IF(HR_Data[Date_of_termination]="","Active","Left")</f>
        <v>Active</v>
      </c>
      <c r="AI1318" t="str">
        <f>IF(HR_Data[YearsAtCompany]&lt;=2,"Fresher", IF(HR_Data[YearsAtCompany]&lt;=5,"Junior", IF(HR_Data[YearsAtCompany]&lt;=10, "Mid","Senior")))</f>
        <v>Senior</v>
      </c>
      <c r="AJ1318" s="2" t="str">
        <f>IF(HR_Data[MonthlyIncome]&lt;=300,"Low", IF(HR_Data[MonthlyIncome]&lt;=7000,"Medium", "High"))</f>
        <v>Medium</v>
      </c>
      <c r="AK1318" s="2" t="str">
        <f>VLOOKUP(HR_Data[JobRole], JobRole_Map[], 2, FALSE)</f>
        <v>Sales</v>
      </c>
    </row>
    <row r="1319" spans="1:37" x14ac:dyDescent="0.25">
      <c r="A1319" s="2">
        <v>34</v>
      </c>
      <c r="B1319" t="s">
        <v>32</v>
      </c>
      <c r="C1319" t="s">
        <v>33</v>
      </c>
      <c r="D1319" t="s">
        <v>53</v>
      </c>
      <c r="E1319">
        <v>24</v>
      </c>
      <c r="F1319" t="s">
        <v>58</v>
      </c>
      <c r="G1319">
        <v>2</v>
      </c>
      <c r="H1319">
        <v>2</v>
      </c>
      <c r="I1319" t="s">
        <v>64</v>
      </c>
      <c r="J1319">
        <v>2</v>
      </c>
      <c r="K1319" t="s">
        <v>37</v>
      </c>
      <c r="L1319">
        <v>4599</v>
      </c>
      <c r="M1319">
        <v>0</v>
      </c>
      <c r="N1319" t="s">
        <v>32</v>
      </c>
      <c r="O1319">
        <v>23</v>
      </c>
      <c r="P1319">
        <v>4</v>
      </c>
      <c r="Q1319">
        <v>0</v>
      </c>
      <c r="R1319">
        <v>16</v>
      </c>
      <c r="S1319">
        <v>2</v>
      </c>
      <c r="T1319">
        <v>15</v>
      </c>
      <c r="U1319">
        <v>10</v>
      </c>
      <c r="V1319">
        <v>10</v>
      </c>
      <c r="W1319" t="s">
        <v>51</v>
      </c>
      <c r="X1319" s="1" t="d">
        <v>2006-03-24</v>
      </c>
      <c r="Z1319" t="s">
        <v>59</v>
      </c>
      <c r="AA1319" t="s">
        <v>46</v>
      </c>
      <c r="AB1319">
        <v>0</v>
      </c>
      <c r="AC1319">
        <v>0</v>
      </c>
      <c r="AD1319" t="s">
        <v>41</v>
      </c>
      <c r="AE1319" t="s">
        <v>47</v>
      </c>
      <c r="AF1319" t="s">
        <v>57</v>
      </c>
      <c r="AG1319">
        <f>IF(HR_Data[[#This Row],[Attrition]]="Yes",1,0)</f>
        <v>1</v>
      </c>
      <c r="AH1319" t="str">
        <f>IF(HR_Data[Date_of_termination]="","Active","Left")</f>
        <v>Active</v>
      </c>
      <c r="AI1319" t="str">
        <f>IF(HR_Data[YearsAtCompany]&lt;=2,"Fresher", IF(HR_Data[YearsAtCompany]&lt;=5,"Junior", IF(HR_Data[YearsAtCompany]&lt;=10, "Mid","Senior")))</f>
        <v>Senior</v>
      </c>
      <c r="AJ1319" s="2" t="str">
        <f>IF(HR_Data[MonthlyIncome]&lt;=300,"Low", IF(HR_Data[MonthlyIncome]&lt;=7000,"Medium", "High"))</f>
        <v>Medium</v>
      </c>
      <c r="AK1319" s="2" t="str">
        <f>VLOOKUP(HR_Data[JobRole], JobRole_Map[], 2, FALSE)</f>
        <v>Sales</v>
      </c>
    </row>
    <row r="1320" spans="1:37" x14ac:dyDescent="0.25">
      <c r="A1320" s="2">
        <v>33</v>
      </c>
      <c r="B1320" t="s">
        <v>41</v>
      </c>
      <c r="C1320" t="s">
        <v>33</v>
      </c>
      <c r="D1320" t="s">
        <v>34</v>
      </c>
      <c r="E1320">
        <v>28</v>
      </c>
      <c r="F1320" t="s">
        <v>35</v>
      </c>
      <c r="G1320">
        <v>3</v>
      </c>
      <c r="H1320">
        <v>2</v>
      </c>
      <c r="I1320" t="s">
        <v>36</v>
      </c>
      <c r="J1320">
        <v>3</v>
      </c>
      <c r="K1320" t="s">
        <v>50</v>
      </c>
      <c r="L1320">
        <v>5207</v>
      </c>
      <c r="M1320">
        <v>1</v>
      </c>
      <c r="N1320" t="s">
        <v>32</v>
      </c>
      <c r="O1320">
        <v>12</v>
      </c>
      <c r="P1320">
        <v>3</v>
      </c>
      <c r="Q1320">
        <v>1</v>
      </c>
      <c r="R1320">
        <v>15</v>
      </c>
      <c r="S1320">
        <v>3</v>
      </c>
      <c r="T1320">
        <v>15</v>
      </c>
      <c r="U1320">
        <v>5</v>
      </c>
      <c r="V1320">
        <v>7</v>
      </c>
      <c r="W1320" t="s">
        <v>51</v>
      </c>
      <c r="X1320" s="1" t="d">
        <v>2006-05-30</v>
      </c>
      <c r="Z1320" t="s">
        <v>59</v>
      </c>
      <c r="AA1320" t="s">
        <v>46</v>
      </c>
      <c r="AB1320">
        <v>0</v>
      </c>
      <c r="AC1320">
        <v>2</v>
      </c>
      <c r="AD1320" t="s">
        <v>41</v>
      </c>
      <c r="AE1320" t="s">
        <v>60</v>
      </c>
      <c r="AF1320" t="s">
        <v>48</v>
      </c>
      <c r="AG1320">
        <f>IF(HR_Data[[#This Row],[Attrition]]="Yes",1,0)</f>
        <v>0</v>
      </c>
      <c r="AH1320" t="str">
        <f>IF(HR_Data[Date_of_termination]="","Active","Left")</f>
        <v>Active</v>
      </c>
      <c r="AI1320" t="str">
        <f>IF(HR_Data[YearsAtCompany]&lt;=2,"Fresher", IF(HR_Data[YearsAtCompany]&lt;=5,"Junior", IF(HR_Data[YearsAtCompany]&lt;=10, "Mid","Senior")))</f>
        <v>Senior</v>
      </c>
      <c r="AJ1320" s="2" t="str">
        <f>IF(HR_Data[MonthlyIncome]&lt;=300,"Low", IF(HR_Data[MonthlyIncome]&lt;=7000,"Medium", "High"))</f>
        <v>Medium</v>
      </c>
      <c r="AK1320" s="2" t="str">
        <f>VLOOKUP(HR_Data[JobRole], JobRole_Map[], 2, FALSE)</f>
        <v>Technical</v>
      </c>
    </row>
    <row r="1321" spans="1:37" x14ac:dyDescent="0.25">
      <c r="A1321" s="2">
        <v>49</v>
      </c>
      <c r="B1321" t="s">
        <v>41</v>
      </c>
      <c r="C1321" t="s">
        <v>33</v>
      </c>
      <c r="D1321" t="s">
        <v>34</v>
      </c>
      <c r="E1321">
        <v>6</v>
      </c>
      <c r="F1321" t="s">
        <v>58</v>
      </c>
      <c r="G1321">
        <v>2</v>
      </c>
      <c r="H1321">
        <v>4</v>
      </c>
      <c r="I1321" t="s">
        <v>69</v>
      </c>
      <c r="J1321">
        <v>3</v>
      </c>
      <c r="K1321" t="s">
        <v>50</v>
      </c>
      <c r="L1321">
        <v>13966</v>
      </c>
      <c r="M1321">
        <v>2</v>
      </c>
      <c r="N1321" t="s">
        <v>32</v>
      </c>
      <c r="O1321">
        <v>19</v>
      </c>
      <c r="P1321">
        <v>3</v>
      </c>
      <c r="Q1321">
        <v>1</v>
      </c>
      <c r="R1321">
        <v>30</v>
      </c>
      <c r="S1321">
        <v>3</v>
      </c>
      <c r="T1321">
        <v>15</v>
      </c>
      <c r="U1321">
        <v>2</v>
      </c>
      <c r="V1321">
        <v>12</v>
      </c>
      <c r="W1321" t="s">
        <v>56</v>
      </c>
      <c r="X1321" s="1" t="d">
        <v>2006-04-03</v>
      </c>
      <c r="Z1321" t="s">
        <v>45</v>
      </c>
      <c r="AA1321" t="s">
        <v>46</v>
      </c>
      <c r="AB1321">
        <v>5</v>
      </c>
      <c r="AC1321">
        <v>3</v>
      </c>
      <c r="AD1321" t="s">
        <v>32</v>
      </c>
      <c r="AE1321" t="s">
        <v>42</v>
      </c>
      <c r="AF1321" t="s">
        <v>43</v>
      </c>
      <c r="AG1321">
        <f>IF(HR_Data[[#This Row],[Attrition]]="Yes",1,0)</f>
        <v>0</v>
      </c>
      <c r="AH1321" t="str">
        <f>IF(HR_Data[Date_of_termination]="","Active","Left")</f>
        <v>Active</v>
      </c>
      <c r="AI1321" t="str">
        <f>IF(HR_Data[YearsAtCompany]&lt;=2,"Fresher", IF(HR_Data[YearsAtCompany]&lt;=5,"Junior", IF(HR_Data[YearsAtCompany]&lt;=10, "Mid","Senior")))</f>
        <v>Senior</v>
      </c>
      <c r="AJ1321" s="2" t="str">
        <f>IF(HR_Data[MonthlyIncome]&lt;=300,"Low", IF(HR_Data[MonthlyIncome]&lt;=7000,"Medium", "High"))</f>
        <v>High</v>
      </c>
      <c r="AK1321" s="2" t="str">
        <f>VLOOKUP(HR_Data[JobRole], JobRole_Map[], 2, FALSE)</f>
        <v>Operations</v>
      </c>
    </row>
    <row r="1322" spans="1:37" x14ac:dyDescent="0.25">
      <c r="A1322" s="2">
        <v>34</v>
      </c>
      <c r="B1322" t="s">
        <v>41</v>
      </c>
      <c r="C1322" t="s">
        <v>33</v>
      </c>
      <c r="D1322" t="s">
        <v>34</v>
      </c>
      <c r="E1322">
        <v>5</v>
      </c>
      <c r="F1322" t="s">
        <v>35</v>
      </c>
      <c r="G1322">
        <v>2</v>
      </c>
      <c r="H1322">
        <v>2</v>
      </c>
      <c r="I1322" t="s">
        <v>36</v>
      </c>
      <c r="J1322">
        <v>4</v>
      </c>
      <c r="K1322" t="s">
        <v>50</v>
      </c>
      <c r="L1322">
        <v>3986</v>
      </c>
      <c r="M1322">
        <v>1</v>
      </c>
      <c r="N1322" t="s">
        <v>41</v>
      </c>
      <c r="O1322">
        <v>14</v>
      </c>
      <c r="P1322">
        <v>3</v>
      </c>
      <c r="Q1322">
        <v>1</v>
      </c>
      <c r="R1322">
        <v>15</v>
      </c>
      <c r="S1322">
        <v>3</v>
      </c>
      <c r="T1322">
        <v>15</v>
      </c>
      <c r="U1322">
        <v>4</v>
      </c>
      <c r="V1322">
        <v>13</v>
      </c>
      <c r="W1322" t="s">
        <v>65</v>
      </c>
      <c r="X1322" s="1" t="d">
        <v>2006-03-05</v>
      </c>
      <c r="Z1322" t="s">
        <v>45</v>
      </c>
      <c r="AA1322" t="s">
        <v>40</v>
      </c>
      <c r="AB1322">
        <v>3</v>
      </c>
      <c r="AC1322">
        <v>1</v>
      </c>
      <c r="AD1322" t="s">
        <v>41</v>
      </c>
      <c r="AE1322" t="s">
        <v>42</v>
      </c>
      <c r="AF1322" t="s">
        <v>57</v>
      </c>
      <c r="AG1322">
        <f>IF(HR_Data[[#This Row],[Attrition]]="Yes",1,0)</f>
        <v>0</v>
      </c>
      <c r="AH1322" t="str">
        <f>IF(HR_Data[Date_of_termination]="","Active","Left")</f>
        <v>Active</v>
      </c>
      <c r="AI1322" t="str">
        <f>IF(HR_Data[YearsAtCompany]&lt;=2,"Fresher", IF(HR_Data[YearsAtCompany]&lt;=5,"Junior", IF(HR_Data[YearsAtCompany]&lt;=10, "Mid","Senior")))</f>
        <v>Senior</v>
      </c>
      <c r="AJ1322" s="2" t="str">
        <f>IF(HR_Data[MonthlyIncome]&lt;=300,"Low", IF(HR_Data[MonthlyIncome]&lt;=7000,"Medium", "High"))</f>
        <v>Medium</v>
      </c>
      <c r="AK1322" s="2" t="str">
        <f>VLOOKUP(HR_Data[JobRole], JobRole_Map[], 2, FALSE)</f>
        <v>Technical</v>
      </c>
    </row>
    <row r="1323" spans="1:37" x14ac:dyDescent="0.25">
      <c r="A1323" s="2">
        <v>34</v>
      </c>
      <c r="B1323" t="s">
        <v>41</v>
      </c>
      <c r="C1323" t="s">
        <v>68</v>
      </c>
      <c r="D1323" t="s">
        <v>53</v>
      </c>
      <c r="E1323">
        <v>10</v>
      </c>
      <c r="F1323" t="s">
        <v>35</v>
      </c>
      <c r="G1323">
        <v>3</v>
      </c>
      <c r="H1323">
        <v>2</v>
      </c>
      <c r="I1323" t="s">
        <v>64</v>
      </c>
      <c r="J1323">
        <v>3</v>
      </c>
      <c r="K1323" t="s">
        <v>55</v>
      </c>
      <c r="L1323">
        <v>4001</v>
      </c>
      <c r="M1323">
        <v>1</v>
      </c>
      <c r="N1323" t="s">
        <v>32</v>
      </c>
      <c r="O1323">
        <v>14</v>
      </c>
      <c r="P1323">
        <v>3</v>
      </c>
      <c r="Q1323">
        <v>1</v>
      </c>
      <c r="R1323">
        <v>15</v>
      </c>
      <c r="S1323">
        <v>3</v>
      </c>
      <c r="T1323">
        <v>15</v>
      </c>
      <c r="U1323">
        <v>0</v>
      </c>
      <c r="V1323">
        <v>7</v>
      </c>
      <c r="W1323" t="s">
        <v>56</v>
      </c>
      <c r="X1323" s="1" t="d">
        <v>2006-06-11</v>
      </c>
      <c r="Z1323" t="s">
        <v>63</v>
      </c>
      <c r="AA1323" t="s">
        <v>46</v>
      </c>
      <c r="AB1323">
        <v>0</v>
      </c>
      <c r="AC1323">
        <v>2</v>
      </c>
      <c r="AD1323" t="s">
        <v>41</v>
      </c>
      <c r="AE1323" t="s">
        <v>60</v>
      </c>
      <c r="AF1323" t="s">
        <v>48</v>
      </c>
      <c r="AG1323">
        <f>IF(HR_Data[[#This Row],[Attrition]]="Yes",1,0)</f>
        <v>0</v>
      </c>
      <c r="AH1323" t="str">
        <f>IF(HR_Data[Date_of_termination]="","Active","Left")</f>
        <v>Active</v>
      </c>
      <c r="AI1323" t="str">
        <f>IF(HR_Data[YearsAtCompany]&lt;=2,"Fresher", IF(HR_Data[YearsAtCompany]&lt;=5,"Junior", IF(HR_Data[YearsAtCompany]&lt;=10, "Mid","Senior")))</f>
        <v>Senior</v>
      </c>
      <c r="AJ1323" s="2" t="str">
        <f>IF(HR_Data[MonthlyIncome]&lt;=300,"Low", IF(HR_Data[MonthlyIncome]&lt;=7000,"Medium", "High"))</f>
        <v>Medium</v>
      </c>
      <c r="AK1323" s="2" t="str">
        <f>VLOOKUP(HR_Data[JobRole], JobRole_Map[], 2, FALSE)</f>
        <v>Sales</v>
      </c>
    </row>
    <row r="1324" spans="1:37" x14ac:dyDescent="0.25">
      <c r="A1324" s="2">
        <v>34</v>
      </c>
      <c r="B1324" t="s">
        <v>41</v>
      </c>
      <c r="C1324" t="s">
        <v>61</v>
      </c>
      <c r="D1324" t="s">
        <v>34</v>
      </c>
      <c r="E1324">
        <v>22</v>
      </c>
      <c r="F1324" t="s">
        <v>35</v>
      </c>
      <c r="G1324">
        <v>2</v>
      </c>
      <c r="H1324">
        <v>2</v>
      </c>
      <c r="I1324" t="s">
        <v>44</v>
      </c>
      <c r="J1324">
        <v>4</v>
      </c>
      <c r="K1324" t="s">
        <v>50</v>
      </c>
      <c r="L1324">
        <v>5747</v>
      </c>
      <c r="M1324">
        <v>1</v>
      </c>
      <c r="N1324" t="s">
        <v>32</v>
      </c>
      <c r="O1324">
        <v>15</v>
      </c>
      <c r="P1324">
        <v>3</v>
      </c>
      <c r="Q1324">
        <v>0</v>
      </c>
      <c r="R1324">
        <v>16</v>
      </c>
      <c r="S1324">
        <v>3</v>
      </c>
      <c r="T1324">
        <v>15</v>
      </c>
      <c r="U1324">
        <v>6</v>
      </c>
      <c r="V1324">
        <v>11</v>
      </c>
      <c r="W1324" t="s">
        <v>38</v>
      </c>
      <c r="X1324" s="1" t="d">
        <v>2006-02-25</v>
      </c>
      <c r="Z1324" t="s">
        <v>39</v>
      </c>
      <c r="AA1324" t="s">
        <v>40</v>
      </c>
      <c r="AB1324">
        <v>3</v>
      </c>
      <c r="AC1324">
        <v>3</v>
      </c>
      <c r="AD1324" t="s">
        <v>41</v>
      </c>
      <c r="AE1324" t="s">
        <v>42</v>
      </c>
      <c r="AF1324" t="s">
        <v>48</v>
      </c>
      <c r="AG1324">
        <f>IF(HR_Data[[#This Row],[Attrition]]="Yes",1,0)</f>
        <v>0</v>
      </c>
      <c r="AH1324" t="str">
        <f>IF(HR_Data[Date_of_termination]="","Active","Left")</f>
        <v>Active</v>
      </c>
      <c r="AI1324" t="str">
        <f>IF(HR_Data[YearsAtCompany]&lt;=2,"Fresher", IF(HR_Data[YearsAtCompany]&lt;=5,"Junior", IF(HR_Data[YearsAtCompany]&lt;=10, "Mid","Senior")))</f>
        <v>Senior</v>
      </c>
      <c r="AJ1324" s="2" t="str">
        <f>IF(HR_Data[MonthlyIncome]&lt;=300,"Low", IF(HR_Data[MonthlyIncome]&lt;=7000,"Medium", "High"))</f>
        <v>Medium</v>
      </c>
      <c r="AK1324" s="2" t="str">
        <f>VLOOKUP(HR_Data[JobRole], JobRole_Map[], 2, FALSE)</f>
        <v>Technical</v>
      </c>
    </row>
    <row r="1325" spans="1:37" x14ac:dyDescent="0.25">
      <c r="A1325" s="2">
        <v>38</v>
      </c>
      <c r="B1325" t="s">
        <v>41</v>
      </c>
      <c r="C1325" t="s">
        <v>33</v>
      </c>
      <c r="D1325" t="s">
        <v>53</v>
      </c>
      <c r="E1325">
        <v>1</v>
      </c>
      <c r="F1325" t="s">
        <v>35</v>
      </c>
      <c r="G1325">
        <v>3</v>
      </c>
      <c r="H1325">
        <v>2</v>
      </c>
      <c r="I1325" t="s">
        <v>64</v>
      </c>
      <c r="J1325">
        <v>2</v>
      </c>
      <c r="K1325" t="s">
        <v>50</v>
      </c>
      <c r="L1325">
        <v>4440</v>
      </c>
      <c r="M1325">
        <v>0</v>
      </c>
      <c r="N1325" t="s">
        <v>41</v>
      </c>
      <c r="O1325">
        <v>15</v>
      </c>
      <c r="P1325">
        <v>3</v>
      </c>
      <c r="Q1325">
        <v>2</v>
      </c>
      <c r="R1325">
        <v>16</v>
      </c>
      <c r="S1325">
        <v>3</v>
      </c>
      <c r="T1325">
        <v>15</v>
      </c>
      <c r="U1325">
        <v>5</v>
      </c>
      <c r="V1325">
        <v>8</v>
      </c>
      <c r="W1325" t="s">
        <v>56</v>
      </c>
      <c r="X1325" s="1" t="d">
        <v>2006-05-12</v>
      </c>
      <c r="Z1325" t="s">
        <v>52</v>
      </c>
      <c r="AA1325" t="s">
        <v>40</v>
      </c>
      <c r="AB1325">
        <v>1</v>
      </c>
      <c r="AC1325">
        <v>0</v>
      </c>
      <c r="AD1325" t="s">
        <v>32</v>
      </c>
      <c r="AE1325" t="s">
        <v>62</v>
      </c>
      <c r="AF1325" t="s">
        <v>43</v>
      </c>
      <c r="AG1325">
        <f>IF(HR_Data[[#This Row],[Attrition]]="Yes",1,0)</f>
        <v>0</v>
      </c>
      <c r="AH1325" t="str">
        <f>IF(HR_Data[Date_of_termination]="","Active","Left")</f>
        <v>Active</v>
      </c>
      <c r="AI1325" t="str">
        <f>IF(HR_Data[YearsAtCompany]&lt;=2,"Fresher", IF(HR_Data[YearsAtCompany]&lt;=5,"Junior", IF(HR_Data[YearsAtCompany]&lt;=10, "Mid","Senior")))</f>
        <v>Senior</v>
      </c>
      <c r="AJ1325" s="2" t="str">
        <f>IF(HR_Data[MonthlyIncome]&lt;=300,"Low", IF(HR_Data[MonthlyIncome]&lt;=7000,"Medium", "High"))</f>
        <v>Medium</v>
      </c>
      <c r="AK1325" s="2" t="str">
        <f>VLOOKUP(HR_Data[JobRole], JobRole_Map[], 2, FALSE)</f>
        <v>Sales</v>
      </c>
    </row>
    <row r="1326" spans="1:37" x14ac:dyDescent="0.25">
      <c r="A1326" s="2">
        <v>36</v>
      </c>
      <c r="B1326" t="s">
        <v>41</v>
      </c>
      <c r="C1326" t="s">
        <v>68</v>
      </c>
      <c r="D1326" t="s">
        <v>53</v>
      </c>
      <c r="E1326">
        <v>15</v>
      </c>
      <c r="F1326" t="s">
        <v>35</v>
      </c>
      <c r="G1326">
        <v>1</v>
      </c>
      <c r="H1326">
        <v>2</v>
      </c>
      <c r="I1326" t="s">
        <v>64</v>
      </c>
      <c r="J1326">
        <v>4</v>
      </c>
      <c r="K1326" t="s">
        <v>55</v>
      </c>
      <c r="L1326">
        <v>5406</v>
      </c>
      <c r="M1326">
        <v>1</v>
      </c>
      <c r="N1326" t="s">
        <v>41</v>
      </c>
      <c r="O1326">
        <v>24</v>
      </c>
      <c r="P1326">
        <v>4</v>
      </c>
      <c r="Q1326">
        <v>1</v>
      </c>
      <c r="R1326">
        <v>15</v>
      </c>
      <c r="S1326">
        <v>4</v>
      </c>
      <c r="T1326">
        <v>15</v>
      </c>
      <c r="U1326">
        <v>11</v>
      </c>
      <c r="V1326">
        <v>11</v>
      </c>
      <c r="W1326" t="s">
        <v>38</v>
      </c>
      <c r="X1326" s="1" t="d">
        <v>2006-04-24</v>
      </c>
      <c r="Z1326" t="s">
        <v>52</v>
      </c>
      <c r="AA1326" t="s">
        <v>46</v>
      </c>
      <c r="AB1326">
        <v>0</v>
      </c>
      <c r="AC1326">
        <v>2</v>
      </c>
      <c r="AD1326" t="s">
        <v>32</v>
      </c>
      <c r="AE1326" t="s">
        <v>62</v>
      </c>
      <c r="AF1326" t="s">
        <v>48</v>
      </c>
      <c r="AG1326">
        <f>IF(HR_Data[[#This Row],[Attrition]]="Yes",1,0)</f>
        <v>0</v>
      </c>
      <c r="AH1326" t="str">
        <f>IF(HR_Data[Date_of_termination]="","Active","Left")</f>
        <v>Active</v>
      </c>
      <c r="AI1326" t="str">
        <f>IF(HR_Data[YearsAtCompany]&lt;=2,"Fresher", IF(HR_Data[YearsAtCompany]&lt;=5,"Junior", IF(HR_Data[YearsAtCompany]&lt;=10, "Mid","Senior")))</f>
        <v>Senior</v>
      </c>
      <c r="AJ1326" s="2" t="str">
        <f>IF(HR_Data[MonthlyIncome]&lt;=300,"Low", IF(HR_Data[MonthlyIncome]&lt;=7000,"Medium", "High"))</f>
        <v>Medium</v>
      </c>
      <c r="AK1326" s="2" t="str">
        <f>VLOOKUP(HR_Data[JobRole], JobRole_Map[], 2, FALSE)</f>
        <v>Sales</v>
      </c>
    </row>
    <row r="1327" spans="1:37" x14ac:dyDescent="0.25">
      <c r="A1327" s="2">
        <v>34</v>
      </c>
      <c r="B1327" t="s">
        <v>41</v>
      </c>
      <c r="C1327" t="s">
        <v>33</v>
      </c>
      <c r="D1327" t="s">
        <v>34</v>
      </c>
      <c r="E1327">
        <v>6</v>
      </c>
      <c r="F1327" t="s">
        <v>58</v>
      </c>
      <c r="G1327">
        <v>3</v>
      </c>
      <c r="H1327">
        <v>2</v>
      </c>
      <c r="I1327" t="s">
        <v>44</v>
      </c>
      <c r="J1327">
        <v>3</v>
      </c>
      <c r="K1327" t="s">
        <v>37</v>
      </c>
      <c r="L1327">
        <v>4809</v>
      </c>
      <c r="M1327">
        <v>1</v>
      </c>
      <c r="N1327" t="s">
        <v>41</v>
      </c>
      <c r="O1327">
        <v>14</v>
      </c>
      <c r="P1327">
        <v>3</v>
      </c>
      <c r="Q1327">
        <v>0</v>
      </c>
      <c r="R1327">
        <v>16</v>
      </c>
      <c r="S1327">
        <v>3</v>
      </c>
      <c r="T1327">
        <v>16</v>
      </c>
      <c r="U1327">
        <v>2</v>
      </c>
      <c r="V1327">
        <v>10</v>
      </c>
      <c r="W1327" t="s">
        <v>65</v>
      </c>
      <c r="X1327" s="1" t="d">
        <v>2005-03-26</v>
      </c>
      <c r="Z1327" t="s">
        <v>45</v>
      </c>
      <c r="AA1327" t="s">
        <v>40</v>
      </c>
      <c r="AB1327">
        <v>5</v>
      </c>
      <c r="AC1327">
        <v>3</v>
      </c>
      <c r="AD1327" t="s">
        <v>41</v>
      </c>
      <c r="AE1327" t="s">
        <v>42</v>
      </c>
      <c r="AF1327" t="s">
        <v>57</v>
      </c>
      <c r="AG1327">
        <f>IF(HR_Data[[#This Row],[Attrition]]="Yes",1,0)</f>
        <v>0</v>
      </c>
      <c r="AH1327" t="str">
        <f>IF(HR_Data[Date_of_termination]="","Active","Left")</f>
        <v>Active</v>
      </c>
      <c r="AI1327" t="str">
        <f>IF(HR_Data[YearsAtCompany]&lt;=2,"Fresher", IF(HR_Data[YearsAtCompany]&lt;=5,"Junior", IF(HR_Data[YearsAtCompany]&lt;=10, "Mid","Senior")))</f>
        <v>Senior</v>
      </c>
      <c r="AJ1327" s="2" t="str">
        <f>IF(HR_Data[MonthlyIncome]&lt;=300,"Low", IF(HR_Data[MonthlyIncome]&lt;=7000,"Medium", "High"))</f>
        <v>Medium</v>
      </c>
      <c r="AK1327" s="2" t="str">
        <f>VLOOKUP(HR_Data[JobRole], JobRole_Map[], 2, FALSE)</f>
        <v>Technical</v>
      </c>
    </row>
    <row r="1328" spans="1:37" x14ac:dyDescent="0.25">
      <c r="A1328" s="2">
        <v>38</v>
      </c>
      <c r="B1328" t="s">
        <v>41</v>
      </c>
      <c r="C1328" t="s">
        <v>33</v>
      </c>
      <c r="D1328" t="s">
        <v>53</v>
      </c>
      <c r="E1328">
        <v>3</v>
      </c>
      <c r="F1328" t="s">
        <v>35</v>
      </c>
      <c r="G1328">
        <v>3</v>
      </c>
      <c r="H1328">
        <v>3</v>
      </c>
      <c r="I1328" t="s">
        <v>64</v>
      </c>
      <c r="J1328">
        <v>3</v>
      </c>
      <c r="K1328" t="s">
        <v>55</v>
      </c>
      <c r="L1328">
        <v>10609</v>
      </c>
      <c r="M1328">
        <v>0</v>
      </c>
      <c r="N1328" t="s">
        <v>41</v>
      </c>
      <c r="O1328">
        <v>12</v>
      </c>
      <c r="P1328">
        <v>3</v>
      </c>
      <c r="Q1328">
        <v>2</v>
      </c>
      <c r="R1328">
        <v>17</v>
      </c>
      <c r="S1328">
        <v>6</v>
      </c>
      <c r="T1328">
        <v>16</v>
      </c>
      <c r="U1328">
        <v>5</v>
      </c>
      <c r="V1328">
        <v>13</v>
      </c>
      <c r="W1328" t="s">
        <v>51</v>
      </c>
      <c r="X1328" s="1" t="d">
        <v>2005-04-17</v>
      </c>
      <c r="Z1328" t="s">
        <v>39</v>
      </c>
      <c r="AA1328" t="s">
        <v>40</v>
      </c>
      <c r="AB1328">
        <v>0</v>
      </c>
      <c r="AC1328">
        <v>0</v>
      </c>
      <c r="AD1328" t="s">
        <v>32</v>
      </c>
      <c r="AE1328" t="s">
        <v>47</v>
      </c>
      <c r="AF1328" t="s">
        <v>43</v>
      </c>
      <c r="AG1328">
        <f>IF(HR_Data[[#This Row],[Attrition]]="Yes",1,0)</f>
        <v>0</v>
      </c>
      <c r="AH1328" t="str">
        <f>IF(HR_Data[Date_of_termination]="","Active","Left")</f>
        <v>Active</v>
      </c>
      <c r="AI1328" t="str">
        <f>IF(HR_Data[YearsAtCompany]&lt;=2,"Fresher", IF(HR_Data[YearsAtCompany]&lt;=5,"Junior", IF(HR_Data[YearsAtCompany]&lt;=10, "Mid","Senior")))</f>
        <v>Senior</v>
      </c>
      <c r="AJ1328" s="2" t="str">
        <f>IF(HR_Data[MonthlyIncome]&lt;=300,"Low", IF(HR_Data[MonthlyIncome]&lt;=7000,"Medium", "High"))</f>
        <v>High</v>
      </c>
      <c r="AK1328" s="2" t="str">
        <f>VLOOKUP(HR_Data[JobRole], JobRole_Map[], 2, FALSE)</f>
        <v>Sales</v>
      </c>
    </row>
    <row r="1329" spans="1:37" x14ac:dyDescent="0.25">
      <c r="A1329" s="2">
        <v>35</v>
      </c>
      <c r="B1329" t="s">
        <v>41</v>
      </c>
      <c r="C1329" t="s">
        <v>33</v>
      </c>
      <c r="D1329" t="s">
        <v>34</v>
      </c>
      <c r="E1329">
        <v>5</v>
      </c>
      <c r="F1329" t="s">
        <v>35</v>
      </c>
      <c r="G1329">
        <v>3</v>
      </c>
      <c r="H1329">
        <v>3</v>
      </c>
      <c r="I1329" t="s">
        <v>67</v>
      </c>
      <c r="J1329">
        <v>2</v>
      </c>
      <c r="K1329" t="s">
        <v>37</v>
      </c>
      <c r="L1329">
        <v>8095</v>
      </c>
      <c r="M1329">
        <v>0</v>
      </c>
      <c r="N1329" t="s">
        <v>41</v>
      </c>
      <c r="O1329">
        <v>13</v>
      </c>
      <c r="P1329">
        <v>3</v>
      </c>
      <c r="Q1329">
        <v>0</v>
      </c>
      <c r="R1329">
        <v>17</v>
      </c>
      <c r="S1329">
        <v>5</v>
      </c>
      <c r="T1329">
        <v>16</v>
      </c>
      <c r="U1329">
        <v>0</v>
      </c>
      <c r="V1329">
        <v>13</v>
      </c>
      <c r="W1329" t="s">
        <v>56</v>
      </c>
      <c r="X1329" s="1" t="d">
        <v>2005-02-28</v>
      </c>
      <c r="Z1329" t="s">
        <v>52</v>
      </c>
      <c r="AA1329" t="s">
        <v>46</v>
      </c>
      <c r="AB1329">
        <v>5</v>
      </c>
      <c r="AC1329">
        <v>1</v>
      </c>
      <c r="AD1329" t="s">
        <v>41</v>
      </c>
      <c r="AE1329" t="s">
        <v>42</v>
      </c>
      <c r="AF1329" t="s">
        <v>43</v>
      </c>
      <c r="AG1329">
        <f>IF(HR_Data[[#This Row],[Attrition]]="Yes",1,0)</f>
        <v>0</v>
      </c>
      <c r="AH1329" t="str">
        <f>IF(HR_Data[Date_of_termination]="","Active","Left")</f>
        <v>Active</v>
      </c>
      <c r="AI1329" t="str">
        <f>IF(HR_Data[YearsAtCompany]&lt;=2,"Fresher", IF(HR_Data[YearsAtCompany]&lt;=5,"Junior", IF(HR_Data[YearsAtCompany]&lt;=10, "Mid","Senior")))</f>
        <v>Senior</v>
      </c>
      <c r="AJ1329" s="2" t="str">
        <f>IF(HR_Data[MonthlyIncome]&lt;=300,"Low", IF(HR_Data[MonthlyIncome]&lt;=7000,"Medium", "High"))</f>
        <v>High</v>
      </c>
      <c r="AK1329" s="2" t="str">
        <f>VLOOKUP(HR_Data[JobRole], JobRole_Map[], 2, FALSE)</f>
        <v>Operations</v>
      </c>
    </row>
    <row r="1330" spans="1:37" x14ac:dyDescent="0.25">
      <c r="A1330" s="2">
        <v>36</v>
      </c>
      <c r="B1330" t="s">
        <v>41</v>
      </c>
      <c r="C1330" t="s">
        <v>33</v>
      </c>
      <c r="D1330" t="s">
        <v>34</v>
      </c>
      <c r="E1330">
        <v>14</v>
      </c>
      <c r="F1330" t="s">
        <v>35</v>
      </c>
      <c r="G1330">
        <v>3</v>
      </c>
      <c r="H1330">
        <v>2</v>
      </c>
      <c r="I1330" t="s">
        <v>69</v>
      </c>
      <c r="J1330">
        <v>4</v>
      </c>
      <c r="K1330" t="s">
        <v>50</v>
      </c>
      <c r="L1330">
        <v>6586</v>
      </c>
      <c r="M1330">
        <v>0</v>
      </c>
      <c r="N1330" t="s">
        <v>32</v>
      </c>
      <c r="O1330">
        <v>17</v>
      </c>
      <c r="P1330">
        <v>3</v>
      </c>
      <c r="Q1330">
        <v>1</v>
      </c>
      <c r="R1330">
        <v>17</v>
      </c>
      <c r="S1330">
        <v>2</v>
      </c>
      <c r="T1330">
        <v>16</v>
      </c>
      <c r="U1330">
        <v>4</v>
      </c>
      <c r="V1330">
        <v>11</v>
      </c>
      <c r="W1330" t="s">
        <v>51</v>
      </c>
      <c r="X1330" s="1" t="d">
        <v>2005-05-11</v>
      </c>
      <c r="Z1330" t="s">
        <v>59</v>
      </c>
      <c r="AA1330" t="s">
        <v>40</v>
      </c>
      <c r="AB1330">
        <v>5</v>
      </c>
      <c r="AC1330">
        <v>2</v>
      </c>
      <c r="AD1330" t="s">
        <v>32</v>
      </c>
      <c r="AE1330" t="s">
        <v>42</v>
      </c>
      <c r="AF1330" t="s">
        <v>43</v>
      </c>
      <c r="AG1330">
        <f>IF(HR_Data[[#This Row],[Attrition]]="Yes",1,0)</f>
        <v>0</v>
      </c>
      <c r="AH1330" t="str">
        <f>IF(HR_Data[Date_of_termination]="","Active","Left")</f>
        <v>Active</v>
      </c>
      <c r="AI1330" t="str">
        <f>IF(HR_Data[YearsAtCompany]&lt;=2,"Fresher", IF(HR_Data[YearsAtCompany]&lt;=5,"Junior", IF(HR_Data[YearsAtCompany]&lt;=10, "Mid","Senior")))</f>
        <v>Senior</v>
      </c>
      <c r="AJ1330" s="2" t="str">
        <f>IF(HR_Data[MonthlyIncome]&lt;=300,"Low", IF(HR_Data[MonthlyIncome]&lt;=7000,"Medium", "High"))</f>
        <v>Medium</v>
      </c>
      <c r="AK1330" s="2" t="str">
        <f>VLOOKUP(HR_Data[JobRole], JobRole_Map[], 2, FALSE)</f>
        <v>Operations</v>
      </c>
    </row>
    <row r="1331" spans="1:37" x14ac:dyDescent="0.25">
      <c r="A1331" s="2">
        <v>36</v>
      </c>
      <c r="B1331" t="s">
        <v>32</v>
      </c>
      <c r="C1331" t="s">
        <v>33</v>
      </c>
      <c r="D1331" t="s">
        <v>53</v>
      </c>
      <c r="E1331">
        <v>3</v>
      </c>
      <c r="F1331" t="s">
        <v>35</v>
      </c>
      <c r="G1331">
        <v>2</v>
      </c>
      <c r="H1331">
        <v>3</v>
      </c>
      <c r="I1331" t="s">
        <v>64</v>
      </c>
      <c r="J1331">
        <v>4</v>
      </c>
      <c r="K1331" t="s">
        <v>50</v>
      </c>
      <c r="L1331">
        <v>10325</v>
      </c>
      <c r="M1331">
        <v>1</v>
      </c>
      <c r="N1331" t="s">
        <v>32</v>
      </c>
      <c r="O1331">
        <v>11</v>
      </c>
      <c r="P1331">
        <v>3</v>
      </c>
      <c r="Q1331">
        <v>1</v>
      </c>
      <c r="R1331">
        <v>16</v>
      </c>
      <c r="S1331">
        <v>6</v>
      </c>
      <c r="T1331">
        <v>16</v>
      </c>
      <c r="U1331">
        <v>3</v>
      </c>
      <c r="V1331">
        <v>7</v>
      </c>
      <c r="W1331" t="s">
        <v>51</v>
      </c>
      <c r="X1331" s="1" t="d">
        <v>2005-03-23</v>
      </c>
      <c r="Z1331" t="s">
        <v>59</v>
      </c>
      <c r="AA1331" t="s">
        <v>46</v>
      </c>
      <c r="AB1331">
        <v>0</v>
      </c>
      <c r="AC1331">
        <v>0</v>
      </c>
      <c r="AD1331" t="s">
        <v>41</v>
      </c>
      <c r="AE1331" t="s">
        <v>60</v>
      </c>
      <c r="AF1331" t="s">
        <v>43</v>
      </c>
      <c r="AG1331">
        <f>IF(HR_Data[[#This Row],[Attrition]]="Yes",1,0)</f>
        <v>1</v>
      </c>
      <c r="AH1331" t="str">
        <f>IF(HR_Data[Date_of_termination]="","Active","Left")</f>
        <v>Active</v>
      </c>
      <c r="AI1331" t="str">
        <f>IF(HR_Data[YearsAtCompany]&lt;=2,"Fresher", IF(HR_Data[YearsAtCompany]&lt;=5,"Junior", IF(HR_Data[YearsAtCompany]&lt;=10, "Mid","Senior")))</f>
        <v>Senior</v>
      </c>
      <c r="AJ1331" s="2" t="str">
        <f>IF(HR_Data[MonthlyIncome]&lt;=300,"Low", IF(HR_Data[MonthlyIncome]&lt;=7000,"Medium", "High"))</f>
        <v>High</v>
      </c>
      <c r="AK1331" s="2" t="str">
        <f>VLOOKUP(HR_Data[JobRole], JobRole_Map[], 2, FALSE)</f>
        <v>Sales</v>
      </c>
    </row>
    <row r="1332" spans="1:37" x14ac:dyDescent="0.25">
      <c r="A1332" s="2">
        <v>35</v>
      </c>
      <c r="B1332" t="s">
        <v>41</v>
      </c>
      <c r="C1332" t="s">
        <v>33</v>
      </c>
      <c r="D1332" t="s">
        <v>34</v>
      </c>
      <c r="E1332">
        <v>25</v>
      </c>
      <c r="F1332" t="s">
        <v>58</v>
      </c>
      <c r="G1332">
        <v>3</v>
      </c>
      <c r="H1332">
        <v>3</v>
      </c>
      <c r="I1332" t="s">
        <v>69</v>
      </c>
      <c r="J1332">
        <v>3</v>
      </c>
      <c r="K1332" t="s">
        <v>55</v>
      </c>
      <c r="L1332">
        <v>10388</v>
      </c>
      <c r="M1332">
        <v>1</v>
      </c>
      <c r="N1332" t="s">
        <v>32</v>
      </c>
      <c r="O1332">
        <v>11</v>
      </c>
      <c r="P1332">
        <v>3</v>
      </c>
      <c r="Q1332">
        <v>1</v>
      </c>
      <c r="R1332">
        <v>16</v>
      </c>
      <c r="S1332">
        <v>3</v>
      </c>
      <c r="T1332">
        <v>16</v>
      </c>
      <c r="U1332">
        <v>10</v>
      </c>
      <c r="V1332">
        <v>1</v>
      </c>
      <c r="W1332" t="s">
        <v>51</v>
      </c>
      <c r="X1332" s="1" t="d">
        <v>2005-05-18</v>
      </c>
      <c r="Z1332" t="s">
        <v>39</v>
      </c>
      <c r="AA1332" t="s">
        <v>46</v>
      </c>
      <c r="AB1332">
        <v>0</v>
      </c>
      <c r="AC1332">
        <v>3</v>
      </c>
      <c r="AD1332" t="s">
        <v>32</v>
      </c>
      <c r="AE1332" t="s">
        <v>62</v>
      </c>
      <c r="AF1332" t="s">
        <v>48</v>
      </c>
      <c r="AG1332">
        <f>IF(HR_Data[[#This Row],[Attrition]]="Yes",1,0)</f>
        <v>0</v>
      </c>
      <c r="AH1332" t="str">
        <f>IF(HR_Data[Date_of_termination]="","Active","Left")</f>
        <v>Active</v>
      </c>
      <c r="AI1332" t="str">
        <f>IF(HR_Data[YearsAtCompany]&lt;=2,"Fresher", IF(HR_Data[YearsAtCompany]&lt;=5,"Junior", IF(HR_Data[YearsAtCompany]&lt;=10, "Mid","Senior")))</f>
        <v>Senior</v>
      </c>
      <c r="AJ1332" s="2" t="str">
        <f>IF(HR_Data[MonthlyIncome]&lt;=300,"Low", IF(HR_Data[MonthlyIncome]&lt;=7000,"Medium", "High"))</f>
        <v>High</v>
      </c>
      <c r="AK1332" s="2" t="str">
        <f>VLOOKUP(HR_Data[JobRole], JobRole_Map[], 2, FALSE)</f>
        <v>Operations</v>
      </c>
    </row>
    <row r="1333" spans="1:37" x14ac:dyDescent="0.25">
      <c r="A1333" s="2">
        <v>46</v>
      </c>
      <c r="B1333" t="s">
        <v>41</v>
      </c>
      <c r="C1333" t="s">
        <v>33</v>
      </c>
      <c r="D1333" t="s">
        <v>34</v>
      </c>
      <c r="E1333">
        <v>8</v>
      </c>
      <c r="F1333" t="s">
        <v>58</v>
      </c>
      <c r="G1333">
        <v>2</v>
      </c>
      <c r="H1333">
        <v>2</v>
      </c>
      <c r="I1333" t="s">
        <v>44</v>
      </c>
      <c r="J1333">
        <v>1</v>
      </c>
      <c r="K1333" t="s">
        <v>55</v>
      </c>
      <c r="L1333">
        <v>4615</v>
      </c>
      <c r="M1333">
        <v>8</v>
      </c>
      <c r="N1333" t="s">
        <v>32</v>
      </c>
      <c r="O1333">
        <v>23</v>
      </c>
      <c r="P1333">
        <v>4</v>
      </c>
      <c r="Q1333">
        <v>3</v>
      </c>
      <c r="R1333">
        <v>19</v>
      </c>
      <c r="S1333">
        <v>2</v>
      </c>
      <c r="T1333">
        <v>16</v>
      </c>
      <c r="U1333">
        <v>1</v>
      </c>
      <c r="V1333">
        <v>7</v>
      </c>
      <c r="W1333" t="s">
        <v>65</v>
      </c>
      <c r="X1333" s="1" t="d">
        <v>2005-05-25</v>
      </c>
      <c r="Z1333" t="s">
        <v>63</v>
      </c>
      <c r="AA1333" t="s">
        <v>46</v>
      </c>
      <c r="AB1333">
        <v>5</v>
      </c>
      <c r="AC1333">
        <v>0</v>
      </c>
      <c r="AD1333" t="s">
        <v>32</v>
      </c>
      <c r="AE1333" t="s">
        <v>62</v>
      </c>
      <c r="AF1333" t="s">
        <v>43</v>
      </c>
      <c r="AG1333">
        <f>IF(HR_Data[[#This Row],[Attrition]]="Yes",1,0)</f>
        <v>0</v>
      </c>
      <c r="AH1333" t="str">
        <f>IF(HR_Data[Date_of_termination]="","Active","Left")</f>
        <v>Active</v>
      </c>
      <c r="AI1333" t="str">
        <f>IF(HR_Data[YearsAtCompany]&lt;=2,"Fresher", IF(HR_Data[YearsAtCompany]&lt;=5,"Junior", IF(HR_Data[YearsAtCompany]&lt;=10, "Mid","Senior")))</f>
        <v>Senior</v>
      </c>
      <c r="AJ1333" s="2" t="str">
        <f>IF(HR_Data[MonthlyIncome]&lt;=300,"Low", IF(HR_Data[MonthlyIncome]&lt;=7000,"Medium", "High"))</f>
        <v>Medium</v>
      </c>
      <c r="AK1333" s="2" t="str">
        <f>VLOOKUP(HR_Data[JobRole], JobRole_Map[], 2, FALSE)</f>
        <v>Technical</v>
      </c>
    </row>
    <row r="1334" spans="1:37" x14ac:dyDescent="0.25">
      <c r="A1334" s="2">
        <v>36</v>
      </c>
      <c r="B1334" t="s">
        <v>41</v>
      </c>
      <c r="C1334" t="s">
        <v>33</v>
      </c>
      <c r="D1334" t="s">
        <v>34</v>
      </c>
      <c r="E1334">
        <v>2</v>
      </c>
      <c r="F1334" t="s">
        <v>58</v>
      </c>
      <c r="G1334">
        <v>3</v>
      </c>
      <c r="H1334">
        <v>2</v>
      </c>
      <c r="I1334" t="s">
        <v>67</v>
      </c>
      <c r="J1334">
        <v>2</v>
      </c>
      <c r="K1334" t="s">
        <v>37</v>
      </c>
      <c r="L1334">
        <v>5410</v>
      </c>
      <c r="M1334">
        <v>9</v>
      </c>
      <c r="N1334" t="s">
        <v>32</v>
      </c>
      <c r="O1334">
        <v>11</v>
      </c>
      <c r="P1334">
        <v>3</v>
      </c>
      <c r="Q1334">
        <v>0</v>
      </c>
      <c r="R1334">
        <v>18</v>
      </c>
      <c r="S1334">
        <v>2</v>
      </c>
      <c r="T1334">
        <v>16</v>
      </c>
      <c r="U1334">
        <v>5</v>
      </c>
      <c r="V1334">
        <v>12</v>
      </c>
      <c r="W1334" t="s">
        <v>65</v>
      </c>
      <c r="X1334" s="1" t="d">
        <v>2005-01-20</v>
      </c>
      <c r="Z1334" t="s">
        <v>39</v>
      </c>
      <c r="AA1334" t="s">
        <v>40</v>
      </c>
      <c r="AB1334">
        <v>4</v>
      </c>
      <c r="AC1334">
        <v>2</v>
      </c>
      <c r="AD1334" t="s">
        <v>32</v>
      </c>
      <c r="AE1334" t="s">
        <v>62</v>
      </c>
      <c r="AF1334" t="s">
        <v>57</v>
      </c>
      <c r="AG1334">
        <f>IF(HR_Data[[#This Row],[Attrition]]="Yes",1,0)</f>
        <v>0</v>
      </c>
      <c r="AH1334" t="str">
        <f>IF(HR_Data[Date_of_termination]="","Active","Left")</f>
        <v>Active</v>
      </c>
      <c r="AI1334" t="str">
        <f>IF(HR_Data[YearsAtCompany]&lt;=2,"Fresher", IF(HR_Data[YearsAtCompany]&lt;=5,"Junior", IF(HR_Data[YearsAtCompany]&lt;=10, "Mid","Senior")))</f>
        <v>Senior</v>
      </c>
      <c r="AJ1334" s="2" t="str">
        <f>IF(HR_Data[MonthlyIncome]&lt;=300,"Low", IF(HR_Data[MonthlyIncome]&lt;=7000,"Medium", "High"))</f>
        <v>Medium</v>
      </c>
      <c r="AK1334" s="2" t="str">
        <f>VLOOKUP(HR_Data[JobRole], JobRole_Map[], 2, FALSE)</f>
        <v>Operations</v>
      </c>
    </row>
    <row r="1335" spans="1:37" x14ac:dyDescent="0.25">
      <c r="A1335" s="2">
        <v>35</v>
      </c>
      <c r="B1335" t="s">
        <v>41</v>
      </c>
      <c r="C1335" t="s">
        <v>33</v>
      </c>
      <c r="D1335" t="s">
        <v>34</v>
      </c>
      <c r="E1335">
        <v>18</v>
      </c>
      <c r="F1335" t="s">
        <v>35</v>
      </c>
      <c r="G1335">
        <v>4</v>
      </c>
      <c r="H1335">
        <v>2</v>
      </c>
      <c r="I1335" t="s">
        <v>44</v>
      </c>
      <c r="J1335">
        <v>1</v>
      </c>
      <c r="K1335" t="s">
        <v>50</v>
      </c>
      <c r="L1335">
        <v>5208</v>
      </c>
      <c r="M1335">
        <v>1</v>
      </c>
      <c r="N1335" t="s">
        <v>41</v>
      </c>
      <c r="O1335">
        <v>11</v>
      </c>
      <c r="P1335">
        <v>3</v>
      </c>
      <c r="Q1335">
        <v>0</v>
      </c>
      <c r="R1335">
        <v>16</v>
      </c>
      <c r="S1335">
        <v>2</v>
      </c>
      <c r="T1335">
        <v>16</v>
      </c>
      <c r="U1335">
        <v>1</v>
      </c>
      <c r="V1335">
        <v>10</v>
      </c>
      <c r="W1335" t="s">
        <v>51</v>
      </c>
      <c r="X1335" s="1" t="d">
        <v>2005-03-15</v>
      </c>
      <c r="Z1335" t="s">
        <v>63</v>
      </c>
      <c r="AA1335" t="s">
        <v>40</v>
      </c>
      <c r="AB1335">
        <v>5</v>
      </c>
      <c r="AC1335">
        <v>1</v>
      </c>
      <c r="AD1335" t="s">
        <v>41</v>
      </c>
      <c r="AE1335" t="s">
        <v>42</v>
      </c>
      <c r="AF1335" t="s">
        <v>48</v>
      </c>
      <c r="AG1335">
        <f>IF(HR_Data[[#This Row],[Attrition]]="Yes",1,0)</f>
        <v>0</v>
      </c>
      <c r="AH1335" t="str">
        <f>IF(HR_Data[Date_of_termination]="","Active","Left")</f>
        <v>Active</v>
      </c>
      <c r="AI1335" t="str">
        <f>IF(HR_Data[YearsAtCompany]&lt;=2,"Fresher", IF(HR_Data[YearsAtCompany]&lt;=5,"Junior", IF(HR_Data[YearsAtCompany]&lt;=10, "Mid","Senior")))</f>
        <v>Senior</v>
      </c>
      <c r="AJ1335" s="2" t="str">
        <f>IF(HR_Data[MonthlyIncome]&lt;=300,"Low", IF(HR_Data[MonthlyIncome]&lt;=7000,"Medium", "High"))</f>
        <v>Medium</v>
      </c>
      <c r="AK1335" s="2" t="str">
        <f>VLOOKUP(HR_Data[JobRole], JobRole_Map[], 2, FALSE)</f>
        <v>Technical</v>
      </c>
    </row>
    <row r="1336" spans="1:37" x14ac:dyDescent="0.25">
      <c r="A1336" s="2">
        <v>58</v>
      </c>
      <c r="B1336" t="s">
        <v>41</v>
      </c>
      <c r="C1336" t="s">
        <v>68</v>
      </c>
      <c r="D1336" t="s">
        <v>53</v>
      </c>
      <c r="E1336">
        <v>2</v>
      </c>
      <c r="F1336" t="s">
        <v>35</v>
      </c>
      <c r="G1336">
        <v>3</v>
      </c>
      <c r="H1336">
        <v>4</v>
      </c>
      <c r="I1336" t="s">
        <v>66</v>
      </c>
      <c r="J1336">
        <v>2</v>
      </c>
      <c r="K1336" t="s">
        <v>55</v>
      </c>
      <c r="L1336">
        <v>16291</v>
      </c>
      <c r="M1336">
        <v>4</v>
      </c>
      <c r="N1336" t="s">
        <v>41</v>
      </c>
      <c r="O1336">
        <v>22</v>
      </c>
      <c r="P1336">
        <v>4</v>
      </c>
      <c r="Q1336">
        <v>1</v>
      </c>
      <c r="R1336">
        <v>37</v>
      </c>
      <c r="S1336">
        <v>0</v>
      </c>
      <c r="T1336">
        <v>16</v>
      </c>
      <c r="U1336">
        <v>14</v>
      </c>
      <c r="V1336">
        <v>14</v>
      </c>
      <c r="W1336" t="s">
        <v>65</v>
      </c>
      <c r="X1336" s="1" t="d">
        <v>2005-06-09</v>
      </c>
      <c r="Z1336" t="s">
        <v>45</v>
      </c>
      <c r="AA1336" t="s">
        <v>46</v>
      </c>
      <c r="AB1336">
        <v>4</v>
      </c>
      <c r="AC1336">
        <v>0</v>
      </c>
      <c r="AD1336" t="s">
        <v>41</v>
      </c>
      <c r="AE1336" t="s">
        <v>62</v>
      </c>
      <c r="AF1336" t="s">
        <v>43</v>
      </c>
      <c r="AG1336">
        <f>IF(HR_Data[[#This Row],[Attrition]]="Yes",1,0)</f>
        <v>0</v>
      </c>
      <c r="AH1336" t="str">
        <f>IF(HR_Data[Date_of_termination]="","Active","Left")</f>
        <v>Active</v>
      </c>
      <c r="AI1336" t="str">
        <f>IF(HR_Data[YearsAtCompany]&lt;=2,"Fresher", IF(HR_Data[YearsAtCompany]&lt;=5,"Junior", IF(HR_Data[YearsAtCompany]&lt;=10, "Mid","Senior")))</f>
        <v>Senior</v>
      </c>
      <c r="AJ1336" s="2" t="str">
        <f>IF(HR_Data[MonthlyIncome]&lt;=300,"Low", IF(HR_Data[MonthlyIncome]&lt;=7000,"Medium", "High"))</f>
        <v>High</v>
      </c>
      <c r="AK1336" s="2" t="str">
        <f>VLOOKUP(HR_Data[JobRole], JobRole_Map[], 2, FALSE)</f>
        <v>Management</v>
      </c>
    </row>
    <row r="1337" spans="1:37" x14ac:dyDescent="0.25">
      <c r="A1337" s="2">
        <v>43</v>
      </c>
      <c r="B1337" t="s">
        <v>41</v>
      </c>
      <c r="C1337" t="s">
        <v>33</v>
      </c>
      <c r="D1337" t="s">
        <v>34</v>
      </c>
      <c r="E1337">
        <v>6</v>
      </c>
      <c r="F1337" t="s">
        <v>58</v>
      </c>
      <c r="G1337">
        <v>2</v>
      </c>
      <c r="H1337">
        <v>5</v>
      </c>
      <c r="I1337" t="s">
        <v>66</v>
      </c>
      <c r="J1337">
        <v>3</v>
      </c>
      <c r="K1337" t="s">
        <v>50</v>
      </c>
      <c r="L1337">
        <v>19392</v>
      </c>
      <c r="M1337">
        <v>7</v>
      </c>
      <c r="N1337" t="s">
        <v>41</v>
      </c>
      <c r="O1337">
        <v>13</v>
      </c>
      <c r="P1337">
        <v>3</v>
      </c>
      <c r="Q1337">
        <v>0</v>
      </c>
      <c r="R1337">
        <v>21</v>
      </c>
      <c r="S1337">
        <v>2</v>
      </c>
      <c r="T1337">
        <v>16</v>
      </c>
      <c r="U1337">
        <v>6</v>
      </c>
      <c r="V1337">
        <v>14</v>
      </c>
      <c r="W1337" t="s">
        <v>38</v>
      </c>
      <c r="X1337" s="1" t="d">
        <v>2005-06-23</v>
      </c>
      <c r="Z1337" t="s">
        <v>52</v>
      </c>
      <c r="AA1337" t="s">
        <v>46</v>
      </c>
      <c r="AB1337">
        <v>2</v>
      </c>
      <c r="AC1337">
        <v>1</v>
      </c>
      <c r="AD1337" t="s">
        <v>32</v>
      </c>
      <c r="AE1337" t="s">
        <v>62</v>
      </c>
      <c r="AF1337" t="s">
        <v>48</v>
      </c>
      <c r="AG1337">
        <f>IF(HR_Data[[#This Row],[Attrition]]="Yes",1,0)</f>
        <v>0</v>
      </c>
      <c r="AH1337" t="str">
        <f>IF(HR_Data[Date_of_termination]="","Active","Left")</f>
        <v>Active</v>
      </c>
      <c r="AI1337" t="str">
        <f>IF(HR_Data[YearsAtCompany]&lt;=2,"Fresher", IF(HR_Data[YearsAtCompany]&lt;=5,"Junior", IF(HR_Data[YearsAtCompany]&lt;=10, "Mid","Senior")))</f>
        <v>Senior</v>
      </c>
      <c r="AJ1337" s="2" t="str">
        <f>IF(HR_Data[MonthlyIncome]&lt;=300,"Low", IF(HR_Data[MonthlyIncome]&lt;=7000,"Medium", "High"))</f>
        <v>High</v>
      </c>
      <c r="AK1337" s="2" t="str">
        <f>VLOOKUP(HR_Data[JobRole], JobRole_Map[], 2, FALSE)</f>
        <v>Management</v>
      </c>
    </row>
    <row r="1338" spans="1:37" x14ac:dyDescent="0.25">
      <c r="A1338" s="2">
        <v>37</v>
      </c>
      <c r="B1338" t="s">
        <v>41</v>
      </c>
      <c r="C1338" t="s">
        <v>33</v>
      </c>
      <c r="D1338" t="s">
        <v>34</v>
      </c>
      <c r="E1338">
        <v>10</v>
      </c>
      <c r="F1338" t="s">
        <v>58</v>
      </c>
      <c r="G1338">
        <v>4</v>
      </c>
      <c r="H1338">
        <v>3</v>
      </c>
      <c r="I1338" t="s">
        <v>49</v>
      </c>
      <c r="J1338">
        <v>4</v>
      </c>
      <c r="K1338" t="s">
        <v>50</v>
      </c>
      <c r="L1338">
        <v>13744</v>
      </c>
      <c r="M1338">
        <v>1</v>
      </c>
      <c r="N1338" t="s">
        <v>32</v>
      </c>
      <c r="O1338">
        <v>25</v>
      </c>
      <c r="P1338">
        <v>4</v>
      </c>
      <c r="Q1338">
        <v>1</v>
      </c>
      <c r="R1338">
        <v>16</v>
      </c>
      <c r="S1338">
        <v>2</v>
      </c>
      <c r="T1338">
        <v>16</v>
      </c>
      <c r="U1338">
        <v>6</v>
      </c>
      <c r="V1338">
        <v>8</v>
      </c>
      <c r="W1338" t="s">
        <v>51</v>
      </c>
      <c r="X1338" s="1" t="d">
        <v>2005-06-14</v>
      </c>
      <c r="Z1338" t="s">
        <v>52</v>
      </c>
      <c r="AA1338" t="s">
        <v>46</v>
      </c>
      <c r="AB1338">
        <v>5</v>
      </c>
      <c r="AC1338">
        <v>2</v>
      </c>
      <c r="AD1338" t="s">
        <v>41</v>
      </c>
      <c r="AE1338" t="s">
        <v>62</v>
      </c>
      <c r="AF1338" t="s">
        <v>57</v>
      </c>
      <c r="AG1338">
        <f>IF(HR_Data[[#This Row],[Attrition]]="Yes",1,0)</f>
        <v>0</v>
      </c>
      <c r="AH1338" t="str">
        <f>IF(HR_Data[Date_of_termination]="","Active","Left")</f>
        <v>Active</v>
      </c>
      <c r="AI1338" t="str">
        <f>IF(HR_Data[YearsAtCompany]&lt;=2,"Fresher", IF(HR_Data[YearsAtCompany]&lt;=5,"Junior", IF(HR_Data[YearsAtCompany]&lt;=10, "Mid","Senior")))</f>
        <v>Senior</v>
      </c>
      <c r="AJ1338" s="2" t="str">
        <f>IF(HR_Data[MonthlyIncome]&lt;=300,"Low", IF(HR_Data[MonthlyIncome]&lt;=7000,"Medium", "High"))</f>
        <v>High</v>
      </c>
      <c r="AK1338" s="2" t="str">
        <f>VLOOKUP(HR_Data[JobRole], JobRole_Map[], 2, FALSE)</f>
        <v>Management</v>
      </c>
    </row>
    <row r="1339" spans="1:37" x14ac:dyDescent="0.25">
      <c r="A1339" s="2">
        <v>36</v>
      </c>
      <c r="B1339" t="s">
        <v>41</v>
      </c>
      <c r="C1339" t="s">
        <v>33</v>
      </c>
      <c r="D1339" t="s">
        <v>34</v>
      </c>
      <c r="E1339">
        <v>8</v>
      </c>
      <c r="F1339" t="s">
        <v>58</v>
      </c>
      <c r="G1339">
        <v>3</v>
      </c>
      <c r="H1339">
        <v>3</v>
      </c>
      <c r="I1339" t="s">
        <v>69</v>
      </c>
      <c r="J1339">
        <v>3</v>
      </c>
      <c r="K1339" t="s">
        <v>55</v>
      </c>
      <c r="L1339">
        <v>10096</v>
      </c>
      <c r="M1339">
        <v>1</v>
      </c>
      <c r="N1339" t="s">
        <v>41</v>
      </c>
      <c r="O1339">
        <v>13</v>
      </c>
      <c r="P1339">
        <v>3</v>
      </c>
      <c r="Q1339">
        <v>3</v>
      </c>
      <c r="R1339">
        <v>17</v>
      </c>
      <c r="S1339">
        <v>2</v>
      </c>
      <c r="T1339">
        <v>17</v>
      </c>
      <c r="U1339">
        <v>12</v>
      </c>
      <c r="V1339">
        <v>8</v>
      </c>
      <c r="W1339" t="s">
        <v>56</v>
      </c>
      <c r="X1339" s="1" t="d">
        <v>2004-02-08</v>
      </c>
      <c r="Z1339" t="s">
        <v>39</v>
      </c>
      <c r="AA1339" t="s">
        <v>46</v>
      </c>
      <c r="AB1339">
        <v>4</v>
      </c>
      <c r="AC1339">
        <v>1</v>
      </c>
      <c r="AD1339" t="s">
        <v>32</v>
      </c>
      <c r="AE1339" t="s">
        <v>60</v>
      </c>
      <c r="AF1339" t="s">
        <v>43</v>
      </c>
      <c r="AG1339">
        <f>IF(HR_Data[[#This Row],[Attrition]]="Yes",1,0)</f>
        <v>0</v>
      </c>
      <c r="AH1339" t="str">
        <f>IF(HR_Data[Date_of_termination]="","Active","Left")</f>
        <v>Active</v>
      </c>
      <c r="AI1339" t="str">
        <f>IF(HR_Data[YearsAtCompany]&lt;=2,"Fresher", IF(HR_Data[YearsAtCompany]&lt;=5,"Junior", IF(HR_Data[YearsAtCompany]&lt;=10, "Mid","Senior")))</f>
        <v>Senior</v>
      </c>
      <c r="AJ1339" s="2" t="str">
        <f>IF(HR_Data[MonthlyIncome]&lt;=300,"Low", IF(HR_Data[MonthlyIncome]&lt;=7000,"Medium", "High"))</f>
        <v>High</v>
      </c>
      <c r="AK1339" s="2" t="str">
        <f>VLOOKUP(HR_Data[JobRole], JobRole_Map[], 2, FALSE)</f>
        <v>Operations</v>
      </c>
    </row>
    <row r="1340" spans="1:37" x14ac:dyDescent="0.25">
      <c r="A1340" s="2">
        <v>45</v>
      </c>
      <c r="B1340" t="s">
        <v>41</v>
      </c>
      <c r="C1340" t="s">
        <v>33</v>
      </c>
      <c r="D1340" t="s">
        <v>34</v>
      </c>
      <c r="E1340">
        <v>9</v>
      </c>
      <c r="F1340" t="s">
        <v>35</v>
      </c>
      <c r="G1340">
        <v>3</v>
      </c>
      <c r="H1340">
        <v>2</v>
      </c>
      <c r="I1340" t="s">
        <v>36</v>
      </c>
      <c r="J1340">
        <v>2</v>
      </c>
      <c r="K1340" t="s">
        <v>55</v>
      </c>
      <c r="L1340">
        <v>2348</v>
      </c>
      <c r="M1340">
        <v>8</v>
      </c>
      <c r="N1340" t="s">
        <v>41</v>
      </c>
      <c r="O1340">
        <v>18</v>
      </c>
      <c r="P1340">
        <v>3</v>
      </c>
      <c r="Q1340">
        <v>1</v>
      </c>
      <c r="R1340">
        <v>20</v>
      </c>
      <c r="S1340">
        <v>2</v>
      </c>
      <c r="T1340">
        <v>17</v>
      </c>
      <c r="U1340">
        <v>0</v>
      </c>
      <c r="V1340">
        <v>15</v>
      </c>
      <c r="W1340" t="s">
        <v>51</v>
      </c>
      <c r="X1340" s="1" t="d">
        <v>2004-05-23</v>
      </c>
      <c r="Z1340" t="s">
        <v>59</v>
      </c>
      <c r="AA1340" t="s">
        <v>46</v>
      </c>
      <c r="AB1340">
        <v>4</v>
      </c>
      <c r="AC1340">
        <v>3</v>
      </c>
      <c r="AD1340" t="s">
        <v>41</v>
      </c>
      <c r="AE1340" t="s">
        <v>42</v>
      </c>
      <c r="AF1340" t="s">
        <v>48</v>
      </c>
      <c r="AG1340">
        <f>IF(HR_Data[[#This Row],[Attrition]]="Yes",1,0)</f>
        <v>0</v>
      </c>
      <c r="AH1340" t="str">
        <f>IF(HR_Data[Date_of_termination]="","Active","Left")</f>
        <v>Active</v>
      </c>
      <c r="AI1340" t="str">
        <f>IF(HR_Data[YearsAtCompany]&lt;=2,"Fresher", IF(HR_Data[YearsAtCompany]&lt;=5,"Junior", IF(HR_Data[YearsAtCompany]&lt;=10, "Mid","Senior")))</f>
        <v>Senior</v>
      </c>
      <c r="AJ1340" s="2" t="str">
        <f>IF(HR_Data[MonthlyIncome]&lt;=300,"Low", IF(HR_Data[MonthlyIncome]&lt;=7000,"Medium", "High"))</f>
        <v>Medium</v>
      </c>
      <c r="AK1340" s="2" t="str">
        <f>VLOOKUP(HR_Data[JobRole], JobRole_Map[], 2, FALSE)</f>
        <v>Technical</v>
      </c>
    </row>
    <row r="1341" spans="1:37" x14ac:dyDescent="0.25">
      <c r="A1341" s="2">
        <v>43</v>
      </c>
      <c r="B1341" t="s">
        <v>41</v>
      </c>
      <c r="C1341" t="s">
        <v>33</v>
      </c>
      <c r="D1341" t="s">
        <v>53</v>
      </c>
      <c r="E1341">
        <v>16</v>
      </c>
      <c r="F1341" t="s">
        <v>58</v>
      </c>
      <c r="G1341">
        <v>3</v>
      </c>
      <c r="H1341">
        <v>4</v>
      </c>
      <c r="I1341" t="s">
        <v>66</v>
      </c>
      <c r="J1341">
        <v>4</v>
      </c>
      <c r="K1341" t="s">
        <v>50</v>
      </c>
      <c r="L1341">
        <v>16064</v>
      </c>
      <c r="M1341">
        <v>5</v>
      </c>
      <c r="N1341" t="s">
        <v>32</v>
      </c>
      <c r="O1341">
        <v>22</v>
      </c>
      <c r="P1341">
        <v>4</v>
      </c>
      <c r="Q1341">
        <v>1</v>
      </c>
      <c r="R1341">
        <v>22</v>
      </c>
      <c r="S1341">
        <v>3</v>
      </c>
      <c r="T1341">
        <v>17</v>
      </c>
      <c r="U1341">
        <v>1</v>
      </c>
      <c r="V1341">
        <v>9</v>
      </c>
      <c r="W1341" t="s">
        <v>51</v>
      </c>
      <c r="X1341" s="1" t="d">
        <v>2004-04-11</v>
      </c>
      <c r="Z1341" t="s">
        <v>52</v>
      </c>
      <c r="AA1341" t="s">
        <v>40</v>
      </c>
      <c r="AB1341">
        <v>1</v>
      </c>
      <c r="AC1341">
        <v>0</v>
      </c>
      <c r="AD1341" t="s">
        <v>41</v>
      </c>
      <c r="AE1341" t="s">
        <v>42</v>
      </c>
      <c r="AF1341" t="s">
        <v>43</v>
      </c>
      <c r="AG1341">
        <f>IF(HR_Data[[#This Row],[Attrition]]="Yes",1,0)</f>
        <v>0</v>
      </c>
      <c r="AH1341" t="str">
        <f>IF(HR_Data[Date_of_termination]="","Active","Left")</f>
        <v>Active</v>
      </c>
      <c r="AI1341" t="str">
        <f>IF(HR_Data[YearsAtCompany]&lt;=2,"Fresher", IF(HR_Data[YearsAtCompany]&lt;=5,"Junior", IF(HR_Data[YearsAtCompany]&lt;=10, "Mid","Senior")))</f>
        <v>Senior</v>
      </c>
      <c r="AJ1341" s="2" t="str">
        <f>IF(HR_Data[MonthlyIncome]&lt;=300,"Low", IF(HR_Data[MonthlyIncome]&lt;=7000,"Medium", "High"))</f>
        <v>High</v>
      </c>
      <c r="AK1341" s="2" t="str">
        <f>VLOOKUP(HR_Data[JobRole], JobRole_Map[], 2, FALSE)</f>
        <v>Management</v>
      </c>
    </row>
    <row r="1342" spans="1:37" x14ac:dyDescent="0.25">
      <c r="A1342" s="2">
        <v>37</v>
      </c>
      <c r="B1342" t="s">
        <v>41</v>
      </c>
      <c r="C1342" t="s">
        <v>33</v>
      </c>
      <c r="D1342" t="s">
        <v>34</v>
      </c>
      <c r="E1342">
        <v>1</v>
      </c>
      <c r="F1342" t="s">
        <v>58</v>
      </c>
      <c r="G1342">
        <v>3</v>
      </c>
      <c r="H1342">
        <v>1</v>
      </c>
      <c r="I1342" t="s">
        <v>44</v>
      </c>
      <c r="J1342">
        <v>4</v>
      </c>
      <c r="K1342" t="s">
        <v>37</v>
      </c>
      <c r="L1342">
        <v>2115</v>
      </c>
      <c r="M1342">
        <v>1</v>
      </c>
      <c r="N1342" t="s">
        <v>41</v>
      </c>
      <c r="O1342">
        <v>12</v>
      </c>
      <c r="P1342">
        <v>3</v>
      </c>
      <c r="Q1342">
        <v>0</v>
      </c>
      <c r="R1342">
        <v>17</v>
      </c>
      <c r="S1342">
        <v>3</v>
      </c>
      <c r="T1342">
        <v>17</v>
      </c>
      <c r="U1342">
        <v>5</v>
      </c>
      <c r="V1342">
        <v>7</v>
      </c>
      <c r="W1342" t="s">
        <v>51</v>
      </c>
      <c r="X1342" s="1" t="d">
        <v>2004-05-27</v>
      </c>
      <c r="Z1342" t="s">
        <v>39</v>
      </c>
      <c r="AA1342" t="s">
        <v>40</v>
      </c>
      <c r="AB1342">
        <v>3</v>
      </c>
      <c r="AC1342">
        <v>0</v>
      </c>
      <c r="AD1342" t="s">
        <v>41</v>
      </c>
      <c r="AE1342" t="s">
        <v>62</v>
      </c>
      <c r="AF1342" t="s">
        <v>57</v>
      </c>
      <c r="AG1342">
        <f>IF(HR_Data[[#This Row],[Attrition]]="Yes",1,0)</f>
        <v>0</v>
      </c>
      <c r="AH1342" t="str">
        <f>IF(HR_Data[Date_of_termination]="","Active","Left")</f>
        <v>Active</v>
      </c>
      <c r="AI1342" t="str">
        <f>IF(HR_Data[YearsAtCompany]&lt;=2,"Fresher", IF(HR_Data[YearsAtCompany]&lt;=5,"Junior", IF(HR_Data[YearsAtCompany]&lt;=10, "Mid","Senior")))</f>
        <v>Senior</v>
      </c>
      <c r="AJ1342" s="2" t="str">
        <f>IF(HR_Data[MonthlyIncome]&lt;=300,"Low", IF(HR_Data[MonthlyIncome]&lt;=7000,"Medium", "High"))</f>
        <v>Medium</v>
      </c>
      <c r="AK1342" s="2" t="str">
        <f>VLOOKUP(HR_Data[JobRole], JobRole_Map[], 2, FALSE)</f>
        <v>Technical</v>
      </c>
    </row>
    <row r="1343" spans="1:37" x14ac:dyDescent="0.25">
      <c r="A1343" s="2">
        <v>35</v>
      </c>
      <c r="B1343" t="s">
        <v>41</v>
      </c>
      <c r="C1343" t="s">
        <v>33</v>
      </c>
      <c r="D1343" t="s">
        <v>34</v>
      </c>
      <c r="E1343">
        <v>6</v>
      </c>
      <c r="F1343" t="s">
        <v>35</v>
      </c>
      <c r="G1343">
        <v>1</v>
      </c>
      <c r="H1343">
        <v>2</v>
      </c>
      <c r="I1343" t="s">
        <v>44</v>
      </c>
      <c r="J1343">
        <v>4</v>
      </c>
      <c r="K1343" t="s">
        <v>37</v>
      </c>
      <c r="L1343">
        <v>6646</v>
      </c>
      <c r="M1343">
        <v>1</v>
      </c>
      <c r="N1343" t="s">
        <v>41</v>
      </c>
      <c r="O1343">
        <v>13</v>
      </c>
      <c r="P1343">
        <v>3</v>
      </c>
      <c r="Q1343">
        <v>0</v>
      </c>
      <c r="R1343">
        <v>17</v>
      </c>
      <c r="S1343">
        <v>3</v>
      </c>
      <c r="T1343">
        <v>17</v>
      </c>
      <c r="U1343">
        <v>11</v>
      </c>
      <c r="V1343">
        <v>8</v>
      </c>
      <c r="W1343" t="s">
        <v>51</v>
      </c>
      <c r="X1343" s="1" t="d">
        <v>2004-01-22</v>
      </c>
      <c r="Z1343" t="s">
        <v>63</v>
      </c>
      <c r="AA1343" t="s">
        <v>46</v>
      </c>
      <c r="AB1343">
        <v>0</v>
      </c>
      <c r="AC1343">
        <v>1</v>
      </c>
      <c r="AD1343" t="s">
        <v>32</v>
      </c>
      <c r="AE1343" t="s">
        <v>60</v>
      </c>
      <c r="AF1343" t="s">
        <v>43</v>
      </c>
      <c r="AG1343">
        <f>IF(HR_Data[[#This Row],[Attrition]]="Yes",1,0)</f>
        <v>0</v>
      </c>
      <c r="AH1343" t="str">
        <f>IF(HR_Data[Date_of_termination]="","Active","Left")</f>
        <v>Active</v>
      </c>
      <c r="AI1343" t="str">
        <f>IF(HR_Data[YearsAtCompany]&lt;=2,"Fresher", IF(HR_Data[YearsAtCompany]&lt;=5,"Junior", IF(HR_Data[YearsAtCompany]&lt;=10, "Mid","Senior")))</f>
        <v>Senior</v>
      </c>
      <c r="AJ1343" s="2" t="str">
        <f>IF(HR_Data[MonthlyIncome]&lt;=300,"Low", IF(HR_Data[MonthlyIncome]&lt;=7000,"Medium", "High"))</f>
        <v>Medium</v>
      </c>
      <c r="AK1343" s="2" t="str">
        <f>VLOOKUP(HR_Data[JobRole], JobRole_Map[], 2, FALSE)</f>
        <v>Technical</v>
      </c>
    </row>
    <row r="1344" spans="1:37" x14ac:dyDescent="0.25">
      <c r="A1344" s="2">
        <v>35</v>
      </c>
      <c r="B1344" t="s">
        <v>41</v>
      </c>
      <c r="C1344" t="s">
        <v>33</v>
      </c>
      <c r="D1344" t="s">
        <v>34</v>
      </c>
      <c r="E1344">
        <v>9</v>
      </c>
      <c r="F1344" t="s">
        <v>58</v>
      </c>
      <c r="G1344">
        <v>2</v>
      </c>
      <c r="H1344">
        <v>3</v>
      </c>
      <c r="I1344" t="s">
        <v>67</v>
      </c>
      <c r="J1344">
        <v>3</v>
      </c>
      <c r="K1344" t="s">
        <v>50</v>
      </c>
      <c r="L1344">
        <v>10685</v>
      </c>
      <c r="M1344">
        <v>1</v>
      </c>
      <c r="N1344" t="s">
        <v>32</v>
      </c>
      <c r="O1344">
        <v>20</v>
      </c>
      <c r="P1344">
        <v>4</v>
      </c>
      <c r="Q1344">
        <v>1</v>
      </c>
      <c r="R1344">
        <v>17</v>
      </c>
      <c r="S1344">
        <v>2</v>
      </c>
      <c r="T1344">
        <v>17</v>
      </c>
      <c r="U1344">
        <v>5</v>
      </c>
      <c r="V1344">
        <v>15</v>
      </c>
      <c r="W1344" t="s">
        <v>56</v>
      </c>
      <c r="X1344" s="1" t="d">
        <v>2004-05-12</v>
      </c>
      <c r="Z1344" t="s">
        <v>63</v>
      </c>
      <c r="AA1344" t="s">
        <v>40</v>
      </c>
      <c r="AB1344">
        <v>5</v>
      </c>
      <c r="AC1344">
        <v>1</v>
      </c>
      <c r="AD1344" t="s">
        <v>41</v>
      </c>
      <c r="AE1344" t="s">
        <v>42</v>
      </c>
      <c r="AF1344" t="s">
        <v>48</v>
      </c>
      <c r="AG1344">
        <f>IF(HR_Data[[#This Row],[Attrition]]="Yes",1,0)</f>
        <v>0</v>
      </c>
      <c r="AH1344" t="str">
        <f>IF(HR_Data[Date_of_termination]="","Active","Left")</f>
        <v>Active</v>
      </c>
      <c r="AI1344" t="str">
        <f>IF(HR_Data[YearsAtCompany]&lt;=2,"Fresher", IF(HR_Data[YearsAtCompany]&lt;=5,"Junior", IF(HR_Data[YearsAtCompany]&lt;=10, "Mid","Senior")))</f>
        <v>Senior</v>
      </c>
      <c r="AJ1344" s="2" t="str">
        <f>IF(HR_Data[MonthlyIncome]&lt;=300,"Low", IF(HR_Data[MonthlyIncome]&lt;=7000,"Medium", "High"))</f>
        <v>High</v>
      </c>
      <c r="AK1344" s="2" t="str">
        <f>VLOOKUP(HR_Data[JobRole], JobRole_Map[], 2, FALSE)</f>
        <v>Operations</v>
      </c>
    </row>
    <row r="1345" spans="1:37" x14ac:dyDescent="0.25">
      <c r="A1345" s="2">
        <v>53</v>
      </c>
      <c r="B1345" t="s">
        <v>41</v>
      </c>
      <c r="C1345" t="s">
        <v>33</v>
      </c>
      <c r="D1345" t="s">
        <v>53</v>
      </c>
      <c r="E1345">
        <v>2</v>
      </c>
      <c r="F1345" t="s">
        <v>35</v>
      </c>
      <c r="G1345">
        <v>3</v>
      </c>
      <c r="H1345">
        <v>4</v>
      </c>
      <c r="I1345" t="s">
        <v>66</v>
      </c>
      <c r="J1345">
        <v>3</v>
      </c>
      <c r="K1345" t="s">
        <v>55</v>
      </c>
      <c r="L1345">
        <v>14852</v>
      </c>
      <c r="M1345">
        <v>6</v>
      </c>
      <c r="N1345" t="s">
        <v>41</v>
      </c>
      <c r="O1345">
        <v>13</v>
      </c>
      <c r="P1345">
        <v>3</v>
      </c>
      <c r="Q1345">
        <v>1</v>
      </c>
      <c r="R1345">
        <v>22</v>
      </c>
      <c r="S1345">
        <v>3</v>
      </c>
      <c r="T1345">
        <v>17</v>
      </c>
      <c r="U1345">
        <v>15</v>
      </c>
      <c r="V1345">
        <v>2</v>
      </c>
      <c r="W1345" t="s">
        <v>65</v>
      </c>
      <c r="X1345" s="1" t="d">
        <v>2004-03-19</v>
      </c>
      <c r="Z1345" t="s">
        <v>63</v>
      </c>
      <c r="AA1345" t="s">
        <v>46</v>
      </c>
      <c r="AB1345">
        <v>3</v>
      </c>
      <c r="AC1345">
        <v>3</v>
      </c>
      <c r="AD1345" t="s">
        <v>41</v>
      </c>
      <c r="AE1345" t="s">
        <v>42</v>
      </c>
      <c r="AF1345" t="s">
        <v>43</v>
      </c>
      <c r="AG1345">
        <f>IF(HR_Data[[#This Row],[Attrition]]="Yes",1,0)</f>
        <v>0</v>
      </c>
      <c r="AH1345" t="str">
        <f>IF(HR_Data[Date_of_termination]="","Active","Left")</f>
        <v>Active</v>
      </c>
      <c r="AI1345" t="str">
        <f>IF(HR_Data[YearsAtCompany]&lt;=2,"Fresher", IF(HR_Data[YearsAtCompany]&lt;=5,"Junior", IF(HR_Data[YearsAtCompany]&lt;=10, "Mid","Senior")))</f>
        <v>Senior</v>
      </c>
      <c r="AJ1345" s="2" t="str">
        <f>IF(HR_Data[MonthlyIncome]&lt;=300,"Low", IF(HR_Data[MonthlyIncome]&lt;=7000,"Medium", "High"))</f>
        <v>High</v>
      </c>
      <c r="AK1345" s="2" t="str">
        <f>VLOOKUP(HR_Data[JobRole], JobRole_Map[], 2, FALSE)</f>
        <v>Management</v>
      </c>
    </row>
    <row r="1346" spans="1:37" x14ac:dyDescent="0.25">
      <c r="A1346" s="2">
        <v>36</v>
      </c>
      <c r="B1346" t="s">
        <v>32</v>
      </c>
      <c r="C1346" t="s">
        <v>33</v>
      </c>
      <c r="D1346" t="s">
        <v>34</v>
      </c>
      <c r="E1346">
        <v>16</v>
      </c>
      <c r="F1346" t="s">
        <v>58</v>
      </c>
      <c r="G1346">
        <v>4</v>
      </c>
      <c r="H1346">
        <v>1</v>
      </c>
      <c r="I1346" t="s">
        <v>36</v>
      </c>
      <c r="J1346">
        <v>1</v>
      </c>
      <c r="K1346" t="s">
        <v>37</v>
      </c>
      <c r="L1346">
        <v>2743</v>
      </c>
      <c r="M1346">
        <v>1</v>
      </c>
      <c r="N1346" t="s">
        <v>41</v>
      </c>
      <c r="O1346">
        <v>16</v>
      </c>
      <c r="P1346">
        <v>3</v>
      </c>
      <c r="Q1346">
        <v>0</v>
      </c>
      <c r="R1346">
        <v>18</v>
      </c>
      <c r="S1346">
        <v>1</v>
      </c>
      <c r="T1346">
        <v>17</v>
      </c>
      <c r="U1346">
        <v>15</v>
      </c>
      <c r="V1346">
        <v>14</v>
      </c>
      <c r="W1346" t="s">
        <v>51</v>
      </c>
      <c r="X1346" s="1" t="d">
        <v>2004-06-21</v>
      </c>
      <c r="Z1346" t="s">
        <v>63</v>
      </c>
      <c r="AA1346" t="s">
        <v>46</v>
      </c>
      <c r="AB1346">
        <v>2</v>
      </c>
      <c r="AC1346">
        <v>1</v>
      </c>
      <c r="AD1346" t="s">
        <v>32</v>
      </c>
      <c r="AE1346" t="s">
        <v>47</v>
      </c>
      <c r="AF1346" t="s">
        <v>57</v>
      </c>
      <c r="AG1346">
        <f>IF(HR_Data[[#This Row],[Attrition]]="Yes",1,0)</f>
        <v>1</v>
      </c>
      <c r="AH1346" t="str">
        <f>IF(HR_Data[Date_of_termination]="","Active","Left")</f>
        <v>Active</v>
      </c>
      <c r="AI1346" t="str">
        <f>IF(HR_Data[YearsAtCompany]&lt;=2,"Fresher", IF(HR_Data[YearsAtCompany]&lt;=5,"Junior", IF(HR_Data[YearsAtCompany]&lt;=10, "Mid","Senior")))</f>
        <v>Senior</v>
      </c>
      <c r="AJ1346" s="2" t="str">
        <f>IF(HR_Data[MonthlyIncome]&lt;=300,"Low", IF(HR_Data[MonthlyIncome]&lt;=7000,"Medium", "High"))</f>
        <v>Medium</v>
      </c>
      <c r="AK1346" s="2" t="str">
        <f>VLOOKUP(HR_Data[JobRole], JobRole_Map[], 2, FALSE)</f>
        <v>Technical</v>
      </c>
    </row>
    <row r="1347" spans="1:37" x14ac:dyDescent="0.25">
      <c r="A1347" s="2">
        <v>47</v>
      </c>
      <c r="B1347" t="s">
        <v>41</v>
      </c>
      <c r="C1347" t="s">
        <v>33</v>
      </c>
      <c r="D1347" t="s">
        <v>34</v>
      </c>
      <c r="E1347">
        <v>25</v>
      </c>
      <c r="F1347" t="s">
        <v>35</v>
      </c>
      <c r="G1347">
        <v>3</v>
      </c>
      <c r="H1347">
        <v>3</v>
      </c>
      <c r="I1347" t="s">
        <v>69</v>
      </c>
      <c r="J1347">
        <v>3</v>
      </c>
      <c r="K1347" t="s">
        <v>37</v>
      </c>
      <c r="L1347">
        <v>8633</v>
      </c>
      <c r="M1347">
        <v>2</v>
      </c>
      <c r="N1347" t="s">
        <v>41</v>
      </c>
      <c r="O1347">
        <v>23</v>
      </c>
      <c r="P1347">
        <v>4</v>
      </c>
      <c r="Q1347">
        <v>0</v>
      </c>
      <c r="R1347">
        <v>25</v>
      </c>
      <c r="S1347">
        <v>3</v>
      </c>
      <c r="T1347">
        <v>17</v>
      </c>
      <c r="U1347">
        <v>12</v>
      </c>
      <c r="V1347">
        <v>11</v>
      </c>
      <c r="W1347" t="s">
        <v>65</v>
      </c>
      <c r="X1347" s="1" t="d">
        <v>2004-06-16</v>
      </c>
      <c r="Z1347" t="s">
        <v>39</v>
      </c>
      <c r="AA1347" t="s">
        <v>40</v>
      </c>
      <c r="AB1347">
        <v>0</v>
      </c>
      <c r="AC1347">
        <v>2</v>
      </c>
      <c r="AD1347" t="s">
        <v>32</v>
      </c>
      <c r="AE1347" t="s">
        <v>62</v>
      </c>
      <c r="AF1347" t="s">
        <v>48</v>
      </c>
      <c r="AG1347">
        <f>IF(HR_Data[[#This Row],[Attrition]]="Yes",1,0)</f>
        <v>0</v>
      </c>
      <c r="AH1347" t="str">
        <f>IF(HR_Data[Date_of_termination]="","Active","Left")</f>
        <v>Active</v>
      </c>
      <c r="AI1347" t="str">
        <f>IF(HR_Data[YearsAtCompany]&lt;=2,"Fresher", IF(HR_Data[YearsAtCompany]&lt;=5,"Junior", IF(HR_Data[YearsAtCompany]&lt;=10, "Mid","Senior")))</f>
        <v>Senior</v>
      </c>
      <c r="AJ1347" s="2" t="str">
        <f>IF(HR_Data[MonthlyIncome]&lt;=300,"Low", IF(HR_Data[MonthlyIncome]&lt;=7000,"Medium", "High"))</f>
        <v>High</v>
      </c>
      <c r="AK1347" s="2" t="str">
        <f>VLOOKUP(HR_Data[JobRole], JobRole_Map[], 2, FALSE)</f>
        <v>Operations</v>
      </c>
    </row>
    <row r="1348" spans="1:37" x14ac:dyDescent="0.25">
      <c r="A1348" s="2">
        <v>39</v>
      </c>
      <c r="B1348" t="s">
        <v>41</v>
      </c>
      <c r="C1348" t="s">
        <v>33</v>
      </c>
      <c r="D1348" t="s">
        <v>34</v>
      </c>
      <c r="E1348">
        <v>1</v>
      </c>
      <c r="F1348" t="s">
        <v>35</v>
      </c>
      <c r="G1348">
        <v>4</v>
      </c>
      <c r="H1348">
        <v>3</v>
      </c>
      <c r="I1348" t="s">
        <v>69</v>
      </c>
      <c r="J1348">
        <v>4</v>
      </c>
      <c r="K1348" t="s">
        <v>55</v>
      </c>
      <c r="L1348">
        <v>9613</v>
      </c>
      <c r="M1348">
        <v>0</v>
      </c>
      <c r="N1348" t="s">
        <v>41</v>
      </c>
      <c r="O1348">
        <v>17</v>
      </c>
      <c r="P1348">
        <v>3</v>
      </c>
      <c r="Q1348">
        <v>3</v>
      </c>
      <c r="R1348">
        <v>19</v>
      </c>
      <c r="S1348">
        <v>5</v>
      </c>
      <c r="T1348">
        <v>18</v>
      </c>
      <c r="U1348">
        <v>3</v>
      </c>
      <c r="V1348">
        <v>7</v>
      </c>
      <c r="W1348" t="s">
        <v>65</v>
      </c>
      <c r="X1348" s="1" t="d">
        <v>2003-06-02</v>
      </c>
      <c r="Z1348" t="s">
        <v>39</v>
      </c>
      <c r="AA1348" t="s">
        <v>46</v>
      </c>
      <c r="AB1348">
        <v>4</v>
      </c>
      <c r="AC1348">
        <v>3</v>
      </c>
      <c r="AD1348" t="s">
        <v>32</v>
      </c>
      <c r="AE1348" t="s">
        <v>62</v>
      </c>
      <c r="AF1348" t="s">
        <v>43</v>
      </c>
      <c r="AG1348">
        <f>IF(HR_Data[[#This Row],[Attrition]]="Yes",1,0)</f>
        <v>0</v>
      </c>
      <c r="AH1348" t="str">
        <f>IF(HR_Data[Date_of_termination]="","Active","Left")</f>
        <v>Active</v>
      </c>
      <c r="AI1348" t="str">
        <f>IF(HR_Data[YearsAtCompany]&lt;=2,"Fresher", IF(HR_Data[YearsAtCompany]&lt;=5,"Junior", IF(HR_Data[YearsAtCompany]&lt;=10, "Mid","Senior")))</f>
        <v>Senior</v>
      </c>
      <c r="AJ1348" s="2" t="str">
        <f>IF(HR_Data[MonthlyIncome]&lt;=300,"Low", IF(HR_Data[MonthlyIncome]&lt;=7000,"Medium", "High"))</f>
        <v>High</v>
      </c>
      <c r="AK1348" s="2" t="str">
        <f>VLOOKUP(HR_Data[JobRole], JobRole_Map[], 2, FALSE)</f>
        <v>Operations</v>
      </c>
    </row>
    <row r="1349" spans="1:37" x14ac:dyDescent="0.25">
      <c r="A1349" s="2">
        <v>37</v>
      </c>
      <c r="B1349" t="s">
        <v>41</v>
      </c>
      <c r="C1349" t="s">
        <v>33</v>
      </c>
      <c r="D1349" t="s">
        <v>34</v>
      </c>
      <c r="E1349">
        <v>14</v>
      </c>
      <c r="F1349" t="s">
        <v>58</v>
      </c>
      <c r="G1349">
        <v>3</v>
      </c>
      <c r="H1349">
        <v>1</v>
      </c>
      <c r="I1349" t="s">
        <v>36</v>
      </c>
      <c r="J1349">
        <v>1</v>
      </c>
      <c r="K1349" t="s">
        <v>55</v>
      </c>
      <c r="L1349">
        <v>3034</v>
      </c>
      <c r="M1349">
        <v>1</v>
      </c>
      <c r="N1349" t="s">
        <v>41</v>
      </c>
      <c r="O1349">
        <v>12</v>
      </c>
      <c r="P1349">
        <v>3</v>
      </c>
      <c r="Q1349">
        <v>1</v>
      </c>
      <c r="R1349">
        <v>18</v>
      </c>
      <c r="S1349">
        <v>2</v>
      </c>
      <c r="T1349">
        <v>18</v>
      </c>
      <c r="U1349">
        <v>12</v>
      </c>
      <c r="V1349">
        <v>17</v>
      </c>
      <c r="W1349" t="s">
        <v>38</v>
      </c>
      <c r="X1349" s="1" t="d">
        <v>2003-03-05</v>
      </c>
      <c r="Z1349" t="s">
        <v>45</v>
      </c>
      <c r="AA1349" t="s">
        <v>40</v>
      </c>
      <c r="AB1349">
        <v>1</v>
      </c>
      <c r="AC1349">
        <v>3</v>
      </c>
      <c r="AD1349" t="s">
        <v>41</v>
      </c>
      <c r="AE1349" t="s">
        <v>42</v>
      </c>
      <c r="AF1349" t="s">
        <v>57</v>
      </c>
      <c r="AG1349">
        <f>IF(HR_Data[[#This Row],[Attrition]]="Yes",1,0)</f>
        <v>0</v>
      </c>
      <c r="AH1349" t="str">
        <f>IF(HR_Data[Date_of_termination]="","Active","Left")</f>
        <v>Active</v>
      </c>
      <c r="AI1349" t="str">
        <f>IF(HR_Data[YearsAtCompany]&lt;=2,"Fresher", IF(HR_Data[YearsAtCompany]&lt;=5,"Junior", IF(HR_Data[YearsAtCompany]&lt;=10, "Mid","Senior")))</f>
        <v>Senior</v>
      </c>
      <c r="AJ1349" s="2" t="str">
        <f>IF(HR_Data[MonthlyIncome]&lt;=300,"Low", IF(HR_Data[MonthlyIncome]&lt;=7000,"Medium", "High"))</f>
        <v>Medium</v>
      </c>
      <c r="AK1349" s="2" t="str">
        <f>VLOOKUP(HR_Data[JobRole], JobRole_Map[], 2, FALSE)</f>
        <v>Technical</v>
      </c>
    </row>
    <row r="1350" spans="1:37" x14ac:dyDescent="0.25">
      <c r="A1350" s="2">
        <v>60</v>
      </c>
      <c r="B1350" t="s">
        <v>41</v>
      </c>
      <c r="C1350" t="s">
        <v>61</v>
      </c>
      <c r="D1350" t="s">
        <v>53</v>
      </c>
      <c r="E1350">
        <v>28</v>
      </c>
      <c r="F1350" t="s">
        <v>58</v>
      </c>
      <c r="G1350">
        <v>2</v>
      </c>
      <c r="H1350">
        <v>3</v>
      </c>
      <c r="I1350" t="s">
        <v>64</v>
      </c>
      <c r="J1350">
        <v>1</v>
      </c>
      <c r="K1350" t="s">
        <v>50</v>
      </c>
      <c r="L1350">
        <v>10266</v>
      </c>
      <c r="M1350">
        <v>4</v>
      </c>
      <c r="N1350" t="s">
        <v>41</v>
      </c>
      <c r="O1350">
        <v>19</v>
      </c>
      <c r="P1350">
        <v>3</v>
      </c>
      <c r="Q1350">
        <v>0</v>
      </c>
      <c r="R1350">
        <v>22</v>
      </c>
      <c r="S1350">
        <v>5</v>
      </c>
      <c r="T1350">
        <v>18</v>
      </c>
      <c r="U1350">
        <v>13</v>
      </c>
      <c r="V1350">
        <v>11</v>
      </c>
      <c r="W1350" t="s">
        <v>65</v>
      </c>
      <c r="X1350" s="1" t="d">
        <v>2003-01-10</v>
      </c>
      <c r="Z1350" t="s">
        <v>59</v>
      </c>
      <c r="AA1350" t="s">
        <v>40</v>
      </c>
      <c r="AB1350">
        <v>3</v>
      </c>
      <c r="AC1350">
        <v>1</v>
      </c>
      <c r="AD1350" t="s">
        <v>41</v>
      </c>
      <c r="AE1350" t="s">
        <v>60</v>
      </c>
      <c r="AF1350" t="s">
        <v>57</v>
      </c>
      <c r="AG1350">
        <f>IF(HR_Data[[#This Row],[Attrition]]="Yes",1,0)</f>
        <v>0</v>
      </c>
      <c r="AH1350" t="str">
        <f>IF(HR_Data[Date_of_termination]="","Active","Left")</f>
        <v>Active</v>
      </c>
      <c r="AI1350" t="str">
        <f>IF(HR_Data[YearsAtCompany]&lt;=2,"Fresher", IF(HR_Data[YearsAtCompany]&lt;=5,"Junior", IF(HR_Data[YearsAtCompany]&lt;=10, "Mid","Senior")))</f>
        <v>Senior</v>
      </c>
      <c r="AJ1350" s="2" t="str">
        <f>IF(HR_Data[MonthlyIncome]&lt;=300,"Low", IF(HR_Data[MonthlyIncome]&lt;=7000,"Medium", "High"))</f>
        <v>High</v>
      </c>
      <c r="AK1350" s="2" t="str">
        <f>VLOOKUP(HR_Data[JobRole], JobRole_Map[], 2, FALSE)</f>
        <v>Sales</v>
      </c>
    </row>
    <row r="1351" spans="1:37" x14ac:dyDescent="0.25">
      <c r="A1351" s="2">
        <v>41</v>
      </c>
      <c r="B1351" t="s">
        <v>41</v>
      </c>
      <c r="C1351" t="s">
        <v>33</v>
      </c>
      <c r="D1351" t="s">
        <v>53</v>
      </c>
      <c r="E1351">
        <v>2</v>
      </c>
      <c r="F1351" t="s">
        <v>58</v>
      </c>
      <c r="G1351">
        <v>3</v>
      </c>
      <c r="H1351">
        <v>4</v>
      </c>
      <c r="I1351" t="s">
        <v>66</v>
      </c>
      <c r="J1351">
        <v>1</v>
      </c>
      <c r="K1351" t="s">
        <v>50</v>
      </c>
      <c r="L1351">
        <v>16595</v>
      </c>
      <c r="M1351">
        <v>7</v>
      </c>
      <c r="N1351" t="s">
        <v>41</v>
      </c>
      <c r="O1351">
        <v>16</v>
      </c>
      <c r="P1351">
        <v>3</v>
      </c>
      <c r="Q1351">
        <v>1</v>
      </c>
      <c r="R1351">
        <v>22</v>
      </c>
      <c r="S1351">
        <v>2</v>
      </c>
      <c r="T1351">
        <v>18</v>
      </c>
      <c r="U1351">
        <v>11</v>
      </c>
      <c r="V1351">
        <v>8</v>
      </c>
      <c r="W1351" t="s">
        <v>51</v>
      </c>
      <c r="X1351" s="1" t="d">
        <v>2003-02-12</v>
      </c>
      <c r="Z1351" t="s">
        <v>63</v>
      </c>
      <c r="AA1351" t="s">
        <v>46</v>
      </c>
      <c r="AB1351">
        <v>1</v>
      </c>
      <c r="AC1351">
        <v>3</v>
      </c>
      <c r="AD1351" t="s">
        <v>41</v>
      </c>
      <c r="AE1351" t="s">
        <v>42</v>
      </c>
      <c r="AF1351" t="s">
        <v>43</v>
      </c>
      <c r="AG1351">
        <f>IF(HR_Data[[#This Row],[Attrition]]="Yes",1,0)</f>
        <v>0</v>
      </c>
      <c r="AH1351" t="str">
        <f>IF(HR_Data[Date_of_termination]="","Active","Left")</f>
        <v>Active</v>
      </c>
      <c r="AI1351" t="str">
        <f>IF(HR_Data[YearsAtCompany]&lt;=2,"Fresher", IF(HR_Data[YearsAtCompany]&lt;=5,"Junior", IF(HR_Data[YearsAtCompany]&lt;=10, "Mid","Senior")))</f>
        <v>Senior</v>
      </c>
      <c r="AJ1351" s="2" t="str">
        <f>IF(HR_Data[MonthlyIncome]&lt;=300,"Low", IF(HR_Data[MonthlyIncome]&lt;=7000,"Medium", "High"))</f>
        <v>High</v>
      </c>
      <c r="AK1351" s="2" t="str">
        <f>VLOOKUP(HR_Data[JobRole], JobRole_Map[], 2, FALSE)</f>
        <v>Management</v>
      </c>
    </row>
    <row r="1352" spans="1:37" x14ac:dyDescent="0.25">
      <c r="A1352" s="2">
        <v>40</v>
      </c>
      <c r="B1352" t="s">
        <v>41</v>
      </c>
      <c r="C1352" t="s">
        <v>61</v>
      </c>
      <c r="D1352" t="s">
        <v>53</v>
      </c>
      <c r="E1352">
        <v>5</v>
      </c>
      <c r="F1352" t="s">
        <v>35</v>
      </c>
      <c r="G1352">
        <v>2</v>
      </c>
      <c r="H1352">
        <v>3</v>
      </c>
      <c r="I1352" t="s">
        <v>64</v>
      </c>
      <c r="J1352">
        <v>1</v>
      </c>
      <c r="K1352" t="s">
        <v>50</v>
      </c>
      <c r="L1352">
        <v>10475</v>
      </c>
      <c r="M1352">
        <v>5</v>
      </c>
      <c r="N1352" t="s">
        <v>32</v>
      </c>
      <c r="O1352">
        <v>21</v>
      </c>
      <c r="P1352">
        <v>4</v>
      </c>
      <c r="Q1352">
        <v>1</v>
      </c>
      <c r="R1352">
        <v>20</v>
      </c>
      <c r="S1352">
        <v>2</v>
      </c>
      <c r="T1352">
        <v>18</v>
      </c>
      <c r="U1352">
        <v>1</v>
      </c>
      <c r="V1352">
        <v>12</v>
      </c>
      <c r="W1352" t="s">
        <v>38</v>
      </c>
      <c r="X1352" s="1" t="d">
        <v>2003-05-31</v>
      </c>
      <c r="Z1352" t="s">
        <v>52</v>
      </c>
      <c r="AA1352" t="s">
        <v>40</v>
      </c>
      <c r="AB1352">
        <v>0</v>
      </c>
      <c r="AC1352">
        <v>2</v>
      </c>
      <c r="AD1352" t="s">
        <v>32</v>
      </c>
      <c r="AE1352" t="s">
        <v>62</v>
      </c>
      <c r="AF1352" t="s">
        <v>48</v>
      </c>
      <c r="AG1352">
        <f>IF(HR_Data[[#This Row],[Attrition]]="Yes",1,0)</f>
        <v>0</v>
      </c>
      <c r="AH1352" t="str">
        <f>IF(HR_Data[Date_of_termination]="","Active","Left")</f>
        <v>Active</v>
      </c>
      <c r="AI1352" t="str">
        <f>IF(HR_Data[YearsAtCompany]&lt;=2,"Fresher", IF(HR_Data[YearsAtCompany]&lt;=5,"Junior", IF(HR_Data[YearsAtCompany]&lt;=10, "Mid","Senior")))</f>
        <v>Senior</v>
      </c>
      <c r="AJ1352" s="2" t="str">
        <f>IF(HR_Data[MonthlyIncome]&lt;=300,"Low", IF(HR_Data[MonthlyIncome]&lt;=7000,"Medium", "High"))</f>
        <v>High</v>
      </c>
      <c r="AK1352" s="2" t="str">
        <f>VLOOKUP(HR_Data[JobRole], JobRole_Map[], 2, FALSE)</f>
        <v>Sales</v>
      </c>
    </row>
    <row r="1353" spans="1:37" x14ac:dyDescent="0.25">
      <c r="A1353" s="2">
        <v>36</v>
      </c>
      <c r="B1353" t="s">
        <v>41</v>
      </c>
      <c r="C1353" t="s">
        <v>33</v>
      </c>
      <c r="D1353" t="s">
        <v>53</v>
      </c>
      <c r="E1353">
        <v>1</v>
      </c>
      <c r="F1353" t="s">
        <v>35</v>
      </c>
      <c r="G1353">
        <v>3</v>
      </c>
      <c r="H1353">
        <v>2</v>
      </c>
      <c r="I1353" t="s">
        <v>64</v>
      </c>
      <c r="J1353">
        <v>4</v>
      </c>
      <c r="K1353" t="s">
        <v>50</v>
      </c>
      <c r="L1353">
        <v>6201</v>
      </c>
      <c r="M1353">
        <v>1</v>
      </c>
      <c r="N1353" t="s">
        <v>32</v>
      </c>
      <c r="O1353">
        <v>14</v>
      </c>
      <c r="P1353">
        <v>3</v>
      </c>
      <c r="Q1353">
        <v>1</v>
      </c>
      <c r="R1353">
        <v>18</v>
      </c>
      <c r="S1353">
        <v>1</v>
      </c>
      <c r="T1353">
        <v>18</v>
      </c>
      <c r="U1353">
        <v>4</v>
      </c>
      <c r="V1353">
        <v>11</v>
      </c>
      <c r="W1353" t="s">
        <v>65</v>
      </c>
      <c r="X1353" s="1" t="d">
        <v>2003-04-22</v>
      </c>
      <c r="Z1353" t="s">
        <v>52</v>
      </c>
      <c r="AA1353" t="s">
        <v>46</v>
      </c>
      <c r="AB1353">
        <v>2</v>
      </c>
      <c r="AC1353">
        <v>0</v>
      </c>
      <c r="AD1353" t="s">
        <v>41</v>
      </c>
      <c r="AE1353" t="s">
        <v>42</v>
      </c>
      <c r="AF1353" t="s">
        <v>43</v>
      </c>
      <c r="AG1353">
        <f>IF(HR_Data[[#This Row],[Attrition]]="Yes",1,0)</f>
        <v>0</v>
      </c>
      <c r="AH1353" t="str">
        <f>IF(HR_Data[Date_of_termination]="","Active","Left")</f>
        <v>Active</v>
      </c>
      <c r="AI1353" t="str">
        <f>IF(HR_Data[YearsAtCompany]&lt;=2,"Fresher", IF(HR_Data[YearsAtCompany]&lt;=5,"Junior", IF(HR_Data[YearsAtCompany]&lt;=10, "Mid","Senior")))</f>
        <v>Senior</v>
      </c>
      <c r="AJ1353" s="2" t="str">
        <f>IF(HR_Data[MonthlyIncome]&lt;=300,"Low", IF(HR_Data[MonthlyIncome]&lt;=7000,"Medium", "High"))</f>
        <v>Medium</v>
      </c>
      <c r="AK1353" s="2" t="str">
        <f>VLOOKUP(HR_Data[JobRole], JobRole_Map[], 2, FALSE)</f>
        <v>Sales</v>
      </c>
    </row>
    <row r="1354" spans="1:37" x14ac:dyDescent="0.25">
      <c r="A1354" s="2">
        <v>41</v>
      </c>
      <c r="B1354" t="s">
        <v>41</v>
      </c>
      <c r="C1354" t="s">
        <v>33</v>
      </c>
      <c r="D1354" t="s">
        <v>34</v>
      </c>
      <c r="E1354">
        <v>6</v>
      </c>
      <c r="F1354" t="s">
        <v>35</v>
      </c>
      <c r="G1354">
        <v>3</v>
      </c>
      <c r="H1354">
        <v>1</v>
      </c>
      <c r="I1354" t="s">
        <v>36</v>
      </c>
      <c r="J1354">
        <v>1</v>
      </c>
      <c r="K1354" t="s">
        <v>37</v>
      </c>
      <c r="L1354">
        <v>4721</v>
      </c>
      <c r="M1354">
        <v>2</v>
      </c>
      <c r="N1354" t="s">
        <v>32</v>
      </c>
      <c r="O1354">
        <v>13</v>
      </c>
      <c r="P1354">
        <v>3</v>
      </c>
      <c r="Q1354">
        <v>0</v>
      </c>
      <c r="R1354">
        <v>20</v>
      </c>
      <c r="S1354">
        <v>3</v>
      </c>
      <c r="T1354">
        <v>18</v>
      </c>
      <c r="U1354">
        <v>2</v>
      </c>
      <c r="V1354">
        <v>17</v>
      </c>
      <c r="W1354" t="s">
        <v>65</v>
      </c>
      <c r="X1354" s="1" t="d">
        <v>2003-02-19</v>
      </c>
      <c r="Z1354" t="s">
        <v>63</v>
      </c>
      <c r="AA1354" t="s">
        <v>46</v>
      </c>
      <c r="AB1354">
        <v>0</v>
      </c>
      <c r="AC1354">
        <v>0</v>
      </c>
      <c r="AD1354" t="s">
        <v>32</v>
      </c>
      <c r="AE1354" t="s">
        <v>62</v>
      </c>
      <c r="AF1354" t="s">
        <v>43</v>
      </c>
      <c r="AG1354">
        <f>IF(HR_Data[[#This Row],[Attrition]]="Yes",1,0)</f>
        <v>0</v>
      </c>
      <c r="AH1354" t="str">
        <f>IF(HR_Data[Date_of_termination]="","Active","Left")</f>
        <v>Active</v>
      </c>
      <c r="AI1354" t="str">
        <f>IF(HR_Data[YearsAtCompany]&lt;=2,"Fresher", IF(HR_Data[YearsAtCompany]&lt;=5,"Junior", IF(HR_Data[YearsAtCompany]&lt;=10, "Mid","Senior")))</f>
        <v>Senior</v>
      </c>
      <c r="AJ1354" s="2" t="str">
        <f>IF(HR_Data[MonthlyIncome]&lt;=300,"Low", IF(HR_Data[MonthlyIncome]&lt;=7000,"Medium", "High"))</f>
        <v>Medium</v>
      </c>
      <c r="AK1354" s="2" t="str">
        <f>VLOOKUP(HR_Data[JobRole], JobRole_Map[], 2, FALSE)</f>
        <v>Technical</v>
      </c>
    </row>
    <row r="1355" spans="1:37" x14ac:dyDescent="0.25">
      <c r="A1355" s="2">
        <v>41</v>
      </c>
      <c r="B1355" t="s">
        <v>41</v>
      </c>
      <c r="C1355" t="s">
        <v>61</v>
      </c>
      <c r="D1355" t="s">
        <v>34</v>
      </c>
      <c r="E1355">
        <v>9</v>
      </c>
      <c r="F1355" t="s">
        <v>35</v>
      </c>
      <c r="G1355">
        <v>3</v>
      </c>
      <c r="H1355">
        <v>5</v>
      </c>
      <c r="I1355" t="s">
        <v>49</v>
      </c>
      <c r="J1355">
        <v>3</v>
      </c>
      <c r="K1355" t="s">
        <v>55</v>
      </c>
      <c r="L1355">
        <v>19419</v>
      </c>
      <c r="M1355">
        <v>2</v>
      </c>
      <c r="N1355" t="s">
        <v>41</v>
      </c>
      <c r="O1355">
        <v>17</v>
      </c>
      <c r="P1355">
        <v>3</v>
      </c>
      <c r="Q1355">
        <v>1</v>
      </c>
      <c r="R1355">
        <v>21</v>
      </c>
      <c r="S1355">
        <v>2</v>
      </c>
      <c r="T1355">
        <v>18</v>
      </c>
      <c r="U1355">
        <v>0</v>
      </c>
      <c r="V1355">
        <v>11</v>
      </c>
      <c r="W1355" t="s">
        <v>56</v>
      </c>
      <c r="X1355" s="1" t="d">
        <v>2003-06-28</v>
      </c>
      <c r="Z1355" t="s">
        <v>59</v>
      </c>
      <c r="AA1355" t="s">
        <v>46</v>
      </c>
      <c r="AB1355">
        <v>2</v>
      </c>
      <c r="AC1355">
        <v>2</v>
      </c>
      <c r="AD1355" t="s">
        <v>32</v>
      </c>
      <c r="AE1355" t="s">
        <v>62</v>
      </c>
      <c r="AF1355" t="s">
        <v>43</v>
      </c>
      <c r="AG1355">
        <f>IF(HR_Data[[#This Row],[Attrition]]="Yes",1,0)</f>
        <v>0</v>
      </c>
      <c r="AH1355" t="str">
        <f>IF(HR_Data[Date_of_termination]="","Active","Left")</f>
        <v>Active</v>
      </c>
      <c r="AI1355" t="str">
        <f>IF(HR_Data[YearsAtCompany]&lt;=2,"Fresher", IF(HR_Data[YearsAtCompany]&lt;=5,"Junior", IF(HR_Data[YearsAtCompany]&lt;=10, "Mid","Senior")))</f>
        <v>Senior</v>
      </c>
      <c r="AJ1355" s="2" t="str">
        <f>IF(HR_Data[MonthlyIncome]&lt;=300,"Low", IF(HR_Data[MonthlyIncome]&lt;=7000,"Medium", "High"))</f>
        <v>High</v>
      </c>
      <c r="AK1355" s="2" t="str">
        <f>VLOOKUP(HR_Data[JobRole], JobRole_Map[], 2, FALSE)</f>
        <v>Management</v>
      </c>
    </row>
    <row r="1356" spans="1:37" x14ac:dyDescent="0.25">
      <c r="A1356" s="2">
        <v>50</v>
      </c>
      <c r="B1356" t="s">
        <v>41</v>
      </c>
      <c r="C1356" t="s">
        <v>68</v>
      </c>
      <c r="D1356" t="s">
        <v>53</v>
      </c>
      <c r="E1356">
        <v>1</v>
      </c>
      <c r="F1356" t="s">
        <v>58</v>
      </c>
      <c r="G1356">
        <v>3</v>
      </c>
      <c r="H1356">
        <v>2</v>
      </c>
      <c r="I1356" t="s">
        <v>64</v>
      </c>
      <c r="J1356">
        <v>3</v>
      </c>
      <c r="K1356" t="s">
        <v>50</v>
      </c>
      <c r="L1356">
        <v>6347</v>
      </c>
      <c r="M1356">
        <v>0</v>
      </c>
      <c r="N1356" t="s">
        <v>41</v>
      </c>
      <c r="O1356">
        <v>12</v>
      </c>
      <c r="P1356">
        <v>3</v>
      </c>
      <c r="Q1356">
        <v>1</v>
      </c>
      <c r="R1356">
        <v>19</v>
      </c>
      <c r="S1356">
        <v>3</v>
      </c>
      <c r="T1356">
        <v>18</v>
      </c>
      <c r="U1356">
        <v>0</v>
      </c>
      <c r="V1356">
        <v>13</v>
      </c>
      <c r="W1356" t="s">
        <v>65</v>
      </c>
      <c r="X1356" s="1" t="d">
        <v>2003-03-17</v>
      </c>
      <c r="Z1356" t="s">
        <v>59</v>
      </c>
      <c r="AA1356" t="s">
        <v>46</v>
      </c>
      <c r="AB1356">
        <v>2</v>
      </c>
      <c r="AC1356">
        <v>2</v>
      </c>
      <c r="AD1356" t="s">
        <v>41</v>
      </c>
      <c r="AE1356" t="s">
        <v>42</v>
      </c>
      <c r="AF1356" t="s">
        <v>48</v>
      </c>
      <c r="AG1356">
        <f>IF(HR_Data[[#This Row],[Attrition]]="Yes",1,0)</f>
        <v>0</v>
      </c>
      <c r="AH1356" t="str">
        <f>IF(HR_Data[Date_of_termination]="","Active","Left")</f>
        <v>Active</v>
      </c>
      <c r="AI1356" t="str">
        <f>IF(HR_Data[YearsAtCompany]&lt;=2,"Fresher", IF(HR_Data[YearsAtCompany]&lt;=5,"Junior", IF(HR_Data[YearsAtCompany]&lt;=10, "Mid","Senior")))</f>
        <v>Senior</v>
      </c>
      <c r="AJ1356" s="2" t="str">
        <f>IF(HR_Data[MonthlyIncome]&lt;=300,"Low", IF(HR_Data[MonthlyIncome]&lt;=7000,"Medium", "High"))</f>
        <v>Medium</v>
      </c>
      <c r="AK1356" s="2" t="str">
        <f>VLOOKUP(HR_Data[JobRole], JobRole_Map[], 2, FALSE)</f>
        <v>Sales</v>
      </c>
    </row>
    <row r="1357" spans="1:37" x14ac:dyDescent="0.25">
      <c r="A1357" s="2">
        <v>39</v>
      </c>
      <c r="B1357" t="s">
        <v>32</v>
      </c>
      <c r="C1357" t="s">
        <v>61</v>
      </c>
      <c r="D1357" t="s">
        <v>34</v>
      </c>
      <c r="E1357">
        <v>2</v>
      </c>
      <c r="F1357" t="s">
        <v>35</v>
      </c>
      <c r="G1357">
        <v>3</v>
      </c>
      <c r="H1357">
        <v>4</v>
      </c>
      <c r="I1357" t="s">
        <v>69</v>
      </c>
      <c r="J1357">
        <v>4</v>
      </c>
      <c r="K1357" t="s">
        <v>55</v>
      </c>
      <c r="L1357">
        <v>12169</v>
      </c>
      <c r="M1357">
        <v>7</v>
      </c>
      <c r="N1357" t="s">
        <v>41</v>
      </c>
      <c r="O1357">
        <v>11</v>
      </c>
      <c r="P1357">
        <v>3</v>
      </c>
      <c r="Q1357">
        <v>3</v>
      </c>
      <c r="R1357">
        <v>21</v>
      </c>
      <c r="S1357">
        <v>4</v>
      </c>
      <c r="T1357">
        <v>18</v>
      </c>
      <c r="U1357">
        <v>11</v>
      </c>
      <c r="V1357">
        <v>5</v>
      </c>
      <c r="W1357" t="s">
        <v>51</v>
      </c>
      <c r="X1357" s="1" t="d">
        <v>2003-05-11</v>
      </c>
      <c r="Z1357" t="s">
        <v>63</v>
      </c>
      <c r="AA1357" t="s">
        <v>40</v>
      </c>
      <c r="AB1357">
        <v>4</v>
      </c>
      <c r="AC1357">
        <v>1</v>
      </c>
      <c r="AD1357" t="s">
        <v>32</v>
      </c>
      <c r="AE1357" t="s">
        <v>62</v>
      </c>
      <c r="AF1357" t="s">
        <v>43</v>
      </c>
      <c r="AG1357">
        <f>IF(HR_Data[[#This Row],[Attrition]]="Yes",1,0)</f>
        <v>1</v>
      </c>
      <c r="AH1357" t="str">
        <f>IF(HR_Data[Date_of_termination]="","Active","Left")</f>
        <v>Active</v>
      </c>
      <c r="AI1357" t="str">
        <f>IF(HR_Data[YearsAtCompany]&lt;=2,"Fresher", IF(HR_Data[YearsAtCompany]&lt;=5,"Junior", IF(HR_Data[YearsAtCompany]&lt;=10, "Mid","Senior")))</f>
        <v>Senior</v>
      </c>
      <c r="AJ1357" s="2" t="str">
        <f>IF(HR_Data[MonthlyIncome]&lt;=300,"Low", IF(HR_Data[MonthlyIncome]&lt;=7000,"Medium", "High"))</f>
        <v>High</v>
      </c>
      <c r="AK1357" s="2" t="str">
        <f>VLOOKUP(HR_Data[JobRole], JobRole_Map[], 2, FALSE)</f>
        <v>Operations</v>
      </c>
    </row>
    <row r="1358" spans="1:37" x14ac:dyDescent="0.25">
      <c r="A1358" s="2">
        <v>40</v>
      </c>
      <c r="B1358" t="s">
        <v>41</v>
      </c>
      <c r="C1358" t="s">
        <v>61</v>
      </c>
      <c r="D1358" t="s">
        <v>34</v>
      </c>
      <c r="E1358">
        <v>9</v>
      </c>
      <c r="F1358" t="s">
        <v>58</v>
      </c>
      <c r="G1358">
        <v>3</v>
      </c>
      <c r="H1358">
        <v>3</v>
      </c>
      <c r="I1358" t="s">
        <v>49</v>
      </c>
      <c r="J1358">
        <v>3</v>
      </c>
      <c r="K1358" t="s">
        <v>37</v>
      </c>
      <c r="L1358">
        <v>13499</v>
      </c>
      <c r="M1358">
        <v>9</v>
      </c>
      <c r="N1358" t="s">
        <v>41</v>
      </c>
      <c r="O1358">
        <v>17</v>
      </c>
      <c r="P1358">
        <v>3</v>
      </c>
      <c r="Q1358">
        <v>0</v>
      </c>
      <c r="R1358">
        <v>20</v>
      </c>
      <c r="S1358">
        <v>3</v>
      </c>
      <c r="T1358">
        <v>18</v>
      </c>
      <c r="U1358">
        <v>2</v>
      </c>
      <c r="V1358">
        <v>13</v>
      </c>
      <c r="W1358" t="s">
        <v>38</v>
      </c>
      <c r="X1358" s="1" t="d">
        <v>2003-06-23</v>
      </c>
      <c r="Z1358" t="s">
        <v>59</v>
      </c>
      <c r="AA1358" t="s">
        <v>46</v>
      </c>
      <c r="AB1358">
        <v>0</v>
      </c>
      <c r="AC1358">
        <v>0</v>
      </c>
      <c r="AD1358" t="s">
        <v>41</v>
      </c>
      <c r="AE1358" t="s">
        <v>60</v>
      </c>
      <c r="AF1358" t="s">
        <v>43</v>
      </c>
      <c r="AG1358">
        <f>IF(HR_Data[[#This Row],[Attrition]]="Yes",1,0)</f>
        <v>0</v>
      </c>
      <c r="AH1358" t="str">
        <f>IF(HR_Data[Date_of_termination]="","Active","Left")</f>
        <v>Active</v>
      </c>
      <c r="AI1358" t="str">
        <f>IF(HR_Data[YearsAtCompany]&lt;=2,"Fresher", IF(HR_Data[YearsAtCompany]&lt;=5,"Junior", IF(HR_Data[YearsAtCompany]&lt;=10, "Mid","Senior")))</f>
        <v>Senior</v>
      </c>
      <c r="AJ1358" s="2" t="str">
        <f>IF(HR_Data[MonthlyIncome]&lt;=300,"Low", IF(HR_Data[MonthlyIncome]&lt;=7000,"Medium", "High"))</f>
        <v>High</v>
      </c>
      <c r="AK1358" s="2" t="str">
        <f>VLOOKUP(HR_Data[JobRole], JobRole_Map[], 2, FALSE)</f>
        <v>Management</v>
      </c>
    </row>
    <row r="1359" spans="1:37" x14ac:dyDescent="0.25">
      <c r="A1359" s="2">
        <v>40</v>
      </c>
      <c r="B1359" t="s">
        <v>41</v>
      </c>
      <c r="C1359" t="s">
        <v>33</v>
      </c>
      <c r="D1359" t="s">
        <v>34</v>
      </c>
      <c r="E1359">
        <v>15</v>
      </c>
      <c r="F1359" t="s">
        <v>58</v>
      </c>
      <c r="G1359">
        <v>2</v>
      </c>
      <c r="H1359">
        <v>3</v>
      </c>
      <c r="I1359" t="s">
        <v>67</v>
      </c>
      <c r="J1359">
        <v>3</v>
      </c>
      <c r="K1359" t="s">
        <v>50</v>
      </c>
      <c r="L1359">
        <v>10435</v>
      </c>
      <c r="M1359">
        <v>1</v>
      </c>
      <c r="N1359" t="s">
        <v>41</v>
      </c>
      <c r="O1359">
        <v>13</v>
      </c>
      <c r="P1359">
        <v>3</v>
      </c>
      <c r="Q1359">
        <v>2</v>
      </c>
      <c r="R1359">
        <v>18</v>
      </c>
      <c r="S1359">
        <v>2</v>
      </c>
      <c r="T1359">
        <v>18</v>
      </c>
      <c r="U1359">
        <v>14</v>
      </c>
      <c r="V1359">
        <v>12</v>
      </c>
      <c r="W1359" t="s">
        <v>51</v>
      </c>
      <c r="X1359" s="1" t="d">
        <v>2003-01-27</v>
      </c>
      <c r="Z1359" t="s">
        <v>52</v>
      </c>
      <c r="AA1359" t="s">
        <v>46</v>
      </c>
      <c r="AB1359">
        <v>4</v>
      </c>
      <c r="AC1359">
        <v>0</v>
      </c>
      <c r="AD1359" t="s">
        <v>41</v>
      </c>
      <c r="AE1359" t="s">
        <v>62</v>
      </c>
      <c r="AF1359" t="s">
        <v>57</v>
      </c>
      <c r="AG1359">
        <f>IF(HR_Data[[#This Row],[Attrition]]="Yes",1,0)</f>
        <v>0</v>
      </c>
      <c r="AH1359" t="str">
        <f>IF(HR_Data[Date_of_termination]="","Active","Left")</f>
        <v>Active</v>
      </c>
      <c r="AI1359" t="str">
        <f>IF(HR_Data[YearsAtCompany]&lt;=2,"Fresher", IF(HR_Data[YearsAtCompany]&lt;=5,"Junior", IF(HR_Data[YearsAtCompany]&lt;=10, "Mid","Senior")))</f>
        <v>Senior</v>
      </c>
      <c r="AJ1359" s="2" t="str">
        <f>IF(HR_Data[MonthlyIncome]&lt;=300,"Low", IF(HR_Data[MonthlyIncome]&lt;=7000,"Medium", "High"))</f>
        <v>High</v>
      </c>
      <c r="AK1359" s="2" t="str">
        <f>VLOOKUP(HR_Data[JobRole], JobRole_Map[], 2, FALSE)</f>
        <v>Operations</v>
      </c>
    </row>
    <row r="1360" spans="1:37" x14ac:dyDescent="0.25">
      <c r="A1360" s="2">
        <v>38</v>
      </c>
      <c r="B1360" t="s">
        <v>41</v>
      </c>
      <c r="C1360" t="s">
        <v>33</v>
      </c>
      <c r="D1360" t="s">
        <v>34</v>
      </c>
      <c r="E1360">
        <v>10</v>
      </c>
      <c r="F1360" t="s">
        <v>58</v>
      </c>
      <c r="G1360">
        <v>1</v>
      </c>
      <c r="H1360">
        <v>3</v>
      </c>
      <c r="I1360" t="s">
        <v>49</v>
      </c>
      <c r="J1360">
        <v>3</v>
      </c>
      <c r="K1360" t="s">
        <v>50</v>
      </c>
      <c r="L1360">
        <v>13206</v>
      </c>
      <c r="M1360">
        <v>3</v>
      </c>
      <c r="N1360" t="s">
        <v>41</v>
      </c>
      <c r="O1360">
        <v>12</v>
      </c>
      <c r="P1360">
        <v>3</v>
      </c>
      <c r="Q1360">
        <v>1</v>
      </c>
      <c r="R1360">
        <v>20</v>
      </c>
      <c r="S1360">
        <v>3</v>
      </c>
      <c r="T1360">
        <v>18</v>
      </c>
      <c r="U1360">
        <v>1</v>
      </c>
      <c r="V1360">
        <v>11</v>
      </c>
      <c r="W1360" t="s">
        <v>38</v>
      </c>
      <c r="X1360" s="1" t="d">
        <v>2003-05-07</v>
      </c>
      <c r="Z1360" t="s">
        <v>59</v>
      </c>
      <c r="AA1360" t="s">
        <v>46</v>
      </c>
      <c r="AB1360">
        <v>3</v>
      </c>
      <c r="AC1360">
        <v>1</v>
      </c>
      <c r="AD1360" t="s">
        <v>32</v>
      </c>
      <c r="AE1360" t="s">
        <v>47</v>
      </c>
      <c r="AF1360" t="s">
        <v>57</v>
      </c>
      <c r="AG1360">
        <f>IF(HR_Data[[#This Row],[Attrition]]="Yes",1,0)</f>
        <v>0</v>
      </c>
      <c r="AH1360" t="str">
        <f>IF(HR_Data[Date_of_termination]="","Active","Left")</f>
        <v>Active</v>
      </c>
      <c r="AI1360" t="str">
        <f>IF(HR_Data[YearsAtCompany]&lt;=2,"Fresher", IF(HR_Data[YearsAtCompany]&lt;=5,"Junior", IF(HR_Data[YearsAtCompany]&lt;=10, "Mid","Senior")))</f>
        <v>Senior</v>
      </c>
      <c r="AJ1360" s="2" t="str">
        <f>IF(HR_Data[MonthlyIncome]&lt;=300,"Low", IF(HR_Data[MonthlyIncome]&lt;=7000,"Medium", "High"))</f>
        <v>High</v>
      </c>
      <c r="AK1360" s="2" t="str">
        <f>VLOOKUP(HR_Data[JobRole], JobRole_Map[], 2, FALSE)</f>
        <v>Management</v>
      </c>
    </row>
    <row r="1361" spans="1:37" x14ac:dyDescent="0.25">
      <c r="A1361" s="2">
        <v>45</v>
      </c>
      <c r="B1361" t="s">
        <v>41</v>
      </c>
      <c r="C1361" t="s">
        <v>68</v>
      </c>
      <c r="D1361" t="s">
        <v>53</v>
      </c>
      <c r="E1361">
        <v>6</v>
      </c>
      <c r="F1361" t="s">
        <v>58</v>
      </c>
      <c r="G1361">
        <v>2</v>
      </c>
      <c r="H1361">
        <v>3</v>
      </c>
      <c r="I1361" t="s">
        <v>64</v>
      </c>
      <c r="J1361">
        <v>4</v>
      </c>
      <c r="K1361" t="s">
        <v>37</v>
      </c>
      <c r="L1361">
        <v>8865</v>
      </c>
      <c r="M1361">
        <v>6</v>
      </c>
      <c r="N1361" t="s">
        <v>41</v>
      </c>
      <c r="O1361">
        <v>12</v>
      </c>
      <c r="P1361">
        <v>3</v>
      </c>
      <c r="Q1361">
        <v>0</v>
      </c>
      <c r="R1361">
        <v>23</v>
      </c>
      <c r="S1361">
        <v>2</v>
      </c>
      <c r="T1361">
        <v>19</v>
      </c>
      <c r="U1361">
        <v>12</v>
      </c>
      <c r="V1361">
        <v>8</v>
      </c>
      <c r="W1361" t="s">
        <v>38</v>
      </c>
      <c r="X1361" s="1" t="d">
        <v>2002-03-06</v>
      </c>
      <c r="Z1361" t="s">
        <v>63</v>
      </c>
      <c r="AA1361" t="s">
        <v>46</v>
      </c>
      <c r="AB1361">
        <v>3</v>
      </c>
      <c r="AC1361">
        <v>3</v>
      </c>
      <c r="AD1361" t="s">
        <v>32</v>
      </c>
      <c r="AE1361" t="s">
        <v>42</v>
      </c>
      <c r="AF1361" t="s">
        <v>43</v>
      </c>
      <c r="AG1361">
        <f>IF(HR_Data[[#This Row],[Attrition]]="Yes",1,0)</f>
        <v>0</v>
      </c>
      <c r="AH1361" t="str">
        <f>IF(HR_Data[Date_of_termination]="","Active","Left")</f>
        <v>Active</v>
      </c>
      <c r="AI1361" t="str">
        <f>IF(HR_Data[YearsAtCompany]&lt;=2,"Fresher", IF(HR_Data[YearsAtCompany]&lt;=5,"Junior", IF(HR_Data[YearsAtCompany]&lt;=10, "Mid","Senior")))</f>
        <v>Senior</v>
      </c>
      <c r="AJ1361" s="2" t="str">
        <f>IF(HR_Data[MonthlyIncome]&lt;=300,"Low", IF(HR_Data[MonthlyIncome]&lt;=7000,"Medium", "High"))</f>
        <v>High</v>
      </c>
      <c r="AK1361" s="2" t="str">
        <f>VLOOKUP(HR_Data[JobRole], JobRole_Map[], 2, FALSE)</f>
        <v>Sales</v>
      </c>
    </row>
    <row r="1362" spans="1:37" x14ac:dyDescent="0.25">
      <c r="A1362" s="2">
        <v>39</v>
      </c>
      <c r="B1362" t="s">
        <v>41</v>
      </c>
      <c r="C1362" t="s">
        <v>61</v>
      </c>
      <c r="D1362" t="s">
        <v>34</v>
      </c>
      <c r="E1362">
        <v>2</v>
      </c>
      <c r="F1362" t="s">
        <v>58</v>
      </c>
      <c r="G1362">
        <v>3</v>
      </c>
      <c r="H1362">
        <v>3</v>
      </c>
      <c r="I1362" t="s">
        <v>69</v>
      </c>
      <c r="J1362">
        <v>3</v>
      </c>
      <c r="K1362" t="s">
        <v>37</v>
      </c>
      <c r="L1362">
        <v>10938</v>
      </c>
      <c r="M1362">
        <v>0</v>
      </c>
      <c r="N1362" t="s">
        <v>41</v>
      </c>
      <c r="O1362">
        <v>25</v>
      </c>
      <c r="P1362">
        <v>4</v>
      </c>
      <c r="Q1362">
        <v>0</v>
      </c>
      <c r="R1362">
        <v>20</v>
      </c>
      <c r="S1362">
        <v>1</v>
      </c>
      <c r="T1362">
        <v>19</v>
      </c>
      <c r="U1362">
        <v>11</v>
      </c>
      <c r="V1362">
        <v>8</v>
      </c>
      <c r="W1362" t="s">
        <v>65</v>
      </c>
      <c r="X1362" s="1" t="d">
        <v>2002-01-27</v>
      </c>
      <c r="Z1362" t="s">
        <v>52</v>
      </c>
      <c r="AA1362" t="s">
        <v>46</v>
      </c>
      <c r="AB1362">
        <v>2</v>
      </c>
      <c r="AC1362">
        <v>3</v>
      </c>
      <c r="AD1362" t="s">
        <v>32</v>
      </c>
      <c r="AE1362" t="s">
        <v>62</v>
      </c>
      <c r="AF1362" t="s">
        <v>43</v>
      </c>
      <c r="AG1362">
        <f>IF(HR_Data[[#This Row],[Attrition]]="Yes",1,0)</f>
        <v>0</v>
      </c>
      <c r="AH1362" t="str">
        <f>IF(HR_Data[Date_of_termination]="","Active","Left")</f>
        <v>Active</v>
      </c>
      <c r="AI1362" t="str">
        <f>IF(HR_Data[YearsAtCompany]&lt;=2,"Fresher", IF(HR_Data[YearsAtCompany]&lt;=5,"Junior", IF(HR_Data[YearsAtCompany]&lt;=10, "Mid","Senior")))</f>
        <v>Senior</v>
      </c>
      <c r="AJ1362" s="2" t="str">
        <f>IF(HR_Data[MonthlyIncome]&lt;=300,"Low", IF(HR_Data[MonthlyIncome]&lt;=7000,"Medium", "High"))</f>
        <v>High</v>
      </c>
      <c r="AK1362" s="2" t="str">
        <f>VLOOKUP(HR_Data[JobRole], JobRole_Map[], 2, FALSE)</f>
        <v>Operations</v>
      </c>
    </row>
    <row r="1363" spans="1:37" x14ac:dyDescent="0.25">
      <c r="A1363" s="2">
        <v>47</v>
      </c>
      <c r="B1363" t="s">
        <v>41</v>
      </c>
      <c r="C1363" t="s">
        <v>61</v>
      </c>
      <c r="D1363" t="s">
        <v>34</v>
      </c>
      <c r="E1363">
        <v>16</v>
      </c>
      <c r="F1363" t="s">
        <v>35</v>
      </c>
      <c r="G1363">
        <v>4</v>
      </c>
      <c r="H1363">
        <v>2</v>
      </c>
      <c r="I1363" t="s">
        <v>67</v>
      </c>
      <c r="J1363">
        <v>3</v>
      </c>
      <c r="K1363" t="s">
        <v>55</v>
      </c>
      <c r="L1363">
        <v>5067</v>
      </c>
      <c r="M1363">
        <v>1</v>
      </c>
      <c r="N1363" t="s">
        <v>32</v>
      </c>
      <c r="O1363">
        <v>19</v>
      </c>
      <c r="P1363">
        <v>3</v>
      </c>
      <c r="Q1363">
        <v>0</v>
      </c>
      <c r="R1363">
        <v>20</v>
      </c>
      <c r="S1363">
        <v>3</v>
      </c>
      <c r="T1363">
        <v>19</v>
      </c>
      <c r="U1363">
        <v>2</v>
      </c>
      <c r="V1363">
        <v>7</v>
      </c>
      <c r="W1363" t="s">
        <v>51</v>
      </c>
      <c r="X1363" s="1" t="d">
        <v>2002-04-04</v>
      </c>
      <c r="Z1363" t="s">
        <v>39</v>
      </c>
      <c r="AA1363" t="s">
        <v>40</v>
      </c>
      <c r="AB1363">
        <v>5</v>
      </c>
      <c r="AC1363">
        <v>3</v>
      </c>
      <c r="AD1363" t="s">
        <v>32</v>
      </c>
      <c r="AE1363" t="s">
        <v>62</v>
      </c>
      <c r="AF1363" t="s">
        <v>57</v>
      </c>
      <c r="AG1363">
        <f>IF(HR_Data[[#This Row],[Attrition]]="Yes",1,0)</f>
        <v>0</v>
      </c>
      <c r="AH1363" t="str">
        <f>IF(HR_Data[Date_of_termination]="","Active","Left")</f>
        <v>Active</v>
      </c>
      <c r="AI1363" t="str">
        <f>IF(HR_Data[YearsAtCompany]&lt;=2,"Fresher", IF(HR_Data[YearsAtCompany]&lt;=5,"Junior", IF(HR_Data[YearsAtCompany]&lt;=10, "Mid","Senior")))</f>
        <v>Senior</v>
      </c>
      <c r="AJ1363" s="2" t="str">
        <f>IF(HR_Data[MonthlyIncome]&lt;=300,"Low", IF(HR_Data[MonthlyIncome]&lt;=7000,"Medium", "High"))</f>
        <v>Medium</v>
      </c>
      <c r="AK1363" s="2" t="str">
        <f>VLOOKUP(HR_Data[JobRole], JobRole_Map[], 2, FALSE)</f>
        <v>Operations</v>
      </c>
    </row>
    <row r="1364" spans="1:37" x14ac:dyDescent="0.25">
      <c r="A1364" s="2">
        <v>38</v>
      </c>
      <c r="B1364" t="s">
        <v>41</v>
      </c>
      <c r="C1364" t="s">
        <v>33</v>
      </c>
      <c r="D1364" t="s">
        <v>34</v>
      </c>
      <c r="E1364">
        <v>17</v>
      </c>
      <c r="F1364" t="s">
        <v>58</v>
      </c>
      <c r="G1364">
        <v>2</v>
      </c>
      <c r="H1364">
        <v>3</v>
      </c>
      <c r="I1364" t="s">
        <v>69</v>
      </c>
      <c r="J1364">
        <v>3</v>
      </c>
      <c r="K1364" t="s">
        <v>50</v>
      </c>
      <c r="L1364">
        <v>8823</v>
      </c>
      <c r="M1364">
        <v>0</v>
      </c>
      <c r="N1364" t="s">
        <v>41</v>
      </c>
      <c r="O1364">
        <v>18</v>
      </c>
      <c r="P1364">
        <v>3</v>
      </c>
      <c r="Q1364">
        <v>1</v>
      </c>
      <c r="R1364">
        <v>20</v>
      </c>
      <c r="S1364">
        <v>4</v>
      </c>
      <c r="T1364">
        <v>19</v>
      </c>
      <c r="U1364">
        <v>1</v>
      </c>
      <c r="V1364">
        <v>9</v>
      </c>
      <c r="W1364" t="s">
        <v>56</v>
      </c>
      <c r="X1364" s="1" t="d">
        <v>2002-03-10</v>
      </c>
      <c r="Z1364" t="s">
        <v>59</v>
      </c>
      <c r="AA1364" t="s">
        <v>40</v>
      </c>
      <c r="AB1364">
        <v>4</v>
      </c>
      <c r="AC1364">
        <v>1</v>
      </c>
      <c r="AD1364" t="s">
        <v>32</v>
      </c>
      <c r="AE1364" t="s">
        <v>60</v>
      </c>
      <c r="AF1364" t="s">
        <v>57</v>
      </c>
      <c r="AG1364">
        <f>IF(HR_Data[[#This Row],[Attrition]]="Yes",1,0)</f>
        <v>0</v>
      </c>
      <c r="AH1364" t="str">
        <f>IF(HR_Data[Date_of_termination]="","Active","Left")</f>
        <v>Active</v>
      </c>
      <c r="AI1364" t="str">
        <f>IF(HR_Data[YearsAtCompany]&lt;=2,"Fresher", IF(HR_Data[YearsAtCompany]&lt;=5,"Junior", IF(HR_Data[YearsAtCompany]&lt;=10, "Mid","Senior")))</f>
        <v>Senior</v>
      </c>
      <c r="AJ1364" s="2" t="str">
        <f>IF(HR_Data[MonthlyIncome]&lt;=300,"Low", IF(HR_Data[MonthlyIncome]&lt;=7000,"Medium", "High"))</f>
        <v>High</v>
      </c>
      <c r="AK1364" s="2" t="str">
        <f>VLOOKUP(HR_Data[JobRole], JobRole_Map[], 2, FALSE)</f>
        <v>Operations</v>
      </c>
    </row>
    <row r="1365" spans="1:37" x14ac:dyDescent="0.25">
      <c r="A1365" s="2">
        <v>39</v>
      </c>
      <c r="B1365" t="s">
        <v>41</v>
      </c>
      <c r="C1365" t="s">
        <v>33</v>
      </c>
      <c r="D1365" t="s">
        <v>34</v>
      </c>
      <c r="E1365">
        <v>13</v>
      </c>
      <c r="F1365" t="s">
        <v>58</v>
      </c>
      <c r="G1365">
        <v>2</v>
      </c>
      <c r="H1365">
        <v>4</v>
      </c>
      <c r="I1365" t="s">
        <v>66</v>
      </c>
      <c r="J1365">
        <v>2</v>
      </c>
      <c r="K1365" t="s">
        <v>55</v>
      </c>
      <c r="L1365">
        <v>17123</v>
      </c>
      <c r="M1365">
        <v>6</v>
      </c>
      <c r="N1365" t="s">
        <v>32</v>
      </c>
      <c r="O1365">
        <v>13</v>
      </c>
      <c r="P1365">
        <v>3</v>
      </c>
      <c r="Q1365">
        <v>2</v>
      </c>
      <c r="R1365">
        <v>21</v>
      </c>
      <c r="S1365">
        <v>4</v>
      </c>
      <c r="T1365">
        <v>19</v>
      </c>
      <c r="U1365">
        <v>15</v>
      </c>
      <c r="V1365">
        <v>2</v>
      </c>
      <c r="W1365" t="s">
        <v>65</v>
      </c>
      <c r="X1365" s="1" t="d">
        <v>2002-06-14</v>
      </c>
      <c r="Z1365" t="s">
        <v>52</v>
      </c>
      <c r="AA1365" t="s">
        <v>46</v>
      </c>
      <c r="AB1365">
        <v>0</v>
      </c>
      <c r="AC1365">
        <v>1</v>
      </c>
      <c r="AD1365" t="s">
        <v>32</v>
      </c>
      <c r="AE1365" t="s">
        <v>62</v>
      </c>
      <c r="AF1365" t="s">
        <v>57</v>
      </c>
      <c r="AG1365">
        <f>IF(HR_Data[[#This Row],[Attrition]]="Yes",1,0)</f>
        <v>0</v>
      </c>
      <c r="AH1365" t="str">
        <f>IF(HR_Data[Date_of_termination]="","Active","Left")</f>
        <v>Active</v>
      </c>
      <c r="AI1365" t="str">
        <f>IF(HR_Data[YearsAtCompany]&lt;=2,"Fresher", IF(HR_Data[YearsAtCompany]&lt;=5,"Junior", IF(HR_Data[YearsAtCompany]&lt;=10, "Mid","Senior")))</f>
        <v>Senior</v>
      </c>
      <c r="AJ1365" s="2" t="str">
        <f>IF(HR_Data[MonthlyIncome]&lt;=300,"Low", IF(HR_Data[MonthlyIncome]&lt;=7000,"Medium", "High"))</f>
        <v>High</v>
      </c>
      <c r="AK1365" s="2" t="str">
        <f>VLOOKUP(HR_Data[JobRole], JobRole_Map[], 2, FALSE)</f>
        <v>Management</v>
      </c>
    </row>
    <row r="1366" spans="1:37" x14ac:dyDescent="0.25">
      <c r="A1366" s="2">
        <v>41</v>
      </c>
      <c r="B1366" t="s">
        <v>41</v>
      </c>
      <c r="C1366" t="s">
        <v>68</v>
      </c>
      <c r="D1366" t="s">
        <v>53</v>
      </c>
      <c r="E1366">
        <v>10</v>
      </c>
      <c r="F1366" t="s">
        <v>35</v>
      </c>
      <c r="G1366">
        <v>1</v>
      </c>
      <c r="H1366">
        <v>2</v>
      </c>
      <c r="I1366" t="s">
        <v>64</v>
      </c>
      <c r="J1366">
        <v>2</v>
      </c>
      <c r="K1366" t="s">
        <v>37</v>
      </c>
      <c r="L1366">
        <v>6151</v>
      </c>
      <c r="M1366">
        <v>1</v>
      </c>
      <c r="N1366" t="s">
        <v>41</v>
      </c>
      <c r="O1366">
        <v>13</v>
      </c>
      <c r="P1366">
        <v>3</v>
      </c>
      <c r="Q1366">
        <v>0</v>
      </c>
      <c r="R1366">
        <v>19</v>
      </c>
      <c r="S1366">
        <v>4</v>
      </c>
      <c r="T1366">
        <v>19</v>
      </c>
      <c r="U1366">
        <v>11</v>
      </c>
      <c r="V1366">
        <v>9</v>
      </c>
      <c r="W1366" t="s">
        <v>65</v>
      </c>
      <c r="X1366" s="1" t="d">
        <v>2002-03-30</v>
      </c>
      <c r="Z1366" t="s">
        <v>39</v>
      </c>
      <c r="AA1366" t="s">
        <v>46</v>
      </c>
      <c r="AB1366">
        <v>3</v>
      </c>
      <c r="AC1366">
        <v>0</v>
      </c>
      <c r="AD1366" t="s">
        <v>41</v>
      </c>
      <c r="AE1366" t="s">
        <v>42</v>
      </c>
      <c r="AF1366" t="s">
        <v>43</v>
      </c>
      <c r="AG1366">
        <f>IF(HR_Data[[#This Row],[Attrition]]="Yes",1,0)</f>
        <v>0</v>
      </c>
      <c r="AH1366" t="str">
        <f>IF(HR_Data[Date_of_termination]="","Active","Left")</f>
        <v>Active</v>
      </c>
      <c r="AI1366" t="str">
        <f>IF(HR_Data[YearsAtCompany]&lt;=2,"Fresher", IF(HR_Data[YearsAtCompany]&lt;=5,"Junior", IF(HR_Data[YearsAtCompany]&lt;=10, "Mid","Senior")))</f>
        <v>Senior</v>
      </c>
      <c r="AJ1366" s="2" t="str">
        <f>IF(HR_Data[MonthlyIncome]&lt;=300,"Low", IF(HR_Data[MonthlyIncome]&lt;=7000,"Medium", "High"))</f>
        <v>Medium</v>
      </c>
      <c r="AK1366" s="2" t="str">
        <f>VLOOKUP(HR_Data[JobRole], JobRole_Map[], 2, FALSE)</f>
        <v>Sales</v>
      </c>
    </row>
    <row r="1367" spans="1:37" x14ac:dyDescent="0.25">
      <c r="A1367" s="2">
        <v>55</v>
      </c>
      <c r="B1367" t="s">
        <v>41</v>
      </c>
      <c r="C1367" t="s">
        <v>33</v>
      </c>
      <c r="D1367" t="s">
        <v>34</v>
      </c>
      <c r="E1367">
        <v>2</v>
      </c>
      <c r="F1367" t="s">
        <v>58</v>
      </c>
      <c r="G1367">
        <v>1</v>
      </c>
      <c r="H1367">
        <v>5</v>
      </c>
      <c r="I1367" t="s">
        <v>66</v>
      </c>
      <c r="J1367">
        <v>3</v>
      </c>
      <c r="K1367" t="s">
        <v>50</v>
      </c>
      <c r="L1367">
        <v>19187</v>
      </c>
      <c r="M1367">
        <v>4</v>
      </c>
      <c r="N1367" t="s">
        <v>41</v>
      </c>
      <c r="O1367">
        <v>14</v>
      </c>
      <c r="P1367">
        <v>3</v>
      </c>
      <c r="Q1367">
        <v>1</v>
      </c>
      <c r="R1367">
        <v>23</v>
      </c>
      <c r="S1367">
        <v>5</v>
      </c>
      <c r="T1367">
        <v>19</v>
      </c>
      <c r="U1367">
        <v>9</v>
      </c>
      <c r="V1367">
        <v>11</v>
      </c>
      <c r="W1367" t="s">
        <v>56</v>
      </c>
      <c r="X1367" s="1" t="d">
        <v>2002-04-12</v>
      </c>
      <c r="Z1367" t="s">
        <v>52</v>
      </c>
      <c r="AA1367" t="s">
        <v>40</v>
      </c>
      <c r="AB1367">
        <v>3</v>
      </c>
      <c r="AC1367">
        <v>0</v>
      </c>
      <c r="AD1367" t="s">
        <v>32</v>
      </c>
      <c r="AE1367" t="s">
        <v>62</v>
      </c>
      <c r="AF1367" t="s">
        <v>43</v>
      </c>
      <c r="AG1367">
        <f>IF(HR_Data[[#This Row],[Attrition]]="Yes",1,0)</f>
        <v>0</v>
      </c>
      <c r="AH1367" t="str">
        <f>IF(HR_Data[Date_of_termination]="","Active","Left")</f>
        <v>Active</v>
      </c>
      <c r="AI1367" t="str">
        <f>IF(HR_Data[YearsAtCompany]&lt;=2,"Fresher", IF(HR_Data[YearsAtCompany]&lt;=5,"Junior", IF(HR_Data[YearsAtCompany]&lt;=10, "Mid","Senior")))</f>
        <v>Senior</v>
      </c>
      <c r="AJ1367" s="2" t="str">
        <f>IF(HR_Data[MonthlyIncome]&lt;=300,"Low", IF(HR_Data[MonthlyIncome]&lt;=7000,"Medium", "High"))</f>
        <v>High</v>
      </c>
      <c r="AK1367" s="2" t="str">
        <f>VLOOKUP(HR_Data[JobRole], JobRole_Map[], 2, FALSE)</f>
        <v>Management</v>
      </c>
    </row>
    <row r="1368" spans="1:37" x14ac:dyDescent="0.25">
      <c r="A1368" s="2">
        <v>55</v>
      </c>
      <c r="B1368" t="s">
        <v>32</v>
      </c>
      <c r="C1368" t="s">
        <v>33</v>
      </c>
      <c r="D1368" t="s">
        <v>53</v>
      </c>
      <c r="E1368">
        <v>13</v>
      </c>
      <c r="F1368" t="s">
        <v>35</v>
      </c>
      <c r="G1368">
        <v>4</v>
      </c>
      <c r="H1368">
        <v>4</v>
      </c>
      <c r="I1368" t="s">
        <v>64</v>
      </c>
      <c r="J1368">
        <v>3</v>
      </c>
      <c r="K1368" t="s">
        <v>37</v>
      </c>
      <c r="L1368">
        <v>13695</v>
      </c>
      <c r="M1368">
        <v>6</v>
      </c>
      <c r="N1368" t="s">
        <v>32</v>
      </c>
      <c r="O1368">
        <v>17</v>
      </c>
      <c r="P1368">
        <v>3</v>
      </c>
      <c r="Q1368">
        <v>0</v>
      </c>
      <c r="R1368">
        <v>24</v>
      </c>
      <c r="S1368">
        <v>2</v>
      </c>
      <c r="T1368">
        <v>19</v>
      </c>
      <c r="U1368">
        <v>3</v>
      </c>
      <c r="V1368">
        <v>8</v>
      </c>
      <c r="W1368" t="s">
        <v>65</v>
      </c>
      <c r="X1368" s="1" t="d">
        <v>2002-01-30</v>
      </c>
      <c r="Z1368" t="s">
        <v>45</v>
      </c>
      <c r="AA1368" t="s">
        <v>40</v>
      </c>
      <c r="AB1368">
        <v>2</v>
      </c>
      <c r="AC1368">
        <v>0</v>
      </c>
      <c r="AD1368" t="s">
        <v>41</v>
      </c>
      <c r="AE1368" t="s">
        <v>60</v>
      </c>
      <c r="AF1368" t="s">
        <v>48</v>
      </c>
      <c r="AG1368">
        <f>IF(HR_Data[[#This Row],[Attrition]]="Yes",1,0)</f>
        <v>1</v>
      </c>
      <c r="AH1368" t="str">
        <f>IF(HR_Data[Date_of_termination]="","Active","Left")</f>
        <v>Active</v>
      </c>
      <c r="AI1368" t="str">
        <f>IF(HR_Data[YearsAtCompany]&lt;=2,"Fresher", IF(HR_Data[YearsAtCompany]&lt;=5,"Junior", IF(HR_Data[YearsAtCompany]&lt;=10, "Mid","Senior")))</f>
        <v>Senior</v>
      </c>
      <c r="AJ1368" s="2" t="str">
        <f>IF(HR_Data[MonthlyIncome]&lt;=300,"Low", IF(HR_Data[MonthlyIncome]&lt;=7000,"Medium", "High"))</f>
        <v>High</v>
      </c>
      <c r="AK1368" s="2" t="str">
        <f>VLOOKUP(HR_Data[JobRole], JobRole_Map[], 2, FALSE)</f>
        <v>Sales</v>
      </c>
    </row>
    <row r="1369" spans="1:37" x14ac:dyDescent="0.25">
      <c r="A1369" s="2">
        <v>56</v>
      </c>
      <c r="B1369" t="s">
        <v>41</v>
      </c>
      <c r="C1369" t="s">
        <v>33</v>
      </c>
      <c r="D1369" t="s">
        <v>34</v>
      </c>
      <c r="E1369">
        <v>23</v>
      </c>
      <c r="F1369" t="s">
        <v>35</v>
      </c>
      <c r="G1369">
        <v>3</v>
      </c>
      <c r="H1369">
        <v>4</v>
      </c>
      <c r="I1369" t="s">
        <v>67</v>
      </c>
      <c r="J1369">
        <v>2</v>
      </c>
      <c r="K1369" t="s">
        <v>50</v>
      </c>
      <c r="L1369">
        <v>13402</v>
      </c>
      <c r="M1369">
        <v>4</v>
      </c>
      <c r="N1369" t="s">
        <v>32</v>
      </c>
      <c r="O1369">
        <v>12</v>
      </c>
      <c r="P1369">
        <v>3</v>
      </c>
      <c r="Q1369">
        <v>1</v>
      </c>
      <c r="R1369">
        <v>33</v>
      </c>
      <c r="S1369">
        <v>0</v>
      </c>
      <c r="T1369">
        <v>19</v>
      </c>
      <c r="U1369">
        <v>15</v>
      </c>
      <c r="V1369">
        <v>9</v>
      </c>
      <c r="W1369" t="s">
        <v>38</v>
      </c>
      <c r="X1369" s="1" t="d">
        <v>2002-03-24</v>
      </c>
      <c r="Z1369" t="s">
        <v>63</v>
      </c>
      <c r="AA1369" t="s">
        <v>46</v>
      </c>
      <c r="AB1369">
        <v>0</v>
      </c>
      <c r="AC1369">
        <v>3</v>
      </c>
      <c r="AD1369" t="s">
        <v>32</v>
      </c>
      <c r="AE1369" t="s">
        <v>60</v>
      </c>
      <c r="AF1369" t="s">
        <v>43</v>
      </c>
      <c r="AG1369">
        <f>IF(HR_Data[[#This Row],[Attrition]]="Yes",1,0)</f>
        <v>0</v>
      </c>
      <c r="AH1369" t="str">
        <f>IF(HR_Data[Date_of_termination]="","Active","Left")</f>
        <v>Active</v>
      </c>
      <c r="AI1369" t="str">
        <f>IF(HR_Data[YearsAtCompany]&lt;=2,"Fresher", IF(HR_Data[YearsAtCompany]&lt;=5,"Junior", IF(HR_Data[YearsAtCompany]&lt;=10, "Mid","Senior")))</f>
        <v>Senior</v>
      </c>
      <c r="AJ1369" s="2" t="str">
        <f>IF(HR_Data[MonthlyIncome]&lt;=300,"Low", IF(HR_Data[MonthlyIncome]&lt;=7000,"Medium", "High"))</f>
        <v>High</v>
      </c>
      <c r="AK1369" s="2" t="str">
        <f>VLOOKUP(HR_Data[JobRole], JobRole_Map[], 2, FALSE)</f>
        <v>Operations</v>
      </c>
    </row>
    <row r="1370" spans="1:37" x14ac:dyDescent="0.25">
      <c r="A1370" s="2">
        <v>46</v>
      </c>
      <c r="B1370" t="s">
        <v>41</v>
      </c>
      <c r="C1370" t="s">
        <v>33</v>
      </c>
      <c r="D1370" t="s">
        <v>53</v>
      </c>
      <c r="E1370">
        <v>3</v>
      </c>
      <c r="F1370" t="s">
        <v>58</v>
      </c>
      <c r="G1370">
        <v>4</v>
      </c>
      <c r="H1370">
        <v>4</v>
      </c>
      <c r="I1370" t="s">
        <v>64</v>
      </c>
      <c r="J1370">
        <v>1</v>
      </c>
      <c r="K1370" t="s">
        <v>55</v>
      </c>
      <c r="L1370">
        <v>13225</v>
      </c>
      <c r="M1370">
        <v>2</v>
      </c>
      <c r="N1370" t="s">
        <v>41</v>
      </c>
      <c r="O1370">
        <v>12</v>
      </c>
      <c r="P1370">
        <v>3</v>
      </c>
      <c r="Q1370">
        <v>1</v>
      </c>
      <c r="R1370">
        <v>25</v>
      </c>
      <c r="S1370">
        <v>5</v>
      </c>
      <c r="T1370">
        <v>19</v>
      </c>
      <c r="U1370">
        <v>2</v>
      </c>
      <c r="V1370">
        <v>8</v>
      </c>
      <c r="W1370" t="s">
        <v>51</v>
      </c>
      <c r="X1370" s="1" t="d">
        <v>2002-02-23</v>
      </c>
      <c r="Z1370" t="s">
        <v>52</v>
      </c>
      <c r="AA1370" t="s">
        <v>46</v>
      </c>
      <c r="AB1370">
        <v>5</v>
      </c>
      <c r="AC1370">
        <v>0</v>
      </c>
      <c r="AD1370" t="s">
        <v>41</v>
      </c>
      <c r="AE1370" t="s">
        <v>62</v>
      </c>
      <c r="AF1370" t="s">
        <v>57</v>
      </c>
      <c r="AG1370">
        <f>IF(HR_Data[[#This Row],[Attrition]]="Yes",1,0)</f>
        <v>0</v>
      </c>
      <c r="AH1370" t="str">
        <f>IF(HR_Data[Date_of_termination]="","Active","Left")</f>
        <v>Active</v>
      </c>
      <c r="AI1370" t="str">
        <f>IF(HR_Data[YearsAtCompany]&lt;=2,"Fresher", IF(HR_Data[YearsAtCompany]&lt;=5,"Junior", IF(HR_Data[YearsAtCompany]&lt;=10, "Mid","Senior")))</f>
        <v>Senior</v>
      </c>
      <c r="AJ1370" s="2" t="str">
        <f>IF(HR_Data[MonthlyIncome]&lt;=300,"Low", IF(HR_Data[MonthlyIncome]&lt;=7000,"Medium", "High"))</f>
        <v>High</v>
      </c>
      <c r="AK1370" s="2" t="str">
        <f>VLOOKUP(HR_Data[JobRole], JobRole_Map[], 2, FALSE)</f>
        <v>Sales</v>
      </c>
    </row>
    <row r="1371" spans="1:37" x14ac:dyDescent="0.25">
      <c r="A1371" s="2">
        <v>40</v>
      </c>
      <c r="B1371" t="s">
        <v>41</v>
      </c>
      <c r="C1371" t="s">
        <v>33</v>
      </c>
      <c r="D1371" t="s">
        <v>34</v>
      </c>
      <c r="E1371">
        <v>1</v>
      </c>
      <c r="F1371" t="s">
        <v>35</v>
      </c>
      <c r="G1371">
        <v>3</v>
      </c>
      <c r="H1371">
        <v>4</v>
      </c>
      <c r="I1371" t="s">
        <v>66</v>
      </c>
      <c r="J1371">
        <v>1</v>
      </c>
      <c r="K1371" t="s">
        <v>55</v>
      </c>
      <c r="L1371">
        <v>16823</v>
      </c>
      <c r="M1371">
        <v>2</v>
      </c>
      <c r="N1371" t="s">
        <v>41</v>
      </c>
      <c r="O1371">
        <v>11</v>
      </c>
      <c r="P1371">
        <v>3</v>
      </c>
      <c r="Q1371">
        <v>1</v>
      </c>
      <c r="R1371">
        <v>22</v>
      </c>
      <c r="S1371">
        <v>3</v>
      </c>
      <c r="T1371">
        <v>19</v>
      </c>
      <c r="U1371">
        <v>11</v>
      </c>
      <c r="V1371">
        <v>16</v>
      </c>
      <c r="W1371" t="s">
        <v>38</v>
      </c>
      <c r="X1371" s="1" t="d">
        <v>2002-06-27</v>
      </c>
      <c r="Z1371" t="s">
        <v>63</v>
      </c>
      <c r="AA1371" t="s">
        <v>46</v>
      </c>
      <c r="AB1371">
        <v>4</v>
      </c>
      <c r="AC1371">
        <v>2</v>
      </c>
      <c r="AD1371" t="s">
        <v>41</v>
      </c>
      <c r="AE1371" t="s">
        <v>42</v>
      </c>
      <c r="AF1371" t="s">
        <v>43</v>
      </c>
      <c r="AG1371">
        <f>IF(HR_Data[[#This Row],[Attrition]]="Yes",1,0)</f>
        <v>0</v>
      </c>
      <c r="AH1371" t="str">
        <f>IF(HR_Data[Date_of_termination]="","Active","Left")</f>
        <v>Active</v>
      </c>
      <c r="AI1371" t="str">
        <f>IF(HR_Data[YearsAtCompany]&lt;=2,"Fresher", IF(HR_Data[YearsAtCompany]&lt;=5,"Junior", IF(HR_Data[YearsAtCompany]&lt;=10, "Mid","Senior")))</f>
        <v>Senior</v>
      </c>
      <c r="AJ1371" s="2" t="str">
        <f>IF(HR_Data[MonthlyIncome]&lt;=300,"Low", IF(HR_Data[MonthlyIncome]&lt;=7000,"Medium", "High"))</f>
        <v>High</v>
      </c>
      <c r="AK1371" s="2" t="str">
        <f>VLOOKUP(HR_Data[JobRole], JobRole_Map[], 2, FALSE)</f>
        <v>Management</v>
      </c>
    </row>
    <row r="1372" spans="1:37" x14ac:dyDescent="0.25">
      <c r="A1372" s="2">
        <v>51</v>
      </c>
      <c r="B1372" t="s">
        <v>41</v>
      </c>
      <c r="C1372" t="s">
        <v>33</v>
      </c>
      <c r="D1372" t="s">
        <v>34</v>
      </c>
      <c r="E1372">
        <v>6</v>
      </c>
      <c r="F1372" t="s">
        <v>35</v>
      </c>
      <c r="G1372">
        <v>3</v>
      </c>
      <c r="H1372">
        <v>5</v>
      </c>
      <c r="I1372" t="s">
        <v>49</v>
      </c>
      <c r="J1372">
        <v>3</v>
      </c>
      <c r="K1372" t="s">
        <v>37</v>
      </c>
      <c r="L1372">
        <v>19537</v>
      </c>
      <c r="M1372">
        <v>7</v>
      </c>
      <c r="N1372" t="s">
        <v>41</v>
      </c>
      <c r="O1372">
        <v>13</v>
      </c>
      <c r="P1372">
        <v>3</v>
      </c>
      <c r="Q1372">
        <v>0</v>
      </c>
      <c r="R1372">
        <v>23</v>
      </c>
      <c r="S1372">
        <v>5</v>
      </c>
      <c r="T1372">
        <v>20</v>
      </c>
      <c r="U1372">
        <v>15</v>
      </c>
      <c r="V1372">
        <v>15</v>
      </c>
      <c r="W1372" t="s">
        <v>56</v>
      </c>
      <c r="X1372" s="1" t="d">
        <v>2001-06-27</v>
      </c>
      <c r="Z1372" t="s">
        <v>39</v>
      </c>
      <c r="AA1372" t="s">
        <v>40</v>
      </c>
      <c r="AB1372">
        <v>1</v>
      </c>
      <c r="AC1372">
        <v>1</v>
      </c>
      <c r="AD1372" t="s">
        <v>41</v>
      </c>
      <c r="AE1372" t="s">
        <v>47</v>
      </c>
      <c r="AF1372" t="s">
        <v>48</v>
      </c>
      <c r="AG1372">
        <f>IF(HR_Data[[#This Row],[Attrition]]="Yes",1,0)</f>
        <v>0</v>
      </c>
      <c r="AH1372" t="str">
        <f>IF(HR_Data[Date_of_termination]="","Active","Left")</f>
        <v>Active</v>
      </c>
      <c r="AI1372" t="str">
        <f>IF(HR_Data[YearsAtCompany]&lt;=2,"Fresher", IF(HR_Data[YearsAtCompany]&lt;=5,"Junior", IF(HR_Data[YearsAtCompany]&lt;=10, "Mid","Senior")))</f>
        <v>Senior</v>
      </c>
      <c r="AJ1372" s="2" t="str">
        <f>IF(HR_Data[MonthlyIncome]&lt;=300,"Low", IF(HR_Data[MonthlyIncome]&lt;=7000,"Medium", "High"))</f>
        <v>High</v>
      </c>
      <c r="AK1372" s="2" t="str">
        <f>VLOOKUP(HR_Data[JobRole], JobRole_Map[], 2, FALSE)</f>
        <v>Management</v>
      </c>
    </row>
    <row r="1373" spans="1:37" x14ac:dyDescent="0.25">
      <c r="A1373" s="2">
        <v>40</v>
      </c>
      <c r="B1373" t="s">
        <v>41</v>
      </c>
      <c r="C1373" t="s">
        <v>61</v>
      </c>
      <c r="D1373" t="s">
        <v>34</v>
      </c>
      <c r="E1373">
        <v>26</v>
      </c>
      <c r="F1373" t="s">
        <v>58</v>
      </c>
      <c r="G1373">
        <v>3</v>
      </c>
      <c r="H1373">
        <v>2</v>
      </c>
      <c r="I1373" t="s">
        <v>44</v>
      </c>
      <c r="J1373">
        <v>2</v>
      </c>
      <c r="K1373" t="s">
        <v>55</v>
      </c>
      <c r="L1373">
        <v>5605</v>
      </c>
      <c r="M1373">
        <v>1</v>
      </c>
      <c r="N1373" t="s">
        <v>41</v>
      </c>
      <c r="O1373">
        <v>11</v>
      </c>
      <c r="P1373">
        <v>3</v>
      </c>
      <c r="Q1373">
        <v>1</v>
      </c>
      <c r="R1373">
        <v>20</v>
      </c>
      <c r="S1373">
        <v>2</v>
      </c>
      <c r="T1373">
        <v>20</v>
      </c>
      <c r="U1373">
        <v>2</v>
      </c>
      <c r="V1373">
        <v>13</v>
      </c>
      <c r="W1373" t="s">
        <v>51</v>
      </c>
      <c r="X1373" s="1" t="d">
        <v>2001-02-15</v>
      </c>
      <c r="Z1373" t="s">
        <v>59</v>
      </c>
      <c r="AA1373" t="s">
        <v>40</v>
      </c>
      <c r="AB1373">
        <v>4</v>
      </c>
      <c r="AC1373">
        <v>3</v>
      </c>
      <c r="AD1373" t="s">
        <v>41</v>
      </c>
      <c r="AE1373" t="s">
        <v>42</v>
      </c>
      <c r="AF1373" t="s">
        <v>57</v>
      </c>
      <c r="AG1373">
        <f>IF(HR_Data[[#This Row],[Attrition]]="Yes",1,0)</f>
        <v>0</v>
      </c>
      <c r="AH1373" t="str">
        <f>IF(HR_Data[Date_of_termination]="","Active","Left")</f>
        <v>Active</v>
      </c>
      <c r="AI1373" t="str">
        <f>IF(HR_Data[YearsAtCompany]&lt;=2,"Fresher", IF(HR_Data[YearsAtCompany]&lt;=5,"Junior", IF(HR_Data[YearsAtCompany]&lt;=10, "Mid","Senior")))</f>
        <v>Senior</v>
      </c>
      <c r="AJ1373" s="2" t="str">
        <f>IF(HR_Data[MonthlyIncome]&lt;=300,"Low", IF(HR_Data[MonthlyIncome]&lt;=7000,"Medium", "High"))</f>
        <v>Medium</v>
      </c>
      <c r="AK1373" s="2" t="str">
        <f>VLOOKUP(HR_Data[JobRole], JobRole_Map[], 2, FALSE)</f>
        <v>Technical</v>
      </c>
    </row>
    <row r="1374" spans="1:37" x14ac:dyDescent="0.25">
      <c r="A1374" s="2">
        <v>40</v>
      </c>
      <c r="B1374" t="s">
        <v>41</v>
      </c>
      <c r="C1374" t="s">
        <v>33</v>
      </c>
      <c r="D1374" t="s">
        <v>34</v>
      </c>
      <c r="E1374">
        <v>4</v>
      </c>
      <c r="F1374" t="s">
        <v>58</v>
      </c>
      <c r="G1374">
        <v>3</v>
      </c>
      <c r="H1374">
        <v>5</v>
      </c>
      <c r="I1374" t="s">
        <v>66</v>
      </c>
      <c r="J1374">
        <v>3</v>
      </c>
      <c r="K1374" t="s">
        <v>50</v>
      </c>
      <c r="L1374">
        <v>19033</v>
      </c>
      <c r="M1374">
        <v>1</v>
      </c>
      <c r="N1374" t="s">
        <v>41</v>
      </c>
      <c r="O1374">
        <v>14</v>
      </c>
      <c r="P1374">
        <v>3</v>
      </c>
      <c r="Q1374">
        <v>1</v>
      </c>
      <c r="R1374">
        <v>21</v>
      </c>
      <c r="S1374">
        <v>2</v>
      </c>
      <c r="T1374">
        <v>20</v>
      </c>
      <c r="U1374">
        <v>9</v>
      </c>
      <c r="V1374">
        <v>9</v>
      </c>
      <c r="W1374" t="s">
        <v>56</v>
      </c>
      <c r="X1374" s="1" t="d">
        <v>2001-05-20</v>
      </c>
      <c r="Z1374" t="s">
        <v>39</v>
      </c>
      <c r="AA1374" t="s">
        <v>46</v>
      </c>
      <c r="AB1374">
        <v>2</v>
      </c>
      <c r="AC1374">
        <v>1</v>
      </c>
      <c r="AD1374" t="s">
        <v>41</v>
      </c>
      <c r="AE1374" t="s">
        <v>60</v>
      </c>
      <c r="AF1374" t="s">
        <v>48</v>
      </c>
      <c r="AG1374">
        <f>IF(HR_Data[[#This Row],[Attrition]]="Yes",1,0)</f>
        <v>0</v>
      </c>
      <c r="AH1374" t="str">
        <f>IF(HR_Data[Date_of_termination]="","Active","Left")</f>
        <v>Active</v>
      </c>
      <c r="AI1374" t="str">
        <f>IF(HR_Data[YearsAtCompany]&lt;=2,"Fresher", IF(HR_Data[YearsAtCompany]&lt;=5,"Junior", IF(HR_Data[YearsAtCompany]&lt;=10, "Mid","Senior")))</f>
        <v>Senior</v>
      </c>
      <c r="AJ1374" s="2" t="str">
        <f>IF(HR_Data[MonthlyIncome]&lt;=300,"Low", IF(HR_Data[MonthlyIncome]&lt;=7000,"Medium", "High"))</f>
        <v>High</v>
      </c>
      <c r="AK1374" s="2" t="str">
        <f>VLOOKUP(HR_Data[JobRole], JobRole_Map[], 2, FALSE)</f>
        <v>Management</v>
      </c>
    </row>
    <row r="1375" spans="1:37" x14ac:dyDescent="0.25">
      <c r="A1375" s="2">
        <v>45</v>
      </c>
      <c r="B1375" t="s">
        <v>41</v>
      </c>
      <c r="C1375" t="s">
        <v>68</v>
      </c>
      <c r="D1375" t="s">
        <v>34</v>
      </c>
      <c r="E1375">
        <v>2</v>
      </c>
      <c r="F1375" t="s">
        <v>35</v>
      </c>
      <c r="G1375">
        <v>2</v>
      </c>
      <c r="H1375">
        <v>4</v>
      </c>
      <c r="I1375" t="s">
        <v>66</v>
      </c>
      <c r="J1375">
        <v>4</v>
      </c>
      <c r="K1375" t="s">
        <v>50</v>
      </c>
      <c r="L1375">
        <v>16792</v>
      </c>
      <c r="M1375">
        <v>9</v>
      </c>
      <c r="N1375" t="s">
        <v>41</v>
      </c>
      <c r="O1375">
        <v>23</v>
      </c>
      <c r="P1375">
        <v>4</v>
      </c>
      <c r="Q1375">
        <v>1</v>
      </c>
      <c r="R1375">
        <v>22</v>
      </c>
      <c r="S1375">
        <v>1</v>
      </c>
      <c r="T1375">
        <v>20</v>
      </c>
      <c r="U1375">
        <v>11</v>
      </c>
      <c r="V1375">
        <v>8</v>
      </c>
      <c r="W1375" t="s">
        <v>56</v>
      </c>
      <c r="X1375" s="1" t="d">
        <v>2001-02-15</v>
      </c>
      <c r="Z1375" t="s">
        <v>39</v>
      </c>
      <c r="AA1375" t="s">
        <v>40</v>
      </c>
      <c r="AB1375">
        <v>5</v>
      </c>
      <c r="AC1375">
        <v>2</v>
      </c>
      <c r="AD1375" t="s">
        <v>32</v>
      </c>
      <c r="AE1375" t="s">
        <v>47</v>
      </c>
      <c r="AF1375" t="s">
        <v>57</v>
      </c>
      <c r="AG1375">
        <f>IF(HR_Data[[#This Row],[Attrition]]="Yes",1,0)</f>
        <v>0</v>
      </c>
      <c r="AH1375" t="str">
        <f>IF(HR_Data[Date_of_termination]="","Active","Left")</f>
        <v>Active</v>
      </c>
      <c r="AI1375" t="str">
        <f>IF(HR_Data[YearsAtCompany]&lt;=2,"Fresher", IF(HR_Data[YearsAtCompany]&lt;=5,"Junior", IF(HR_Data[YearsAtCompany]&lt;=10, "Mid","Senior")))</f>
        <v>Senior</v>
      </c>
      <c r="AJ1375" s="2" t="str">
        <f>IF(HR_Data[MonthlyIncome]&lt;=300,"Low", IF(HR_Data[MonthlyIncome]&lt;=7000,"Medium", "High"))</f>
        <v>High</v>
      </c>
      <c r="AK1375" s="2" t="str">
        <f>VLOOKUP(HR_Data[JobRole], JobRole_Map[], 2, FALSE)</f>
        <v>Management</v>
      </c>
    </row>
    <row r="1376" spans="1:37" x14ac:dyDescent="0.25">
      <c r="A1376" s="2">
        <v>45</v>
      </c>
      <c r="B1376" t="s">
        <v>41</v>
      </c>
      <c r="C1376" t="s">
        <v>33</v>
      </c>
      <c r="D1376" t="s">
        <v>34</v>
      </c>
      <c r="E1376">
        <v>20</v>
      </c>
      <c r="F1376" t="s">
        <v>35</v>
      </c>
      <c r="G1376">
        <v>3</v>
      </c>
      <c r="H1376">
        <v>4</v>
      </c>
      <c r="I1376" t="s">
        <v>69</v>
      </c>
      <c r="J1376">
        <v>4</v>
      </c>
      <c r="K1376" t="s">
        <v>50</v>
      </c>
      <c r="L1376">
        <v>13496</v>
      </c>
      <c r="M1376">
        <v>0</v>
      </c>
      <c r="N1376" t="s">
        <v>32</v>
      </c>
      <c r="O1376">
        <v>14</v>
      </c>
      <c r="P1376">
        <v>3</v>
      </c>
      <c r="Q1376">
        <v>0</v>
      </c>
      <c r="R1376">
        <v>21</v>
      </c>
      <c r="S1376">
        <v>2</v>
      </c>
      <c r="T1376">
        <v>20</v>
      </c>
      <c r="U1376">
        <v>4</v>
      </c>
      <c r="V1376">
        <v>10</v>
      </c>
      <c r="W1376" t="s">
        <v>56</v>
      </c>
      <c r="X1376" s="1" t="d">
        <v>2001-04-23</v>
      </c>
      <c r="Z1376" t="s">
        <v>52</v>
      </c>
      <c r="AA1376" t="s">
        <v>46</v>
      </c>
      <c r="AB1376">
        <v>3</v>
      </c>
      <c r="AC1376">
        <v>2</v>
      </c>
      <c r="AD1376" t="s">
        <v>32</v>
      </c>
      <c r="AE1376" t="s">
        <v>42</v>
      </c>
      <c r="AF1376" t="s">
        <v>57</v>
      </c>
      <c r="AG1376">
        <f>IF(HR_Data[[#This Row],[Attrition]]="Yes",1,0)</f>
        <v>0</v>
      </c>
      <c r="AH1376" t="str">
        <f>IF(HR_Data[Date_of_termination]="","Active","Left")</f>
        <v>Active</v>
      </c>
      <c r="AI1376" t="str">
        <f>IF(HR_Data[YearsAtCompany]&lt;=2,"Fresher", IF(HR_Data[YearsAtCompany]&lt;=5,"Junior", IF(HR_Data[YearsAtCompany]&lt;=10, "Mid","Senior")))</f>
        <v>Senior</v>
      </c>
      <c r="AJ1376" s="2" t="str">
        <f>IF(HR_Data[MonthlyIncome]&lt;=300,"Low", IF(HR_Data[MonthlyIncome]&lt;=7000,"Medium", "High"))</f>
        <v>High</v>
      </c>
      <c r="AK1376" s="2" t="str">
        <f>VLOOKUP(HR_Data[JobRole], JobRole_Map[], 2, FALSE)</f>
        <v>Operations</v>
      </c>
    </row>
    <row r="1377" spans="1:37" x14ac:dyDescent="0.25">
      <c r="A1377" s="2">
        <v>42</v>
      </c>
      <c r="B1377" t="s">
        <v>41</v>
      </c>
      <c r="C1377" t="s">
        <v>33</v>
      </c>
      <c r="D1377" t="s">
        <v>53</v>
      </c>
      <c r="E1377">
        <v>1</v>
      </c>
      <c r="F1377" t="s">
        <v>35</v>
      </c>
      <c r="G1377">
        <v>3</v>
      </c>
      <c r="H1377">
        <v>2</v>
      </c>
      <c r="I1377" t="s">
        <v>64</v>
      </c>
      <c r="J1377">
        <v>3</v>
      </c>
      <c r="K1377" t="s">
        <v>50</v>
      </c>
      <c r="L1377">
        <v>4907</v>
      </c>
      <c r="M1377">
        <v>1</v>
      </c>
      <c r="N1377" t="s">
        <v>41</v>
      </c>
      <c r="O1377">
        <v>25</v>
      </c>
      <c r="P1377">
        <v>4</v>
      </c>
      <c r="Q1377">
        <v>0</v>
      </c>
      <c r="R1377">
        <v>20</v>
      </c>
      <c r="S1377">
        <v>3</v>
      </c>
      <c r="T1377">
        <v>20</v>
      </c>
      <c r="U1377">
        <v>11</v>
      </c>
      <c r="V1377">
        <v>6</v>
      </c>
      <c r="W1377" t="s">
        <v>65</v>
      </c>
      <c r="X1377" s="1" t="d">
        <v>2001-01-25</v>
      </c>
      <c r="Z1377" t="s">
        <v>39</v>
      </c>
      <c r="AA1377" t="s">
        <v>46</v>
      </c>
      <c r="AB1377">
        <v>5</v>
      </c>
      <c r="AC1377">
        <v>2</v>
      </c>
      <c r="AD1377" t="s">
        <v>41</v>
      </c>
      <c r="AE1377" t="s">
        <v>47</v>
      </c>
      <c r="AF1377" t="s">
        <v>48</v>
      </c>
      <c r="AG1377">
        <f>IF(HR_Data[[#This Row],[Attrition]]="Yes",1,0)</f>
        <v>0</v>
      </c>
      <c r="AH1377" t="str">
        <f>IF(HR_Data[Date_of_termination]="","Active","Left")</f>
        <v>Active</v>
      </c>
      <c r="AI1377" t="str">
        <f>IF(HR_Data[YearsAtCompany]&lt;=2,"Fresher", IF(HR_Data[YearsAtCompany]&lt;=5,"Junior", IF(HR_Data[YearsAtCompany]&lt;=10, "Mid","Senior")))</f>
        <v>Senior</v>
      </c>
      <c r="AJ1377" s="2" t="str">
        <f>IF(HR_Data[MonthlyIncome]&lt;=300,"Low", IF(HR_Data[MonthlyIncome]&lt;=7000,"Medium", "High"))</f>
        <v>Medium</v>
      </c>
      <c r="AK1377" s="2" t="str">
        <f>VLOOKUP(HR_Data[JobRole], JobRole_Map[], 2, FALSE)</f>
        <v>Sales</v>
      </c>
    </row>
    <row r="1378" spans="1:37" x14ac:dyDescent="0.25">
      <c r="A1378" s="2">
        <v>42</v>
      </c>
      <c r="B1378" t="s">
        <v>41</v>
      </c>
      <c r="C1378" t="s">
        <v>61</v>
      </c>
      <c r="D1378" t="s">
        <v>53</v>
      </c>
      <c r="E1378">
        <v>26</v>
      </c>
      <c r="F1378" t="s">
        <v>58</v>
      </c>
      <c r="G1378">
        <v>3</v>
      </c>
      <c r="H1378">
        <v>4</v>
      </c>
      <c r="I1378" t="s">
        <v>64</v>
      </c>
      <c r="J1378">
        <v>2</v>
      </c>
      <c r="K1378" t="s">
        <v>50</v>
      </c>
      <c r="L1378">
        <v>13525</v>
      </c>
      <c r="M1378">
        <v>5</v>
      </c>
      <c r="N1378" t="s">
        <v>41</v>
      </c>
      <c r="O1378">
        <v>14</v>
      </c>
      <c r="P1378">
        <v>3</v>
      </c>
      <c r="Q1378">
        <v>1</v>
      </c>
      <c r="R1378">
        <v>23</v>
      </c>
      <c r="S1378">
        <v>2</v>
      </c>
      <c r="T1378">
        <v>20</v>
      </c>
      <c r="U1378">
        <v>4</v>
      </c>
      <c r="V1378">
        <v>8</v>
      </c>
      <c r="W1378" t="s">
        <v>38</v>
      </c>
      <c r="X1378" s="1" t="d">
        <v>2001-04-04</v>
      </c>
      <c r="Z1378" t="s">
        <v>39</v>
      </c>
      <c r="AA1378" t="s">
        <v>40</v>
      </c>
      <c r="AB1378">
        <v>5</v>
      </c>
      <c r="AC1378">
        <v>3</v>
      </c>
      <c r="AD1378" t="s">
        <v>32</v>
      </c>
      <c r="AE1378" t="s">
        <v>62</v>
      </c>
      <c r="AF1378" t="s">
        <v>43</v>
      </c>
      <c r="AG1378">
        <f>IF(HR_Data[[#This Row],[Attrition]]="Yes",1,0)</f>
        <v>0</v>
      </c>
      <c r="AH1378" t="str">
        <f>IF(HR_Data[Date_of_termination]="","Active","Left")</f>
        <v>Active</v>
      </c>
      <c r="AI1378" t="str">
        <f>IF(HR_Data[YearsAtCompany]&lt;=2,"Fresher", IF(HR_Data[YearsAtCompany]&lt;=5,"Junior", IF(HR_Data[YearsAtCompany]&lt;=10, "Mid","Senior")))</f>
        <v>Senior</v>
      </c>
      <c r="AJ1378" s="2" t="str">
        <f>IF(HR_Data[MonthlyIncome]&lt;=300,"Low", IF(HR_Data[MonthlyIncome]&lt;=7000,"Medium", "High"))</f>
        <v>High</v>
      </c>
      <c r="AK1378" s="2" t="str">
        <f>VLOOKUP(HR_Data[JobRole], JobRole_Map[], 2, FALSE)</f>
        <v>Sales</v>
      </c>
    </row>
    <row r="1379" spans="1:37" x14ac:dyDescent="0.25">
      <c r="A1379" s="2">
        <v>40</v>
      </c>
      <c r="B1379" t="s">
        <v>41</v>
      </c>
      <c r="C1379" t="s">
        <v>33</v>
      </c>
      <c r="D1379" t="s">
        <v>53</v>
      </c>
      <c r="E1379">
        <v>2</v>
      </c>
      <c r="F1379" t="s">
        <v>58</v>
      </c>
      <c r="G1379">
        <v>3</v>
      </c>
      <c r="H1379">
        <v>5</v>
      </c>
      <c r="I1379" t="s">
        <v>66</v>
      </c>
      <c r="J1379">
        <v>3</v>
      </c>
      <c r="K1379" t="s">
        <v>50</v>
      </c>
      <c r="L1379">
        <v>18041</v>
      </c>
      <c r="M1379">
        <v>0</v>
      </c>
      <c r="N1379" t="s">
        <v>41</v>
      </c>
      <c r="O1379">
        <v>14</v>
      </c>
      <c r="P1379">
        <v>3</v>
      </c>
      <c r="Q1379">
        <v>0</v>
      </c>
      <c r="R1379">
        <v>21</v>
      </c>
      <c r="S1379">
        <v>2</v>
      </c>
      <c r="T1379">
        <v>20</v>
      </c>
      <c r="U1379">
        <v>1</v>
      </c>
      <c r="V1379">
        <v>12</v>
      </c>
      <c r="W1379" t="s">
        <v>51</v>
      </c>
      <c r="X1379" s="1" t="d">
        <v>2001-03-17</v>
      </c>
      <c r="Z1379" t="s">
        <v>59</v>
      </c>
      <c r="AA1379" t="s">
        <v>40</v>
      </c>
      <c r="AB1379">
        <v>2</v>
      </c>
      <c r="AC1379">
        <v>0</v>
      </c>
      <c r="AD1379" t="s">
        <v>32</v>
      </c>
      <c r="AE1379" t="s">
        <v>42</v>
      </c>
      <c r="AF1379" t="s">
        <v>57</v>
      </c>
      <c r="AG1379">
        <f>IF(HR_Data[[#This Row],[Attrition]]="Yes",1,0)</f>
        <v>0</v>
      </c>
      <c r="AH1379" t="str">
        <f>IF(HR_Data[Date_of_termination]="","Active","Left")</f>
        <v>Active</v>
      </c>
      <c r="AI1379" t="str">
        <f>IF(HR_Data[YearsAtCompany]&lt;=2,"Fresher", IF(HR_Data[YearsAtCompany]&lt;=5,"Junior", IF(HR_Data[YearsAtCompany]&lt;=10, "Mid","Senior")))</f>
        <v>Senior</v>
      </c>
      <c r="AJ1379" s="2" t="str">
        <f>IF(HR_Data[MonthlyIncome]&lt;=300,"Low", IF(HR_Data[MonthlyIncome]&lt;=7000,"Medium", "High"))</f>
        <v>High</v>
      </c>
      <c r="AK1379" s="2" t="str">
        <f>VLOOKUP(HR_Data[JobRole], JobRole_Map[], 2, FALSE)</f>
        <v>Management</v>
      </c>
    </row>
    <row r="1380" spans="1:37" x14ac:dyDescent="0.25">
      <c r="A1380" s="2">
        <v>40</v>
      </c>
      <c r="B1380" t="s">
        <v>41</v>
      </c>
      <c r="C1380" t="s">
        <v>33</v>
      </c>
      <c r="D1380" t="s">
        <v>34</v>
      </c>
      <c r="E1380">
        <v>6</v>
      </c>
      <c r="F1380" t="s">
        <v>58</v>
      </c>
      <c r="G1380">
        <v>3</v>
      </c>
      <c r="H1380">
        <v>4</v>
      </c>
      <c r="I1380" t="s">
        <v>67</v>
      </c>
      <c r="J1380">
        <v>3</v>
      </c>
      <c r="K1380" t="s">
        <v>37</v>
      </c>
      <c r="L1380">
        <v>13237</v>
      </c>
      <c r="M1380">
        <v>7</v>
      </c>
      <c r="N1380" t="s">
        <v>41</v>
      </c>
      <c r="O1380">
        <v>15</v>
      </c>
      <c r="P1380">
        <v>3</v>
      </c>
      <c r="Q1380">
        <v>0</v>
      </c>
      <c r="R1380">
        <v>22</v>
      </c>
      <c r="S1380">
        <v>3</v>
      </c>
      <c r="T1380">
        <v>20</v>
      </c>
      <c r="U1380">
        <v>5</v>
      </c>
      <c r="V1380">
        <v>13</v>
      </c>
      <c r="W1380" t="s">
        <v>38</v>
      </c>
      <c r="X1380" s="1" t="d">
        <v>2001-01-07</v>
      </c>
      <c r="Z1380" t="s">
        <v>63</v>
      </c>
      <c r="AA1380" t="s">
        <v>46</v>
      </c>
      <c r="AB1380">
        <v>3</v>
      </c>
      <c r="AC1380">
        <v>0</v>
      </c>
      <c r="AD1380" t="s">
        <v>41</v>
      </c>
      <c r="AE1380" t="s">
        <v>42</v>
      </c>
      <c r="AF1380" t="s">
        <v>43</v>
      </c>
      <c r="AG1380">
        <f>IF(HR_Data[[#This Row],[Attrition]]="Yes",1,0)</f>
        <v>0</v>
      </c>
      <c r="AH1380" t="str">
        <f>IF(HR_Data[Date_of_termination]="","Active","Left")</f>
        <v>Active</v>
      </c>
      <c r="AI1380" t="str">
        <f>IF(HR_Data[YearsAtCompany]&lt;=2,"Fresher", IF(HR_Data[YearsAtCompany]&lt;=5,"Junior", IF(HR_Data[YearsAtCompany]&lt;=10, "Mid","Senior")))</f>
        <v>Senior</v>
      </c>
      <c r="AJ1380" s="2" t="str">
        <f>IF(HR_Data[MonthlyIncome]&lt;=300,"Low", IF(HR_Data[MonthlyIncome]&lt;=7000,"Medium", "High"))</f>
        <v>High</v>
      </c>
      <c r="AK1380" s="2" t="str">
        <f>VLOOKUP(HR_Data[JobRole], JobRole_Map[], 2, FALSE)</f>
        <v>Operations</v>
      </c>
    </row>
    <row r="1381" spans="1:37" x14ac:dyDescent="0.25">
      <c r="A1381" s="2">
        <v>50</v>
      </c>
      <c r="B1381" t="s">
        <v>41</v>
      </c>
      <c r="C1381" t="s">
        <v>33</v>
      </c>
      <c r="D1381" t="s">
        <v>34</v>
      </c>
      <c r="E1381">
        <v>28</v>
      </c>
      <c r="F1381" t="s">
        <v>35</v>
      </c>
      <c r="G1381">
        <v>4</v>
      </c>
      <c r="H1381">
        <v>1</v>
      </c>
      <c r="I1381" t="s">
        <v>36</v>
      </c>
      <c r="J1381">
        <v>3</v>
      </c>
      <c r="K1381" t="s">
        <v>50</v>
      </c>
      <c r="L1381">
        <v>3221</v>
      </c>
      <c r="M1381">
        <v>1</v>
      </c>
      <c r="N1381" t="s">
        <v>32</v>
      </c>
      <c r="O1381">
        <v>11</v>
      </c>
      <c r="P1381">
        <v>3</v>
      </c>
      <c r="Q1381">
        <v>3</v>
      </c>
      <c r="R1381">
        <v>20</v>
      </c>
      <c r="S1381">
        <v>3</v>
      </c>
      <c r="T1381">
        <v>20</v>
      </c>
      <c r="U1381">
        <v>3</v>
      </c>
      <c r="V1381">
        <v>8</v>
      </c>
      <c r="W1381" t="s">
        <v>56</v>
      </c>
      <c r="X1381" s="1" t="d">
        <v>2001-02-21</v>
      </c>
      <c r="Z1381" t="s">
        <v>52</v>
      </c>
      <c r="AA1381" t="s">
        <v>46</v>
      </c>
      <c r="AB1381">
        <v>2</v>
      </c>
      <c r="AC1381">
        <v>2</v>
      </c>
      <c r="AD1381" t="s">
        <v>41</v>
      </c>
      <c r="AE1381" t="s">
        <v>47</v>
      </c>
      <c r="AF1381" t="s">
        <v>57</v>
      </c>
      <c r="AG1381">
        <f>IF(HR_Data[[#This Row],[Attrition]]="Yes",1,0)</f>
        <v>0</v>
      </c>
      <c r="AH1381" t="str">
        <f>IF(HR_Data[Date_of_termination]="","Active","Left")</f>
        <v>Active</v>
      </c>
      <c r="AI1381" t="str">
        <f>IF(HR_Data[YearsAtCompany]&lt;=2,"Fresher", IF(HR_Data[YearsAtCompany]&lt;=5,"Junior", IF(HR_Data[YearsAtCompany]&lt;=10, "Mid","Senior")))</f>
        <v>Senior</v>
      </c>
      <c r="AJ1381" s="2" t="str">
        <f>IF(HR_Data[MonthlyIncome]&lt;=300,"Low", IF(HR_Data[MonthlyIncome]&lt;=7000,"Medium", "High"))</f>
        <v>Medium</v>
      </c>
      <c r="AK1381" s="2" t="str">
        <f>VLOOKUP(HR_Data[JobRole], JobRole_Map[], 2, FALSE)</f>
        <v>Technical</v>
      </c>
    </row>
    <row r="1382" spans="1:37" x14ac:dyDescent="0.25">
      <c r="A1382" s="2">
        <v>39</v>
      </c>
      <c r="B1382" t="s">
        <v>41</v>
      </c>
      <c r="C1382" t="s">
        <v>33</v>
      </c>
      <c r="D1382" t="s">
        <v>34</v>
      </c>
      <c r="E1382">
        <v>2</v>
      </c>
      <c r="F1382" t="s">
        <v>58</v>
      </c>
      <c r="G1382">
        <v>2</v>
      </c>
      <c r="H1382">
        <v>2</v>
      </c>
      <c r="I1382" t="s">
        <v>69</v>
      </c>
      <c r="J1382">
        <v>3</v>
      </c>
      <c r="K1382" t="s">
        <v>37</v>
      </c>
      <c r="L1382">
        <v>4553</v>
      </c>
      <c r="M1382">
        <v>1</v>
      </c>
      <c r="N1382" t="s">
        <v>41</v>
      </c>
      <c r="O1382">
        <v>11</v>
      </c>
      <c r="P1382">
        <v>3</v>
      </c>
      <c r="Q1382">
        <v>0</v>
      </c>
      <c r="R1382">
        <v>20</v>
      </c>
      <c r="S1382">
        <v>4</v>
      </c>
      <c r="T1382">
        <v>20</v>
      </c>
      <c r="U1382">
        <v>11</v>
      </c>
      <c r="V1382">
        <v>10</v>
      </c>
      <c r="W1382" t="s">
        <v>65</v>
      </c>
      <c r="X1382" s="1" t="d">
        <v>2001-03-08</v>
      </c>
      <c r="Z1382" t="s">
        <v>45</v>
      </c>
      <c r="AA1382" t="s">
        <v>40</v>
      </c>
      <c r="AB1382">
        <v>5</v>
      </c>
      <c r="AC1382">
        <v>3</v>
      </c>
      <c r="AD1382" t="s">
        <v>41</v>
      </c>
      <c r="AE1382" t="s">
        <v>60</v>
      </c>
      <c r="AF1382" t="s">
        <v>57</v>
      </c>
      <c r="AG1382">
        <f>IF(HR_Data[[#This Row],[Attrition]]="Yes",1,0)</f>
        <v>0</v>
      </c>
      <c r="AH1382" t="str">
        <f>IF(HR_Data[Date_of_termination]="","Active","Left")</f>
        <v>Active</v>
      </c>
      <c r="AI1382" t="str">
        <f>IF(HR_Data[YearsAtCompany]&lt;=2,"Fresher", IF(HR_Data[YearsAtCompany]&lt;=5,"Junior", IF(HR_Data[YearsAtCompany]&lt;=10, "Mid","Senior")))</f>
        <v>Senior</v>
      </c>
      <c r="AJ1382" s="2" t="str">
        <f>IF(HR_Data[MonthlyIncome]&lt;=300,"Low", IF(HR_Data[MonthlyIncome]&lt;=7000,"Medium", "High"))</f>
        <v>Medium</v>
      </c>
      <c r="AK1382" s="2" t="str">
        <f>VLOOKUP(HR_Data[JobRole], JobRole_Map[], 2, FALSE)</f>
        <v>Operations</v>
      </c>
    </row>
    <row r="1383" spans="1:37" x14ac:dyDescent="0.25">
      <c r="A1383" s="2">
        <v>51</v>
      </c>
      <c r="B1383" t="s">
        <v>41</v>
      </c>
      <c r="C1383" t="s">
        <v>33</v>
      </c>
      <c r="D1383" t="s">
        <v>53</v>
      </c>
      <c r="E1383">
        <v>26</v>
      </c>
      <c r="F1383" t="s">
        <v>58</v>
      </c>
      <c r="G1383">
        <v>3</v>
      </c>
      <c r="H1383">
        <v>4</v>
      </c>
      <c r="I1383" t="s">
        <v>66</v>
      </c>
      <c r="J1383">
        <v>3</v>
      </c>
      <c r="K1383" t="s">
        <v>50</v>
      </c>
      <c r="L1383">
        <v>16307</v>
      </c>
      <c r="M1383">
        <v>2</v>
      </c>
      <c r="N1383" t="s">
        <v>41</v>
      </c>
      <c r="O1383">
        <v>14</v>
      </c>
      <c r="P1383">
        <v>3</v>
      </c>
      <c r="Q1383">
        <v>1</v>
      </c>
      <c r="R1383">
        <v>29</v>
      </c>
      <c r="S1383">
        <v>2</v>
      </c>
      <c r="T1383">
        <v>20</v>
      </c>
      <c r="U1383">
        <v>4</v>
      </c>
      <c r="V1383">
        <v>17</v>
      </c>
      <c r="W1383" t="s">
        <v>51</v>
      </c>
      <c r="X1383" s="1" t="d">
        <v>2001-01-19</v>
      </c>
      <c r="Z1383" t="s">
        <v>59</v>
      </c>
      <c r="AA1383" t="s">
        <v>40</v>
      </c>
      <c r="AB1383">
        <v>0</v>
      </c>
      <c r="AC1383">
        <v>1</v>
      </c>
      <c r="AD1383" t="s">
        <v>32</v>
      </c>
      <c r="AE1383" t="s">
        <v>62</v>
      </c>
      <c r="AF1383" t="s">
        <v>57</v>
      </c>
      <c r="AG1383">
        <f>IF(HR_Data[[#This Row],[Attrition]]="Yes",1,0)</f>
        <v>0</v>
      </c>
      <c r="AH1383" t="str">
        <f>IF(HR_Data[Date_of_termination]="","Active","Left")</f>
        <v>Active</v>
      </c>
      <c r="AI1383" t="str">
        <f>IF(HR_Data[YearsAtCompany]&lt;=2,"Fresher", IF(HR_Data[YearsAtCompany]&lt;=5,"Junior", IF(HR_Data[YearsAtCompany]&lt;=10, "Mid","Senior")))</f>
        <v>Senior</v>
      </c>
      <c r="AJ1383" s="2" t="str">
        <f>IF(HR_Data[MonthlyIncome]&lt;=300,"Low", IF(HR_Data[MonthlyIncome]&lt;=7000,"Medium", "High"))</f>
        <v>High</v>
      </c>
      <c r="AK1383" s="2" t="str">
        <f>VLOOKUP(HR_Data[JobRole], JobRole_Map[], 2, FALSE)</f>
        <v>Management</v>
      </c>
    </row>
    <row r="1384" spans="1:37" x14ac:dyDescent="0.25">
      <c r="A1384" s="2">
        <v>44</v>
      </c>
      <c r="B1384" t="s">
        <v>32</v>
      </c>
      <c r="C1384" t="s">
        <v>33</v>
      </c>
      <c r="D1384" t="s">
        <v>70</v>
      </c>
      <c r="E1384">
        <v>1</v>
      </c>
      <c r="F1384" t="s">
        <v>35</v>
      </c>
      <c r="G1384">
        <v>2</v>
      </c>
      <c r="H1384">
        <v>3</v>
      </c>
      <c r="I1384" t="s">
        <v>70</v>
      </c>
      <c r="J1384">
        <v>1</v>
      </c>
      <c r="K1384" t="s">
        <v>50</v>
      </c>
      <c r="L1384">
        <v>10482</v>
      </c>
      <c r="M1384">
        <v>9</v>
      </c>
      <c r="N1384" t="s">
        <v>41</v>
      </c>
      <c r="O1384">
        <v>14</v>
      </c>
      <c r="P1384">
        <v>3</v>
      </c>
      <c r="Q1384">
        <v>1</v>
      </c>
      <c r="R1384">
        <v>24</v>
      </c>
      <c r="S1384">
        <v>1</v>
      </c>
      <c r="T1384">
        <v>20</v>
      </c>
      <c r="U1384">
        <v>3</v>
      </c>
      <c r="V1384">
        <v>6</v>
      </c>
      <c r="W1384" t="s">
        <v>38</v>
      </c>
      <c r="X1384" s="1" t="d">
        <v>2001-02-05</v>
      </c>
      <c r="Z1384" t="s">
        <v>63</v>
      </c>
      <c r="AA1384" t="s">
        <v>46</v>
      </c>
      <c r="AB1384">
        <v>1</v>
      </c>
      <c r="AC1384">
        <v>2</v>
      </c>
      <c r="AD1384" t="s">
        <v>41</v>
      </c>
      <c r="AE1384" t="s">
        <v>60</v>
      </c>
      <c r="AF1384" t="s">
        <v>43</v>
      </c>
      <c r="AG1384">
        <f>IF(HR_Data[[#This Row],[Attrition]]="Yes",1,0)</f>
        <v>1</v>
      </c>
      <c r="AH1384" t="str">
        <f>IF(HR_Data[Date_of_termination]="","Active","Left")</f>
        <v>Active</v>
      </c>
      <c r="AI1384" t="str">
        <f>IF(HR_Data[YearsAtCompany]&lt;=2,"Fresher", IF(HR_Data[YearsAtCompany]&lt;=5,"Junior", IF(HR_Data[YearsAtCompany]&lt;=10, "Mid","Senior")))</f>
        <v>Senior</v>
      </c>
      <c r="AJ1384" s="2" t="str">
        <f>IF(HR_Data[MonthlyIncome]&lt;=300,"Low", IF(HR_Data[MonthlyIncome]&lt;=7000,"Medium", "High"))</f>
        <v>High</v>
      </c>
      <c r="AK1384" s="2" t="str">
        <f>VLOOKUP(HR_Data[JobRole], JobRole_Map[], 2, FALSE)</f>
        <v>HR</v>
      </c>
    </row>
    <row r="1385" spans="1:37" x14ac:dyDescent="0.25">
      <c r="A1385" s="2">
        <v>40</v>
      </c>
      <c r="B1385" t="s">
        <v>41</v>
      </c>
      <c r="C1385" t="s">
        <v>33</v>
      </c>
      <c r="D1385" t="s">
        <v>34</v>
      </c>
      <c r="E1385">
        <v>14</v>
      </c>
      <c r="F1385" t="s">
        <v>35</v>
      </c>
      <c r="G1385">
        <v>2</v>
      </c>
      <c r="H1385">
        <v>5</v>
      </c>
      <c r="I1385" t="s">
        <v>49</v>
      </c>
      <c r="J1385">
        <v>3</v>
      </c>
      <c r="K1385" t="s">
        <v>37</v>
      </c>
      <c r="L1385">
        <v>19626</v>
      </c>
      <c r="M1385">
        <v>1</v>
      </c>
      <c r="N1385" t="s">
        <v>41</v>
      </c>
      <c r="O1385">
        <v>14</v>
      </c>
      <c r="P1385">
        <v>3</v>
      </c>
      <c r="Q1385">
        <v>0</v>
      </c>
      <c r="R1385">
        <v>21</v>
      </c>
      <c r="S1385">
        <v>2</v>
      </c>
      <c r="T1385">
        <v>20</v>
      </c>
      <c r="U1385">
        <v>4</v>
      </c>
      <c r="V1385">
        <v>9</v>
      </c>
      <c r="W1385" t="s">
        <v>65</v>
      </c>
      <c r="X1385" s="1" t="d">
        <v>2001-01-25</v>
      </c>
      <c r="Z1385" t="s">
        <v>45</v>
      </c>
      <c r="AA1385" t="s">
        <v>46</v>
      </c>
      <c r="AB1385">
        <v>3</v>
      </c>
      <c r="AC1385">
        <v>2</v>
      </c>
      <c r="AD1385" t="s">
        <v>32</v>
      </c>
      <c r="AE1385" t="s">
        <v>60</v>
      </c>
      <c r="AF1385" t="s">
        <v>43</v>
      </c>
      <c r="AG1385">
        <f>IF(HR_Data[[#This Row],[Attrition]]="Yes",1,0)</f>
        <v>0</v>
      </c>
      <c r="AH1385" t="str">
        <f>IF(HR_Data[Date_of_termination]="","Active","Left")</f>
        <v>Active</v>
      </c>
      <c r="AI1385" t="str">
        <f>IF(HR_Data[YearsAtCompany]&lt;=2,"Fresher", IF(HR_Data[YearsAtCompany]&lt;=5,"Junior", IF(HR_Data[YearsAtCompany]&lt;=10, "Mid","Senior")))</f>
        <v>Senior</v>
      </c>
      <c r="AJ1385" s="2" t="str">
        <f>IF(HR_Data[MonthlyIncome]&lt;=300,"Low", IF(HR_Data[MonthlyIncome]&lt;=7000,"Medium", "High"))</f>
        <v>High</v>
      </c>
      <c r="AK1385" s="2" t="str">
        <f>VLOOKUP(HR_Data[JobRole], JobRole_Map[], 2, FALSE)</f>
        <v>Management</v>
      </c>
    </row>
    <row r="1386" spans="1:37" x14ac:dyDescent="0.25">
      <c r="A1386" s="2">
        <v>44</v>
      </c>
      <c r="B1386" t="s">
        <v>41</v>
      </c>
      <c r="C1386" t="s">
        <v>33</v>
      </c>
      <c r="D1386" t="s">
        <v>34</v>
      </c>
      <c r="E1386">
        <v>29</v>
      </c>
      <c r="F1386" t="s">
        <v>35</v>
      </c>
      <c r="G1386">
        <v>3</v>
      </c>
      <c r="H1386">
        <v>2</v>
      </c>
      <c r="I1386" t="s">
        <v>44</v>
      </c>
      <c r="J1386">
        <v>4</v>
      </c>
      <c r="K1386" t="s">
        <v>37</v>
      </c>
      <c r="L1386">
        <v>4541</v>
      </c>
      <c r="M1386">
        <v>1</v>
      </c>
      <c r="N1386" t="s">
        <v>41</v>
      </c>
      <c r="O1386">
        <v>25</v>
      </c>
      <c r="P1386">
        <v>4</v>
      </c>
      <c r="Q1386">
        <v>0</v>
      </c>
      <c r="R1386">
        <v>20</v>
      </c>
      <c r="S1386">
        <v>3</v>
      </c>
      <c r="T1386">
        <v>20</v>
      </c>
      <c r="U1386">
        <v>13</v>
      </c>
      <c r="V1386">
        <v>17</v>
      </c>
      <c r="W1386" t="s">
        <v>38</v>
      </c>
      <c r="X1386" s="1" t="d">
        <v>2001-02-03</v>
      </c>
      <c r="Z1386" t="s">
        <v>39</v>
      </c>
      <c r="AA1386" t="s">
        <v>40</v>
      </c>
      <c r="AB1386">
        <v>3</v>
      </c>
      <c r="AC1386">
        <v>0</v>
      </c>
      <c r="AD1386" t="s">
        <v>32</v>
      </c>
      <c r="AE1386" t="s">
        <v>60</v>
      </c>
      <c r="AF1386" t="s">
        <v>57</v>
      </c>
      <c r="AG1386">
        <f>IF(HR_Data[[#This Row],[Attrition]]="Yes",1,0)</f>
        <v>0</v>
      </c>
      <c r="AH1386" t="str">
        <f>IF(HR_Data[Date_of_termination]="","Active","Left")</f>
        <v>Active</v>
      </c>
      <c r="AI1386" t="str">
        <f>IF(HR_Data[YearsAtCompany]&lt;=2,"Fresher", IF(HR_Data[YearsAtCompany]&lt;=5,"Junior", IF(HR_Data[YearsAtCompany]&lt;=10, "Mid","Senior")))</f>
        <v>Senior</v>
      </c>
      <c r="AJ1386" s="2" t="str">
        <f>IF(HR_Data[MonthlyIncome]&lt;=300,"Low", IF(HR_Data[MonthlyIncome]&lt;=7000,"Medium", "High"))</f>
        <v>Medium</v>
      </c>
      <c r="AK1386" s="2" t="str">
        <f>VLOOKUP(HR_Data[JobRole], JobRole_Map[], 2, FALSE)</f>
        <v>Technical</v>
      </c>
    </row>
    <row r="1387" spans="1:37" x14ac:dyDescent="0.25">
      <c r="A1387" s="2">
        <v>42</v>
      </c>
      <c r="B1387" t="s">
        <v>41</v>
      </c>
      <c r="C1387" t="s">
        <v>68</v>
      </c>
      <c r="D1387" t="s">
        <v>34</v>
      </c>
      <c r="E1387">
        <v>2</v>
      </c>
      <c r="F1387" t="s">
        <v>35</v>
      </c>
      <c r="G1387">
        <v>3</v>
      </c>
      <c r="H1387">
        <v>4</v>
      </c>
      <c r="I1387" t="s">
        <v>66</v>
      </c>
      <c r="J1387">
        <v>3</v>
      </c>
      <c r="K1387" t="s">
        <v>50</v>
      </c>
      <c r="L1387">
        <v>17861</v>
      </c>
      <c r="M1387">
        <v>0</v>
      </c>
      <c r="N1387" t="s">
        <v>32</v>
      </c>
      <c r="O1387">
        <v>13</v>
      </c>
      <c r="P1387">
        <v>3</v>
      </c>
      <c r="Q1387">
        <v>0</v>
      </c>
      <c r="R1387">
        <v>21</v>
      </c>
      <c r="S1387">
        <v>3</v>
      </c>
      <c r="T1387">
        <v>20</v>
      </c>
      <c r="U1387">
        <v>2</v>
      </c>
      <c r="V1387">
        <v>10</v>
      </c>
      <c r="W1387" t="s">
        <v>38</v>
      </c>
      <c r="X1387" s="1" t="d">
        <v>2001-06-15</v>
      </c>
      <c r="Z1387" t="s">
        <v>39</v>
      </c>
      <c r="AA1387" t="s">
        <v>40</v>
      </c>
      <c r="AB1387">
        <v>4</v>
      </c>
      <c r="AC1387">
        <v>2</v>
      </c>
      <c r="AD1387" t="s">
        <v>41</v>
      </c>
      <c r="AE1387" t="s">
        <v>62</v>
      </c>
      <c r="AF1387" t="s">
        <v>43</v>
      </c>
      <c r="AG1387">
        <f>IF(HR_Data[[#This Row],[Attrition]]="Yes",1,0)</f>
        <v>0</v>
      </c>
      <c r="AH1387" t="str">
        <f>IF(HR_Data[Date_of_termination]="","Active","Left")</f>
        <v>Active</v>
      </c>
      <c r="AI1387" t="str">
        <f>IF(HR_Data[YearsAtCompany]&lt;=2,"Fresher", IF(HR_Data[YearsAtCompany]&lt;=5,"Junior", IF(HR_Data[YearsAtCompany]&lt;=10, "Mid","Senior")))</f>
        <v>Senior</v>
      </c>
      <c r="AJ1387" s="2" t="str">
        <f>IF(HR_Data[MonthlyIncome]&lt;=300,"Low", IF(HR_Data[MonthlyIncome]&lt;=7000,"Medium", "High"))</f>
        <v>High</v>
      </c>
      <c r="AK1387" s="2" t="str">
        <f>VLOOKUP(HR_Data[JobRole], JobRole_Map[], 2, FALSE)</f>
        <v>Management</v>
      </c>
    </row>
    <row r="1388" spans="1:37" x14ac:dyDescent="0.25">
      <c r="A1388" s="2">
        <v>43</v>
      </c>
      <c r="B1388" t="s">
        <v>41</v>
      </c>
      <c r="C1388" t="s">
        <v>33</v>
      </c>
      <c r="D1388" t="s">
        <v>34</v>
      </c>
      <c r="E1388">
        <v>6</v>
      </c>
      <c r="F1388" t="s">
        <v>58</v>
      </c>
      <c r="G1388">
        <v>2</v>
      </c>
      <c r="H1388">
        <v>2</v>
      </c>
      <c r="I1388" t="s">
        <v>44</v>
      </c>
      <c r="J1388">
        <v>3</v>
      </c>
      <c r="K1388" t="s">
        <v>37</v>
      </c>
      <c r="L1388">
        <v>4081</v>
      </c>
      <c r="M1388">
        <v>1</v>
      </c>
      <c r="N1388" t="s">
        <v>32</v>
      </c>
      <c r="O1388">
        <v>14</v>
      </c>
      <c r="P1388">
        <v>3</v>
      </c>
      <c r="Q1388">
        <v>0</v>
      </c>
      <c r="R1388">
        <v>20</v>
      </c>
      <c r="S1388">
        <v>3</v>
      </c>
      <c r="T1388">
        <v>20</v>
      </c>
      <c r="U1388">
        <v>1</v>
      </c>
      <c r="V1388">
        <v>8</v>
      </c>
      <c r="W1388" t="s">
        <v>38</v>
      </c>
      <c r="X1388" s="1" t="d">
        <v>2001-01-01</v>
      </c>
      <c r="Z1388" t="s">
        <v>39</v>
      </c>
      <c r="AA1388" t="s">
        <v>40</v>
      </c>
      <c r="AB1388">
        <v>5</v>
      </c>
      <c r="AC1388">
        <v>1</v>
      </c>
      <c r="AD1388" t="s">
        <v>32</v>
      </c>
      <c r="AE1388" t="s">
        <v>42</v>
      </c>
      <c r="AF1388" t="s">
        <v>48</v>
      </c>
      <c r="AG1388">
        <f>IF(HR_Data[[#This Row],[Attrition]]="Yes",1,0)</f>
        <v>0</v>
      </c>
      <c r="AH1388" t="str">
        <f>IF(HR_Data[Date_of_termination]="","Active","Left")</f>
        <v>Active</v>
      </c>
      <c r="AI1388" t="str">
        <f>IF(HR_Data[YearsAtCompany]&lt;=2,"Fresher", IF(HR_Data[YearsAtCompany]&lt;=5,"Junior", IF(HR_Data[YearsAtCompany]&lt;=10, "Mid","Senior")))</f>
        <v>Senior</v>
      </c>
      <c r="AJ1388" s="2" t="str">
        <f>IF(HR_Data[MonthlyIncome]&lt;=300,"Low", IF(HR_Data[MonthlyIncome]&lt;=7000,"Medium", "High"))</f>
        <v>Medium</v>
      </c>
      <c r="AK1388" s="2" t="str">
        <f>VLOOKUP(HR_Data[JobRole], JobRole_Map[], 2, FALSE)</f>
        <v>Technical</v>
      </c>
    </row>
    <row r="1389" spans="1:37" x14ac:dyDescent="0.25">
      <c r="A1389" s="2">
        <v>42</v>
      </c>
      <c r="B1389" t="s">
        <v>41</v>
      </c>
      <c r="C1389" t="s">
        <v>33</v>
      </c>
      <c r="D1389" t="s">
        <v>70</v>
      </c>
      <c r="E1389">
        <v>10</v>
      </c>
      <c r="F1389" t="s">
        <v>58</v>
      </c>
      <c r="G1389">
        <v>3</v>
      </c>
      <c r="H1389">
        <v>4</v>
      </c>
      <c r="I1389" t="s">
        <v>66</v>
      </c>
      <c r="J1389">
        <v>1</v>
      </c>
      <c r="K1389" t="s">
        <v>50</v>
      </c>
      <c r="L1389">
        <v>16799</v>
      </c>
      <c r="M1389">
        <v>0</v>
      </c>
      <c r="N1389" t="s">
        <v>41</v>
      </c>
      <c r="O1389">
        <v>14</v>
      </c>
      <c r="P1389">
        <v>3</v>
      </c>
      <c r="Q1389">
        <v>1</v>
      </c>
      <c r="R1389">
        <v>21</v>
      </c>
      <c r="S1389">
        <v>5</v>
      </c>
      <c r="T1389">
        <v>20</v>
      </c>
      <c r="U1389">
        <v>0</v>
      </c>
      <c r="V1389">
        <v>9</v>
      </c>
      <c r="W1389" t="s">
        <v>38</v>
      </c>
      <c r="X1389" s="1" t="d">
        <v>2001-06-10</v>
      </c>
      <c r="Z1389" t="s">
        <v>45</v>
      </c>
      <c r="AA1389" t="s">
        <v>46</v>
      </c>
      <c r="AB1389">
        <v>4</v>
      </c>
      <c r="AC1389">
        <v>0</v>
      </c>
      <c r="AD1389" t="s">
        <v>32</v>
      </c>
      <c r="AE1389" t="s">
        <v>42</v>
      </c>
      <c r="AF1389" t="s">
        <v>43</v>
      </c>
      <c r="AG1389">
        <f>IF(HR_Data[[#This Row],[Attrition]]="Yes",1,0)</f>
        <v>0</v>
      </c>
      <c r="AH1389" t="str">
        <f>IF(HR_Data[Date_of_termination]="","Active","Left")</f>
        <v>Active</v>
      </c>
      <c r="AI1389" t="str">
        <f>IF(HR_Data[YearsAtCompany]&lt;=2,"Fresher", IF(HR_Data[YearsAtCompany]&lt;=5,"Junior", IF(HR_Data[YearsAtCompany]&lt;=10, "Mid","Senior")))</f>
        <v>Senior</v>
      </c>
      <c r="AJ1389" s="2" t="str">
        <f>IF(HR_Data[MonthlyIncome]&lt;=300,"Low", IF(HR_Data[MonthlyIncome]&lt;=7000,"Medium", "High"))</f>
        <v>High</v>
      </c>
      <c r="AK1389" s="2" t="str">
        <f>VLOOKUP(HR_Data[JobRole], JobRole_Map[], 2, FALSE)</f>
        <v>Management</v>
      </c>
    </row>
    <row r="1390" spans="1:37" x14ac:dyDescent="0.25">
      <c r="A1390" s="2">
        <v>54</v>
      </c>
      <c r="B1390" t="s">
        <v>41</v>
      </c>
      <c r="C1390" t="s">
        <v>33</v>
      </c>
      <c r="D1390" t="s">
        <v>34</v>
      </c>
      <c r="E1390">
        <v>1</v>
      </c>
      <c r="F1390" t="s">
        <v>58</v>
      </c>
      <c r="G1390">
        <v>3</v>
      </c>
      <c r="H1390">
        <v>4</v>
      </c>
      <c r="I1390" t="s">
        <v>49</v>
      </c>
      <c r="J1390">
        <v>4</v>
      </c>
      <c r="K1390" t="s">
        <v>37</v>
      </c>
      <c r="L1390">
        <v>17328</v>
      </c>
      <c r="M1390">
        <v>6</v>
      </c>
      <c r="N1390" t="s">
        <v>41</v>
      </c>
      <c r="O1390">
        <v>19</v>
      </c>
      <c r="P1390">
        <v>3</v>
      </c>
      <c r="Q1390">
        <v>0</v>
      </c>
      <c r="R1390">
        <v>29</v>
      </c>
      <c r="S1390">
        <v>3</v>
      </c>
      <c r="T1390">
        <v>20</v>
      </c>
      <c r="U1390">
        <v>12</v>
      </c>
      <c r="V1390">
        <v>7</v>
      </c>
      <c r="W1390" t="s">
        <v>56</v>
      </c>
      <c r="X1390" s="1" t="d">
        <v>2001-06-10</v>
      </c>
      <c r="Z1390" t="s">
        <v>39</v>
      </c>
      <c r="AA1390" t="s">
        <v>40</v>
      </c>
      <c r="AB1390">
        <v>0</v>
      </c>
      <c r="AC1390">
        <v>2</v>
      </c>
      <c r="AD1390" t="s">
        <v>32</v>
      </c>
      <c r="AE1390" t="s">
        <v>62</v>
      </c>
      <c r="AF1390" t="s">
        <v>57</v>
      </c>
      <c r="AG1390">
        <f>IF(HR_Data[[#This Row],[Attrition]]="Yes",1,0)</f>
        <v>0</v>
      </c>
      <c r="AH1390" t="str">
        <f>IF(HR_Data[Date_of_termination]="","Active","Left")</f>
        <v>Active</v>
      </c>
      <c r="AI1390" t="str">
        <f>IF(HR_Data[YearsAtCompany]&lt;=2,"Fresher", IF(HR_Data[YearsAtCompany]&lt;=5,"Junior", IF(HR_Data[YearsAtCompany]&lt;=10, "Mid","Senior")))</f>
        <v>Senior</v>
      </c>
      <c r="AJ1390" s="2" t="str">
        <f>IF(HR_Data[MonthlyIncome]&lt;=300,"Low", IF(HR_Data[MonthlyIncome]&lt;=7000,"Medium", "High"))</f>
        <v>High</v>
      </c>
      <c r="AK1390" s="2" t="str">
        <f>VLOOKUP(HR_Data[JobRole], JobRole_Map[], 2, FALSE)</f>
        <v>Management</v>
      </c>
    </row>
    <row r="1391" spans="1:37" x14ac:dyDescent="0.25">
      <c r="A1391" s="2">
        <v>47</v>
      </c>
      <c r="B1391" t="s">
        <v>41</v>
      </c>
      <c r="C1391" t="s">
        <v>33</v>
      </c>
      <c r="D1391" t="s">
        <v>34</v>
      </c>
      <c r="E1391">
        <v>2</v>
      </c>
      <c r="F1391" t="s">
        <v>58</v>
      </c>
      <c r="G1391">
        <v>3</v>
      </c>
      <c r="H1391">
        <v>4</v>
      </c>
      <c r="I1391" t="s">
        <v>49</v>
      </c>
      <c r="J1391">
        <v>3</v>
      </c>
      <c r="K1391" t="s">
        <v>50</v>
      </c>
      <c r="L1391">
        <v>17169</v>
      </c>
      <c r="M1391">
        <v>3</v>
      </c>
      <c r="N1391" t="s">
        <v>41</v>
      </c>
      <c r="O1391">
        <v>19</v>
      </c>
      <c r="P1391">
        <v>3</v>
      </c>
      <c r="Q1391">
        <v>2</v>
      </c>
      <c r="R1391">
        <v>26</v>
      </c>
      <c r="S1391">
        <v>2</v>
      </c>
      <c r="T1391">
        <v>20</v>
      </c>
      <c r="U1391">
        <v>5</v>
      </c>
      <c r="V1391">
        <v>6</v>
      </c>
      <c r="W1391" t="s">
        <v>56</v>
      </c>
      <c r="X1391" s="1" t="d">
        <v>2001-03-21</v>
      </c>
      <c r="Z1391" t="s">
        <v>59</v>
      </c>
      <c r="AA1391" t="s">
        <v>40</v>
      </c>
      <c r="AB1391">
        <v>2</v>
      </c>
      <c r="AC1391">
        <v>0</v>
      </c>
      <c r="AD1391" t="s">
        <v>41</v>
      </c>
      <c r="AE1391" t="s">
        <v>62</v>
      </c>
      <c r="AF1391" t="s">
        <v>48</v>
      </c>
      <c r="AG1391">
        <f>IF(HR_Data[[#This Row],[Attrition]]="Yes",1,0)</f>
        <v>0</v>
      </c>
      <c r="AH1391" t="str">
        <f>IF(HR_Data[Date_of_termination]="","Active","Left")</f>
        <v>Active</v>
      </c>
      <c r="AI1391" t="str">
        <f>IF(HR_Data[YearsAtCompany]&lt;=2,"Fresher", IF(HR_Data[YearsAtCompany]&lt;=5,"Junior", IF(HR_Data[YearsAtCompany]&lt;=10, "Mid","Senior")))</f>
        <v>Senior</v>
      </c>
      <c r="AJ1391" s="2" t="str">
        <f>IF(HR_Data[MonthlyIncome]&lt;=300,"Low", IF(HR_Data[MonthlyIncome]&lt;=7000,"Medium", "High"))</f>
        <v>High</v>
      </c>
      <c r="AK1391" s="2" t="str">
        <f>VLOOKUP(HR_Data[JobRole], JobRole_Map[], 2, FALSE)</f>
        <v>Management</v>
      </c>
    </row>
    <row r="1392" spans="1:37" x14ac:dyDescent="0.25">
      <c r="A1392" s="2">
        <v>44</v>
      </c>
      <c r="B1392" t="s">
        <v>41</v>
      </c>
      <c r="C1392" t="s">
        <v>33</v>
      </c>
      <c r="D1392" t="s">
        <v>34</v>
      </c>
      <c r="E1392">
        <v>28</v>
      </c>
      <c r="F1392" t="s">
        <v>35</v>
      </c>
      <c r="G1392">
        <v>3</v>
      </c>
      <c r="H1392">
        <v>4</v>
      </c>
      <c r="I1392" t="s">
        <v>49</v>
      </c>
      <c r="J1392">
        <v>1</v>
      </c>
      <c r="K1392" t="s">
        <v>50</v>
      </c>
      <c r="L1392">
        <v>16328</v>
      </c>
      <c r="M1392">
        <v>3</v>
      </c>
      <c r="N1392" t="s">
        <v>41</v>
      </c>
      <c r="O1392">
        <v>13</v>
      </c>
      <c r="P1392">
        <v>3</v>
      </c>
      <c r="Q1392">
        <v>1</v>
      </c>
      <c r="R1392">
        <v>24</v>
      </c>
      <c r="S1392">
        <v>1</v>
      </c>
      <c r="T1392">
        <v>20</v>
      </c>
      <c r="U1392">
        <v>14</v>
      </c>
      <c r="V1392">
        <v>17</v>
      </c>
      <c r="W1392" t="s">
        <v>38</v>
      </c>
      <c r="X1392" s="1" t="d">
        <v>2001-05-22</v>
      </c>
      <c r="Z1392" t="s">
        <v>39</v>
      </c>
      <c r="AA1392" t="s">
        <v>40</v>
      </c>
      <c r="AB1392">
        <v>1</v>
      </c>
      <c r="AC1392">
        <v>2</v>
      </c>
      <c r="AD1392" t="s">
        <v>32</v>
      </c>
      <c r="AE1392" t="s">
        <v>47</v>
      </c>
      <c r="AF1392" t="s">
        <v>48</v>
      </c>
      <c r="AG1392">
        <f>IF(HR_Data[[#This Row],[Attrition]]="Yes",1,0)</f>
        <v>0</v>
      </c>
      <c r="AH1392" t="str">
        <f>IF(HR_Data[Date_of_termination]="","Active","Left")</f>
        <v>Active</v>
      </c>
      <c r="AI1392" t="str">
        <f>IF(HR_Data[YearsAtCompany]&lt;=2,"Fresher", IF(HR_Data[YearsAtCompany]&lt;=5,"Junior", IF(HR_Data[YearsAtCompany]&lt;=10, "Mid","Senior")))</f>
        <v>Senior</v>
      </c>
      <c r="AJ1392" s="2" t="str">
        <f>IF(HR_Data[MonthlyIncome]&lt;=300,"Low", IF(HR_Data[MonthlyIncome]&lt;=7000,"Medium", "High"))</f>
        <v>High</v>
      </c>
      <c r="AK1392" s="2" t="str">
        <f>VLOOKUP(HR_Data[JobRole], JobRole_Map[], 2, FALSE)</f>
        <v>Management</v>
      </c>
    </row>
    <row r="1393" spans="1:37" x14ac:dyDescent="0.25">
      <c r="A1393" s="2">
        <v>42</v>
      </c>
      <c r="B1393" t="s">
        <v>41</v>
      </c>
      <c r="C1393" t="s">
        <v>61</v>
      </c>
      <c r="D1393" t="s">
        <v>34</v>
      </c>
      <c r="E1393">
        <v>2</v>
      </c>
      <c r="F1393" t="s">
        <v>35</v>
      </c>
      <c r="G1393">
        <v>3</v>
      </c>
      <c r="H1393">
        <v>3</v>
      </c>
      <c r="I1393" t="s">
        <v>69</v>
      </c>
      <c r="J1393">
        <v>4</v>
      </c>
      <c r="K1393" t="s">
        <v>50</v>
      </c>
      <c r="L1393">
        <v>10124</v>
      </c>
      <c r="M1393">
        <v>2</v>
      </c>
      <c r="N1393" t="s">
        <v>32</v>
      </c>
      <c r="O1393">
        <v>14</v>
      </c>
      <c r="P1393">
        <v>3</v>
      </c>
      <c r="Q1393">
        <v>1</v>
      </c>
      <c r="R1393">
        <v>24</v>
      </c>
      <c r="S1393">
        <v>3</v>
      </c>
      <c r="T1393">
        <v>20</v>
      </c>
      <c r="U1393">
        <v>13</v>
      </c>
      <c r="V1393">
        <v>9</v>
      </c>
      <c r="W1393" t="s">
        <v>38</v>
      </c>
      <c r="X1393" s="1" t="d">
        <v>2001-01-17</v>
      </c>
      <c r="Z1393" t="s">
        <v>63</v>
      </c>
      <c r="AA1393" t="s">
        <v>46</v>
      </c>
      <c r="AB1393">
        <v>3</v>
      </c>
      <c r="AC1393">
        <v>2</v>
      </c>
      <c r="AD1393" t="s">
        <v>32</v>
      </c>
      <c r="AE1393" t="s">
        <v>62</v>
      </c>
      <c r="AF1393" t="s">
        <v>43</v>
      </c>
      <c r="AG1393">
        <f>IF(HR_Data[[#This Row],[Attrition]]="Yes",1,0)</f>
        <v>0</v>
      </c>
      <c r="AH1393" t="str">
        <f>IF(HR_Data[Date_of_termination]="","Active","Left")</f>
        <v>Active</v>
      </c>
      <c r="AI1393" t="str">
        <f>IF(HR_Data[YearsAtCompany]&lt;=2,"Fresher", IF(HR_Data[YearsAtCompany]&lt;=5,"Junior", IF(HR_Data[YearsAtCompany]&lt;=10, "Mid","Senior")))</f>
        <v>Senior</v>
      </c>
      <c r="AJ1393" s="2" t="str">
        <f>IF(HR_Data[MonthlyIncome]&lt;=300,"Low", IF(HR_Data[MonthlyIncome]&lt;=7000,"Medium", "High"))</f>
        <v>High</v>
      </c>
      <c r="AK1393" s="2" t="str">
        <f>VLOOKUP(HR_Data[JobRole], JobRole_Map[], 2, FALSE)</f>
        <v>Operations</v>
      </c>
    </row>
    <row r="1394" spans="1:37" x14ac:dyDescent="0.25">
      <c r="A1394" s="2">
        <v>38</v>
      </c>
      <c r="B1394" t="s">
        <v>41</v>
      </c>
      <c r="C1394" t="s">
        <v>61</v>
      </c>
      <c r="D1394" t="s">
        <v>34</v>
      </c>
      <c r="E1394">
        <v>8</v>
      </c>
      <c r="F1394" t="s">
        <v>58</v>
      </c>
      <c r="G1394">
        <v>2</v>
      </c>
      <c r="H1394">
        <v>2</v>
      </c>
      <c r="I1394" t="s">
        <v>44</v>
      </c>
      <c r="J1394">
        <v>2</v>
      </c>
      <c r="K1394" t="s">
        <v>55</v>
      </c>
      <c r="L1394">
        <v>2133</v>
      </c>
      <c r="M1394">
        <v>1</v>
      </c>
      <c r="N1394" t="s">
        <v>32</v>
      </c>
      <c r="O1394">
        <v>16</v>
      </c>
      <c r="P1394">
        <v>3</v>
      </c>
      <c r="Q1394">
        <v>1</v>
      </c>
      <c r="R1394">
        <v>20</v>
      </c>
      <c r="S1394">
        <v>3</v>
      </c>
      <c r="T1394">
        <v>20</v>
      </c>
      <c r="U1394">
        <v>0</v>
      </c>
      <c r="V1394">
        <v>7</v>
      </c>
      <c r="W1394" t="s">
        <v>51</v>
      </c>
      <c r="X1394" s="1" t="d">
        <v>2001-01-23</v>
      </c>
      <c r="Z1394" t="s">
        <v>52</v>
      </c>
      <c r="AA1394" t="s">
        <v>40</v>
      </c>
      <c r="AB1394">
        <v>5</v>
      </c>
      <c r="AC1394">
        <v>1</v>
      </c>
      <c r="AD1394" t="s">
        <v>32</v>
      </c>
      <c r="AE1394" t="s">
        <v>47</v>
      </c>
      <c r="AF1394" t="s">
        <v>57</v>
      </c>
      <c r="AG1394">
        <f>IF(HR_Data[[#This Row],[Attrition]]="Yes",1,0)</f>
        <v>0</v>
      </c>
      <c r="AH1394" t="str">
        <f>IF(HR_Data[Date_of_termination]="","Active","Left")</f>
        <v>Active</v>
      </c>
      <c r="AI1394" t="str">
        <f>IF(HR_Data[YearsAtCompany]&lt;=2,"Fresher", IF(HR_Data[YearsAtCompany]&lt;=5,"Junior", IF(HR_Data[YearsAtCompany]&lt;=10, "Mid","Senior")))</f>
        <v>Senior</v>
      </c>
      <c r="AJ1394" s="2" t="str">
        <f>IF(HR_Data[MonthlyIncome]&lt;=300,"Low", IF(HR_Data[MonthlyIncome]&lt;=7000,"Medium", "High"))</f>
        <v>Medium</v>
      </c>
      <c r="AK1394" s="2" t="str">
        <f>VLOOKUP(HR_Data[JobRole], JobRole_Map[], 2, FALSE)</f>
        <v>Technical</v>
      </c>
    </row>
    <row r="1395" spans="1:37" x14ac:dyDescent="0.25">
      <c r="A1395" s="2">
        <v>39</v>
      </c>
      <c r="B1395" t="s">
        <v>41</v>
      </c>
      <c r="C1395" t="s">
        <v>33</v>
      </c>
      <c r="D1395" t="s">
        <v>53</v>
      </c>
      <c r="E1395">
        <v>15</v>
      </c>
      <c r="F1395" t="s">
        <v>35</v>
      </c>
      <c r="G1395">
        <v>3</v>
      </c>
      <c r="H1395">
        <v>4</v>
      </c>
      <c r="I1395" t="s">
        <v>64</v>
      </c>
      <c r="J1395">
        <v>1</v>
      </c>
      <c r="K1395" t="s">
        <v>37</v>
      </c>
      <c r="L1395">
        <v>13341</v>
      </c>
      <c r="M1395">
        <v>0</v>
      </c>
      <c r="N1395" t="s">
        <v>41</v>
      </c>
      <c r="O1395">
        <v>12</v>
      </c>
      <c r="P1395">
        <v>3</v>
      </c>
      <c r="Q1395">
        <v>0</v>
      </c>
      <c r="R1395">
        <v>21</v>
      </c>
      <c r="S1395">
        <v>3</v>
      </c>
      <c r="T1395">
        <v>20</v>
      </c>
      <c r="U1395">
        <v>11</v>
      </c>
      <c r="V1395">
        <v>10</v>
      </c>
      <c r="W1395" t="s">
        <v>38</v>
      </c>
      <c r="X1395" s="1" t="d">
        <v>2001-02-11</v>
      </c>
      <c r="Z1395" t="s">
        <v>45</v>
      </c>
      <c r="AA1395" t="s">
        <v>46</v>
      </c>
      <c r="AB1395">
        <v>2</v>
      </c>
      <c r="AC1395">
        <v>0</v>
      </c>
      <c r="AD1395" t="s">
        <v>32</v>
      </c>
      <c r="AE1395" t="s">
        <v>47</v>
      </c>
      <c r="AF1395" t="s">
        <v>43</v>
      </c>
      <c r="AG1395">
        <f>IF(HR_Data[[#This Row],[Attrition]]="Yes",1,0)</f>
        <v>0</v>
      </c>
      <c r="AH1395" t="str">
        <f>IF(HR_Data[Date_of_termination]="","Active","Left")</f>
        <v>Active</v>
      </c>
      <c r="AI1395" t="str">
        <f>IF(HR_Data[YearsAtCompany]&lt;=2,"Fresher", IF(HR_Data[YearsAtCompany]&lt;=5,"Junior", IF(HR_Data[YearsAtCompany]&lt;=10, "Mid","Senior")))</f>
        <v>Senior</v>
      </c>
      <c r="AJ1395" s="2" t="str">
        <f>IF(HR_Data[MonthlyIncome]&lt;=300,"Low", IF(HR_Data[MonthlyIncome]&lt;=7000,"Medium", "High"))</f>
        <v>High</v>
      </c>
      <c r="AK1395" s="2" t="str">
        <f>VLOOKUP(HR_Data[JobRole], JobRole_Map[], 2, FALSE)</f>
        <v>Sales</v>
      </c>
    </row>
    <row r="1396" spans="1:37" x14ac:dyDescent="0.25">
      <c r="A1396" s="2">
        <v>42</v>
      </c>
      <c r="B1396" t="s">
        <v>41</v>
      </c>
      <c r="C1396" t="s">
        <v>68</v>
      </c>
      <c r="D1396" t="s">
        <v>34</v>
      </c>
      <c r="E1396">
        <v>23</v>
      </c>
      <c r="F1396" t="s">
        <v>35</v>
      </c>
      <c r="G1396">
        <v>2</v>
      </c>
      <c r="H1396">
        <v>2</v>
      </c>
      <c r="I1396" t="s">
        <v>44</v>
      </c>
      <c r="J1396">
        <v>3</v>
      </c>
      <c r="K1396" t="s">
        <v>37</v>
      </c>
      <c r="L1396">
        <v>4332</v>
      </c>
      <c r="M1396">
        <v>1</v>
      </c>
      <c r="N1396" t="s">
        <v>41</v>
      </c>
      <c r="O1396">
        <v>12</v>
      </c>
      <c r="P1396">
        <v>3</v>
      </c>
      <c r="Q1396">
        <v>0</v>
      </c>
      <c r="R1396">
        <v>20</v>
      </c>
      <c r="S1396">
        <v>2</v>
      </c>
      <c r="T1396">
        <v>20</v>
      </c>
      <c r="U1396">
        <v>3</v>
      </c>
      <c r="V1396">
        <v>7</v>
      </c>
      <c r="W1396" t="s">
        <v>56</v>
      </c>
      <c r="X1396" s="1" t="d">
        <v>2001-06-04</v>
      </c>
      <c r="Z1396" t="s">
        <v>59</v>
      </c>
      <c r="AA1396" t="s">
        <v>40</v>
      </c>
      <c r="AB1396">
        <v>1</v>
      </c>
      <c r="AC1396">
        <v>1</v>
      </c>
      <c r="AD1396" t="s">
        <v>32</v>
      </c>
      <c r="AE1396" t="s">
        <v>47</v>
      </c>
      <c r="AF1396" t="s">
        <v>43</v>
      </c>
      <c r="AG1396">
        <f>IF(HR_Data[[#This Row],[Attrition]]="Yes",1,0)</f>
        <v>0</v>
      </c>
      <c r="AH1396" t="str">
        <f>IF(HR_Data[Date_of_termination]="","Active","Left")</f>
        <v>Active</v>
      </c>
      <c r="AI1396" t="str">
        <f>IF(HR_Data[YearsAtCompany]&lt;=2,"Fresher", IF(HR_Data[YearsAtCompany]&lt;=5,"Junior", IF(HR_Data[YearsAtCompany]&lt;=10, "Mid","Senior")))</f>
        <v>Senior</v>
      </c>
      <c r="AJ1396" s="2" t="str">
        <f>IF(HR_Data[MonthlyIncome]&lt;=300,"Low", IF(HR_Data[MonthlyIncome]&lt;=7000,"Medium", "High"))</f>
        <v>Medium</v>
      </c>
      <c r="AK1396" s="2" t="str">
        <f>VLOOKUP(HR_Data[JobRole], JobRole_Map[], 2, FALSE)</f>
        <v>Technical</v>
      </c>
    </row>
    <row r="1397" spans="1:37" x14ac:dyDescent="0.25">
      <c r="A1397" s="2">
        <v>41</v>
      </c>
      <c r="B1397" t="s">
        <v>41</v>
      </c>
      <c r="C1397" t="s">
        <v>33</v>
      </c>
      <c r="D1397" t="s">
        <v>34</v>
      </c>
      <c r="E1397">
        <v>28</v>
      </c>
      <c r="F1397" t="s">
        <v>58</v>
      </c>
      <c r="G1397">
        <v>2</v>
      </c>
      <c r="H1397">
        <v>4</v>
      </c>
      <c r="I1397" t="s">
        <v>67</v>
      </c>
      <c r="J1397">
        <v>2</v>
      </c>
      <c r="K1397" t="s">
        <v>50</v>
      </c>
      <c r="L1397">
        <v>13570</v>
      </c>
      <c r="M1397">
        <v>0</v>
      </c>
      <c r="N1397" t="s">
        <v>41</v>
      </c>
      <c r="O1397">
        <v>23</v>
      </c>
      <c r="P1397">
        <v>4</v>
      </c>
      <c r="Q1397">
        <v>1</v>
      </c>
      <c r="R1397">
        <v>21</v>
      </c>
      <c r="S1397">
        <v>3</v>
      </c>
      <c r="T1397">
        <v>20</v>
      </c>
      <c r="U1397">
        <v>0</v>
      </c>
      <c r="V1397">
        <v>10</v>
      </c>
      <c r="W1397" t="s">
        <v>51</v>
      </c>
      <c r="X1397" s="1" t="d">
        <v>2001-06-29</v>
      </c>
      <c r="Z1397" t="s">
        <v>39</v>
      </c>
      <c r="AA1397" t="s">
        <v>46</v>
      </c>
      <c r="AB1397">
        <v>0</v>
      </c>
      <c r="AC1397">
        <v>1</v>
      </c>
      <c r="AD1397" t="s">
        <v>41</v>
      </c>
      <c r="AE1397" t="s">
        <v>42</v>
      </c>
      <c r="AF1397" t="s">
        <v>43</v>
      </c>
      <c r="AG1397">
        <f>IF(HR_Data[[#This Row],[Attrition]]="Yes",1,0)</f>
        <v>0</v>
      </c>
      <c r="AH1397" t="str">
        <f>IF(HR_Data[Date_of_termination]="","Active","Left")</f>
        <v>Active</v>
      </c>
      <c r="AI1397" t="str">
        <f>IF(HR_Data[YearsAtCompany]&lt;=2,"Fresher", IF(HR_Data[YearsAtCompany]&lt;=5,"Junior", IF(HR_Data[YearsAtCompany]&lt;=10, "Mid","Senior")))</f>
        <v>Senior</v>
      </c>
      <c r="AJ1397" s="2" t="str">
        <f>IF(HR_Data[MonthlyIncome]&lt;=300,"Low", IF(HR_Data[MonthlyIncome]&lt;=7000,"Medium", "High"))</f>
        <v>High</v>
      </c>
      <c r="AK1397" s="2" t="str">
        <f>VLOOKUP(HR_Data[JobRole], JobRole_Map[], 2, FALSE)</f>
        <v>Operations</v>
      </c>
    </row>
    <row r="1398" spans="1:37" x14ac:dyDescent="0.25">
      <c r="A1398" s="2">
        <v>39</v>
      </c>
      <c r="B1398" t="s">
        <v>41</v>
      </c>
      <c r="C1398" t="s">
        <v>33</v>
      </c>
      <c r="D1398" t="s">
        <v>53</v>
      </c>
      <c r="E1398">
        <v>24</v>
      </c>
      <c r="F1398" t="s">
        <v>58</v>
      </c>
      <c r="G1398">
        <v>2</v>
      </c>
      <c r="H1398">
        <v>4</v>
      </c>
      <c r="I1398" t="s">
        <v>64</v>
      </c>
      <c r="J1398">
        <v>4</v>
      </c>
      <c r="K1398" t="s">
        <v>50</v>
      </c>
      <c r="L1398">
        <v>12031</v>
      </c>
      <c r="M1398">
        <v>0</v>
      </c>
      <c r="N1398" t="s">
        <v>41</v>
      </c>
      <c r="O1398">
        <v>11</v>
      </c>
      <c r="P1398">
        <v>3</v>
      </c>
      <c r="Q1398">
        <v>1</v>
      </c>
      <c r="R1398">
        <v>21</v>
      </c>
      <c r="S1398">
        <v>2</v>
      </c>
      <c r="T1398">
        <v>20</v>
      </c>
      <c r="U1398">
        <v>9</v>
      </c>
      <c r="V1398">
        <v>6</v>
      </c>
      <c r="W1398" t="s">
        <v>38</v>
      </c>
      <c r="X1398" s="1" t="d">
        <v>2001-04-01</v>
      </c>
      <c r="Z1398" t="s">
        <v>63</v>
      </c>
      <c r="AA1398" t="s">
        <v>40</v>
      </c>
      <c r="AB1398">
        <v>0</v>
      </c>
      <c r="AC1398">
        <v>0</v>
      </c>
      <c r="AD1398" t="s">
        <v>32</v>
      </c>
      <c r="AE1398" t="s">
        <v>62</v>
      </c>
      <c r="AF1398" t="s">
        <v>43</v>
      </c>
      <c r="AG1398">
        <f>IF(HR_Data[[#This Row],[Attrition]]="Yes",1,0)</f>
        <v>0</v>
      </c>
      <c r="AH1398" t="str">
        <f>IF(HR_Data[Date_of_termination]="","Active","Left")</f>
        <v>Active</v>
      </c>
      <c r="AI1398" t="str">
        <f>IF(HR_Data[YearsAtCompany]&lt;=2,"Fresher", IF(HR_Data[YearsAtCompany]&lt;=5,"Junior", IF(HR_Data[YearsAtCompany]&lt;=10, "Mid","Senior")))</f>
        <v>Senior</v>
      </c>
      <c r="AJ1398" s="2" t="str">
        <f>IF(HR_Data[MonthlyIncome]&lt;=300,"Low", IF(HR_Data[MonthlyIncome]&lt;=7000,"Medium", "High"))</f>
        <v>High</v>
      </c>
      <c r="AK1398" s="2" t="str">
        <f>VLOOKUP(HR_Data[JobRole], JobRole_Map[], 2, FALSE)</f>
        <v>Sales</v>
      </c>
    </row>
    <row r="1399" spans="1:37" x14ac:dyDescent="0.25">
      <c r="A1399" s="2">
        <v>59</v>
      </c>
      <c r="B1399" t="s">
        <v>41</v>
      </c>
      <c r="C1399" t="s">
        <v>33</v>
      </c>
      <c r="D1399" t="s">
        <v>53</v>
      </c>
      <c r="E1399">
        <v>25</v>
      </c>
      <c r="F1399" t="s">
        <v>58</v>
      </c>
      <c r="G1399">
        <v>3</v>
      </c>
      <c r="H1399">
        <v>3</v>
      </c>
      <c r="I1399" t="s">
        <v>64</v>
      </c>
      <c r="J1399">
        <v>1</v>
      </c>
      <c r="K1399" t="s">
        <v>37</v>
      </c>
      <c r="L1399">
        <v>7637</v>
      </c>
      <c r="M1399">
        <v>7</v>
      </c>
      <c r="N1399" t="s">
        <v>41</v>
      </c>
      <c r="O1399">
        <v>11</v>
      </c>
      <c r="P1399">
        <v>3</v>
      </c>
      <c r="Q1399">
        <v>0</v>
      </c>
      <c r="R1399">
        <v>28</v>
      </c>
      <c r="S1399">
        <v>3</v>
      </c>
      <c r="T1399">
        <v>21</v>
      </c>
      <c r="U1399">
        <v>7</v>
      </c>
      <c r="V1399">
        <v>9</v>
      </c>
      <c r="W1399" t="s">
        <v>65</v>
      </c>
      <c r="X1399" s="1" t="d">
        <v>2000-02-29</v>
      </c>
      <c r="Z1399" t="s">
        <v>59</v>
      </c>
      <c r="AA1399" t="s">
        <v>40</v>
      </c>
      <c r="AB1399">
        <v>2</v>
      </c>
      <c r="AC1399">
        <v>3</v>
      </c>
      <c r="AD1399" t="s">
        <v>32</v>
      </c>
      <c r="AE1399" t="s">
        <v>60</v>
      </c>
      <c r="AF1399" t="s">
        <v>48</v>
      </c>
      <c r="AG1399">
        <f>IF(HR_Data[[#This Row],[Attrition]]="Yes",1,0)</f>
        <v>0</v>
      </c>
      <c r="AH1399" t="str">
        <f>IF(HR_Data[Date_of_termination]="","Active","Left")</f>
        <v>Active</v>
      </c>
      <c r="AI1399" t="str">
        <f>IF(HR_Data[YearsAtCompany]&lt;=2,"Fresher", IF(HR_Data[YearsAtCompany]&lt;=5,"Junior", IF(HR_Data[YearsAtCompany]&lt;=10, "Mid","Senior")))</f>
        <v>Senior</v>
      </c>
      <c r="AJ1399" s="2" t="str">
        <f>IF(HR_Data[MonthlyIncome]&lt;=300,"Low", IF(HR_Data[MonthlyIncome]&lt;=7000,"Medium", "High"))</f>
        <v>High</v>
      </c>
      <c r="AK1399" s="2" t="str">
        <f>VLOOKUP(HR_Data[JobRole], JobRole_Map[], 2, FALSE)</f>
        <v>Sales</v>
      </c>
    </row>
    <row r="1400" spans="1:37" x14ac:dyDescent="0.25">
      <c r="A1400" s="2">
        <v>40</v>
      </c>
      <c r="B1400" t="s">
        <v>41</v>
      </c>
      <c r="C1400" t="s">
        <v>33</v>
      </c>
      <c r="D1400" t="s">
        <v>34</v>
      </c>
      <c r="E1400">
        <v>2</v>
      </c>
      <c r="F1400" t="s">
        <v>35</v>
      </c>
      <c r="G1400">
        <v>3</v>
      </c>
      <c r="H1400">
        <v>5</v>
      </c>
      <c r="I1400" t="s">
        <v>49</v>
      </c>
      <c r="J1400">
        <v>3</v>
      </c>
      <c r="K1400" t="s">
        <v>55</v>
      </c>
      <c r="L1400">
        <v>19436</v>
      </c>
      <c r="M1400">
        <v>0</v>
      </c>
      <c r="N1400" t="s">
        <v>41</v>
      </c>
      <c r="O1400">
        <v>19</v>
      </c>
      <c r="P1400">
        <v>3</v>
      </c>
      <c r="Q1400">
        <v>1</v>
      </c>
      <c r="R1400">
        <v>22</v>
      </c>
      <c r="S1400">
        <v>5</v>
      </c>
      <c r="T1400">
        <v>21</v>
      </c>
      <c r="U1400">
        <v>3</v>
      </c>
      <c r="V1400">
        <v>9</v>
      </c>
      <c r="W1400" t="s">
        <v>56</v>
      </c>
      <c r="X1400" s="1" t="d">
        <v>2000-02-13</v>
      </c>
      <c r="Z1400" t="s">
        <v>52</v>
      </c>
      <c r="AA1400" t="s">
        <v>40</v>
      </c>
      <c r="AB1400">
        <v>3</v>
      </c>
      <c r="AC1400">
        <v>2</v>
      </c>
      <c r="AD1400" t="s">
        <v>41</v>
      </c>
      <c r="AE1400" t="s">
        <v>62</v>
      </c>
      <c r="AF1400" t="s">
        <v>43</v>
      </c>
      <c r="AG1400">
        <f>IF(HR_Data[[#This Row],[Attrition]]="Yes",1,0)</f>
        <v>0</v>
      </c>
      <c r="AH1400" t="str">
        <f>IF(HR_Data[Date_of_termination]="","Active","Left")</f>
        <v>Active</v>
      </c>
      <c r="AI1400" t="str">
        <f>IF(HR_Data[YearsAtCompany]&lt;=2,"Fresher", IF(HR_Data[YearsAtCompany]&lt;=5,"Junior", IF(HR_Data[YearsAtCompany]&lt;=10, "Mid","Senior")))</f>
        <v>Senior</v>
      </c>
      <c r="AJ1400" s="2" t="str">
        <f>IF(HR_Data[MonthlyIncome]&lt;=300,"Low", IF(HR_Data[MonthlyIncome]&lt;=7000,"Medium", "High"))</f>
        <v>High</v>
      </c>
      <c r="AK1400" s="2" t="str">
        <f>VLOOKUP(HR_Data[JobRole], JobRole_Map[], 2, FALSE)</f>
        <v>Management</v>
      </c>
    </row>
    <row r="1401" spans="1:37" x14ac:dyDescent="0.25">
      <c r="A1401" s="2">
        <v>39</v>
      </c>
      <c r="B1401" t="s">
        <v>41</v>
      </c>
      <c r="C1401" t="s">
        <v>33</v>
      </c>
      <c r="D1401" t="s">
        <v>34</v>
      </c>
      <c r="E1401">
        <v>10</v>
      </c>
      <c r="F1401" t="s">
        <v>35</v>
      </c>
      <c r="G1401">
        <v>3</v>
      </c>
      <c r="H1401">
        <v>4</v>
      </c>
      <c r="I1401" t="s">
        <v>66</v>
      </c>
      <c r="J1401">
        <v>1</v>
      </c>
      <c r="K1401" t="s">
        <v>50</v>
      </c>
      <c r="L1401">
        <v>17068</v>
      </c>
      <c r="M1401">
        <v>1</v>
      </c>
      <c r="N1401" t="s">
        <v>32</v>
      </c>
      <c r="O1401">
        <v>14</v>
      </c>
      <c r="P1401">
        <v>3</v>
      </c>
      <c r="Q1401">
        <v>0</v>
      </c>
      <c r="R1401">
        <v>21</v>
      </c>
      <c r="S1401">
        <v>3</v>
      </c>
      <c r="T1401">
        <v>21</v>
      </c>
      <c r="U1401">
        <v>11</v>
      </c>
      <c r="V1401">
        <v>10</v>
      </c>
      <c r="W1401" t="s">
        <v>56</v>
      </c>
      <c r="X1401" s="1" t="d">
        <v>2000-01-11</v>
      </c>
      <c r="Z1401" t="s">
        <v>39</v>
      </c>
      <c r="AA1401" t="s">
        <v>46</v>
      </c>
      <c r="AB1401">
        <v>4</v>
      </c>
      <c r="AC1401">
        <v>0</v>
      </c>
      <c r="AD1401" t="s">
        <v>32</v>
      </c>
      <c r="AE1401" t="s">
        <v>60</v>
      </c>
      <c r="AF1401" t="s">
        <v>43</v>
      </c>
      <c r="AG1401">
        <f>IF(HR_Data[[#This Row],[Attrition]]="Yes",1,0)</f>
        <v>0</v>
      </c>
      <c r="AH1401" t="str">
        <f>IF(HR_Data[Date_of_termination]="","Active","Left")</f>
        <v>Active</v>
      </c>
      <c r="AI1401" t="str">
        <f>IF(HR_Data[YearsAtCompany]&lt;=2,"Fresher", IF(HR_Data[YearsAtCompany]&lt;=5,"Junior", IF(HR_Data[YearsAtCompany]&lt;=10, "Mid","Senior")))</f>
        <v>Senior</v>
      </c>
      <c r="AJ1401" s="2" t="str">
        <f>IF(HR_Data[MonthlyIncome]&lt;=300,"Low", IF(HR_Data[MonthlyIncome]&lt;=7000,"Medium", "High"))</f>
        <v>High</v>
      </c>
      <c r="AK1401" s="2" t="str">
        <f>VLOOKUP(HR_Data[JobRole], JobRole_Map[], 2, FALSE)</f>
        <v>Management</v>
      </c>
    </row>
    <row r="1402" spans="1:37" x14ac:dyDescent="0.25">
      <c r="A1402" s="2">
        <v>39</v>
      </c>
      <c r="B1402" t="s">
        <v>41</v>
      </c>
      <c r="C1402" t="s">
        <v>61</v>
      </c>
      <c r="D1402" t="s">
        <v>34</v>
      </c>
      <c r="E1402">
        <v>7</v>
      </c>
      <c r="F1402" t="s">
        <v>35</v>
      </c>
      <c r="G1402">
        <v>2</v>
      </c>
      <c r="H1402">
        <v>5</v>
      </c>
      <c r="I1402" t="s">
        <v>66</v>
      </c>
      <c r="J1402">
        <v>4</v>
      </c>
      <c r="K1402" t="s">
        <v>50</v>
      </c>
      <c r="L1402">
        <v>19272</v>
      </c>
      <c r="M1402">
        <v>1</v>
      </c>
      <c r="N1402" t="s">
        <v>41</v>
      </c>
      <c r="O1402">
        <v>15</v>
      </c>
      <c r="P1402">
        <v>3</v>
      </c>
      <c r="Q1402">
        <v>1</v>
      </c>
      <c r="R1402">
        <v>21</v>
      </c>
      <c r="S1402">
        <v>2</v>
      </c>
      <c r="T1402">
        <v>21</v>
      </c>
      <c r="U1402">
        <v>13</v>
      </c>
      <c r="V1402">
        <v>3</v>
      </c>
      <c r="W1402" t="s">
        <v>56</v>
      </c>
      <c r="X1402" s="1" t="d">
        <v>2000-02-27</v>
      </c>
      <c r="Z1402" t="s">
        <v>52</v>
      </c>
      <c r="AA1402" t="s">
        <v>46</v>
      </c>
      <c r="AB1402">
        <v>3</v>
      </c>
      <c r="AC1402">
        <v>0</v>
      </c>
      <c r="AD1402" t="s">
        <v>41</v>
      </c>
      <c r="AE1402" t="s">
        <v>42</v>
      </c>
      <c r="AF1402" t="s">
        <v>48</v>
      </c>
      <c r="AG1402">
        <f>IF(HR_Data[[#This Row],[Attrition]]="Yes",1,0)</f>
        <v>0</v>
      </c>
      <c r="AH1402" t="str">
        <f>IF(HR_Data[Date_of_termination]="","Active","Left")</f>
        <v>Active</v>
      </c>
      <c r="AI1402" t="str">
        <f>IF(HR_Data[YearsAtCompany]&lt;=2,"Fresher", IF(HR_Data[YearsAtCompany]&lt;=5,"Junior", IF(HR_Data[YearsAtCompany]&lt;=10, "Mid","Senior")))</f>
        <v>Senior</v>
      </c>
      <c r="AJ1402" s="2" t="str">
        <f>IF(HR_Data[MonthlyIncome]&lt;=300,"Low", IF(HR_Data[MonthlyIncome]&lt;=7000,"Medium", "High"))</f>
        <v>High</v>
      </c>
      <c r="AK1402" s="2" t="str">
        <f>VLOOKUP(HR_Data[JobRole], JobRole_Map[], 2, FALSE)</f>
        <v>Management</v>
      </c>
    </row>
    <row r="1403" spans="1:37" x14ac:dyDescent="0.25">
      <c r="A1403" s="2">
        <v>39</v>
      </c>
      <c r="B1403" t="s">
        <v>41</v>
      </c>
      <c r="C1403" t="s">
        <v>61</v>
      </c>
      <c r="D1403" t="s">
        <v>34</v>
      </c>
      <c r="E1403">
        <v>1</v>
      </c>
      <c r="F1403" t="s">
        <v>35</v>
      </c>
      <c r="G1403">
        <v>3</v>
      </c>
      <c r="H1403">
        <v>5</v>
      </c>
      <c r="I1403" t="s">
        <v>66</v>
      </c>
      <c r="J1403">
        <v>3</v>
      </c>
      <c r="K1403" t="s">
        <v>55</v>
      </c>
      <c r="L1403">
        <v>19197</v>
      </c>
      <c r="M1403">
        <v>1</v>
      </c>
      <c r="N1403" t="s">
        <v>32</v>
      </c>
      <c r="O1403">
        <v>14</v>
      </c>
      <c r="P1403">
        <v>3</v>
      </c>
      <c r="Q1403">
        <v>1</v>
      </c>
      <c r="R1403">
        <v>21</v>
      </c>
      <c r="S1403">
        <v>3</v>
      </c>
      <c r="T1403">
        <v>21</v>
      </c>
      <c r="U1403">
        <v>1</v>
      </c>
      <c r="V1403">
        <v>6</v>
      </c>
      <c r="W1403" t="s">
        <v>38</v>
      </c>
      <c r="X1403" s="1" t="d">
        <v>2000-05-26</v>
      </c>
      <c r="Z1403" t="s">
        <v>59</v>
      </c>
      <c r="AA1403" t="s">
        <v>46</v>
      </c>
      <c r="AB1403">
        <v>2</v>
      </c>
      <c r="AC1403">
        <v>1</v>
      </c>
      <c r="AD1403" t="s">
        <v>32</v>
      </c>
      <c r="AE1403" t="s">
        <v>60</v>
      </c>
      <c r="AF1403" t="s">
        <v>57</v>
      </c>
      <c r="AG1403">
        <f>IF(HR_Data[[#This Row],[Attrition]]="Yes",1,0)</f>
        <v>0</v>
      </c>
      <c r="AH1403" t="str">
        <f>IF(HR_Data[Date_of_termination]="","Active","Left")</f>
        <v>Active</v>
      </c>
      <c r="AI1403" t="str">
        <f>IF(HR_Data[YearsAtCompany]&lt;=2,"Fresher", IF(HR_Data[YearsAtCompany]&lt;=5,"Junior", IF(HR_Data[YearsAtCompany]&lt;=10, "Mid","Senior")))</f>
        <v>Senior</v>
      </c>
      <c r="AJ1403" s="2" t="str">
        <f>IF(HR_Data[MonthlyIncome]&lt;=300,"Low", IF(HR_Data[MonthlyIncome]&lt;=7000,"Medium", "High"))</f>
        <v>High</v>
      </c>
      <c r="AK1403" s="2" t="str">
        <f>VLOOKUP(HR_Data[JobRole], JobRole_Map[], 2, FALSE)</f>
        <v>Management</v>
      </c>
    </row>
    <row r="1404" spans="1:37" x14ac:dyDescent="0.25">
      <c r="A1404" s="2">
        <v>41</v>
      </c>
      <c r="B1404" t="s">
        <v>41</v>
      </c>
      <c r="C1404" t="s">
        <v>33</v>
      </c>
      <c r="D1404" t="s">
        <v>70</v>
      </c>
      <c r="E1404">
        <v>10</v>
      </c>
      <c r="F1404" t="s">
        <v>35</v>
      </c>
      <c r="G1404">
        <v>2</v>
      </c>
      <c r="H1404">
        <v>5</v>
      </c>
      <c r="I1404" t="s">
        <v>66</v>
      </c>
      <c r="J1404">
        <v>4</v>
      </c>
      <c r="K1404" t="s">
        <v>55</v>
      </c>
      <c r="L1404">
        <v>19141</v>
      </c>
      <c r="M1404">
        <v>3</v>
      </c>
      <c r="N1404" t="s">
        <v>41</v>
      </c>
      <c r="O1404">
        <v>15</v>
      </c>
      <c r="P1404">
        <v>3</v>
      </c>
      <c r="Q1404">
        <v>3</v>
      </c>
      <c r="R1404">
        <v>23</v>
      </c>
      <c r="S1404">
        <v>2</v>
      </c>
      <c r="T1404">
        <v>21</v>
      </c>
      <c r="U1404">
        <v>12</v>
      </c>
      <c r="V1404">
        <v>6</v>
      </c>
      <c r="W1404" t="s">
        <v>38</v>
      </c>
      <c r="X1404" s="1" t="d">
        <v>2000-01-08</v>
      </c>
      <c r="Z1404" t="s">
        <v>52</v>
      </c>
      <c r="AA1404" t="s">
        <v>46</v>
      </c>
      <c r="AB1404">
        <v>2</v>
      </c>
      <c r="AC1404">
        <v>0</v>
      </c>
      <c r="AD1404" t="s">
        <v>41</v>
      </c>
      <c r="AE1404" t="s">
        <v>47</v>
      </c>
      <c r="AF1404" t="s">
        <v>57</v>
      </c>
      <c r="AG1404">
        <f>IF(HR_Data[[#This Row],[Attrition]]="Yes",1,0)</f>
        <v>0</v>
      </c>
      <c r="AH1404" t="str">
        <f>IF(HR_Data[Date_of_termination]="","Active","Left")</f>
        <v>Active</v>
      </c>
      <c r="AI1404" t="str">
        <f>IF(HR_Data[YearsAtCompany]&lt;=2,"Fresher", IF(HR_Data[YearsAtCompany]&lt;=5,"Junior", IF(HR_Data[YearsAtCompany]&lt;=10, "Mid","Senior")))</f>
        <v>Senior</v>
      </c>
      <c r="AJ1404" s="2" t="str">
        <f>IF(HR_Data[MonthlyIncome]&lt;=300,"Low", IF(HR_Data[MonthlyIncome]&lt;=7000,"Medium", "High"))</f>
        <v>High</v>
      </c>
      <c r="AK1404" s="2" t="str">
        <f>VLOOKUP(HR_Data[JobRole], JobRole_Map[], 2, FALSE)</f>
        <v>Management</v>
      </c>
    </row>
    <row r="1405" spans="1:37" x14ac:dyDescent="0.25">
      <c r="A1405" s="2">
        <v>39</v>
      </c>
      <c r="B1405" t="s">
        <v>41</v>
      </c>
      <c r="C1405" t="s">
        <v>33</v>
      </c>
      <c r="D1405" t="s">
        <v>34</v>
      </c>
      <c r="E1405">
        <v>1</v>
      </c>
      <c r="F1405" t="s">
        <v>58</v>
      </c>
      <c r="G1405">
        <v>2</v>
      </c>
      <c r="H1405">
        <v>4</v>
      </c>
      <c r="I1405" t="s">
        <v>67</v>
      </c>
      <c r="J1405">
        <v>4</v>
      </c>
      <c r="K1405" t="s">
        <v>50</v>
      </c>
      <c r="L1405">
        <v>12742</v>
      </c>
      <c r="M1405">
        <v>1</v>
      </c>
      <c r="N1405" t="s">
        <v>41</v>
      </c>
      <c r="O1405">
        <v>16</v>
      </c>
      <c r="P1405">
        <v>3</v>
      </c>
      <c r="Q1405">
        <v>1</v>
      </c>
      <c r="R1405">
        <v>21</v>
      </c>
      <c r="S1405">
        <v>3</v>
      </c>
      <c r="T1405">
        <v>21</v>
      </c>
      <c r="U1405">
        <v>11</v>
      </c>
      <c r="V1405">
        <v>8</v>
      </c>
      <c r="W1405" t="s">
        <v>56</v>
      </c>
      <c r="X1405" s="1" t="d">
        <v>2000-01-06</v>
      </c>
      <c r="Z1405" t="s">
        <v>52</v>
      </c>
      <c r="AA1405" t="s">
        <v>40</v>
      </c>
      <c r="AB1405">
        <v>3</v>
      </c>
      <c r="AC1405">
        <v>0</v>
      </c>
      <c r="AD1405" t="s">
        <v>41</v>
      </c>
      <c r="AE1405" t="s">
        <v>42</v>
      </c>
      <c r="AF1405" t="s">
        <v>48</v>
      </c>
      <c r="AG1405">
        <f>IF(HR_Data[[#This Row],[Attrition]]="Yes",1,0)</f>
        <v>0</v>
      </c>
      <c r="AH1405" t="str">
        <f>IF(HR_Data[Date_of_termination]="","Active","Left")</f>
        <v>Active</v>
      </c>
      <c r="AI1405" t="str">
        <f>IF(HR_Data[YearsAtCompany]&lt;=2,"Fresher", IF(HR_Data[YearsAtCompany]&lt;=5,"Junior", IF(HR_Data[YearsAtCompany]&lt;=10, "Mid","Senior")))</f>
        <v>Senior</v>
      </c>
      <c r="AJ1405" s="2" t="str">
        <f>IF(HR_Data[MonthlyIncome]&lt;=300,"Low", IF(HR_Data[MonthlyIncome]&lt;=7000,"Medium", "High"))</f>
        <v>High</v>
      </c>
      <c r="AK1405" s="2" t="str">
        <f>VLOOKUP(HR_Data[JobRole], JobRole_Map[], 2, FALSE)</f>
        <v>Operations</v>
      </c>
    </row>
    <row r="1406" spans="1:37" x14ac:dyDescent="0.25">
      <c r="A1406" s="2">
        <v>41</v>
      </c>
      <c r="B1406" t="s">
        <v>41</v>
      </c>
      <c r="C1406" t="s">
        <v>68</v>
      </c>
      <c r="D1406" t="s">
        <v>34</v>
      </c>
      <c r="E1406">
        <v>7</v>
      </c>
      <c r="F1406" t="s">
        <v>58</v>
      </c>
      <c r="G1406">
        <v>1</v>
      </c>
      <c r="H1406">
        <v>5</v>
      </c>
      <c r="I1406" t="s">
        <v>49</v>
      </c>
      <c r="J1406">
        <v>3</v>
      </c>
      <c r="K1406" t="s">
        <v>55</v>
      </c>
      <c r="L1406">
        <v>19973</v>
      </c>
      <c r="M1406">
        <v>1</v>
      </c>
      <c r="N1406" t="s">
        <v>41</v>
      </c>
      <c r="O1406">
        <v>22</v>
      </c>
      <c r="P1406">
        <v>4</v>
      </c>
      <c r="Q1406">
        <v>2</v>
      </c>
      <c r="R1406">
        <v>21</v>
      </c>
      <c r="S1406">
        <v>3</v>
      </c>
      <c r="T1406">
        <v>21</v>
      </c>
      <c r="U1406">
        <v>5</v>
      </c>
      <c r="V1406">
        <v>10</v>
      </c>
      <c r="W1406" t="s">
        <v>51</v>
      </c>
      <c r="X1406" s="1" t="d">
        <v>2000-03-16</v>
      </c>
      <c r="Z1406" t="s">
        <v>63</v>
      </c>
      <c r="AA1406" t="s">
        <v>46</v>
      </c>
      <c r="AB1406">
        <v>3</v>
      </c>
      <c r="AC1406">
        <v>3</v>
      </c>
      <c r="AD1406" t="s">
        <v>41</v>
      </c>
      <c r="AE1406" t="s">
        <v>62</v>
      </c>
      <c r="AF1406" t="s">
        <v>43</v>
      </c>
      <c r="AG1406">
        <f>IF(HR_Data[[#This Row],[Attrition]]="Yes",1,0)</f>
        <v>0</v>
      </c>
      <c r="AH1406" t="str">
        <f>IF(HR_Data[Date_of_termination]="","Active","Left")</f>
        <v>Active</v>
      </c>
      <c r="AI1406" t="str">
        <f>IF(HR_Data[YearsAtCompany]&lt;=2,"Fresher", IF(HR_Data[YearsAtCompany]&lt;=5,"Junior", IF(HR_Data[YearsAtCompany]&lt;=10, "Mid","Senior")))</f>
        <v>Senior</v>
      </c>
      <c r="AJ1406" s="2" t="str">
        <f>IF(HR_Data[MonthlyIncome]&lt;=300,"Low", IF(HR_Data[MonthlyIncome]&lt;=7000,"Medium", "High"))</f>
        <v>High</v>
      </c>
      <c r="AK1406" s="2" t="str">
        <f>VLOOKUP(HR_Data[JobRole], JobRole_Map[], 2, FALSE)</f>
        <v>Management</v>
      </c>
    </row>
    <row r="1407" spans="1:37" x14ac:dyDescent="0.25">
      <c r="A1407" s="2">
        <v>39</v>
      </c>
      <c r="B1407" t="s">
        <v>41</v>
      </c>
      <c r="C1407" t="s">
        <v>61</v>
      </c>
      <c r="D1407" t="s">
        <v>34</v>
      </c>
      <c r="E1407">
        <v>22</v>
      </c>
      <c r="F1407" t="s">
        <v>58</v>
      </c>
      <c r="G1407">
        <v>3</v>
      </c>
      <c r="H1407">
        <v>3</v>
      </c>
      <c r="I1407" t="s">
        <v>67</v>
      </c>
      <c r="J1407">
        <v>1</v>
      </c>
      <c r="K1407" t="s">
        <v>37</v>
      </c>
      <c r="L1407">
        <v>10880</v>
      </c>
      <c r="M1407">
        <v>1</v>
      </c>
      <c r="N1407" t="s">
        <v>32</v>
      </c>
      <c r="O1407">
        <v>13</v>
      </c>
      <c r="P1407">
        <v>3</v>
      </c>
      <c r="Q1407">
        <v>0</v>
      </c>
      <c r="R1407">
        <v>21</v>
      </c>
      <c r="S1407">
        <v>2</v>
      </c>
      <c r="T1407">
        <v>21</v>
      </c>
      <c r="U1407">
        <v>2</v>
      </c>
      <c r="V1407">
        <v>8</v>
      </c>
      <c r="W1407" t="s">
        <v>51</v>
      </c>
      <c r="X1407" s="1" t="d">
        <v>2000-04-25</v>
      </c>
      <c r="Z1407" t="s">
        <v>63</v>
      </c>
      <c r="AA1407" t="s">
        <v>40</v>
      </c>
      <c r="AB1407">
        <v>2</v>
      </c>
      <c r="AC1407">
        <v>0</v>
      </c>
      <c r="AD1407" t="s">
        <v>32</v>
      </c>
      <c r="AE1407" t="s">
        <v>47</v>
      </c>
      <c r="AF1407" t="s">
        <v>43</v>
      </c>
      <c r="AG1407">
        <f>IF(HR_Data[[#This Row],[Attrition]]="Yes",1,0)</f>
        <v>0</v>
      </c>
      <c r="AH1407" t="str">
        <f>IF(HR_Data[Date_of_termination]="","Active","Left")</f>
        <v>Active</v>
      </c>
      <c r="AI1407" t="str">
        <f>IF(HR_Data[YearsAtCompany]&lt;=2,"Fresher", IF(HR_Data[YearsAtCompany]&lt;=5,"Junior", IF(HR_Data[YearsAtCompany]&lt;=10, "Mid","Senior")))</f>
        <v>Senior</v>
      </c>
      <c r="AJ1407" s="2" t="str">
        <f>IF(HR_Data[MonthlyIncome]&lt;=300,"Low", IF(HR_Data[MonthlyIncome]&lt;=7000,"Medium", "High"))</f>
        <v>High</v>
      </c>
      <c r="AK1407" s="2" t="str">
        <f>VLOOKUP(HR_Data[JobRole], JobRole_Map[], 2, FALSE)</f>
        <v>Operations</v>
      </c>
    </row>
    <row r="1408" spans="1:37" x14ac:dyDescent="0.25">
      <c r="A1408" s="2">
        <v>42</v>
      </c>
      <c r="B1408" t="s">
        <v>32</v>
      </c>
      <c r="C1408" t="s">
        <v>61</v>
      </c>
      <c r="D1408" t="s">
        <v>53</v>
      </c>
      <c r="E1408">
        <v>12</v>
      </c>
      <c r="F1408" t="s">
        <v>35</v>
      </c>
      <c r="G1408">
        <v>3</v>
      </c>
      <c r="H1408">
        <v>4</v>
      </c>
      <c r="I1408" t="s">
        <v>64</v>
      </c>
      <c r="J1408">
        <v>1</v>
      </c>
      <c r="K1408" t="s">
        <v>37</v>
      </c>
      <c r="L1408">
        <v>13758</v>
      </c>
      <c r="M1408">
        <v>0</v>
      </c>
      <c r="N1408" t="s">
        <v>32</v>
      </c>
      <c r="O1408">
        <v>12</v>
      </c>
      <c r="P1408">
        <v>3</v>
      </c>
      <c r="Q1408">
        <v>0</v>
      </c>
      <c r="R1408">
        <v>22</v>
      </c>
      <c r="S1408">
        <v>2</v>
      </c>
      <c r="T1408">
        <v>21</v>
      </c>
      <c r="U1408">
        <v>13</v>
      </c>
      <c r="V1408">
        <v>14</v>
      </c>
      <c r="W1408" t="s">
        <v>38</v>
      </c>
      <c r="X1408" s="1" t="d">
        <v>2000-01-12</v>
      </c>
      <c r="Z1408" t="s">
        <v>63</v>
      </c>
      <c r="AA1408" t="s">
        <v>40</v>
      </c>
      <c r="AB1408">
        <v>4</v>
      </c>
      <c r="AC1408">
        <v>1</v>
      </c>
      <c r="AD1408" t="s">
        <v>41</v>
      </c>
      <c r="AE1408" t="s">
        <v>42</v>
      </c>
      <c r="AF1408" t="s">
        <v>43</v>
      </c>
      <c r="AG1408">
        <f>IF(HR_Data[[#This Row],[Attrition]]="Yes",1,0)</f>
        <v>1</v>
      </c>
      <c r="AH1408" t="str">
        <f>IF(HR_Data[Date_of_termination]="","Active","Left")</f>
        <v>Active</v>
      </c>
      <c r="AI1408" t="str">
        <f>IF(HR_Data[YearsAtCompany]&lt;=2,"Fresher", IF(HR_Data[YearsAtCompany]&lt;=5,"Junior", IF(HR_Data[YearsAtCompany]&lt;=10, "Mid","Senior")))</f>
        <v>Senior</v>
      </c>
      <c r="AJ1408" s="2" t="str">
        <f>IF(HR_Data[MonthlyIncome]&lt;=300,"Low", IF(HR_Data[MonthlyIncome]&lt;=7000,"Medium", "High"))</f>
        <v>High</v>
      </c>
      <c r="AK1408" s="2" t="str">
        <f>VLOOKUP(HR_Data[JobRole], JobRole_Map[], 2, FALSE)</f>
        <v>Sales</v>
      </c>
    </row>
    <row r="1409" spans="1:37" x14ac:dyDescent="0.25">
      <c r="A1409" s="2">
        <v>43</v>
      </c>
      <c r="B1409" t="s">
        <v>41</v>
      </c>
      <c r="C1409" t="s">
        <v>33</v>
      </c>
      <c r="D1409" t="s">
        <v>53</v>
      </c>
      <c r="E1409">
        <v>4</v>
      </c>
      <c r="F1409" t="s">
        <v>58</v>
      </c>
      <c r="G1409">
        <v>2</v>
      </c>
      <c r="H1409">
        <v>3</v>
      </c>
      <c r="I1409" t="s">
        <v>64</v>
      </c>
      <c r="J1409">
        <v>4</v>
      </c>
      <c r="K1409" t="s">
        <v>37</v>
      </c>
      <c r="L1409">
        <v>10231</v>
      </c>
      <c r="M1409">
        <v>3</v>
      </c>
      <c r="N1409" t="s">
        <v>41</v>
      </c>
      <c r="O1409">
        <v>14</v>
      </c>
      <c r="P1409">
        <v>3</v>
      </c>
      <c r="Q1409">
        <v>0</v>
      </c>
      <c r="R1409">
        <v>23</v>
      </c>
      <c r="S1409">
        <v>3</v>
      </c>
      <c r="T1409">
        <v>21</v>
      </c>
      <c r="U1409">
        <v>15</v>
      </c>
      <c r="V1409">
        <v>17</v>
      </c>
      <c r="W1409" t="s">
        <v>38</v>
      </c>
      <c r="X1409" s="1" t="d">
        <v>2000-02-15</v>
      </c>
      <c r="Z1409" t="s">
        <v>39</v>
      </c>
      <c r="AA1409" t="s">
        <v>40</v>
      </c>
      <c r="AB1409">
        <v>3</v>
      </c>
      <c r="AC1409">
        <v>0</v>
      </c>
      <c r="AD1409" t="s">
        <v>41</v>
      </c>
      <c r="AE1409" t="s">
        <v>62</v>
      </c>
      <c r="AF1409" t="s">
        <v>57</v>
      </c>
      <c r="AG1409">
        <f>IF(HR_Data[[#This Row],[Attrition]]="Yes",1,0)</f>
        <v>0</v>
      </c>
      <c r="AH1409" t="str">
        <f>IF(HR_Data[Date_of_termination]="","Active","Left")</f>
        <v>Active</v>
      </c>
      <c r="AI1409" t="str">
        <f>IF(HR_Data[YearsAtCompany]&lt;=2,"Fresher", IF(HR_Data[YearsAtCompany]&lt;=5,"Junior", IF(HR_Data[YearsAtCompany]&lt;=10, "Mid","Senior")))</f>
        <v>Senior</v>
      </c>
      <c r="AJ1409" s="2" t="str">
        <f>IF(HR_Data[MonthlyIncome]&lt;=300,"Low", IF(HR_Data[MonthlyIncome]&lt;=7000,"Medium", "High"))</f>
        <v>High</v>
      </c>
      <c r="AK1409" s="2" t="str">
        <f>VLOOKUP(HR_Data[JobRole], JobRole_Map[], 2, FALSE)</f>
        <v>Sales</v>
      </c>
    </row>
    <row r="1410" spans="1:37" x14ac:dyDescent="0.25">
      <c r="A1410" s="2">
        <v>40</v>
      </c>
      <c r="B1410" t="s">
        <v>41</v>
      </c>
      <c r="C1410" t="s">
        <v>33</v>
      </c>
      <c r="D1410" t="s">
        <v>70</v>
      </c>
      <c r="E1410">
        <v>6</v>
      </c>
      <c r="F1410" t="s">
        <v>35</v>
      </c>
      <c r="G1410">
        <v>3</v>
      </c>
      <c r="H1410">
        <v>4</v>
      </c>
      <c r="I1410" t="s">
        <v>66</v>
      </c>
      <c r="J1410">
        <v>4</v>
      </c>
      <c r="K1410" t="s">
        <v>37</v>
      </c>
      <c r="L1410">
        <v>16437</v>
      </c>
      <c r="M1410">
        <v>1</v>
      </c>
      <c r="N1410" t="s">
        <v>32</v>
      </c>
      <c r="O1410">
        <v>21</v>
      </c>
      <c r="P1410">
        <v>4</v>
      </c>
      <c r="Q1410">
        <v>0</v>
      </c>
      <c r="R1410">
        <v>21</v>
      </c>
      <c r="S1410">
        <v>2</v>
      </c>
      <c r="T1410">
        <v>21</v>
      </c>
      <c r="U1410">
        <v>7</v>
      </c>
      <c r="V1410">
        <v>7</v>
      </c>
      <c r="W1410" t="s">
        <v>51</v>
      </c>
      <c r="X1410" s="1" t="d">
        <v>2000-03-02</v>
      </c>
      <c r="Z1410" t="s">
        <v>63</v>
      </c>
      <c r="AA1410" t="s">
        <v>40</v>
      </c>
      <c r="AB1410">
        <v>4</v>
      </c>
      <c r="AC1410">
        <v>3</v>
      </c>
      <c r="AD1410" t="s">
        <v>41</v>
      </c>
      <c r="AE1410" t="s">
        <v>42</v>
      </c>
      <c r="AF1410" t="s">
        <v>57</v>
      </c>
      <c r="AG1410">
        <f>IF(HR_Data[[#This Row],[Attrition]]="Yes",1,0)</f>
        <v>0</v>
      </c>
      <c r="AH1410" t="str">
        <f>IF(HR_Data[Date_of_termination]="","Active","Left")</f>
        <v>Active</v>
      </c>
      <c r="AI1410" t="str">
        <f>IF(HR_Data[YearsAtCompany]&lt;=2,"Fresher", IF(HR_Data[YearsAtCompany]&lt;=5,"Junior", IF(HR_Data[YearsAtCompany]&lt;=10, "Mid","Senior")))</f>
        <v>Senior</v>
      </c>
      <c r="AJ1410" s="2" t="str">
        <f>IF(HR_Data[MonthlyIncome]&lt;=300,"Low", IF(HR_Data[MonthlyIncome]&lt;=7000,"Medium", "High"))</f>
        <v>High</v>
      </c>
      <c r="AK1410" s="2" t="str">
        <f>VLOOKUP(HR_Data[JobRole], JobRole_Map[], 2, FALSE)</f>
        <v>Management</v>
      </c>
    </row>
    <row r="1411" spans="1:37" x14ac:dyDescent="0.25">
      <c r="A1411" s="2">
        <v>45</v>
      </c>
      <c r="B1411" t="s">
        <v>41</v>
      </c>
      <c r="C1411" t="s">
        <v>33</v>
      </c>
      <c r="D1411" t="s">
        <v>34</v>
      </c>
      <c r="E1411">
        <v>28</v>
      </c>
      <c r="F1411" t="s">
        <v>58</v>
      </c>
      <c r="G1411">
        <v>2</v>
      </c>
      <c r="H1411">
        <v>4</v>
      </c>
      <c r="I1411" t="s">
        <v>49</v>
      </c>
      <c r="J1411">
        <v>2</v>
      </c>
      <c r="K1411" t="s">
        <v>37</v>
      </c>
      <c r="L1411">
        <v>16704</v>
      </c>
      <c r="M1411">
        <v>1</v>
      </c>
      <c r="N1411" t="s">
        <v>41</v>
      </c>
      <c r="O1411">
        <v>11</v>
      </c>
      <c r="P1411">
        <v>3</v>
      </c>
      <c r="Q1411">
        <v>0</v>
      </c>
      <c r="R1411">
        <v>21</v>
      </c>
      <c r="S1411">
        <v>2</v>
      </c>
      <c r="T1411">
        <v>21</v>
      </c>
      <c r="U1411">
        <v>8</v>
      </c>
      <c r="V1411">
        <v>6</v>
      </c>
      <c r="W1411" t="s">
        <v>65</v>
      </c>
      <c r="X1411" s="1" t="d">
        <v>2000-01-18</v>
      </c>
      <c r="Z1411" t="s">
        <v>63</v>
      </c>
      <c r="AA1411" t="s">
        <v>40</v>
      </c>
      <c r="AB1411">
        <v>4</v>
      </c>
      <c r="AC1411">
        <v>2</v>
      </c>
      <c r="AD1411" t="s">
        <v>32</v>
      </c>
      <c r="AE1411" t="s">
        <v>47</v>
      </c>
      <c r="AF1411" t="s">
        <v>43</v>
      </c>
      <c r="AG1411">
        <f>IF(HR_Data[[#This Row],[Attrition]]="Yes",1,0)</f>
        <v>0</v>
      </c>
      <c r="AH1411" t="str">
        <f>IF(HR_Data[Date_of_termination]="","Active","Left")</f>
        <v>Active</v>
      </c>
      <c r="AI1411" t="str">
        <f>IF(HR_Data[YearsAtCompany]&lt;=2,"Fresher", IF(HR_Data[YearsAtCompany]&lt;=5,"Junior", IF(HR_Data[YearsAtCompany]&lt;=10, "Mid","Senior")))</f>
        <v>Senior</v>
      </c>
      <c r="AJ1411" s="2" t="str">
        <f>IF(HR_Data[MonthlyIncome]&lt;=300,"Low", IF(HR_Data[MonthlyIncome]&lt;=7000,"Medium", "High"))</f>
        <v>High</v>
      </c>
      <c r="AK1411" s="2" t="str">
        <f>VLOOKUP(HR_Data[JobRole], JobRole_Map[], 2, FALSE)</f>
        <v>Management</v>
      </c>
    </row>
    <row r="1412" spans="1:37" x14ac:dyDescent="0.25">
      <c r="A1412" s="2">
        <v>40</v>
      </c>
      <c r="B1412" t="s">
        <v>41</v>
      </c>
      <c r="C1412" t="s">
        <v>33</v>
      </c>
      <c r="D1412" t="s">
        <v>53</v>
      </c>
      <c r="E1412">
        <v>7</v>
      </c>
      <c r="F1412" t="s">
        <v>35</v>
      </c>
      <c r="G1412">
        <v>3</v>
      </c>
      <c r="H1412">
        <v>5</v>
      </c>
      <c r="I1412" t="s">
        <v>66</v>
      </c>
      <c r="J1412">
        <v>2</v>
      </c>
      <c r="K1412" t="s">
        <v>37</v>
      </c>
      <c r="L1412">
        <v>19833</v>
      </c>
      <c r="M1412">
        <v>1</v>
      </c>
      <c r="N1412" t="s">
        <v>41</v>
      </c>
      <c r="O1412">
        <v>14</v>
      </c>
      <c r="P1412">
        <v>3</v>
      </c>
      <c r="Q1412">
        <v>0</v>
      </c>
      <c r="R1412">
        <v>21</v>
      </c>
      <c r="S1412">
        <v>3</v>
      </c>
      <c r="T1412">
        <v>21</v>
      </c>
      <c r="U1412">
        <v>12</v>
      </c>
      <c r="V1412">
        <v>8</v>
      </c>
      <c r="W1412" t="s">
        <v>38</v>
      </c>
      <c r="X1412" s="1" t="d">
        <v>2000-03-08</v>
      </c>
      <c r="Z1412" t="s">
        <v>63</v>
      </c>
      <c r="AA1412" t="s">
        <v>40</v>
      </c>
      <c r="AB1412">
        <v>0</v>
      </c>
      <c r="AC1412">
        <v>1</v>
      </c>
      <c r="AD1412" t="s">
        <v>41</v>
      </c>
      <c r="AE1412" t="s">
        <v>60</v>
      </c>
      <c r="AF1412" t="s">
        <v>48</v>
      </c>
      <c r="AG1412">
        <f>IF(HR_Data[[#This Row],[Attrition]]="Yes",1,0)</f>
        <v>0</v>
      </c>
      <c r="AH1412" t="str">
        <f>IF(HR_Data[Date_of_termination]="","Active","Left")</f>
        <v>Active</v>
      </c>
      <c r="AI1412" t="str">
        <f>IF(HR_Data[YearsAtCompany]&lt;=2,"Fresher", IF(HR_Data[YearsAtCompany]&lt;=5,"Junior", IF(HR_Data[YearsAtCompany]&lt;=10, "Mid","Senior")))</f>
        <v>Senior</v>
      </c>
      <c r="AJ1412" s="2" t="str">
        <f>IF(HR_Data[MonthlyIncome]&lt;=300,"Low", IF(HR_Data[MonthlyIncome]&lt;=7000,"Medium", "High"))</f>
        <v>High</v>
      </c>
      <c r="AK1412" s="2" t="str">
        <f>VLOOKUP(HR_Data[JobRole], JobRole_Map[], 2, FALSE)</f>
        <v>Management</v>
      </c>
    </row>
    <row r="1413" spans="1:37" x14ac:dyDescent="0.25">
      <c r="A1413" s="2">
        <v>44</v>
      </c>
      <c r="B1413" t="s">
        <v>41</v>
      </c>
      <c r="C1413" t="s">
        <v>33</v>
      </c>
      <c r="D1413" t="s">
        <v>34</v>
      </c>
      <c r="E1413">
        <v>7</v>
      </c>
      <c r="F1413" t="s">
        <v>58</v>
      </c>
      <c r="G1413">
        <v>2</v>
      </c>
      <c r="H1413">
        <v>3</v>
      </c>
      <c r="I1413" t="s">
        <v>69</v>
      </c>
      <c r="J1413">
        <v>4</v>
      </c>
      <c r="K1413" t="s">
        <v>50</v>
      </c>
      <c r="L1413">
        <v>10248</v>
      </c>
      <c r="M1413">
        <v>3</v>
      </c>
      <c r="N1413" t="s">
        <v>41</v>
      </c>
      <c r="O1413">
        <v>14</v>
      </c>
      <c r="P1413">
        <v>3</v>
      </c>
      <c r="Q1413">
        <v>1</v>
      </c>
      <c r="R1413">
        <v>24</v>
      </c>
      <c r="S1413">
        <v>4</v>
      </c>
      <c r="T1413">
        <v>22</v>
      </c>
      <c r="U1413">
        <v>5</v>
      </c>
      <c r="V1413">
        <v>17</v>
      </c>
      <c r="W1413" t="s">
        <v>65</v>
      </c>
      <c r="X1413" s="1" t="d">
        <v>1999-03-20</v>
      </c>
      <c r="Z1413" t="s">
        <v>45</v>
      </c>
      <c r="AA1413" t="s">
        <v>40</v>
      </c>
      <c r="AB1413">
        <v>4</v>
      </c>
      <c r="AC1413">
        <v>1</v>
      </c>
      <c r="AD1413" t="s">
        <v>41</v>
      </c>
      <c r="AE1413" t="s">
        <v>60</v>
      </c>
      <c r="AF1413" t="s">
        <v>43</v>
      </c>
      <c r="AG1413">
        <f>IF(HR_Data[[#This Row],[Attrition]]="Yes",1,0)</f>
        <v>0</v>
      </c>
      <c r="AH1413" t="str">
        <f>IF(HR_Data[Date_of_termination]="","Active","Left")</f>
        <v>Active</v>
      </c>
      <c r="AI1413" t="str">
        <f>IF(HR_Data[YearsAtCompany]&lt;=2,"Fresher", IF(HR_Data[YearsAtCompany]&lt;=5,"Junior", IF(HR_Data[YearsAtCompany]&lt;=10, "Mid","Senior")))</f>
        <v>Senior</v>
      </c>
      <c r="AJ1413" s="2" t="str">
        <f>IF(HR_Data[MonthlyIncome]&lt;=300,"Low", IF(HR_Data[MonthlyIncome]&lt;=7000,"Medium", "High"))</f>
        <v>High</v>
      </c>
      <c r="AK1413" s="2" t="str">
        <f>VLOOKUP(HR_Data[JobRole], JobRole_Map[], 2, FALSE)</f>
        <v>Operations</v>
      </c>
    </row>
    <row r="1414" spans="1:37" x14ac:dyDescent="0.25">
      <c r="A1414" s="2">
        <v>41</v>
      </c>
      <c r="B1414" t="s">
        <v>32</v>
      </c>
      <c r="C1414" t="s">
        <v>33</v>
      </c>
      <c r="D1414" t="s">
        <v>34</v>
      </c>
      <c r="E1414">
        <v>12</v>
      </c>
      <c r="F1414" t="s">
        <v>58</v>
      </c>
      <c r="G1414">
        <v>3</v>
      </c>
      <c r="H1414">
        <v>5</v>
      </c>
      <c r="I1414" t="s">
        <v>49</v>
      </c>
      <c r="J1414">
        <v>3</v>
      </c>
      <c r="K1414" t="s">
        <v>50</v>
      </c>
      <c r="L1414">
        <v>19545</v>
      </c>
      <c r="M1414">
        <v>1</v>
      </c>
      <c r="N1414" t="s">
        <v>41</v>
      </c>
      <c r="O1414">
        <v>12</v>
      </c>
      <c r="P1414">
        <v>3</v>
      </c>
      <c r="Q1414">
        <v>0</v>
      </c>
      <c r="R1414">
        <v>23</v>
      </c>
      <c r="S1414">
        <v>0</v>
      </c>
      <c r="T1414">
        <v>22</v>
      </c>
      <c r="U1414">
        <v>15</v>
      </c>
      <c r="V1414">
        <v>8</v>
      </c>
      <c r="W1414" t="s">
        <v>65</v>
      </c>
      <c r="X1414" s="1" t="d">
        <v>1999-02-24</v>
      </c>
      <c r="Z1414" t="s">
        <v>39</v>
      </c>
      <c r="AA1414" t="s">
        <v>40</v>
      </c>
      <c r="AB1414">
        <v>4</v>
      </c>
      <c r="AC1414">
        <v>2</v>
      </c>
      <c r="AD1414" t="s">
        <v>32</v>
      </c>
      <c r="AE1414" t="s">
        <v>62</v>
      </c>
      <c r="AF1414" t="s">
        <v>57</v>
      </c>
      <c r="AG1414">
        <f>IF(HR_Data[[#This Row],[Attrition]]="Yes",1,0)</f>
        <v>1</v>
      </c>
      <c r="AH1414" t="str">
        <f>IF(HR_Data[Date_of_termination]="","Active","Left")</f>
        <v>Active</v>
      </c>
      <c r="AI1414" t="str">
        <f>IF(HR_Data[YearsAtCompany]&lt;=2,"Fresher", IF(HR_Data[YearsAtCompany]&lt;=5,"Junior", IF(HR_Data[YearsAtCompany]&lt;=10, "Mid","Senior")))</f>
        <v>Senior</v>
      </c>
      <c r="AJ1414" s="2" t="str">
        <f>IF(HR_Data[MonthlyIncome]&lt;=300,"Low", IF(HR_Data[MonthlyIncome]&lt;=7000,"Medium", "High"))</f>
        <v>High</v>
      </c>
      <c r="AK1414" s="2" t="str">
        <f>VLOOKUP(HR_Data[JobRole], JobRole_Map[], 2, FALSE)</f>
        <v>Management</v>
      </c>
    </row>
    <row r="1415" spans="1:37" x14ac:dyDescent="0.25">
      <c r="A1415" s="2">
        <v>40</v>
      </c>
      <c r="B1415" t="s">
        <v>41</v>
      </c>
      <c r="C1415" t="s">
        <v>61</v>
      </c>
      <c r="D1415" t="s">
        <v>34</v>
      </c>
      <c r="E1415">
        <v>1</v>
      </c>
      <c r="F1415" t="s">
        <v>35</v>
      </c>
      <c r="G1415">
        <v>2</v>
      </c>
      <c r="H1415">
        <v>4</v>
      </c>
      <c r="I1415" t="s">
        <v>69</v>
      </c>
      <c r="J1415">
        <v>2</v>
      </c>
      <c r="K1415" t="s">
        <v>50</v>
      </c>
      <c r="L1415">
        <v>13503</v>
      </c>
      <c r="M1415">
        <v>1</v>
      </c>
      <c r="N1415" t="s">
        <v>41</v>
      </c>
      <c r="O1415">
        <v>22</v>
      </c>
      <c r="P1415">
        <v>4</v>
      </c>
      <c r="Q1415">
        <v>1</v>
      </c>
      <c r="R1415">
        <v>22</v>
      </c>
      <c r="S1415">
        <v>3</v>
      </c>
      <c r="T1415">
        <v>22</v>
      </c>
      <c r="U1415">
        <v>11</v>
      </c>
      <c r="V1415">
        <v>11</v>
      </c>
      <c r="W1415" t="s">
        <v>51</v>
      </c>
      <c r="X1415" s="1" t="d">
        <v>1999-01-29</v>
      </c>
      <c r="Z1415" t="s">
        <v>39</v>
      </c>
      <c r="AA1415" t="s">
        <v>46</v>
      </c>
      <c r="AB1415">
        <v>2</v>
      </c>
      <c r="AC1415">
        <v>3</v>
      </c>
      <c r="AD1415" t="s">
        <v>41</v>
      </c>
      <c r="AE1415" t="s">
        <v>42</v>
      </c>
      <c r="AF1415" t="s">
        <v>43</v>
      </c>
      <c r="AG1415">
        <f>IF(HR_Data[[#This Row],[Attrition]]="Yes",1,0)</f>
        <v>0</v>
      </c>
      <c r="AH1415" t="str">
        <f>IF(HR_Data[Date_of_termination]="","Active","Left")</f>
        <v>Active</v>
      </c>
      <c r="AI1415" t="str">
        <f>IF(HR_Data[YearsAtCompany]&lt;=2,"Fresher", IF(HR_Data[YearsAtCompany]&lt;=5,"Junior", IF(HR_Data[YearsAtCompany]&lt;=10, "Mid","Senior")))</f>
        <v>Senior</v>
      </c>
      <c r="AJ1415" s="2" t="str">
        <f>IF(HR_Data[MonthlyIncome]&lt;=300,"Low", IF(HR_Data[MonthlyIncome]&lt;=7000,"Medium", "High"))</f>
        <v>High</v>
      </c>
      <c r="AK1415" s="2" t="str">
        <f>VLOOKUP(HR_Data[JobRole], JobRole_Map[], 2, FALSE)</f>
        <v>Operations</v>
      </c>
    </row>
    <row r="1416" spans="1:37" x14ac:dyDescent="0.25">
      <c r="A1416" s="2">
        <v>42</v>
      </c>
      <c r="B1416" t="s">
        <v>41</v>
      </c>
      <c r="C1416" t="s">
        <v>33</v>
      </c>
      <c r="D1416" t="s">
        <v>34</v>
      </c>
      <c r="E1416">
        <v>4</v>
      </c>
      <c r="F1416" t="s">
        <v>35</v>
      </c>
      <c r="G1416">
        <v>3</v>
      </c>
      <c r="H1416">
        <v>5</v>
      </c>
      <c r="I1416" t="s">
        <v>66</v>
      </c>
      <c r="J1416">
        <v>4</v>
      </c>
      <c r="K1416" t="s">
        <v>50</v>
      </c>
      <c r="L1416">
        <v>19232</v>
      </c>
      <c r="M1416">
        <v>1</v>
      </c>
      <c r="N1416" t="s">
        <v>41</v>
      </c>
      <c r="O1416">
        <v>11</v>
      </c>
      <c r="P1416">
        <v>3</v>
      </c>
      <c r="Q1416">
        <v>0</v>
      </c>
      <c r="R1416">
        <v>22</v>
      </c>
      <c r="S1416">
        <v>3</v>
      </c>
      <c r="T1416">
        <v>22</v>
      </c>
      <c r="U1416">
        <v>11</v>
      </c>
      <c r="V1416">
        <v>15</v>
      </c>
      <c r="W1416" t="s">
        <v>65</v>
      </c>
      <c r="X1416" s="1" t="d">
        <v>1999-06-22</v>
      </c>
      <c r="Z1416" t="s">
        <v>45</v>
      </c>
      <c r="AA1416" t="s">
        <v>46</v>
      </c>
      <c r="AB1416">
        <v>3</v>
      </c>
      <c r="AC1416">
        <v>2</v>
      </c>
      <c r="AD1416" t="s">
        <v>41</v>
      </c>
      <c r="AE1416" t="s">
        <v>47</v>
      </c>
      <c r="AF1416" t="s">
        <v>43</v>
      </c>
      <c r="AG1416">
        <f>IF(HR_Data[[#This Row],[Attrition]]="Yes",1,0)</f>
        <v>0</v>
      </c>
      <c r="AH1416" t="str">
        <f>IF(HR_Data[Date_of_termination]="","Active","Left")</f>
        <v>Active</v>
      </c>
      <c r="AI1416" t="str">
        <f>IF(HR_Data[YearsAtCompany]&lt;=2,"Fresher", IF(HR_Data[YearsAtCompany]&lt;=5,"Junior", IF(HR_Data[YearsAtCompany]&lt;=10, "Mid","Senior")))</f>
        <v>Senior</v>
      </c>
      <c r="AJ1416" s="2" t="str">
        <f>IF(HR_Data[MonthlyIncome]&lt;=300,"Low", IF(HR_Data[MonthlyIncome]&lt;=7000,"Medium", "High"))</f>
        <v>High</v>
      </c>
      <c r="AK1416" s="2" t="str">
        <f>VLOOKUP(HR_Data[JobRole], JobRole_Map[], 2, FALSE)</f>
        <v>Management</v>
      </c>
    </row>
    <row r="1417" spans="1:37" x14ac:dyDescent="0.25">
      <c r="A1417" s="2">
        <v>41</v>
      </c>
      <c r="B1417" t="s">
        <v>41</v>
      </c>
      <c r="C1417" t="s">
        <v>33</v>
      </c>
      <c r="D1417" t="s">
        <v>53</v>
      </c>
      <c r="E1417">
        <v>2</v>
      </c>
      <c r="F1417" t="s">
        <v>35</v>
      </c>
      <c r="G1417">
        <v>3</v>
      </c>
      <c r="H1417">
        <v>4</v>
      </c>
      <c r="I1417" t="s">
        <v>66</v>
      </c>
      <c r="J1417">
        <v>2</v>
      </c>
      <c r="K1417" t="s">
        <v>37</v>
      </c>
      <c r="L1417">
        <v>16015</v>
      </c>
      <c r="M1417">
        <v>1</v>
      </c>
      <c r="N1417" t="s">
        <v>41</v>
      </c>
      <c r="O1417">
        <v>19</v>
      </c>
      <c r="P1417">
        <v>3</v>
      </c>
      <c r="Q1417">
        <v>0</v>
      </c>
      <c r="R1417">
        <v>22</v>
      </c>
      <c r="S1417">
        <v>2</v>
      </c>
      <c r="T1417">
        <v>22</v>
      </c>
      <c r="U1417">
        <v>0</v>
      </c>
      <c r="V1417">
        <v>4</v>
      </c>
      <c r="W1417" t="s">
        <v>65</v>
      </c>
      <c r="X1417" s="1" t="d">
        <v>1999-02-20</v>
      </c>
      <c r="Z1417" t="s">
        <v>52</v>
      </c>
      <c r="AA1417" t="s">
        <v>46</v>
      </c>
      <c r="AB1417">
        <v>1</v>
      </c>
      <c r="AC1417">
        <v>0</v>
      </c>
      <c r="AD1417" t="s">
        <v>32</v>
      </c>
      <c r="AE1417" t="s">
        <v>60</v>
      </c>
      <c r="AF1417" t="s">
        <v>57</v>
      </c>
      <c r="AG1417">
        <f>IF(HR_Data[[#This Row],[Attrition]]="Yes",1,0)</f>
        <v>0</v>
      </c>
      <c r="AH1417" t="str">
        <f>IF(HR_Data[Date_of_termination]="","Active","Left")</f>
        <v>Active</v>
      </c>
      <c r="AI1417" t="str">
        <f>IF(HR_Data[YearsAtCompany]&lt;=2,"Fresher", IF(HR_Data[YearsAtCompany]&lt;=5,"Junior", IF(HR_Data[YearsAtCompany]&lt;=10, "Mid","Senior")))</f>
        <v>Senior</v>
      </c>
      <c r="AJ1417" s="2" t="str">
        <f>IF(HR_Data[MonthlyIncome]&lt;=300,"Low", IF(HR_Data[MonthlyIncome]&lt;=7000,"Medium", "High"))</f>
        <v>High</v>
      </c>
      <c r="AK1417" s="2" t="str">
        <f>VLOOKUP(HR_Data[JobRole], JobRole_Map[], 2, FALSE)</f>
        <v>Management</v>
      </c>
    </row>
    <row r="1418" spans="1:37" x14ac:dyDescent="0.25">
      <c r="A1418" s="2">
        <v>41</v>
      </c>
      <c r="B1418" t="s">
        <v>41</v>
      </c>
      <c r="C1418" t="s">
        <v>33</v>
      </c>
      <c r="D1418" t="s">
        <v>70</v>
      </c>
      <c r="E1418">
        <v>1</v>
      </c>
      <c r="F1418" t="s">
        <v>35</v>
      </c>
      <c r="G1418">
        <v>2</v>
      </c>
      <c r="H1418">
        <v>5</v>
      </c>
      <c r="I1418" t="s">
        <v>66</v>
      </c>
      <c r="J1418">
        <v>3</v>
      </c>
      <c r="K1418" t="s">
        <v>50</v>
      </c>
      <c r="L1418">
        <v>19189</v>
      </c>
      <c r="M1418">
        <v>1</v>
      </c>
      <c r="N1418" t="s">
        <v>41</v>
      </c>
      <c r="O1418">
        <v>12</v>
      </c>
      <c r="P1418">
        <v>3</v>
      </c>
      <c r="Q1418">
        <v>1</v>
      </c>
      <c r="R1418">
        <v>22</v>
      </c>
      <c r="S1418">
        <v>3</v>
      </c>
      <c r="T1418">
        <v>22</v>
      </c>
      <c r="U1418">
        <v>2</v>
      </c>
      <c r="V1418">
        <v>10</v>
      </c>
      <c r="W1418" t="s">
        <v>38</v>
      </c>
      <c r="X1418" s="1" t="d">
        <v>1999-06-25</v>
      </c>
      <c r="Z1418" t="s">
        <v>52</v>
      </c>
      <c r="AA1418" t="s">
        <v>40</v>
      </c>
      <c r="AB1418">
        <v>4</v>
      </c>
      <c r="AC1418">
        <v>0</v>
      </c>
      <c r="AD1418" t="s">
        <v>32</v>
      </c>
      <c r="AE1418" t="s">
        <v>62</v>
      </c>
      <c r="AF1418" t="s">
        <v>48</v>
      </c>
      <c r="AG1418">
        <f>IF(HR_Data[[#This Row],[Attrition]]="Yes",1,0)</f>
        <v>0</v>
      </c>
      <c r="AH1418" t="str">
        <f>IF(HR_Data[Date_of_termination]="","Active","Left")</f>
        <v>Active</v>
      </c>
      <c r="AI1418" t="str">
        <f>IF(HR_Data[YearsAtCompany]&lt;=2,"Fresher", IF(HR_Data[YearsAtCompany]&lt;=5,"Junior", IF(HR_Data[YearsAtCompany]&lt;=10, "Mid","Senior")))</f>
        <v>Senior</v>
      </c>
      <c r="AJ1418" s="2" t="str">
        <f>IF(HR_Data[MonthlyIncome]&lt;=300,"Low", IF(HR_Data[MonthlyIncome]&lt;=7000,"Medium", "High"))</f>
        <v>High</v>
      </c>
      <c r="AK1418" s="2" t="str">
        <f>VLOOKUP(HR_Data[JobRole], JobRole_Map[], 2, FALSE)</f>
        <v>Management</v>
      </c>
    </row>
    <row r="1419" spans="1:37" x14ac:dyDescent="0.25">
      <c r="A1419" s="2">
        <v>47</v>
      </c>
      <c r="B1419" t="s">
        <v>41</v>
      </c>
      <c r="C1419" t="s">
        <v>61</v>
      </c>
      <c r="D1419" t="s">
        <v>53</v>
      </c>
      <c r="E1419">
        <v>3</v>
      </c>
      <c r="F1419" t="s">
        <v>58</v>
      </c>
      <c r="G1419">
        <v>3</v>
      </c>
      <c r="H1419">
        <v>4</v>
      </c>
      <c r="I1419" t="s">
        <v>64</v>
      </c>
      <c r="J1419">
        <v>3</v>
      </c>
      <c r="K1419" t="s">
        <v>55</v>
      </c>
      <c r="L1419">
        <v>13770</v>
      </c>
      <c r="M1419">
        <v>9</v>
      </c>
      <c r="N1419" t="s">
        <v>32</v>
      </c>
      <c r="O1419">
        <v>12</v>
      </c>
      <c r="P1419">
        <v>3</v>
      </c>
      <c r="Q1419">
        <v>2</v>
      </c>
      <c r="R1419">
        <v>28</v>
      </c>
      <c r="S1419">
        <v>2</v>
      </c>
      <c r="T1419">
        <v>22</v>
      </c>
      <c r="U1419">
        <v>11</v>
      </c>
      <c r="V1419">
        <v>13</v>
      </c>
      <c r="W1419" t="s">
        <v>65</v>
      </c>
      <c r="X1419" s="1" t="d">
        <v>1999-02-12</v>
      </c>
      <c r="Z1419" t="s">
        <v>59</v>
      </c>
      <c r="AA1419" t="s">
        <v>40</v>
      </c>
      <c r="AB1419">
        <v>4</v>
      </c>
      <c r="AC1419">
        <v>3</v>
      </c>
      <c r="AD1419" t="s">
        <v>41</v>
      </c>
      <c r="AE1419" t="s">
        <v>47</v>
      </c>
      <c r="AF1419" t="s">
        <v>43</v>
      </c>
      <c r="AG1419">
        <f>IF(HR_Data[[#This Row],[Attrition]]="Yes",1,0)</f>
        <v>0</v>
      </c>
      <c r="AH1419" t="str">
        <f>IF(HR_Data[Date_of_termination]="","Active","Left")</f>
        <v>Active</v>
      </c>
      <c r="AI1419" t="str">
        <f>IF(HR_Data[YearsAtCompany]&lt;=2,"Fresher", IF(HR_Data[YearsAtCompany]&lt;=5,"Junior", IF(HR_Data[YearsAtCompany]&lt;=10, "Mid","Senior")))</f>
        <v>Senior</v>
      </c>
      <c r="AJ1419" s="2" t="str">
        <f>IF(HR_Data[MonthlyIncome]&lt;=300,"Low", IF(HR_Data[MonthlyIncome]&lt;=7000,"Medium", "High"))</f>
        <v>High</v>
      </c>
      <c r="AK1419" s="2" t="str">
        <f>VLOOKUP(HR_Data[JobRole], JobRole_Map[], 2, FALSE)</f>
        <v>Sales</v>
      </c>
    </row>
    <row r="1420" spans="1:37" x14ac:dyDescent="0.25">
      <c r="A1420" s="2">
        <v>42</v>
      </c>
      <c r="B1420" t="s">
        <v>41</v>
      </c>
      <c r="C1420" t="s">
        <v>33</v>
      </c>
      <c r="D1420" t="s">
        <v>34</v>
      </c>
      <c r="E1420">
        <v>2</v>
      </c>
      <c r="F1420" t="s">
        <v>35</v>
      </c>
      <c r="G1420">
        <v>3</v>
      </c>
      <c r="H1420">
        <v>4</v>
      </c>
      <c r="I1420" t="s">
        <v>66</v>
      </c>
      <c r="J1420">
        <v>1</v>
      </c>
      <c r="K1420" t="s">
        <v>50</v>
      </c>
      <c r="L1420">
        <v>17665</v>
      </c>
      <c r="M1420">
        <v>0</v>
      </c>
      <c r="N1420" t="s">
        <v>41</v>
      </c>
      <c r="O1420">
        <v>17</v>
      </c>
      <c r="P1420">
        <v>3</v>
      </c>
      <c r="Q1420">
        <v>1</v>
      </c>
      <c r="R1420">
        <v>23</v>
      </c>
      <c r="S1420">
        <v>3</v>
      </c>
      <c r="T1420">
        <v>22</v>
      </c>
      <c r="U1420">
        <v>13</v>
      </c>
      <c r="V1420">
        <v>7</v>
      </c>
      <c r="W1420" t="s">
        <v>38</v>
      </c>
      <c r="X1420" s="1" t="d">
        <v>1999-02-11</v>
      </c>
      <c r="Z1420" t="s">
        <v>52</v>
      </c>
      <c r="AA1420" t="s">
        <v>40</v>
      </c>
      <c r="AB1420">
        <v>0</v>
      </c>
      <c r="AC1420">
        <v>0</v>
      </c>
      <c r="AD1420" t="s">
        <v>32</v>
      </c>
      <c r="AE1420" t="s">
        <v>62</v>
      </c>
      <c r="AF1420" t="s">
        <v>43</v>
      </c>
      <c r="AG1420">
        <f>IF(HR_Data[[#This Row],[Attrition]]="Yes",1,0)</f>
        <v>0</v>
      </c>
      <c r="AH1420" t="str">
        <f>IF(HR_Data[Date_of_termination]="","Active","Left")</f>
        <v>Active</v>
      </c>
      <c r="AI1420" t="str">
        <f>IF(HR_Data[YearsAtCompany]&lt;=2,"Fresher", IF(HR_Data[YearsAtCompany]&lt;=5,"Junior", IF(HR_Data[YearsAtCompany]&lt;=10, "Mid","Senior")))</f>
        <v>Senior</v>
      </c>
      <c r="AJ1420" s="2" t="str">
        <f>IF(HR_Data[MonthlyIncome]&lt;=300,"Low", IF(HR_Data[MonthlyIncome]&lt;=7000,"Medium", "High"))</f>
        <v>High</v>
      </c>
      <c r="AK1420" s="2" t="str">
        <f>VLOOKUP(HR_Data[JobRole], JobRole_Map[], 2, FALSE)</f>
        <v>Management</v>
      </c>
    </row>
    <row r="1421" spans="1:37" x14ac:dyDescent="0.25">
      <c r="A1421" s="2">
        <v>44</v>
      </c>
      <c r="B1421" t="s">
        <v>41</v>
      </c>
      <c r="C1421" t="s">
        <v>33</v>
      </c>
      <c r="D1421" t="s">
        <v>53</v>
      </c>
      <c r="E1421">
        <v>5</v>
      </c>
      <c r="F1421" t="s">
        <v>35</v>
      </c>
      <c r="G1421">
        <v>3</v>
      </c>
      <c r="H1421">
        <v>5</v>
      </c>
      <c r="I1421" t="s">
        <v>66</v>
      </c>
      <c r="J1421">
        <v>2</v>
      </c>
      <c r="K1421" t="s">
        <v>50</v>
      </c>
      <c r="L1421">
        <v>18213</v>
      </c>
      <c r="M1421">
        <v>7</v>
      </c>
      <c r="N1421" t="s">
        <v>41</v>
      </c>
      <c r="O1421">
        <v>11</v>
      </c>
      <c r="P1421">
        <v>3</v>
      </c>
      <c r="Q1421">
        <v>1</v>
      </c>
      <c r="R1421">
        <v>26</v>
      </c>
      <c r="S1421">
        <v>5</v>
      </c>
      <c r="T1421">
        <v>22</v>
      </c>
      <c r="U1421">
        <v>3</v>
      </c>
      <c r="V1421">
        <v>10</v>
      </c>
      <c r="W1421" t="s">
        <v>65</v>
      </c>
      <c r="X1421" s="1" t="d">
        <v>1999-05-19</v>
      </c>
      <c r="Z1421" t="s">
        <v>45</v>
      </c>
      <c r="AA1421" t="s">
        <v>40</v>
      </c>
      <c r="AB1421">
        <v>4</v>
      </c>
      <c r="AC1421">
        <v>0</v>
      </c>
      <c r="AD1421" t="s">
        <v>32</v>
      </c>
      <c r="AE1421" t="s">
        <v>60</v>
      </c>
      <c r="AF1421" t="s">
        <v>48</v>
      </c>
      <c r="AG1421">
        <f>IF(HR_Data[[#This Row],[Attrition]]="Yes",1,0)</f>
        <v>0</v>
      </c>
      <c r="AH1421" t="str">
        <f>IF(HR_Data[Date_of_termination]="","Active","Left")</f>
        <v>Active</v>
      </c>
      <c r="AI1421" t="str">
        <f>IF(HR_Data[YearsAtCompany]&lt;=2,"Fresher", IF(HR_Data[YearsAtCompany]&lt;=5,"Junior", IF(HR_Data[YearsAtCompany]&lt;=10, "Mid","Senior")))</f>
        <v>Senior</v>
      </c>
      <c r="AJ1421" s="2" t="str">
        <f>IF(HR_Data[MonthlyIncome]&lt;=300,"Low", IF(HR_Data[MonthlyIncome]&lt;=7000,"Medium", "High"))</f>
        <v>High</v>
      </c>
      <c r="AK1421" s="2" t="str">
        <f>VLOOKUP(HR_Data[JobRole], JobRole_Map[], 2, FALSE)</f>
        <v>Management</v>
      </c>
    </row>
    <row r="1422" spans="1:37" x14ac:dyDescent="0.25">
      <c r="A1422" s="2">
        <v>44</v>
      </c>
      <c r="B1422" t="s">
        <v>41</v>
      </c>
      <c r="C1422" t="s">
        <v>33</v>
      </c>
      <c r="D1422" t="s">
        <v>34</v>
      </c>
      <c r="E1422">
        <v>7</v>
      </c>
      <c r="F1422" t="s">
        <v>58</v>
      </c>
      <c r="G1422">
        <v>3</v>
      </c>
      <c r="H1422">
        <v>5</v>
      </c>
      <c r="I1422" t="s">
        <v>49</v>
      </c>
      <c r="J1422">
        <v>4</v>
      </c>
      <c r="K1422" t="s">
        <v>55</v>
      </c>
      <c r="L1422">
        <v>19049</v>
      </c>
      <c r="M1422">
        <v>0</v>
      </c>
      <c r="N1422" t="s">
        <v>32</v>
      </c>
      <c r="O1422">
        <v>14</v>
      </c>
      <c r="P1422">
        <v>3</v>
      </c>
      <c r="Q1422">
        <v>1</v>
      </c>
      <c r="R1422">
        <v>23</v>
      </c>
      <c r="S1422">
        <v>4</v>
      </c>
      <c r="T1422">
        <v>22</v>
      </c>
      <c r="U1422">
        <v>1</v>
      </c>
      <c r="V1422">
        <v>10</v>
      </c>
      <c r="W1422" t="s">
        <v>65</v>
      </c>
      <c r="X1422" s="1" t="d">
        <v>1999-05-06</v>
      </c>
      <c r="Z1422" t="s">
        <v>59</v>
      </c>
      <c r="AA1422" t="s">
        <v>40</v>
      </c>
      <c r="AB1422">
        <v>5</v>
      </c>
      <c r="AC1422">
        <v>2</v>
      </c>
      <c r="AD1422" t="s">
        <v>41</v>
      </c>
      <c r="AE1422" t="s">
        <v>42</v>
      </c>
      <c r="AF1422" t="s">
        <v>48</v>
      </c>
      <c r="AG1422">
        <f>IF(HR_Data[[#This Row],[Attrition]]="Yes",1,0)</f>
        <v>0</v>
      </c>
      <c r="AH1422" t="str">
        <f>IF(HR_Data[Date_of_termination]="","Active","Left")</f>
        <v>Active</v>
      </c>
      <c r="AI1422" t="str">
        <f>IF(HR_Data[YearsAtCompany]&lt;=2,"Fresher", IF(HR_Data[YearsAtCompany]&lt;=5,"Junior", IF(HR_Data[YearsAtCompany]&lt;=10, "Mid","Senior")))</f>
        <v>Senior</v>
      </c>
      <c r="AJ1422" s="2" t="str">
        <f>IF(HR_Data[MonthlyIncome]&lt;=300,"Low", IF(HR_Data[MonthlyIncome]&lt;=7000,"Medium", "High"))</f>
        <v>High</v>
      </c>
      <c r="AK1422" s="2" t="str">
        <f>VLOOKUP(HR_Data[JobRole], JobRole_Map[], 2, FALSE)</f>
        <v>Management</v>
      </c>
    </row>
    <row r="1423" spans="1:37" x14ac:dyDescent="0.25">
      <c r="A1423" s="2">
        <v>41</v>
      </c>
      <c r="B1423" t="s">
        <v>41</v>
      </c>
      <c r="C1423" t="s">
        <v>33</v>
      </c>
      <c r="D1423" t="s">
        <v>53</v>
      </c>
      <c r="E1423">
        <v>4</v>
      </c>
      <c r="F1423" t="s">
        <v>58</v>
      </c>
      <c r="G1423">
        <v>3</v>
      </c>
      <c r="H1423">
        <v>3</v>
      </c>
      <c r="I1423" t="s">
        <v>64</v>
      </c>
      <c r="J1423">
        <v>3</v>
      </c>
      <c r="K1423" t="s">
        <v>55</v>
      </c>
      <c r="L1423">
        <v>10447</v>
      </c>
      <c r="M1423">
        <v>0</v>
      </c>
      <c r="N1423" t="s">
        <v>32</v>
      </c>
      <c r="O1423">
        <v>13</v>
      </c>
      <c r="P1423">
        <v>3</v>
      </c>
      <c r="Q1423">
        <v>1</v>
      </c>
      <c r="R1423">
        <v>23</v>
      </c>
      <c r="S1423">
        <v>3</v>
      </c>
      <c r="T1423">
        <v>22</v>
      </c>
      <c r="U1423">
        <v>13</v>
      </c>
      <c r="V1423">
        <v>5</v>
      </c>
      <c r="W1423" t="s">
        <v>65</v>
      </c>
      <c r="X1423" s="1" t="d">
        <v>1999-04-03</v>
      </c>
      <c r="Z1423" t="s">
        <v>52</v>
      </c>
      <c r="AA1423" t="s">
        <v>46</v>
      </c>
      <c r="AB1423">
        <v>3</v>
      </c>
      <c r="AC1423">
        <v>2</v>
      </c>
      <c r="AD1423" t="s">
        <v>32</v>
      </c>
      <c r="AE1423" t="s">
        <v>42</v>
      </c>
      <c r="AF1423" t="s">
        <v>48</v>
      </c>
      <c r="AG1423">
        <f>IF(HR_Data[[#This Row],[Attrition]]="Yes",1,0)</f>
        <v>0</v>
      </c>
      <c r="AH1423" t="str">
        <f>IF(HR_Data[Date_of_termination]="","Active","Left")</f>
        <v>Active</v>
      </c>
      <c r="AI1423" t="str">
        <f>IF(HR_Data[YearsAtCompany]&lt;=2,"Fresher", IF(HR_Data[YearsAtCompany]&lt;=5,"Junior", IF(HR_Data[YearsAtCompany]&lt;=10, "Mid","Senior")))</f>
        <v>Senior</v>
      </c>
      <c r="AJ1423" s="2" t="str">
        <f>IF(HR_Data[MonthlyIncome]&lt;=300,"Low", IF(HR_Data[MonthlyIncome]&lt;=7000,"Medium", "High"))</f>
        <v>High</v>
      </c>
      <c r="AK1423" s="2" t="str">
        <f>VLOOKUP(HR_Data[JobRole], JobRole_Map[], 2, FALSE)</f>
        <v>Sales</v>
      </c>
    </row>
    <row r="1424" spans="1:37" x14ac:dyDescent="0.25">
      <c r="A1424" s="2">
        <v>47</v>
      </c>
      <c r="B1424" t="s">
        <v>41</v>
      </c>
      <c r="C1424" t="s">
        <v>33</v>
      </c>
      <c r="D1424" t="s">
        <v>34</v>
      </c>
      <c r="E1424">
        <v>4</v>
      </c>
      <c r="F1424" t="s">
        <v>58</v>
      </c>
      <c r="G1424">
        <v>2</v>
      </c>
      <c r="H1424">
        <v>3</v>
      </c>
      <c r="I1424" t="s">
        <v>67</v>
      </c>
      <c r="J1424">
        <v>2</v>
      </c>
      <c r="K1424" t="s">
        <v>55</v>
      </c>
      <c r="L1424">
        <v>10333</v>
      </c>
      <c r="M1424">
        <v>8</v>
      </c>
      <c r="N1424" t="s">
        <v>32</v>
      </c>
      <c r="O1424">
        <v>12</v>
      </c>
      <c r="P1424">
        <v>3</v>
      </c>
      <c r="Q1424">
        <v>1</v>
      </c>
      <c r="R1424">
        <v>28</v>
      </c>
      <c r="S1424">
        <v>4</v>
      </c>
      <c r="T1424">
        <v>22</v>
      </c>
      <c r="U1424">
        <v>14</v>
      </c>
      <c r="V1424">
        <v>10</v>
      </c>
      <c r="W1424" t="s">
        <v>38</v>
      </c>
      <c r="X1424" s="1" t="d">
        <v>1999-06-12</v>
      </c>
      <c r="Z1424" t="s">
        <v>59</v>
      </c>
      <c r="AA1424" t="s">
        <v>40</v>
      </c>
      <c r="AB1424">
        <v>3</v>
      </c>
      <c r="AC1424">
        <v>2</v>
      </c>
      <c r="AD1424" t="s">
        <v>41</v>
      </c>
      <c r="AE1424" t="s">
        <v>47</v>
      </c>
      <c r="AF1424" t="s">
        <v>43</v>
      </c>
      <c r="AG1424">
        <f>IF(HR_Data[[#This Row],[Attrition]]="Yes",1,0)</f>
        <v>0</v>
      </c>
      <c r="AH1424" t="str">
        <f>IF(HR_Data[Date_of_termination]="","Active","Left")</f>
        <v>Active</v>
      </c>
      <c r="AI1424" t="str">
        <f>IF(HR_Data[YearsAtCompany]&lt;=2,"Fresher", IF(HR_Data[YearsAtCompany]&lt;=5,"Junior", IF(HR_Data[YearsAtCompany]&lt;=10, "Mid","Senior")))</f>
        <v>Senior</v>
      </c>
      <c r="AJ1424" s="2" t="str">
        <f>IF(HR_Data[MonthlyIncome]&lt;=300,"Low", IF(HR_Data[MonthlyIncome]&lt;=7000,"Medium", "High"))</f>
        <v>High</v>
      </c>
      <c r="AK1424" s="2" t="str">
        <f>VLOOKUP(HR_Data[JobRole], JobRole_Map[], 2, FALSE)</f>
        <v>Operations</v>
      </c>
    </row>
    <row r="1425" spans="1:37" x14ac:dyDescent="0.25">
      <c r="A1425" s="2">
        <v>48</v>
      </c>
      <c r="B1425" t="s">
        <v>41</v>
      </c>
      <c r="C1425" t="s">
        <v>33</v>
      </c>
      <c r="D1425" t="s">
        <v>34</v>
      </c>
      <c r="E1425">
        <v>10</v>
      </c>
      <c r="F1425" t="s">
        <v>35</v>
      </c>
      <c r="G1425">
        <v>2</v>
      </c>
      <c r="H1425">
        <v>5</v>
      </c>
      <c r="I1425" t="s">
        <v>49</v>
      </c>
      <c r="J1425">
        <v>2</v>
      </c>
      <c r="K1425" t="s">
        <v>50</v>
      </c>
      <c r="L1425">
        <v>19665</v>
      </c>
      <c r="M1425">
        <v>4</v>
      </c>
      <c r="N1425" t="s">
        <v>41</v>
      </c>
      <c r="O1425">
        <v>12</v>
      </c>
      <c r="P1425">
        <v>3</v>
      </c>
      <c r="Q1425">
        <v>0</v>
      </c>
      <c r="R1425">
        <v>29</v>
      </c>
      <c r="S1425">
        <v>3</v>
      </c>
      <c r="T1425">
        <v>22</v>
      </c>
      <c r="U1425">
        <v>12</v>
      </c>
      <c r="V1425">
        <v>9</v>
      </c>
      <c r="W1425" t="s">
        <v>56</v>
      </c>
      <c r="X1425" s="1" t="d">
        <v>1999-01-20</v>
      </c>
      <c r="Z1425" t="s">
        <v>59</v>
      </c>
      <c r="AA1425" t="s">
        <v>40</v>
      </c>
      <c r="AB1425">
        <v>1</v>
      </c>
      <c r="AC1425">
        <v>1</v>
      </c>
      <c r="AD1425" t="s">
        <v>32</v>
      </c>
      <c r="AE1425" t="s">
        <v>42</v>
      </c>
      <c r="AF1425" t="s">
        <v>48</v>
      </c>
      <c r="AG1425">
        <f>IF(HR_Data[[#This Row],[Attrition]]="Yes",1,0)</f>
        <v>0</v>
      </c>
      <c r="AH1425" t="str">
        <f>IF(HR_Data[Date_of_termination]="","Active","Left")</f>
        <v>Active</v>
      </c>
      <c r="AI1425" t="str">
        <f>IF(HR_Data[YearsAtCompany]&lt;=2,"Fresher", IF(HR_Data[YearsAtCompany]&lt;=5,"Junior", IF(HR_Data[YearsAtCompany]&lt;=10, "Mid","Senior")))</f>
        <v>Senior</v>
      </c>
      <c r="AJ1425" s="2" t="str">
        <f>IF(HR_Data[MonthlyIncome]&lt;=300,"Low", IF(HR_Data[MonthlyIncome]&lt;=7000,"Medium", "High"))</f>
        <v>High</v>
      </c>
      <c r="AK1425" s="2" t="str">
        <f>VLOOKUP(HR_Data[JobRole], JobRole_Map[], 2, FALSE)</f>
        <v>Management</v>
      </c>
    </row>
    <row r="1426" spans="1:37" x14ac:dyDescent="0.25">
      <c r="A1426" s="2">
        <v>48</v>
      </c>
      <c r="B1426" t="s">
        <v>41</v>
      </c>
      <c r="C1426" t="s">
        <v>61</v>
      </c>
      <c r="D1426" t="s">
        <v>34</v>
      </c>
      <c r="E1426">
        <v>22</v>
      </c>
      <c r="F1426" t="s">
        <v>58</v>
      </c>
      <c r="G1426">
        <v>3</v>
      </c>
      <c r="H1426">
        <v>4</v>
      </c>
      <c r="I1426" t="s">
        <v>66</v>
      </c>
      <c r="J1426">
        <v>4</v>
      </c>
      <c r="K1426" t="s">
        <v>55</v>
      </c>
      <c r="L1426">
        <v>17174</v>
      </c>
      <c r="M1426">
        <v>3</v>
      </c>
      <c r="N1426" t="s">
        <v>41</v>
      </c>
      <c r="O1426">
        <v>11</v>
      </c>
      <c r="P1426">
        <v>3</v>
      </c>
      <c r="Q1426">
        <v>1</v>
      </c>
      <c r="R1426">
        <v>24</v>
      </c>
      <c r="S1426">
        <v>3</v>
      </c>
      <c r="T1426">
        <v>22</v>
      </c>
      <c r="U1426">
        <v>4</v>
      </c>
      <c r="V1426">
        <v>7</v>
      </c>
      <c r="W1426" t="s">
        <v>51</v>
      </c>
      <c r="X1426" s="1" t="d">
        <v>1999-05-04</v>
      </c>
      <c r="Z1426" t="s">
        <v>39</v>
      </c>
      <c r="AA1426" t="s">
        <v>40</v>
      </c>
      <c r="AB1426">
        <v>3</v>
      </c>
      <c r="AC1426">
        <v>3</v>
      </c>
      <c r="AD1426" t="s">
        <v>41</v>
      </c>
      <c r="AE1426" t="s">
        <v>42</v>
      </c>
      <c r="AF1426" t="s">
        <v>43</v>
      </c>
      <c r="AG1426">
        <f>IF(HR_Data[[#This Row],[Attrition]]="Yes",1,0)</f>
        <v>0</v>
      </c>
      <c r="AH1426" t="str">
        <f>IF(HR_Data[Date_of_termination]="","Active","Left")</f>
        <v>Active</v>
      </c>
      <c r="AI1426" t="str">
        <f>IF(HR_Data[YearsAtCompany]&lt;=2,"Fresher", IF(HR_Data[YearsAtCompany]&lt;=5,"Junior", IF(HR_Data[YearsAtCompany]&lt;=10, "Mid","Senior")))</f>
        <v>Senior</v>
      </c>
      <c r="AJ1426" s="2" t="str">
        <f>IF(HR_Data[MonthlyIncome]&lt;=300,"Low", IF(HR_Data[MonthlyIncome]&lt;=7000,"Medium", "High"))</f>
        <v>High</v>
      </c>
      <c r="AK1426" s="2" t="str">
        <f>VLOOKUP(HR_Data[JobRole], JobRole_Map[], 2, FALSE)</f>
        <v>Management</v>
      </c>
    </row>
    <row r="1427" spans="1:37" x14ac:dyDescent="0.25">
      <c r="A1427" s="2">
        <v>42</v>
      </c>
      <c r="B1427" t="s">
        <v>41</v>
      </c>
      <c r="C1427" t="s">
        <v>33</v>
      </c>
      <c r="D1427" t="s">
        <v>34</v>
      </c>
      <c r="E1427">
        <v>2</v>
      </c>
      <c r="F1427" t="s">
        <v>35</v>
      </c>
      <c r="G1427">
        <v>3</v>
      </c>
      <c r="H1427">
        <v>5</v>
      </c>
      <c r="I1427" t="s">
        <v>66</v>
      </c>
      <c r="J1427">
        <v>3</v>
      </c>
      <c r="K1427" t="s">
        <v>50</v>
      </c>
      <c r="L1427">
        <v>18880</v>
      </c>
      <c r="M1427">
        <v>5</v>
      </c>
      <c r="N1427" t="s">
        <v>41</v>
      </c>
      <c r="O1427">
        <v>11</v>
      </c>
      <c r="P1427">
        <v>3</v>
      </c>
      <c r="Q1427">
        <v>0</v>
      </c>
      <c r="R1427">
        <v>24</v>
      </c>
      <c r="S1427">
        <v>2</v>
      </c>
      <c r="T1427">
        <v>22</v>
      </c>
      <c r="U1427">
        <v>4</v>
      </c>
      <c r="V1427">
        <v>14</v>
      </c>
      <c r="W1427" t="s">
        <v>56</v>
      </c>
      <c r="X1427" s="1" t="d">
        <v>1999-04-17</v>
      </c>
      <c r="Z1427" t="s">
        <v>39</v>
      </c>
      <c r="AA1427" t="s">
        <v>46</v>
      </c>
      <c r="AB1427">
        <v>4</v>
      </c>
      <c r="AC1427">
        <v>3</v>
      </c>
      <c r="AD1427" t="s">
        <v>32</v>
      </c>
      <c r="AE1427" t="s">
        <v>62</v>
      </c>
      <c r="AF1427" t="s">
        <v>48</v>
      </c>
      <c r="AG1427">
        <f>IF(HR_Data[[#This Row],[Attrition]]="Yes",1,0)</f>
        <v>0</v>
      </c>
      <c r="AH1427" t="str">
        <f>IF(HR_Data[Date_of_termination]="","Active","Left")</f>
        <v>Active</v>
      </c>
      <c r="AI1427" t="str">
        <f>IF(HR_Data[YearsAtCompany]&lt;=2,"Fresher", IF(HR_Data[YearsAtCompany]&lt;=5,"Junior", IF(HR_Data[YearsAtCompany]&lt;=10, "Mid","Senior")))</f>
        <v>Senior</v>
      </c>
      <c r="AJ1427" s="2" t="str">
        <f>IF(HR_Data[MonthlyIncome]&lt;=300,"Low", IF(HR_Data[MonthlyIncome]&lt;=7000,"Medium", "High"))</f>
        <v>High</v>
      </c>
      <c r="AK1427" s="2" t="str">
        <f>VLOOKUP(HR_Data[JobRole], JobRole_Map[], 2, FALSE)</f>
        <v>Management</v>
      </c>
    </row>
    <row r="1428" spans="1:37" x14ac:dyDescent="0.25">
      <c r="A1428" s="2">
        <v>45</v>
      </c>
      <c r="B1428" t="s">
        <v>41</v>
      </c>
      <c r="C1428" t="s">
        <v>68</v>
      </c>
      <c r="D1428" t="s">
        <v>34</v>
      </c>
      <c r="E1428">
        <v>1</v>
      </c>
      <c r="F1428" t="s">
        <v>35</v>
      </c>
      <c r="G1428">
        <v>2</v>
      </c>
      <c r="H1428">
        <v>3</v>
      </c>
      <c r="I1428" t="s">
        <v>69</v>
      </c>
      <c r="J1428">
        <v>3</v>
      </c>
      <c r="K1428" t="s">
        <v>50</v>
      </c>
      <c r="L1428">
        <v>10748</v>
      </c>
      <c r="M1428">
        <v>3</v>
      </c>
      <c r="N1428" t="s">
        <v>41</v>
      </c>
      <c r="O1428">
        <v>23</v>
      </c>
      <c r="P1428">
        <v>4</v>
      </c>
      <c r="Q1428">
        <v>1</v>
      </c>
      <c r="R1428">
        <v>25</v>
      </c>
      <c r="S1428">
        <v>3</v>
      </c>
      <c r="T1428">
        <v>23</v>
      </c>
      <c r="U1428">
        <v>14</v>
      </c>
      <c r="V1428">
        <v>4</v>
      </c>
      <c r="W1428" t="s">
        <v>65</v>
      </c>
      <c r="X1428" s="1" t="d">
        <v>1998-03-23</v>
      </c>
      <c r="Z1428" t="s">
        <v>59</v>
      </c>
      <c r="AA1428" t="s">
        <v>40</v>
      </c>
      <c r="AB1428">
        <v>1</v>
      </c>
      <c r="AC1428">
        <v>3</v>
      </c>
      <c r="AD1428" t="s">
        <v>32</v>
      </c>
      <c r="AE1428" t="s">
        <v>62</v>
      </c>
      <c r="AF1428" t="s">
        <v>57</v>
      </c>
      <c r="AG1428">
        <f>IF(HR_Data[[#This Row],[Attrition]]="Yes",1,0)</f>
        <v>0</v>
      </c>
      <c r="AH1428" t="str">
        <f>IF(HR_Data[Date_of_termination]="","Active","Left")</f>
        <v>Active</v>
      </c>
      <c r="AI1428" t="str">
        <f>IF(HR_Data[YearsAtCompany]&lt;=2,"Fresher", IF(HR_Data[YearsAtCompany]&lt;=5,"Junior", IF(HR_Data[YearsAtCompany]&lt;=10, "Mid","Senior")))</f>
        <v>Senior</v>
      </c>
      <c r="AJ1428" s="2" t="str">
        <f>IF(HR_Data[MonthlyIncome]&lt;=300,"Low", IF(HR_Data[MonthlyIncome]&lt;=7000,"Medium", "High"))</f>
        <v>High</v>
      </c>
      <c r="AK1428" s="2" t="str">
        <f>VLOOKUP(HR_Data[JobRole], JobRole_Map[], 2, FALSE)</f>
        <v>Operations</v>
      </c>
    </row>
    <row r="1429" spans="1:37" x14ac:dyDescent="0.25">
      <c r="A1429" s="2">
        <v>47</v>
      </c>
      <c r="B1429" t="s">
        <v>32</v>
      </c>
      <c r="C1429" t="s">
        <v>61</v>
      </c>
      <c r="D1429" t="s">
        <v>53</v>
      </c>
      <c r="E1429">
        <v>9</v>
      </c>
      <c r="F1429" t="s">
        <v>35</v>
      </c>
      <c r="G1429">
        <v>1</v>
      </c>
      <c r="H1429">
        <v>4</v>
      </c>
      <c r="I1429" t="s">
        <v>64</v>
      </c>
      <c r="J1429">
        <v>3</v>
      </c>
      <c r="K1429" t="s">
        <v>50</v>
      </c>
      <c r="L1429">
        <v>12936</v>
      </c>
      <c r="M1429">
        <v>7</v>
      </c>
      <c r="N1429" t="s">
        <v>41</v>
      </c>
      <c r="O1429">
        <v>11</v>
      </c>
      <c r="P1429">
        <v>3</v>
      </c>
      <c r="Q1429">
        <v>0</v>
      </c>
      <c r="R1429">
        <v>25</v>
      </c>
      <c r="S1429">
        <v>3</v>
      </c>
      <c r="T1429">
        <v>23</v>
      </c>
      <c r="U1429">
        <v>14</v>
      </c>
      <c r="V1429">
        <v>10</v>
      </c>
      <c r="W1429" t="s">
        <v>56</v>
      </c>
      <c r="X1429" s="1" t="d">
        <v>1998-05-18</v>
      </c>
      <c r="Z1429" t="s">
        <v>39</v>
      </c>
      <c r="AA1429" t="s">
        <v>46</v>
      </c>
      <c r="AB1429">
        <v>1</v>
      </c>
      <c r="AC1429">
        <v>1</v>
      </c>
      <c r="AD1429" t="s">
        <v>41</v>
      </c>
      <c r="AE1429" t="s">
        <v>47</v>
      </c>
      <c r="AF1429" t="s">
        <v>43</v>
      </c>
      <c r="AG1429">
        <f>IF(HR_Data[[#This Row],[Attrition]]="Yes",1,0)</f>
        <v>1</v>
      </c>
      <c r="AH1429" t="str">
        <f>IF(HR_Data[Date_of_termination]="","Active","Left")</f>
        <v>Active</v>
      </c>
      <c r="AI1429" t="str">
        <f>IF(HR_Data[YearsAtCompany]&lt;=2,"Fresher", IF(HR_Data[YearsAtCompany]&lt;=5,"Junior", IF(HR_Data[YearsAtCompany]&lt;=10, "Mid","Senior")))</f>
        <v>Senior</v>
      </c>
      <c r="AJ1429" s="2" t="str">
        <f>IF(HR_Data[MonthlyIncome]&lt;=300,"Low", IF(HR_Data[MonthlyIncome]&lt;=7000,"Medium", "High"))</f>
        <v>High</v>
      </c>
      <c r="AK1429" s="2" t="str">
        <f>VLOOKUP(HR_Data[JobRole], JobRole_Map[], 2, FALSE)</f>
        <v>Sales</v>
      </c>
    </row>
    <row r="1430" spans="1:37" x14ac:dyDescent="0.25">
      <c r="A1430" s="2">
        <v>46</v>
      </c>
      <c r="B1430" t="s">
        <v>41</v>
      </c>
      <c r="C1430" t="s">
        <v>33</v>
      </c>
      <c r="D1430" t="s">
        <v>53</v>
      </c>
      <c r="E1430">
        <v>1</v>
      </c>
      <c r="F1430" t="s">
        <v>58</v>
      </c>
      <c r="G1430">
        <v>3</v>
      </c>
      <c r="H1430">
        <v>3</v>
      </c>
      <c r="I1430" t="s">
        <v>64</v>
      </c>
      <c r="J1430">
        <v>1</v>
      </c>
      <c r="K1430" t="s">
        <v>55</v>
      </c>
      <c r="L1430">
        <v>10453</v>
      </c>
      <c r="M1430">
        <v>1</v>
      </c>
      <c r="N1430" t="s">
        <v>41</v>
      </c>
      <c r="O1430">
        <v>25</v>
      </c>
      <c r="P1430">
        <v>4</v>
      </c>
      <c r="Q1430">
        <v>3</v>
      </c>
      <c r="R1430">
        <v>24</v>
      </c>
      <c r="S1430">
        <v>2</v>
      </c>
      <c r="T1430">
        <v>24</v>
      </c>
      <c r="U1430">
        <v>15</v>
      </c>
      <c r="V1430">
        <v>7</v>
      </c>
      <c r="W1430" t="s">
        <v>51</v>
      </c>
      <c r="X1430" s="1" t="d">
        <v>1997-05-23</v>
      </c>
      <c r="Z1430" t="s">
        <v>59</v>
      </c>
      <c r="AA1430" t="s">
        <v>46</v>
      </c>
      <c r="AB1430">
        <v>0</v>
      </c>
      <c r="AC1430">
        <v>2</v>
      </c>
      <c r="AD1430" t="s">
        <v>32</v>
      </c>
      <c r="AE1430" t="s">
        <v>62</v>
      </c>
      <c r="AF1430" t="s">
        <v>48</v>
      </c>
      <c r="AG1430">
        <f>IF(HR_Data[[#This Row],[Attrition]]="Yes",1,0)</f>
        <v>0</v>
      </c>
      <c r="AH1430" t="str">
        <f>IF(HR_Data[Date_of_termination]="","Active","Left")</f>
        <v>Active</v>
      </c>
      <c r="AI1430" t="str">
        <f>IF(HR_Data[YearsAtCompany]&lt;=2,"Fresher", IF(HR_Data[YearsAtCompany]&lt;=5,"Junior", IF(HR_Data[YearsAtCompany]&lt;=10, "Mid","Senior")))</f>
        <v>Senior</v>
      </c>
      <c r="AJ1430" s="2" t="str">
        <f>IF(HR_Data[MonthlyIncome]&lt;=300,"Low", IF(HR_Data[MonthlyIncome]&lt;=7000,"Medium", "High"))</f>
        <v>High</v>
      </c>
      <c r="AK1430" s="2" t="str">
        <f>VLOOKUP(HR_Data[JobRole], JobRole_Map[], 2, FALSE)</f>
        <v>Sales</v>
      </c>
    </row>
    <row r="1431" spans="1:37" x14ac:dyDescent="0.25">
      <c r="A1431" s="2">
        <v>55</v>
      </c>
      <c r="B1431" t="s">
        <v>41</v>
      </c>
      <c r="C1431" t="s">
        <v>33</v>
      </c>
      <c r="D1431" t="s">
        <v>34</v>
      </c>
      <c r="E1431">
        <v>14</v>
      </c>
      <c r="F1431" t="s">
        <v>35</v>
      </c>
      <c r="G1431">
        <v>4</v>
      </c>
      <c r="H1431">
        <v>5</v>
      </c>
      <c r="I1431" t="s">
        <v>49</v>
      </c>
      <c r="J1431">
        <v>2</v>
      </c>
      <c r="K1431" t="s">
        <v>37</v>
      </c>
      <c r="L1431">
        <v>18722</v>
      </c>
      <c r="M1431">
        <v>8</v>
      </c>
      <c r="N1431" t="s">
        <v>41</v>
      </c>
      <c r="O1431">
        <v>11</v>
      </c>
      <c r="P1431">
        <v>3</v>
      </c>
      <c r="Q1431">
        <v>0</v>
      </c>
      <c r="R1431">
        <v>36</v>
      </c>
      <c r="S1431">
        <v>3</v>
      </c>
      <c r="T1431">
        <v>24</v>
      </c>
      <c r="U1431">
        <v>2</v>
      </c>
      <c r="V1431">
        <v>15</v>
      </c>
      <c r="W1431" t="s">
        <v>56</v>
      </c>
      <c r="X1431" s="1" t="d">
        <v>1997-05-30</v>
      </c>
      <c r="Z1431" t="s">
        <v>63</v>
      </c>
      <c r="AA1431" t="s">
        <v>46</v>
      </c>
      <c r="AB1431">
        <v>0</v>
      </c>
      <c r="AC1431">
        <v>2</v>
      </c>
      <c r="AD1431" t="s">
        <v>32</v>
      </c>
      <c r="AE1431" t="s">
        <v>60</v>
      </c>
      <c r="AF1431" t="s">
        <v>43</v>
      </c>
      <c r="AG1431">
        <f>IF(HR_Data[[#This Row],[Attrition]]="Yes",1,0)</f>
        <v>0</v>
      </c>
      <c r="AH1431" t="str">
        <f>IF(HR_Data[Date_of_termination]="","Active","Left")</f>
        <v>Active</v>
      </c>
      <c r="AI1431" t="str">
        <f>IF(HR_Data[YearsAtCompany]&lt;=2,"Fresher", IF(HR_Data[YearsAtCompany]&lt;=5,"Junior", IF(HR_Data[YearsAtCompany]&lt;=10, "Mid","Senior")))</f>
        <v>Senior</v>
      </c>
      <c r="AJ1431" s="2" t="str">
        <f>IF(HR_Data[MonthlyIncome]&lt;=300,"Low", IF(HR_Data[MonthlyIncome]&lt;=7000,"Medium", "High"))</f>
        <v>High</v>
      </c>
      <c r="AK1431" s="2" t="str">
        <f>VLOOKUP(HR_Data[JobRole], JobRole_Map[], 2, FALSE)</f>
        <v>Management</v>
      </c>
    </row>
    <row r="1432" spans="1:37" x14ac:dyDescent="0.25">
      <c r="A1432" s="2">
        <v>45</v>
      </c>
      <c r="B1432" t="s">
        <v>41</v>
      </c>
      <c r="C1432" t="s">
        <v>33</v>
      </c>
      <c r="D1432" t="s">
        <v>34</v>
      </c>
      <c r="E1432">
        <v>1</v>
      </c>
      <c r="F1432" t="s">
        <v>35</v>
      </c>
      <c r="G1432">
        <v>4</v>
      </c>
      <c r="H1432">
        <v>5</v>
      </c>
      <c r="I1432" t="s">
        <v>66</v>
      </c>
      <c r="J1432">
        <v>4</v>
      </c>
      <c r="K1432" t="s">
        <v>50</v>
      </c>
      <c r="L1432">
        <v>19202</v>
      </c>
      <c r="M1432">
        <v>0</v>
      </c>
      <c r="N1432" t="s">
        <v>41</v>
      </c>
      <c r="O1432">
        <v>11</v>
      </c>
      <c r="P1432">
        <v>3</v>
      </c>
      <c r="Q1432">
        <v>1</v>
      </c>
      <c r="R1432">
        <v>25</v>
      </c>
      <c r="S1432">
        <v>2</v>
      </c>
      <c r="T1432">
        <v>24</v>
      </c>
      <c r="U1432">
        <v>1</v>
      </c>
      <c r="V1432">
        <v>7</v>
      </c>
      <c r="W1432" t="s">
        <v>51</v>
      </c>
      <c r="X1432" s="1" t="d">
        <v>1997-04-16</v>
      </c>
      <c r="Z1432" t="s">
        <v>59</v>
      </c>
      <c r="AA1432" t="s">
        <v>46</v>
      </c>
      <c r="AB1432">
        <v>3</v>
      </c>
      <c r="AC1432">
        <v>1</v>
      </c>
      <c r="AD1432" t="s">
        <v>32</v>
      </c>
      <c r="AE1432" t="s">
        <v>47</v>
      </c>
      <c r="AF1432" t="s">
        <v>43</v>
      </c>
      <c r="AG1432">
        <f>IF(HR_Data[[#This Row],[Attrition]]="Yes",1,0)</f>
        <v>0</v>
      </c>
      <c r="AH1432" t="str">
        <f>IF(HR_Data[Date_of_termination]="","Active","Left")</f>
        <v>Active</v>
      </c>
      <c r="AI1432" t="str">
        <f>IF(HR_Data[YearsAtCompany]&lt;=2,"Fresher", IF(HR_Data[YearsAtCompany]&lt;=5,"Junior", IF(HR_Data[YearsAtCompany]&lt;=10, "Mid","Senior")))</f>
        <v>Senior</v>
      </c>
      <c r="AJ1432" s="2" t="str">
        <f>IF(HR_Data[MonthlyIncome]&lt;=300,"Low", IF(HR_Data[MonthlyIncome]&lt;=7000,"Medium", "High"))</f>
        <v>High</v>
      </c>
      <c r="AK1432" s="2" t="str">
        <f>VLOOKUP(HR_Data[JobRole], JobRole_Map[], 2, FALSE)</f>
        <v>Management</v>
      </c>
    </row>
    <row r="1433" spans="1:37" x14ac:dyDescent="0.25">
      <c r="A1433" s="2">
        <v>45</v>
      </c>
      <c r="B1433" t="s">
        <v>41</v>
      </c>
      <c r="C1433" t="s">
        <v>61</v>
      </c>
      <c r="D1433" t="s">
        <v>34</v>
      </c>
      <c r="E1433">
        <v>7</v>
      </c>
      <c r="F1433" t="s">
        <v>35</v>
      </c>
      <c r="G1433">
        <v>3</v>
      </c>
      <c r="H1433">
        <v>3</v>
      </c>
      <c r="I1433" t="s">
        <v>36</v>
      </c>
      <c r="J1433">
        <v>1</v>
      </c>
      <c r="K1433" t="s">
        <v>55</v>
      </c>
      <c r="L1433">
        <v>5210</v>
      </c>
      <c r="M1433">
        <v>1</v>
      </c>
      <c r="N1433" t="s">
        <v>41</v>
      </c>
      <c r="O1433">
        <v>18</v>
      </c>
      <c r="P1433">
        <v>3</v>
      </c>
      <c r="Q1433">
        <v>1</v>
      </c>
      <c r="R1433">
        <v>24</v>
      </c>
      <c r="S1433">
        <v>2</v>
      </c>
      <c r="T1433">
        <v>24</v>
      </c>
      <c r="U1433">
        <v>9</v>
      </c>
      <c r="V1433">
        <v>11</v>
      </c>
      <c r="W1433" t="s">
        <v>65</v>
      </c>
      <c r="X1433" s="1" t="d">
        <v>1997-02-20</v>
      </c>
      <c r="Z1433" t="s">
        <v>52</v>
      </c>
      <c r="AA1433" t="s">
        <v>40</v>
      </c>
      <c r="AB1433">
        <v>5</v>
      </c>
      <c r="AC1433">
        <v>2</v>
      </c>
      <c r="AD1433" t="s">
        <v>41</v>
      </c>
      <c r="AE1433" t="s">
        <v>42</v>
      </c>
      <c r="AF1433" t="s">
        <v>48</v>
      </c>
      <c r="AG1433">
        <f>IF(HR_Data[[#This Row],[Attrition]]="Yes",1,0)</f>
        <v>0</v>
      </c>
      <c r="AH1433" t="str">
        <f>IF(HR_Data[Date_of_termination]="","Active","Left")</f>
        <v>Active</v>
      </c>
      <c r="AI1433" t="str">
        <f>IF(HR_Data[YearsAtCompany]&lt;=2,"Fresher", IF(HR_Data[YearsAtCompany]&lt;=5,"Junior", IF(HR_Data[YearsAtCompany]&lt;=10, "Mid","Senior")))</f>
        <v>Senior</v>
      </c>
      <c r="AJ1433" s="2" t="str">
        <f>IF(HR_Data[MonthlyIncome]&lt;=300,"Low", IF(HR_Data[MonthlyIncome]&lt;=7000,"Medium", "High"))</f>
        <v>Medium</v>
      </c>
      <c r="AK1433" s="2" t="str">
        <f>VLOOKUP(HR_Data[JobRole], JobRole_Map[], 2, FALSE)</f>
        <v>Technical</v>
      </c>
    </row>
    <row r="1434" spans="1:37" x14ac:dyDescent="0.25">
      <c r="A1434" s="2">
        <v>42</v>
      </c>
      <c r="B1434" t="s">
        <v>41</v>
      </c>
      <c r="C1434" t="s">
        <v>61</v>
      </c>
      <c r="D1434" t="s">
        <v>34</v>
      </c>
      <c r="E1434">
        <v>8</v>
      </c>
      <c r="F1434" t="s">
        <v>35</v>
      </c>
      <c r="G1434">
        <v>3</v>
      </c>
      <c r="H1434">
        <v>5</v>
      </c>
      <c r="I1434" t="s">
        <v>66</v>
      </c>
      <c r="J1434">
        <v>4</v>
      </c>
      <c r="K1434" t="s">
        <v>55</v>
      </c>
      <c r="L1434">
        <v>18430</v>
      </c>
      <c r="M1434">
        <v>1</v>
      </c>
      <c r="N1434" t="s">
        <v>41</v>
      </c>
      <c r="O1434">
        <v>13</v>
      </c>
      <c r="P1434">
        <v>3</v>
      </c>
      <c r="Q1434">
        <v>1</v>
      </c>
      <c r="R1434">
        <v>24</v>
      </c>
      <c r="S1434">
        <v>4</v>
      </c>
      <c r="T1434">
        <v>24</v>
      </c>
      <c r="U1434">
        <v>14</v>
      </c>
      <c r="V1434">
        <v>9</v>
      </c>
      <c r="W1434" t="s">
        <v>38</v>
      </c>
      <c r="X1434" s="1" t="d">
        <v>1997-03-30</v>
      </c>
      <c r="Z1434" t="s">
        <v>59</v>
      </c>
      <c r="AA1434" t="s">
        <v>40</v>
      </c>
      <c r="AB1434">
        <v>1</v>
      </c>
      <c r="AC1434">
        <v>3</v>
      </c>
      <c r="AD1434" t="s">
        <v>32</v>
      </c>
      <c r="AE1434" t="s">
        <v>60</v>
      </c>
      <c r="AF1434" t="s">
        <v>43</v>
      </c>
      <c r="AG1434">
        <f>IF(HR_Data[[#This Row],[Attrition]]="Yes",1,0)</f>
        <v>0</v>
      </c>
      <c r="AH1434" t="str">
        <f>IF(HR_Data[Date_of_termination]="","Active","Left")</f>
        <v>Active</v>
      </c>
      <c r="AI1434" t="str">
        <f>IF(HR_Data[YearsAtCompany]&lt;=2,"Fresher", IF(HR_Data[YearsAtCompany]&lt;=5,"Junior", IF(HR_Data[YearsAtCompany]&lt;=10, "Mid","Senior")))</f>
        <v>Senior</v>
      </c>
      <c r="AJ1434" s="2" t="str">
        <f>IF(HR_Data[MonthlyIncome]&lt;=300,"Low", IF(HR_Data[MonthlyIncome]&lt;=7000,"Medium", "High"))</f>
        <v>High</v>
      </c>
      <c r="AK1434" s="2" t="str">
        <f>VLOOKUP(HR_Data[JobRole], JobRole_Map[], 2, FALSE)</f>
        <v>Management</v>
      </c>
    </row>
    <row r="1435" spans="1:37" x14ac:dyDescent="0.25">
      <c r="A1435" s="2">
        <v>45</v>
      </c>
      <c r="B1435" t="s">
        <v>32</v>
      </c>
      <c r="C1435" t="s">
        <v>33</v>
      </c>
      <c r="D1435" t="s">
        <v>53</v>
      </c>
      <c r="E1435">
        <v>2</v>
      </c>
      <c r="F1435" t="s">
        <v>58</v>
      </c>
      <c r="G1435">
        <v>1</v>
      </c>
      <c r="H1435">
        <v>5</v>
      </c>
      <c r="I1435" t="s">
        <v>66</v>
      </c>
      <c r="J1435">
        <v>2</v>
      </c>
      <c r="K1435" t="s">
        <v>37</v>
      </c>
      <c r="L1435">
        <v>18824</v>
      </c>
      <c r="M1435">
        <v>2</v>
      </c>
      <c r="N1435" t="s">
        <v>32</v>
      </c>
      <c r="O1435">
        <v>16</v>
      </c>
      <c r="P1435">
        <v>3</v>
      </c>
      <c r="Q1435">
        <v>0</v>
      </c>
      <c r="R1435">
        <v>26</v>
      </c>
      <c r="S1435">
        <v>2</v>
      </c>
      <c r="T1435">
        <v>24</v>
      </c>
      <c r="U1435">
        <v>1</v>
      </c>
      <c r="V1435">
        <v>11</v>
      </c>
      <c r="W1435" t="s">
        <v>65</v>
      </c>
      <c r="X1435" s="1" t="d">
        <v>1997-05-13</v>
      </c>
      <c r="Z1435" t="s">
        <v>59</v>
      </c>
      <c r="AA1435" t="s">
        <v>40</v>
      </c>
      <c r="AB1435">
        <v>2</v>
      </c>
      <c r="AC1435">
        <v>3</v>
      </c>
      <c r="AD1435" t="s">
        <v>32</v>
      </c>
      <c r="AE1435" t="s">
        <v>60</v>
      </c>
      <c r="AF1435" t="s">
        <v>43</v>
      </c>
      <c r="AG1435">
        <f>IF(HR_Data[[#This Row],[Attrition]]="Yes",1,0)</f>
        <v>1</v>
      </c>
      <c r="AH1435" t="str">
        <f>IF(HR_Data[Date_of_termination]="","Active","Left")</f>
        <v>Active</v>
      </c>
      <c r="AI1435" t="str">
        <f>IF(HR_Data[YearsAtCompany]&lt;=2,"Fresher", IF(HR_Data[YearsAtCompany]&lt;=5,"Junior", IF(HR_Data[YearsAtCompany]&lt;=10, "Mid","Senior")))</f>
        <v>Senior</v>
      </c>
      <c r="AJ1435" s="2" t="str">
        <f>IF(HR_Data[MonthlyIncome]&lt;=300,"Low", IF(HR_Data[MonthlyIncome]&lt;=7000,"Medium", "High"))</f>
        <v>High</v>
      </c>
      <c r="AK1435" s="2" t="str">
        <f>VLOOKUP(HR_Data[JobRole], JobRole_Map[], 2, FALSE)</f>
        <v>Management</v>
      </c>
    </row>
    <row r="1436" spans="1:37" x14ac:dyDescent="0.25">
      <c r="A1436" s="2">
        <v>53</v>
      </c>
      <c r="B1436" t="s">
        <v>41</v>
      </c>
      <c r="C1436" t="s">
        <v>33</v>
      </c>
      <c r="D1436" t="s">
        <v>53</v>
      </c>
      <c r="E1436">
        <v>2</v>
      </c>
      <c r="F1436" t="s">
        <v>58</v>
      </c>
      <c r="G1436">
        <v>2</v>
      </c>
      <c r="H1436">
        <v>4</v>
      </c>
      <c r="I1436" t="s">
        <v>66</v>
      </c>
      <c r="J1436">
        <v>4</v>
      </c>
      <c r="K1436" t="s">
        <v>50</v>
      </c>
      <c r="L1436">
        <v>15427</v>
      </c>
      <c r="M1436">
        <v>2</v>
      </c>
      <c r="N1436" t="s">
        <v>41</v>
      </c>
      <c r="O1436">
        <v>16</v>
      </c>
      <c r="P1436">
        <v>3</v>
      </c>
      <c r="Q1436">
        <v>0</v>
      </c>
      <c r="R1436">
        <v>31</v>
      </c>
      <c r="S1436">
        <v>3</v>
      </c>
      <c r="T1436">
        <v>25</v>
      </c>
      <c r="U1436">
        <v>3</v>
      </c>
      <c r="V1436">
        <v>7</v>
      </c>
      <c r="W1436" t="s">
        <v>38</v>
      </c>
      <c r="X1436" s="1" t="d">
        <v>1996-02-12</v>
      </c>
      <c r="Z1436" t="s">
        <v>59</v>
      </c>
      <c r="AA1436" t="s">
        <v>46</v>
      </c>
      <c r="AB1436">
        <v>5</v>
      </c>
      <c r="AC1436">
        <v>3</v>
      </c>
      <c r="AD1436" t="s">
        <v>32</v>
      </c>
      <c r="AE1436" t="s">
        <v>42</v>
      </c>
      <c r="AF1436" t="s">
        <v>57</v>
      </c>
      <c r="AG1436">
        <f>IF(HR_Data[[#This Row],[Attrition]]="Yes",1,0)</f>
        <v>0</v>
      </c>
      <c r="AH1436" t="str">
        <f>IF(HR_Data[Date_of_termination]="","Active","Left")</f>
        <v>Active</v>
      </c>
      <c r="AI1436" t="str">
        <f>IF(HR_Data[YearsAtCompany]&lt;=2,"Fresher", IF(HR_Data[YearsAtCompany]&lt;=5,"Junior", IF(HR_Data[YearsAtCompany]&lt;=10, "Mid","Senior")))</f>
        <v>Senior</v>
      </c>
      <c r="AJ1436" s="2" t="str">
        <f>IF(HR_Data[MonthlyIncome]&lt;=300,"Low", IF(HR_Data[MonthlyIncome]&lt;=7000,"Medium", "High"))</f>
        <v>High</v>
      </c>
      <c r="AK1436" s="2" t="str">
        <f>VLOOKUP(HR_Data[JobRole], JobRole_Map[], 2, FALSE)</f>
        <v>Management</v>
      </c>
    </row>
    <row r="1437" spans="1:37" x14ac:dyDescent="0.25">
      <c r="A1437" s="2">
        <v>43</v>
      </c>
      <c r="B1437" t="s">
        <v>41</v>
      </c>
      <c r="C1437" t="s">
        <v>61</v>
      </c>
      <c r="D1437" t="s">
        <v>53</v>
      </c>
      <c r="E1437">
        <v>26</v>
      </c>
      <c r="F1437" t="s">
        <v>35</v>
      </c>
      <c r="G1437">
        <v>3</v>
      </c>
      <c r="H1437">
        <v>4</v>
      </c>
      <c r="I1437" t="s">
        <v>66</v>
      </c>
      <c r="J1437">
        <v>4</v>
      </c>
      <c r="K1437" t="s">
        <v>50</v>
      </c>
      <c r="L1437">
        <v>16959</v>
      </c>
      <c r="M1437">
        <v>1</v>
      </c>
      <c r="N1437" t="s">
        <v>32</v>
      </c>
      <c r="O1437">
        <v>12</v>
      </c>
      <c r="P1437">
        <v>3</v>
      </c>
      <c r="Q1437">
        <v>2</v>
      </c>
      <c r="R1437">
        <v>25</v>
      </c>
      <c r="S1437">
        <v>3</v>
      </c>
      <c r="T1437">
        <v>25</v>
      </c>
      <c r="U1437">
        <v>4</v>
      </c>
      <c r="V1437">
        <v>12</v>
      </c>
      <c r="W1437" t="s">
        <v>38</v>
      </c>
      <c r="X1437" s="1" t="d">
        <v>1996-05-03</v>
      </c>
      <c r="Z1437" t="s">
        <v>59</v>
      </c>
      <c r="AA1437" t="s">
        <v>40</v>
      </c>
      <c r="AB1437">
        <v>2</v>
      </c>
      <c r="AC1437">
        <v>1</v>
      </c>
      <c r="AD1437" t="s">
        <v>32</v>
      </c>
      <c r="AE1437" t="s">
        <v>62</v>
      </c>
      <c r="AF1437" t="s">
        <v>43</v>
      </c>
      <c r="AG1437">
        <f>IF(HR_Data[[#This Row],[Attrition]]="Yes",1,0)</f>
        <v>0</v>
      </c>
      <c r="AH1437" t="str">
        <f>IF(HR_Data[Date_of_termination]="","Active","Left")</f>
        <v>Active</v>
      </c>
      <c r="AI1437" t="str">
        <f>IF(HR_Data[YearsAtCompany]&lt;=2,"Fresher", IF(HR_Data[YearsAtCompany]&lt;=5,"Junior", IF(HR_Data[YearsAtCompany]&lt;=10, "Mid","Senior")))</f>
        <v>Senior</v>
      </c>
      <c r="AJ1437" s="2" t="str">
        <f>IF(HR_Data[MonthlyIncome]&lt;=300,"Low", IF(HR_Data[MonthlyIncome]&lt;=7000,"Medium", "High"))</f>
        <v>High</v>
      </c>
      <c r="AK1437" s="2" t="str">
        <f>VLOOKUP(HR_Data[JobRole], JobRole_Map[], 2, FALSE)</f>
        <v>Management</v>
      </c>
    </row>
    <row r="1438" spans="1:37" x14ac:dyDescent="0.25">
      <c r="A1438" s="2">
        <v>43</v>
      </c>
      <c r="B1438" t="s">
        <v>41</v>
      </c>
      <c r="C1438" t="s">
        <v>33</v>
      </c>
      <c r="D1438" t="s">
        <v>34</v>
      </c>
      <c r="E1438">
        <v>12</v>
      </c>
      <c r="F1438" t="s">
        <v>35</v>
      </c>
      <c r="G1438">
        <v>2</v>
      </c>
      <c r="H1438">
        <v>4</v>
      </c>
      <c r="I1438" t="s">
        <v>49</v>
      </c>
      <c r="J1438">
        <v>2</v>
      </c>
      <c r="K1438" t="s">
        <v>55</v>
      </c>
      <c r="L1438">
        <v>14336</v>
      </c>
      <c r="M1438">
        <v>1</v>
      </c>
      <c r="N1438" t="s">
        <v>41</v>
      </c>
      <c r="O1438">
        <v>11</v>
      </c>
      <c r="P1438">
        <v>3</v>
      </c>
      <c r="Q1438">
        <v>1</v>
      </c>
      <c r="R1438">
        <v>25</v>
      </c>
      <c r="S1438">
        <v>3</v>
      </c>
      <c r="T1438">
        <v>25</v>
      </c>
      <c r="U1438">
        <v>3</v>
      </c>
      <c r="V1438">
        <v>9</v>
      </c>
      <c r="W1438" t="s">
        <v>51</v>
      </c>
      <c r="X1438" s="1" t="d">
        <v>1969-06-19</v>
      </c>
      <c r="Z1438" t="s">
        <v>59</v>
      </c>
      <c r="AA1438" t="s">
        <v>40</v>
      </c>
      <c r="AB1438">
        <v>2</v>
      </c>
      <c r="AC1438">
        <v>1</v>
      </c>
      <c r="AD1438" t="s">
        <v>32</v>
      </c>
      <c r="AE1438" t="s">
        <v>60</v>
      </c>
      <c r="AF1438" t="s">
        <v>48</v>
      </c>
      <c r="AG1438">
        <f>IF(HR_Data[[#This Row],[Attrition]]="Yes",1,0)</f>
        <v>0</v>
      </c>
      <c r="AH1438" t="str">
        <f>IF(HR_Data[Date_of_termination]="","Active","Left")</f>
        <v>Active</v>
      </c>
      <c r="AI1438" t="str">
        <f>IF(HR_Data[YearsAtCompany]&lt;=2,"Fresher", IF(HR_Data[YearsAtCompany]&lt;=5,"Junior", IF(HR_Data[YearsAtCompany]&lt;=10, "Mid","Senior")))</f>
        <v>Senior</v>
      </c>
      <c r="AJ1438" s="2" t="str">
        <f>IF(HR_Data[MonthlyIncome]&lt;=300,"Low", IF(HR_Data[MonthlyIncome]&lt;=7000,"Medium", "High"))</f>
        <v>High</v>
      </c>
      <c r="AK1438" s="2" t="str">
        <f>VLOOKUP(HR_Data[JobRole], JobRole_Map[], 2, FALSE)</f>
        <v>Management</v>
      </c>
    </row>
    <row r="1439" spans="1:37" x14ac:dyDescent="0.25">
      <c r="A1439" s="2">
        <v>44</v>
      </c>
      <c r="B1439" t="s">
        <v>41</v>
      </c>
      <c r="C1439" t="s">
        <v>33</v>
      </c>
      <c r="D1439" t="s">
        <v>34</v>
      </c>
      <c r="E1439">
        <v>4</v>
      </c>
      <c r="F1439" t="s">
        <v>35</v>
      </c>
      <c r="G1439">
        <v>4</v>
      </c>
      <c r="H1439">
        <v>5</v>
      </c>
      <c r="I1439" t="s">
        <v>66</v>
      </c>
      <c r="J1439">
        <v>1</v>
      </c>
      <c r="K1439" t="s">
        <v>55</v>
      </c>
      <c r="L1439">
        <v>19190</v>
      </c>
      <c r="M1439">
        <v>1</v>
      </c>
      <c r="N1439" t="s">
        <v>41</v>
      </c>
      <c r="O1439">
        <v>14</v>
      </c>
      <c r="P1439">
        <v>3</v>
      </c>
      <c r="Q1439">
        <v>2</v>
      </c>
      <c r="R1439">
        <v>26</v>
      </c>
      <c r="S1439">
        <v>4</v>
      </c>
      <c r="T1439">
        <v>25</v>
      </c>
      <c r="U1439">
        <v>14</v>
      </c>
      <c r="V1439">
        <v>13</v>
      </c>
      <c r="W1439" t="s">
        <v>51</v>
      </c>
      <c r="X1439" s="1" t="d">
        <v>1996-04-02</v>
      </c>
      <c r="Z1439" t="s">
        <v>39</v>
      </c>
      <c r="AA1439" t="s">
        <v>46</v>
      </c>
      <c r="AB1439">
        <v>4</v>
      </c>
      <c r="AC1439">
        <v>1</v>
      </c>
      <c r="AD1439" t="s">
        <v>32</v>
      </c>
      <c r="AE1439" t="s">
        <v>60</v>
      </c>
      <c r="AF1439" t="s">
        <v>57</v>
      </c>
      <c r="AG1439">
        <f>IF(HR_Data[[#This Row],[Attrition]]="Yes",1,0)</f>
        <v>0</v>
      </c>
      <c r="AH1439" t="str">
        <f>IF(HR_Data[Date_of_termination]="","Active","Left")</f>
        <v>Active</v>
      </c>
      <c r="AI1439" t="str">
        <f>IF(HR_Data[YearsAtCompany]&lt;=2,"Fresher", IF(HR_Data[YearsAtCompany]&lt;=5,"Junior", IF(HR_Data[YearsAtCompany]&lt;=10, "Mid","Senior")))</f>
        <v>Senior</v>
      </c>
      <c r="AJ1439" s="2" t="str">
        <f>IF(HR_Data[MonthlyIncome]&lt;=300,"Low", IF(HR_Data[MonthlyIncome]&lt;=7000,"Medium", "High"))</f>
        <v>High</v>
      </c>
      <c r="AK1439" s="2" t="str">
        <f>VLOOKUP(HR_Data[JobRole], JobRole_Map[], 2, FALSE)</f>
        <v>Management</v>
      </c>
    </row>
    <row r="1440" spans="1:37" x14ac:dyDescent="0.25">
      <c r="A1440" s="2">
        <v>47</v>
      </c>
      <c r="B1440" t="s">
        <v>41</v>
      </c>
      <c r="C1440" t="s">
        <v>33</v>
      </c>
      <c r="D1440" t="s">
        <v>34</v>
      </c>
      <c r="E1440">
        <v>2</v>
      </c>
      <c r="F1440" t="s">
        <v>58</v>
      </c>
      <c r="G1440">
        <v>3</v>
      </c>
      <c r="H1440">
        <v>4</v>
      </c>
      <c r="I1440" t="s">
        <v>66</v>
      </c>
      <c r="J1440">
        <v>4</v>
      </c>
      <c r="K1440" t="s">
        <v>50</v>
      </c>
      <c r="L1440">
        <v>16752</v>
      </c>
      <c r="M1440">
        <v>1</v>
      </c>
      <c r="N1440" t="s">
        <v>32</v>
      </c>
      <c r="O1440">
        <v>11</v>
      </c>
      <c r="P1440">
        <v>3</v>
      </c>
      <c r="Q1440">
        <v>1</v>
      </c>
      <c r="R1440">
        <v>26</v>
      </c>
      <c r="S1440">
        <v>3</v>
      </c>
      <c r="T1440">
        <v>26</v>
      </c>
      <c r="U1440">
        <v>3</v>
      </c>
      <c r="V1440">
        <v>0</v>
      </c>
      <c r="W1440" t="s">
        <v>38</v>
      </c>
      <c r="X1440" s="1" t="d">
        <v>1995-04-13</v>
      </c>
      <c r="Z1440" t="s">
        <v>63</v>
      </c>
      <c r="AA1440" t="s">
        <v>46</v>
      </c>
      <c r="AB1440">
        <v>3</v>
      </c>
      <c r="AC1440">
        <v>0</v>
      </c>
      <c r="AD1440" t="s">
        <v>41</v>
      </c>
      <c r="AE1440" t="s">
        <v>47</v>
      </c>
      <c r="AF1440" t="s">
        <v>48</v>
      </c>
      <c r="AG1440">
        <f>IF(HR_Data[[#This Row],[Attrition]]="Yes",1,0)</f>
        <v>0</v>
      </c>
      <c r="AH1440" t="str">
        <f>IF(HR_Data[Date_of_termination]="","Active","Left")</f>
        <v>Active</v>
      </c>
      <c r="AI1440" t="str">
        <f>IF(HR_Data[YearsAtCompany]&lt;=2,"Fresher", IF(HR_Data[YearsAtCompany]&lt;=5,"Junior", IF(HR_Data[YearsAtCompany]&lt;=10, "Mid","Senior")))</f>
        <v>Senior</v>
      </c>
      <c r="AJ1440" s="2" t="str">
        <f>IF(HR_Data[MonthlyIncome]&lt;=300,"Low", IF(HR_Data[MonthlyIncome]&lt;=7000,"Medium", "High"))</f>
        <v>High</v>
      </c>
      <c r="AK1440" s="2" t="str">
        <f>VLOOKUP(HR_Data[JobRole], JobRole_Map[], 2, FALSE)</f>
        <v>Management</v>
      </c>
    </row>
    <row r="1441" spans="1:37" x14ac:dyDescent="0.25">
      <c r="A1441" s="2">
        <v>49</v>
      </c>
      <c r="B1441" t="s">
        <v>41</v>
      </c>
      <c r="C1441" t="s">
        <v>33</v>
      </c>
      <c r="D1441" t="s">
        <v>34</v>
      </c>
      <c r="E1441">
        <v>8</v>
      </c>
      <c r="F1441" t="s">
        <v>58</v>
      </c>
      <c r="G1441">
        <v>3</v>
      </c>
      <c r="H1441">
        <v>3</v>
      </c>
      <c r="I1441" t="s">
        <v>36</v>
      </c>
      <c r="J1441">
        <v>2</v>
      </c>
      <c r="K1441" t="s">
        <v>50</v>
      </c>
      <c r="L1441">
        <v>7403</v>
      </c>
      <c r="M1441">
        <v>4</v>
      </c>
      <c r="N1441" t="s">
        <v>41</v>
      </c>
      <c r="O1441">
        <v>11</v>
      </c>
      <c r="P1441">
        <v>3</v>
      </c>
      <c r="Q1441">
        <v>1</v>
      </c>
      <c r="R1441">
        <v>29</v>
      </c>
      <c r="S1441">
        <v>3</v>
      </c>
      <c r="T1441">
        <v>26</v>
      </c>
      <c r="U1441">
        <v>1</v>
      </c>
      <c r="V1441">
        <v>7</v>
      </c>
      <c r="W1441" t="s">
        <v>56</v>
      </c>
      <c r="X1441" s="1" t="d">
        <v>1995-02-27</v>
      </c>
      <c r="Z1441" t="s">
        <v>59</v>
      </c>
      <c r="AA1441" t="s">
        <v>46</v>
      </c>
      <c r="AB1441">
        <v>4</v>
      </c>
      <c r="AC1441">
        <v>0</v>
      </c>
      <c r="AD1441" t="s">
        <v>32</v>
      </c>
      <c r="AE1441" t="s">
        <v>42</v>
      </c>
      <c r="AF1441" t="s">
        <v>48</v>
      </c>
      <c r="AG1441">
        <f>IF(HR_Data[[#This Row],[Attrition]]="Yes",1,0)</f>
        <v>0</v>
      </c>
      <c r="AH1441" t="str">
        <f>IF(HR_Data[Date_of_termination]="","Active","Left")</f>
        <v>Active</v>
      </c>
      <c r="AI1441" t="str">
        <f>IF(HR_Data[YearsAtCompany]&lt;=2,"Fresher", IF(HR_Data[YearsAtCompany]&lt;=5,"Junior", IF(HR_Data[YearsAtCompany]&lt;=10, "Mid","Senior")))</f>
        <v>Senior</v>
      </c>
      <c r="AJ1441" s="2" t="str">
        <f>IF(HR_Data[MonthlyIncome]&lt;=300,"Low", IF(HR_Data[MonthlyIncome]&lt;=7000,"Medium", "High"))</f>
        <v>High</v>
      </c>
      <c r="AK1441" s="2" t="str">
        <f>VLOOKUP(HR_Data[JobRole], JobRole_Map[], 2, FALSE)</f>
        <v>Technical</v>
      </c>
    </row>
    <row r="1442" spans="1:37" x14ac:dyDescent="0.25">
      <c r="A1442" s="2">
        <v>46</v>
      </c>
      <c r="B1442" t="s">
        <v>41</v>
      </c>
      <c r="C1442" t="s">
        <v>33</v>
      </c>
      <c r="D1442" t="s">
        <v>53</v>
      </c>
      <c r="E1442">
        <v>2</v>
      </c>
      <c r="F1442" t="s">
        <v>58</v>
      </c>
      <c r="G1442">
        <v>3</v>
      </c>
      <c r="H1442">
        <v>4</v>
      </c>
      <c r="I1442" t="s">
        <v>66</v>
      </c>
      <c r="J1442">
        <v>1</v>
      </c>
      <c r="K1442" t="s">
        <v>50</v>
      </c>
      <c r="L1442">
        <v>17048</v>
      </c>
      <c r="M1442">
        <v>8</v>
      </c>
      <c r="N1442" t="s">
        <v>41</v>
      </c>
      <c r="O1442">
        <v>23</v>
      </c>
      <c r="P1442">
        <v>4</v>
      </c>
      <c r="Q1442">
        <v>0</v>
      </c>
      <c r="R1442">
        <v>28</v>
      </c>
      <c r="S1442">
        <v>2</v>
      </c>
      <c r="T1442">
        <v>26</v>
      </c>
      <c r="U1442">
        <v>15</v>
      </c>
      <c r="V1442">
        <v>9</v>
      </c>
      <c r="W1442" t="s">
        <v>56</v>
      </c>
      <c r="X1442" s="1" t="d">
        <v>1995-06-10</v>
      </c>
      <c r="Z1442" t="s">
        <v>45</v>
      </c>
      <c r="AA1442" t="s">
        <v>46</v>
      </c>
      <c r="AB1442">
        <v>4</v>
      </c>
      <c r="AC1442">
        <v>1</v>
      </c>
      <c r="AD1442" t="s">
        <v>32</v>
      </c>
      <c r="AE1442" t="s">
        <v>47</v>
      </c>
      <c r="AF1442" t="s">
        <v>57</v>
      </c>
      <c r="AG1442">
        <f>IF(HR_Data[[#This Row],[Attrition]]="Yes",1,0)</f>
        <v>0</v>
      </c>
      <c r="AH1442" t="str">
        <f>IF(HR_Data[Date_of_termination]="","Active","Left")</f>
        <v>Active</v>
      </c>
      <c r="AI1442" t="str">
        <f>IF(HR_Data[YearsAtCompany]&lt;=2,"Fresher", IF(HR_Data[YearsAtCompany]&lt;=5,"Junior", IF(HR_Data[YearsAtCompany]&lt;=10, "Mid","Senior")))</f>
        <v>Senior</v>
      </c>
      <c r="AJ1442" s="2" t="str">
        <f>IF(HR_Data[MonthlyIncome]&lt;=300,"Low", IF(HR_Data[MonthlyIncome]&lt;=7000,"Medium", "High"))</f>
        <v>High</v>
      </c>
      <c r="AK1442" s="2" t="str">
        <f>VLOOKUP(HR_Data[JobRole], JobRole_Map[], 2, FALSE)</f>
        <v>Management</v>
      </c>
    </row>
    <row r="1443" spans="1:37" x14ac:dyDescent="0.25">
      <c r="A1443" s="2">
        <v>46</v>
      </c>
      <c r="B1443" t="s">
        <v>41</v>
      </c>
      <c r="C1443" t="s">
        <v>33</v>
      </c>
      <c r="D1443" t="s">
        <v>53</v>
      </c>
      <c r="E1443">
        <v>1</v>
      </c>
      <c r="F1443" t="s">
        <v>35</v>
      </c>
      <c r="G1443">
        <v>4</v>
      </c>
      <c r="H1443">
        <v>4</v>
      </c>
      <c r="I1443" t="s">
        <v>66</v>
      </c>
      <c r="J1443">
        <v>1</v>
      </c>
      <c r="K1443" t="s">
        <v>37</v>
      </c>
      <c r="L1443">
        <v>17567</v>
      </c>
      <c r="M1443">
        <v>1</v>
      </c>
      <c r="N1443" t="s">
        <v>41</v>
      </c>
      <c r="O1443">
        <v>15</v>
      </c>
      <c r="P1443">
        <v>3</v>
      </c>
      <c r="Q1443">
        <v>0</v>
      </c>
      <c r="R1443">
        <v>27</v>
      </c>
      <c r="S1443">
        <v>5</v>
      </c>
      <c r="T1443">
        <v>26</v>
      </c>
      <c r="U1443">
        <v>0</v>
      </c>
      <c r="V1443">
        <v>12</v>
      </c>
      <c r="W1443" t="s">
        <v>51</v>
      </c>
      <c r="X1443" s="1" t="d">
        <v>1995-06-19</v>
      </c>
      <c r="Z1443" t="s">
        <v>39</v>
      </c>
      <c r="AA1443" t="s">
        <v>40</v>
      </c>
      <c r="AB1443">
        <v>3</v>
      </c>
      <c r="AC1443">
        <v>3</v>
      </c>
      <c r="AD1443" t="s">
        <v>32</v>
      </c>
      <c r="AE1443" t="s">
        <v>47</v>
      </c>
      <c r="AF1443" t="s">
        <v>57</v>
      </c>
      <c r="AG1443">
        <f>IF(HR_Data[[#This Row],[Attrition]]="Yes",1,0)</f>
        <v>0</v>
      </c>
      <c r="AH1443" t="str">
        <f>IF(HR_Data[Date_of_termination]="","Active","Left")</f>
        <v>Active</v>
      </c>
      <c r="AI1443" t="str">
        <f>IF(HR_Data[YearsAtCompany]&lt;=2,"Fresher", IF(HR_Data[YearsAtCompany]&lt;=5,"Junior", IF(HR_Data[YearsAtCompany]&lt;=10, "Mid","Senior")))</f>
        <v>Senior</v>
      </c>
      <c r="AJ1443" s="2" t="str">
        <f>IF(HR_Data[MonthlyIncome]&lt;=300,"Low", IF(HR_Data[MonthlyIncome]&lt;=7000,"Medium", "High"))</f>
        <v>High</v>
      </c>
      <c r="AK1443" s="2" t="str">
        <f>VLOOKUP(HR_Data[JobRole], JobRole_Map[], 2, FALSE)</f>
        <v>Management</v>
      </c>
    </row>
    <row r="1444" spans="1:37" x14ac:dyDescent="0.25">
      <c r="A1444" s="2">
        <v>50</v>
      </c>
      <c r="B1444" t="s">
        <v>41</v>
      </c>
      <c r="C1444" t="s">
        <v>33</v>
      </c>
      <c r="D1444" t="s">
        <v>34</v>
      </c>
      <c r="E1444">
        <v>7</v>
      </c>
      <c r="F1444" t="s">
        <v>58</v>
      </c>
      <c r="G1444">
        <v>2</v>
      </c>
      <c r="H1444">
        <v>5</v>
      </c>
      <c r="I1444" t="s">
        <v>49</v>
      </c>
      <c r="J1444">
        <v>3</v>
      </c>
      <c r="K1444" t="s">
        <v>55</v>
      </c>
      <c r="L1444">
        <v>18740</v>
      </c>
      <c r="M1444">
        <v>5</v>
      </c>
      <c r="N1444" t="s">
        <v>32</v>
      </c>
      <c r="O1444">
        <v>12</v>
      </c>
      <c r="P1444">
        <v>3</v>
      </c>
      <c r="Q1444">
        <v>1</v>
      </c>
      <c r="R1444">
        <v>29</v>
      </c>
      <c r="S1444">
        <v>2</v>
      </c>
      <c r="T1444">
        <v>27</v>
      </c>
      <c r="U1444">
        <v>13</v>
      </c>
      <c r="V1444">
        <v>8</v>
      </c>
      <c r="W1444" t="s">
        <v>65</v>
      </c>
      <c r="X1444" s="1" t="d">
        <v>1994-06-29</v>
      </c>
      <c r="Z1444" t="s">
        <v>39</v>
      </c>
      <c r="AA1444" t="s">
        <v>46</v>
      </c>
      <c r="AB1444">
        <v>2</v>
      </c>
      <c r="AC1444">
        <v>2</v>
      </c>
      <c r="AD1444" t="s">
        <v>32</v>
      </c>
      <c r="AE1444" t="s">
        <v>60</v>
      </c>
      <c r="AF1444" t="s">
        <v>48</v>
      </c>
      <c r="AG1444">
        <f>IF(HR_Data[[#This Row],[Attrition]]="Yes",1,0)</f>
        <v>0</v>
      </c>
      <c r="AH1444" t="str">
        <f>IF(HR_Data[Date_of_termination]="","Active","Left")</f>
        <v>Active</v>
      </c>
      <c r="AI1444" t="str">
        <f>IF(HR_Data[YearsAtCompany]&lt;=2,"Fresher", IF(HR_Data[YearsAtCompany]&lt;=5,"Junior", IF(HR_Data[YearsAtCompany]&lt;=10, "Mid","Senior")))</f>
        <v>Senior</v>
      </c>
      <c r="AJ1444" s="2" t="str">
        <f>IF(HR_Data[MonthlyIncome]&lt;=300,"Low", IF(HR_Data[MonthlyIncome]&lt;=7000,"Medium", "High"))</f>
        <v>High</v>
      </c>
      <c r="AK1444" s="2" t="str">
        <f>VLOOKUP(HR_Data[JobRole], JobRole_Map[], 2, FALSE)</f>
        <v>Management</v>
      </c>
    </row>
    <row r="1445" spans="1:37" x14ac:dyDescent="0.25">
      <c r="A1445" s="2">
        <v>50</v>
      </c>
      <c r="B1445" t="s">
        <v>41</v>
      </c>
      <c r="C1445" t="s">
        <v>33</v>
      </c>
      <c r="D1445" t="s">
        <v>34</v>
      </c>
      <c r="E1445">
        <v>29</v>
      </c>
      <c r="F1445" t="s">
        <v>35</v>
      </c>
      <c r="G1445">
        <v>2</v>
      </c>
      <c r="H1445">
        <v>4</v>
      </c>
      <c r="I1445" t="s">
        <v>66</v>
      </c>
      <c r="J1445">
        <v>3</v>
      </c>
      <c r="K1445" t="s">
        <v>50</v>
      </c>
      <c r="L1445">
        <v>17046</v>
      </c>
      <c r="M1445">
        <v>0</v>
      </c>
      <c r="N1445" t="s">
        <v>41</v>
      </c>
      <c r="O1445">
        <v>15</v>
      </c>
      <c r="P1445">
        <v>3</v>
      </c>
      <c r="Q1445">
        <v>1</v>
      </c>
      <c r="R1445">
        <v>28</v>
      </c>
      <c r="S1445">
        <v>2</v>
      </c>
      <c r="T1445">
        <v>27</v>
      </c>
      <c r="U1445">
        <v>15</v>
      </c>
      <c r="V1445">
        <v>7</v>
      </c>
      <c r="W1445" t="s">
        <v>51</v>
      </c>
      <c r="X1445" s="1" t="d">
        <v>1994-04-30</v>
      </c>
      <c r="Z1445" t="s">
        <v>39</v>
      </c>
      <c r="AA1445" t="s">
        <v>46</v>
      </c>
      <c r="AB1445">
        <v>4</v>
      </c>
      <c r="AC1445">
        <v>1</v>
      </c>
      <c r="AD1445" t="s">
        <v>32</v>
      </c>
      <c r="AE1445" t="s">
        <v>60</v>
      </c>
      <c r="AF1445" t="s">
        <v>48</v>
      </c>
      <c r="AG1445">
        <f>IF(HR_Data[[#This Row],[Attrition]]="Yes",1,0)</f>
        <v>0</v>
      </c>
      <c r="AH1445" t="str">
        <f>IF(HR_Data[Date_of_termination]="","Active","Left")</f>
        <v>Active</v>
      </c>
      <c r="AI1445" t="str">
        <f>IF(HR_Data[YearsAtCompany]&lt;=2,"Fresher", IF(HR_Data[YearsAtCompany]&lt;=5,"Junior", IF(HR_Data[YearsAtCompany]&lt;=10, "Mid","Senior")))</f>
        <v>Senior</v>
      </c>
      <c r="AJ1445" s="2" t="str">
        <f>IF(HR_Data[MonthlyIncome]&lt;=300,"Low", IF(HR_Data[MonthlyIncome]&lt;=7000,"Medium", "High"))</f>
        <v>High</v>
      </c>
      <c r="AK1445" s="2" t="str">
        <f>VLOOKUP(HR_Data[JobRole], JobRole_Map[], 2, FALSE)</f>
        <v>Management</v>
      </c>
    </row>
    <row r="1446" spans="1:37" x14ac:dyDescent="0.25">
      <c r="A1446" s="2">
        <v>60</v>
      </c>
      <c r="B1446" t="s">
        <v>41</v>
      </c>
      <c r="C1446" t="s">
        <v>33</v>
      </c>
      <c r="D1446" t="s">
        <v>34</v>
      </c>
      <c r="E1446">
        <v>7</v>
      </c>
      <c r="F1446" t="s">
        <v>58</v>
      </c>
      <c r="G1446">
        <v>3</v>
      </c>
      <c r="H1446">
        <v>5</v>
      </c>
      <c r="I1446" t="s">
        <v>66</v>
      </c>
      <c r="J1446">
        <v>1</v>
      </c>
      <c r="K1446" t="s">
        <v>50</v>
      </c>
      <c r="L1446">
        <v>19566</v>
      </c>
      <c r="M1446">
        <v>5</v>
      </c>
      <c r="N1446" t="s">
        <v>41</v>
      </c>
      <c r="O1446">
        <v>11</v>
      </c>
      <c r="P1446">
        <v>3</v>
      </c>
      <c r="Q1446">
        <v>0</v>
      </c>
      <c r="R1446">
        <v>33</v>
      </c>
      <c r="S1446">
        <v>5</v>
      </c>
      <c r="T1446">
        <v>29</v>
      </c>
      <c r="U1446">
        <v>11</v>
      </c>
      <c r="V1446">
        <v>10</v>
      </c>
      <c r="W1446" t="s">
        <v>38</v>
      </c>
      <c r="X1446" s="1" t="d">
        <v>1992-02-29</v>
      </c>
      <c r="Z1446" t="s">
        <v>63</v>
      </c>
      <c r="AA1446" t="s">
        <v>40</v>
      </c>
      <c r="AB1446">
        <v>2</v>
      </c>
      <c r="AC1446">
        <v>0</v>
      </c>
      <c r="AD1446" t="s">
        <v>41</v>
      </c>
      <c r="AE1446" t="s">
        <v>47</v>
      </c>
      <c r="AF1446" t="s">
        <v>57</v>
      </c>
      <c r="AG1446">
        <f>IF(HR_Data[[#This Row],[Attrition]]="Yes",1,0)</f>
        <v>0</v>
      </c>
      <c r="AH1446" t="str">
        <f>IF(HR_Data[Date_of_termination]="","Active","Left")</f>
        <v>Active</v>
      </c>
      <c r="AI1446" t="str">
        <f>IF(HR_Data[YearsAtCompany]&lt;=2,"Fresher", IF(HR_Data[YearsAtCompany]&lt;=5,"Junior", IF(HR_Data[YearsAtCompany]&lt;=10, "Mid","Senior")))</f>
        <v>Senior</v>
      </c>
      <c r="AJ1446" s="2" t="str">
        <f>IF(HR_Data[MonthlyIncome]&lt;=300,"Low", IF(HR_Data[MonthlyIncome]&lt;=7000,"Medium", "High"))</f>
        <v>High</v>
      </c>
      <c r="AK1446" s="2" t="str">
        <f>VLOOKUP(HR_Data[JobRole], JobRole_Map[], 2, FALSE)</f>
        <v>Management</v>
      </c>
    </row>
    <row r="1447" spans="1:37" x14ac:dyDescent="0.25">
      <c r="A1447" s="2">
        <v>51</v>
      </c>
      <c r="B1447" t="s">
        <v>41</v>
      </c>
      <c r="C1447" t="s">
        <v>61</v>
      </c>
      <c r="D1447" t="s">
        <v>53</v>
      </c>
      <c r="E1447">
        <v>9</v>
      </c>
      <c r="F1447" t="s">
        <v>35</v>
      </c>
      <c r="G1447">
        <v>3</v>
      </c>
      <c r="H1447">
        <v>5</v>
      </c>
      <c r="I1447" t="s">
        <v>66</v>
      </c>
      <c r="J1447">
        <v>2</v>
      </c>
      <c r="K1447" t="s">
        <v>55</v>
      </c>
      <c r="L1447">
        <v>19847</v>
      </c>
      <c r="M1447">
        <v>4</v>
      </c>
      <c r="N1447" t="s">
        <v>32</v>
      </c>
      <c r="O1447">
        <v>24</v>
      </c>
      <c r="P1447">
        <v>4</v>
      </c>
      <c r="Q1447">
        <v>1</v>
      </c>
      <c r="R1447">
        <v>31</v>
      </c>
      <c r="S1447">
        <v>5</v>
      </c>
      <c r="T1447">
        <v>29</v>
      </c>
      <c r="U1447">
        <v>11</v>
      </c>
      <c r="V1447">
        <v>10</v>
      </c>
      <c r="W1447" t="s">
        <v>51</v>
      </c>
      <c r="X1447" s="1" t="d">
        <v>1992-03-31</v>
      </c>
      <c r="Z1447" t="s">
        <v>52</v>
      </c>
      <c r="AA1447" t="s">
        <v>46</v>
      </c>
      <c r="AB1447">
        <v>0</v>
      </c>
      <c r="AC1447">
        <v>1</v>
      </c>
      <c r="AD1447" t="s">
        <v>41</v>
      </c>
      <c r="AE1447" t="s">
        <v>47</v>
      </c>
      <c r="AF1447" t="s">
        <v>43</v>
      </c>
      <c r="AG1447">
        <f>IF(HR_Data[[#This Row],[Attrition]]="Yes",1,0)</f>
        <v>0</v>
      </c>
      <c r="AH1447" t="str">
        <f>IF(HR_Data[Date_of_termination]="","Active","Left")</f>
        <v>Active</v>
      </c>
      <c r="AI1447" t="str">
        <f>IF(HR_Data[YearsAtCompany]&lt;=2,"Fresher", IF(HR_Data[YearsAtCompany]&lt;=5,"Junior", IF(HR_Data[YearsAtCompany]&lt;=10, "Mid","Senior")))</f>
        <v>Senior</v>
      </c>
      <c r="AJ1447" s="2" t="str">
        <f>IF(HR_Data[MonthlyIncome]&lt;=300,"Low", IF(HR_Data[MonthlyIncome]&lt;=7000,"Medium", "High"))</f>
        <v>High</v>
      </c>
      <c r="AK1447" s="2" t="str">
        <f>VLOOKUP(HR_Data[JobRole], JobRole_Map[], 2, FALSE)</f>
        <v>Management</v>
      </c>
    </row>
    <row r="1448" spans="1:37" x14ac:dyDescent="0.25">
      <c r="A1448" s="2">
        <v>50</v>
      </c>
      <c r="B1448" t="s">
        <v>41</v>
      </c>
      <c r="C1448" t="s">
        <v>61</v>
      </c>
      <c r="D1448" t="s">
        <v>34</v>
      </c>
      <c r="E1448">
        <v>20</v>
      </c>
      <c r="F1448" t="s">
        <v>35</v>
      </c>
      <c r="G1448">
        <v>3</v>
      </c>
      <c r="H1448">
        <v>4</v>
      </c>
      <c r="I1448" t="s">
        <v>69</v>
      </c>
      <c r="J1448">
        <v>3</v>
      </c>
      <c r="K1448" t="s">
        <v>50</v>
      </c>
      <c r="L1448">
        <v>11245</v>
      </c>
      <c r="M1448">
        <v>2</v>
      </c>
      <c r="N1448" t="s">
        <v>32</v>
      </c>
      <c r="O1448">
        <v>15</v>
      </c>
      <c r="P1448">
        <v>3</v>
      </c>
      <c r="Q1448">
        <v>1</v>
      </c>
      <c r="R1448">
        <v>32</v>
      </c>
      <c r="S1448">
        <v>3</v>
      </c>
      <c r="T1448">
        <v>30</v>
      </c>
      <c r="U1448">
        <v>12</v>
      </c>
      <c r="V1448">
        <v>13</v>
      </c>
      <c r="W1448" t="s">
        <v>51</v>
      </c>
      <c r="X1448" s="1" t="d">
        <v>1991-06-01</v>
      </c>
      <c r="Z1448" t="s">
        <v>59</v>
      </c>
      <c r="AA1448" t="s">
        <v>46</v>
      </c>
      <c r="AB1448">
        <v>1</v>
      </c>
      <c r="AC1448">
        <v>0</v>
      </c>
      <c r="AD1448" t="s">
        <v>32</v>
      </c>
      <c r="AE1448" t="s">
        <v>60</v>
      </c>
      <c r="AF1448" t="s">
        <v>57</v>
      </c>
      <c r="AG1448">
        <f>IF(HR_Data[[#This Row],[Attrition]]="Yes",1,0)</f>
        <v>0</v>
      </c>
      <c r="AH1448" t="str">
        <f>IF(HR_Data[Date_of_termination]="","Active","Left")</f>
        <v>Active</v>
      </c>
      <c r="AI1448" t="str">
        <f>IF(HR_Data[YearsAtCompany]&lt;=2,"Fresher", IF(HR_Data[YearsAtCompany]&lt;=5,"Junior", IF(HR_Data[YearsAtCompany]&lt;=10, "Mid","Senior")))</f>
        <v>Senior</v>
      </c>
      <c r="AJ1448" s="2" t="str">
        <f>IF(HR_Data[MonthlyIncome]&lt;=300,"Low", IF(HR_Data[MonthlyIncome]&lt;=7000,"Medium", "High"))</f>
        <v>High</v>
      </c>
      <c r="AK1448" s="2" t="str">
        <f>VLOOKUP(HR_Data[JobRole], JobRole_Map[], 2, FALSE)</f>
        <v>Operations</v>
      </c>
    </row>
    <row r="1449" spans="1:37" x14ac:dyDescent="0.25">
      <c r="A1449" s="2">
        <v>49</v>
      </c>
      <c r="B1449" t="s">
        <v>41</v>
      </c>
      <c r="C1449" t="s">
        <v>33</v>
      </c>
      <c r="D1449" t="s">
        <v>34</v>
      </c>
      <c r="E1449">
        <v>18</v>
      </c>
      <c r="F1449" t="s">
        <v>35</v>
      </c>
      <c r="G1449">
        <v>2</v>
      </c>
      <c r="H1449">
        <v>5</v>
      </c>
      <c r="I1449" t="s">
        <v>49</v>
      </c>
      <c r="J1449">
        <v>3</v>
      </c>
      <c r="K1449" t="s">
        <v>55</v>
      </c>
      <c r="L1449">
        <v>19502</v>
      </c>
      <c r="M1449">
        <v>1</v>
      </c>
      <c r="N1449" t="s">
        <v>32</v>
      </c>
      <c r="O1449">
        <v>17</v>
      </c>
      <c r="P1449">
        <v>3</v>
      </c>
      <c r="Q1449">
        <v>1</v>
      </c>
      <c r="R1449">
        <v>31</v>
      </c>
      <c r="S1449">
        <v>5</v>
      </c>
      <c r="T1449">
        <v>31</v>
      </c>
      <c r="U1449">
        <v>0</v>
      </c>
      <c r="V1449">
        <v>9</v>
      </c>
      <c r="W1449" t="s">
        <v>56</v>
      </c>
      <c r="X1449" s="1" t="d">
        <v>1990-05-13</v>
      </c>
      <c r="Z1449" t="s">
        <v>45</v>
      </c>
      <c r="AA1449" t="s">
        <v>40</v>
      </c>
      <c r="AB1449">
        <v>3</v>
      </c>
      <c r="AC1449">
        <v>3</v>
      </c>
      <c r="AD1449" t="s">
        <v>32</v>
      </c>
      <c r="AE1449" t="s">
        <v>60</v>
      </c>
      <c r="AF1449" t="s">
        <v>57</v>
      </c>
      <c r="AG1449">
        <f>IF(HR_Data[[#This Row],[Attrition]]="Yes",1,0)</f>
        <v>0</v>
      </c>
      <c r="AH1449" t="str">
        <f>IF(HR_Data[Date_of_termination]="","Active","Left")</f>
        <v>Active</v>
      </c>
      <c r="AI1449" t="str">
        <f>IF(HR_Data[YearsAtCompany]&lt;=2,"Fresher", IF(HR_Data[YearsAtCompany]&lt;=5,"Junior", IF(HR_Data[YearsAtCompany]&lt;=10, "Mid","Senior")))</f>
        <v>Senior</v>
      </c>
      <c r="AJ1449" s="2" t="str">
        <f>IF(HR_Data[MonthlyIncome]&lt;=300,"Low", IF(HR_Data[MonthlyIncome]&lt;=7000,"Medium", "High"))</f>
        <v>High</v>
      </c>
      <c r="AK1449" s="2" t="str">
        <f>VLOOKUP(HR_Data[JobRole], JobRole_Map[], 2, FALSE)</f>
        <v>Management</v>
      </c>
    </row>
    <row r="1450" spans="1:37" x14ac:dyDescent="0.25">
      <c r="A1450" s="2">
        <v>58</v>
      </c>
      <c r="B1450" t="s">
        <v>32</v>
      </c>
      <c r="C1450" t="s">
        <v>33</v>
      </c>
      <c r="D1450" t="s">
        <v>34</v>
      </c>
      <c r="E1450">
        <v>2</v>
      </c>
      <c r="F1450" t="s">
        <v>35</v>
      </c>
      <c r="G1450">
        <v>3</v>
      </c>
      <c r="H1450">
        <v>5</v>
      </c>
      <c r="I1450" t="s">
        <v>49</v>
      </c>
      <c r="J1450">
        <v>2</v>
      </c>
      <c r="K1450" t="s">
        <v>37</v>
      </c>
      <c r="L1450">
        <v>19246</v>
      </c>
      <c r="M1450">
        <v>7</v>
      </c>
      <c r="N1450" t="s">
        <v>32</v>
      </c>
      <c r="O1450">
        <v>12</v>
      </c>
      <c r="P1450">
        <v>3</v>
      </c>
      <c r="Q1450">
        <v>0</v>
      </c>
      <c r="R1450">
        <v>40</v>
      </c>
      <c r="S1450">
        <v>2</v>
      </c>
      <c r="T1450">
        <v>31</v>
      </c>
      <c r="U1450">
        <v>13</v>
      </c>
      <c r="V1450">
        <v>8</v>
      </c>
      <c r="W1450" t="s">
        <v>51</v>
      </c>
      <c r="X1450" s="1" t="d">
        <v>1990-04-13</v>
      </c>
      <c r="Z1450" t="s">
        <v>63</v>
      </c>
      <c r="AA1450" t="s">
        <v>46</v>
      </c>
      <c r="AB1450">
        <v>3</v>
      </c>
      <c r="AC1450">
        <v>1</v>
      </c>
      <c r="AD1450" t="s">
        <v>41</v>
      </c>
      <c r="AE1450" t="s">
        <v>47</v>
      </c>
      <c r="AF1450" t="s">
        <v>57</v>
      </c>
      <c r="AG1450">
        <f>IF(HR_Data[[#This Row],[Attrition]]="Yes",1,0)</f>
        <v>1</v>
      </c>
      <c r="AH1450" t="str">
        <f>IF(HR_Data[Date_of_termination]="","Active","Left")</f>
        <v>Active</v>
      </c>
      <c r="AI1450" t="str">
        <f>IF(HR_Data[YearsAtCompany]&lt;=2,"Fresher", IF(HR_Data[YearsAtCompany]&lt;=5,"Junior", IF(HR_Data[YearsAtCompany]&lt;=10, "Mid","Senior")))</f>
        <v>Senior</v>
      </c>
      <c r="AJ1450" s="2" t="str">
        <f>IF(HR_Data[MonthlyIncome]&lt;=300,"Low", IF(HR_Data[MonthlyIncome]&lt;=7000,"Medium", "High"))</f>
        <v>High</v>
      </c>
      <c r="AK1450" s="2" t="str">
        <f>VLOOKUP(HR_Data[JobRole], JobRole_Map[], 2, FALSE)</f>
        <v>Management</v>
      </c>
    </row>
    <row r="1451" spans="1:37" x14ac:dyDescent="0.25">
      <c r="A1451" s="2">
        <v>50</v>
      </c>
      <c r="B1451" t="s">
        <v>41</v>
      </c>
      <c r="C1451" t="s">
        <v>68</v>
      </c>
      <c r="D1451" t="s">
        <v>34</v>
      </c>
      <c r="E1451">
        <v>2</v>
      </c>
      <c r="F1451" t="s">
        <v>35</v>
      </c>
      <c r="G1451">
        <v>3</v>
      </c>
      <c r="H1451">
        <v>4</v>
      </c>
      <c r="I1451" t="s">
        <v>66</v>
      </c>
      <c r="J1451">
        <v>1</v>
      </c>
      <c r="K1451" t="s">
        <v>55</v>
      </c>
      <c r="L1451">
        <v>17924</v>
      </c>
      <c r="M1451">
        <v>1</v>
      </c>
      <c r="N1451" t="s">
        <v>41</v>
      </c>
      <c r="O1451">
        <v>11</v>
      </c>
      <c r="P1451">
        <v>3</v>
      </c>
      <c r="Q1451">
        <v>1</v>
      </c>
      <c r="R1451">
        <v>31</v>
      </c>
      <c r="S1451">
        <v>3</v>
      </c>
      <c r="T1451">
        <v>31</v>
      </c>
      <c r="U1451">
        <v>14</v>
      </c>
      <c r="V1451">
        <v>7</v>
      </c>
      <c r="W1451" t="s">
        <v>38</v>
      </c>
      <c r="X1451" s="1" t="d">
        <v>1990-01-06</v>
      </c>
      <c r="Z1451" t="s">
        <v>52</v>
      </c>
      <c r="AA1451" t="s">
        <v>46</v>
      </c>
      <c r="AB1451">
        <v>4</v>
      </c>
      <c r="AC1451">
        <v>2</v>
      </c>
      <c r="AD1451" t="s">
        <v>41</v>
      </c>
      <c r="AE1451" t="s">
        <v>42</v>
      </c>
      <c r="AF1451" t="s">
        <v>57</v>
      </c>
      <c r="AG1451">
        <f>IF(HR_Data[[#This Row],[Attrition]]="Yes",1,0)</f>
        <v>0</v>
      </c>
      <c r="AH1451" t="str">
        <f>IF(HR_Data[Date_of_termination]="","Active","Left")</f>
        <v>Active</v>
      </c>
      <c r="AI1451" t="str">
        <f>IF(HR_Data[YearsAtCompany]&lt;=2,"Fresher", IF(HR_Data[YearsAtCompany]&lt;=5,"Junior", IF(HR_Data[YearsAtCompany]&lt;=10, "Mid","Senior")))</f>
        <v>Senior</v>
      </c>
      <c r="AJ1451" s="2" t="str">
        <f>IF(HR_Data[MonthlyIncome]&lt;=300,"Low", IF(HR_Data[MonthlyIncome]&lt;=7000,"Medium", "High"))</f>
        <v>High</v>
      </c>
      <c r="AK1451" s="2" t="str">
        <f>VLOOKUP(HR_Data[JobRole], JobRole_Map[], 2, FALSE)</f>
        <v>Management</v>
      </c>
    </row>
    <row r="1452" spans="1:37" x14ac:dyDescent="0.25">
      <c r="A1452" s="2">
        <v>50</v>
      </c>
      <c r="B1452" t="s">
        <v>41</v>
      </c>
      <c r="C1452" t="s">
        <v>61</v>
      </c>
      <c r="D1452" t="s">
        <v>70</v>
      </c>
      <c r="E1452">
        <v>3</v>
      </c>
      <c r="F1452" t="s">
        <v>35</v>
      </c>
      <c r="G1452">
        <v>3</v>
      </c>
      <c r="H1452">
        <v>5</v>
      </c>
      <c r="I1452" t="s">
        <v>66</v>
      </c>
      <c r="J1452">
        <v>2</v>
      </c>
      <c r="K1452" t="s">
        <v>50</v>
      </c>
      <c r="L1452">
        <v>18200</v>
      </c>
      <c r="M1452">
        <v>1</v>
      </c>
      <c r="N1452" t="s">
        <v>41</v>
      </c>
      <c r="O1452">
        <v>11</v>
      </c>
      <c r="P1452">
        <v>3</v>
      </c>
      <c r="Q1452">
        <v>1</v>
      </c>
      <c r="R1452">
        <v>32</v>
      </c>
      <c r="S1452">
        <v>2</v>
      </c>
      <c r="T1452">
        <v>32</v>
      </c>
      <c r="U1452">
        <v>10</v>
      </c>
      <c r="V1452">
        <v>7</v>
      </c>
      <c r="W1452" t="s">
        <v>51</v>
      </c>
      <c r="X1452" s="1" t="d">
        <v>1989-06-19</v>
      </c>
      <c r="Z1452" t="s">
        <v>39</v>
      </c>
      <c r="AA1452" t="s">
        <v>46</v>
      </c>
      <c r="AB1452">
        <v>4</v>
      </c>
      <c r="AC1452">
        <v>3</v>
      </c>
      <c r="AD1452" t="s">
        <v>32</v>
      </c>
      <c r="AE1452" t="s">
        <v>62</v>
      </c>
      <c r="AF1452" t="s">
        <v>43</v>
      </c>
      <c r="AG1452">
        <f>IF(HR_Data[[#This Row],[Attrition]]="Yes",1,0)</f>
        <v>0</v>
      </c>
      <c r="AH1452" t="str">
        <f>IF(HR_Data[Date_of_termination]="","Active","Left")</f>
        <v>Active</v>
      </c>
      <c r="AI1452" t="str">
        <f>IF(HR_Data[YearsAtCompany]&lt;=2,"Fresher", IF(HR_Data[YearsAtCompany]&lt;=5,"Junior", IF(HR_Data[YearsAtCompany]&lt;=10, "Mid","Senior")))</f>
        <v>Senior</v>
      </c>
      <c r="AJ1452" s="2" t="str">
        <f>IF(HR_Data[MonthlyIncome]&lt;=300,"Low", IF(HR_Data[MonthlyIncome]&lt;=7000,"Medium", "High"))</f>
        <v>High</v>
      </c>
      <c r="AK1452" s="2" t="str">
        <f>VLOOKUP(HR_Data[JobRole], JobRole_Map[], 2, FALSE)</f>
        <v>Management</v>
      </c>
    </row>
    <row r="1453" spans="1:37" x14ac:dyDescent="0.25">
      <c r="A1453" s="2">
        <v>52</v>
      </c>
      <c r="B1453" t="s">
        <v>32</v>
      </c>
      <c r="C1453" t="s">
        <v>33</v>
      </c>
      <c r="D1453" t="s">
        <v>53</v>
      </c>
      <c r="E1453">
        <v>2</v>
      </c>
      <c r="F1453" t="s">
        <v>58</v>
      </c>
      <c r="G1453">
        <v>1</v>
      </c>
      <c r="H1453">
        <v>5</v>
      </c>
      <c r="I1453" t="s">
        <v>66</v>
      </c>
      <c r="J1453">
        <v>4</v>
      </c>
      <c r="K1453" t="s">
        <v>50</v>
      </c>
      <c r="L1453">
        <v>19845</v>
      </c>
      <c r="M1453">
        <v>1</v>
      </c>
      <c r="N1453" t="s">
        <v>41</v>
      </c>
      <c r="O1453">
        <v>15</v>
      </c>
      <c r="P1453">
        <v>3</v>
      </c>
      <c r="Q1453">
        <v>1</v>
      </c>
      <c r="R1453">
        <v>33</v>
      </c>
      <c r="S1453">
        <v>3</v>
      </c>
      <c r="T1453">
        <v>32</v>
      </c>
      <c r="U1453">
        <v>6</v>
      </c>
      <c r="V1453">
        <v>9</v>
      </c>
      <c r="W1453" t="s">
        <v>65</v>
      </c>
      <c r="X1453" s="1" t="d">
        <v>1989-05-17</v>
      </c>
      <c r="Z1453" t="s">
        <v>59</v>
      </c>
      <c r="AA1453" t="s">
        <v>40</v>
      </c>
      <c r="AB1453">
        <v>3</v>
      </c>
      <c r="AC1453">
        <v>2</v>
      </c>
      <c r="AD1453" t="s">
        <v>41</v>
      </c>
      <c r="AE1453" t="s">
        <v>42</v>
      </c>
      <c r="AF1453" t="s">
        <v>57</v>
      </c>
      <c r="AG1453">
        <f>IF(HR_Data[[#This Row],[Attrition]]="Yes",1,0)</f>
        <v>1</v>
      </c>
      <c r="AH1453" t="str">
        <f>IF(HR_Data[Date_of_termination]="","Active","Left")</f>
        <v>Active</v>
      </c>
      <c r="AI1453" t="str">
        <f>IF(HR_Data[YearsAtCompany]&lt;=2,"Fresher", IF(HR_Data[YearsAtCompany]&lt;=5,"Junior", IF(HR_Data[YearsAtCompany]&lt;=10, "Mid","Senior")))</f>
        <v>Senior</v>
      </c>
      <c r="AJ1453" s="2" t="str">
        <f>IF(HR_Data[MonthlyIncome]&lt;=300,"Low", IF(HR_Data[MonthlyIncome]&lt;=7000,"Medium", "High"))</f>
        <v>High</v>
      </c>
      <c r="AK1453" s="2" t="str">
        <f>VLOOKUP(HR_Data[JobRole], JobRole_Map[], 2, FALSE)</f>
        <v>Management</v>
      </c>
    </row>
    <row r="1454" spans="1:37" x14ac:dyDescent="0.25">
      <c r="A1454" s="2">
        <v>50</v>
      </c>
      <c r="B1454" t="s">
        <v>41</v>
      </c>
      <c r="C1454" t="s">
        <v>61</v>
      </c>
      <c r="D1454" t="s">
        <v>34</v>
      </c>
      <c r="E1454">
        <v>22</v>
      </c>
      <c r="F1454" t="s">
        <v>35</v>
      </c>
      <c r="G1454">
        <v>1</v>
      </c>
      <c r="H1454">
        <v>4</v>
      </c>
      <c r="I1454" t="s">
        <v>49</v>
      </c>
      <c r="J1454">
        <v>4</v>
      </c>
      <c r="K1454" t="s">
        <v>37</v>
      </c>
      <c r="L1454">
        <v>14411</v>
      </c>
      <c r="M1454">
        <v>1</v>
      </c>
      <c r="N1454" t="s">
        <v>32</v>
      </c>
      <c r="O1454">
        <v>13</v>
      </c>
      <c r="P1454">
        <v>3</v>
      </c>
      <c r="Q1454">
        <v>0</v>
      </c>
      <c r="R1454">
        <v>32</v>
      </c>
      <c r="S1454">
        <v>2</v>
      </c>
      <c r="T1454">
        <v>32</v>
      </c>
      <c r="U1454">
        <v>13</v>
      </c>
      <c r="V1454">
        <v>9</v>
      </c>
      <c r="W1454" t="s">
        <v>56</v>
      </c>
      <c r="X1454" s="1" t="d">
        <v>1989-03-30</v>
      </c>
      <c r="Z1454" t="s">
        <v>52</v>
      </c>
      <c r="AA1454" t="s">
        <v>46</v>
      </c>
      <c r="AB1454">
        <v>2</v>
      </c>
      <c r="AC1454">
        <v>1</v>
      </c>
      <c r="AD1454" t="s">
        <v>32</v>
      </c>
      <c r="AE1454" t="s">
        <v>47</v>
      </c>
      <c r="AF1454" t="s">
        <v>48</v>
      </c>
      <c r="AG1454">
        <f>IF(HR_Data[[#This Row],[Attrition]]="Yes",1,0)</f>
        <v>0</v>
      </c>
      <c r="AH1454" t="str">
        <f>IF(HR_Data[Date_of_termination]="","Active","Left")</f>
        <v>Active</v>
      </c>
      <c r="AI1454" t="str">
        <f>IF(HR_Data[YearsAtCompany]&lt;=2,"Fresher", IF(HR_Data[YearsAtCompany]&lt;=5,"Junior", IF(HR_Data[YearsAtCompany]&lt;=10, "Mid","Senior")))</f>
        <v>Senior</v>
      </c>
      <c r="AJ1454" s="2" t="str">
        <f>IF(HR_Data[MonthlyIncome]&lt;=300,"Low", IF(HR_Data[MonthlyIncome]&lt;=7000,"Medium", "High"))</f>
        <v>High</v>
      </c>
      <c r="AK1454" s="2" t="str">
        <f>VLOOKUP(HR_Data[JobRole], JobRole_Map[], 2, FALSE)</f>
        <v>Management</v>
      </c>
    </row>
    <row r="1455" spans="1:37" x14ac:dyDescent="0.25">
      <c r="A1455" s="2">
        <v>52</v>
      </c>
      <c r="B1455" t="s">
        <v>41</v>
      </c>
      <c r="C1455" t="s">
        <v>33</v>
      </c>
      <c r="D1455" t="s">
        <v>34</v>
      </c>
      <c r="E1455">
        <v>1</v>
      </c>
      <c r="F1455" t="s">
        <v>35</v>
      </c>
      <c r="G1455">
        <v>2</v>
      </c>
      <c r="H1455">
        <v>5</v>
      </c>
      <c r="I1455" t="s">
        <v>66</v>
      </c>
      <c r="J1455">
        <v>3</v>
      </c>
      <c r="K1455" t="s">
        <v>50</v>
      </c>
      <c r="L1455">
        <v>19999</v>
      </c>
      <c r="M1455">
        <v>0</v>
      </c>
      <c r="N1455" t="s">
        <v>41</v>
      </c>
      <c r="O1455">
        <v>14</v>
      </c>
      <c r="P1455">
        <v>3</v>
      </c>
      <c r="Q1455">
        <v>1</v>
      </c>
      <c r="R1455">
        <v>34</v>
      </c>
      <c r="S1455">
        <v>5</v>
      </c>
      <c r="T1455">
        <v>33</v>
      </c>
      <c r="U1455">
        <v>11</v>
      </c>
      <c r="V1455">
        <v>9</v>
      </c>
      <c r="W1455" t="s">
        <v>56</v>
      </c>
      <c r="X1455" s="1" t="d">
        <v>1988-03-14</v>
      </c>
      <c r="Z1455" t="s">
        <v>59</v>
      </c>
      <c r="AA1455" t="s">
        <v>46</v>
      </c>
      <c r="AB1455">
        <v>5</v>
      </c>
      <c r="AC1455">
        <v>0</v>
      </c>
      <c r="AD1455" t="s">
        <v>41</v>
      </c>
      <c r="AE1455" t="s">
        <v>47</v>
      </c>
      <c r="AF1455" t="s">
        <v>57</v>
      </c>
      <c r="AG1455">
        <f>IF(HR_Data[[#This Row],[Attrition]]="Yes",1,0)</f>
        <v>0</v>
      </c>
      <c r="AH1455" t="str">
        <f>IF(HR_Data[Date_of_termination]="","Active","Left")</f>
        <v>Active</v>
      </c>
      <c r="AI1455" t="str">
        <f>IF(HR_Data[YearsAtCompany]&lt;=2,"Fresher", IF(HR_Data[YearsAtCompany]&lt;=5,"Junior", IF(HR_Data[YearsAtCompany]&lt;=10, "Mid","Senior")))</f>
        <v>Senior</v>
      </c>
      <c r="AJ1455" s="2" t="str">
        <f>IF(HR_Data[MonthlyIncome]&lt;=300,"Low", IF(HR_Data[MonthlyIncome]&lt;=7000,"Medium", "High"))</f>
        <v>High</v>
      </c>
      <c r="AK1455" s="2" t="str">
        <f>VLOOKUP(HR_Data[JobRole], JobRole_Map[], 2, FALSE)</f>
        <v>Management</v>
      </c>
    </row>
    <row r="1456" spans="1:37" x14ac:dyDescent="0.25">
      <c r="A1456" s="2">
        <v>52</v>
      </c>
      <c r="B1456" t="s">
        <v>41</v>
      </c>
      <c r="C1456" t="s">
        <v>68</v>
      </c>
      <c r="D1456" t="s">
        <v>53</v>
      </c>
      <c r="E1456">
        <v>2</v>
      </c>
      <c r="F1456" t="s">
        <v>35</v>
      </c>
      <c r="G1456">
        <v>2</v>
      </c>
      <c r="H1456">
        <v>5</v>
      </c>
      <c r="I1456" t="s">
        <v>66</v>
      </c>
      <c r="J1456">
        <v>3</v>
      </c>
      <c r="K1456" t="s">
        <v>37</v>
      </c>
      <c r="L1456">
        <v>19068</v>
      </c>
      <c r="M1456">
        <v>1</v>
      </c>
      <c r="N1456" t="s">
        <v>32</v>
      </c>
      <c r="O1456">
        <v>18</v>
      </c>
      <c r="P1456">
        <v>3</v>
      </c>
      <c r="Q1456">
        <v>0</v>
      </c>
      <c r="R1456">
        <v>33</v>
      </c>
      <c r="S1456">
        <v>2</v>
      </c>
      <c r="T1456">
        <v>33</v>
      </c>
      <c r="U1456">
        <v>15</v>
      </c>
      <c r="V1456">
        <v>12</v>
      </c>
      <c r="W1456" t="s">
        <v>38</v>
      </c>
      <c r="X1456" s="1" t="d">
        <v>1988-05-12</v>
      </c>
      <c r="Z1456" t="s">
        <v>39</v>
      </c>
      <c r="AA1456" t="s">
        <v>46</v>
      </c>
      <c r="AB1456">
        <v>4</v>
      </c>
      <c r="AC1456">
        <v>3</v>
      </c>
      <c r="AD1456" t="s">
        <v>32</v>
      </c>
      <c r="AE1456" t="s">
        <v>42</v>
      </c>
      <c r="AF1456" t="s">
        <v>48</v>
      </c>
      <c r="AG1456">
        <f>IF(HR_Data[[#This Row],[Attrition]]="Yes",1,0)</f>
        <v>0</v>
      </c>
      <c r="AH1456" t="str">
        <f>IF(HR_Data[Date_of_termination]="","Active","Left")</f>
        <v>Active</v>
      </c>
      <c r="AI1456" t="str">
        <f>IF(HR_Data[YearsAtCompany]&lt;=2,"Fresher", IF(HR_Data[YearsAtCompany]&lt;=5,"Junior", IF(HR_Data[YearsAtCompany]&lt;=10, "Mid","Senior")))</f>
        <v>Senior</v>
      </c>
      <c r="AJ1456" s="2" t="str">
        <f>IF(HR_Data[MonthlyIncome]&lt;=300,"Low", IF(HR_Data[MonthlyIncome]&lt;=7000,"Medium", "High"))</f>
        <v>High</v>
      </c>
      <c r="AK1456" s="2" t="str">
        <f>VLOOKUP(HR_Data[JobRole], JobRole_Map[], 2, FALSE)</f>
        <v>Management</v>
      </c>
    </row>
    <row r="1457" spans="1:37" x14ac:dyDescent="0.25">
      <c r="A1457" s="2">
        <v>55</v>
      </c>
      <c r="B1457" t="s">
        <v>41</v>
      </c>
      <c r="C1457" t="s">
        <v>68</v>
      </c>
      <c r="D1457" t="s">
        <v>34</v>
      </c>
      <c r="E1457">
        <v>8</v>
      </c>
      <c r="F1457" t="s">
        <v>35</v>
      </c>
      <c r="G1457">
        <v>2</v>
      </c>
      <c r="H1457">
        <v>4</v>
      </c>
      <c r="I1457" t="s">
        <v>69</v>
      </c>
      <c r="J1457">
        <v>2</v>
      </c>
      <c r="K1457" t="s">
        <v>55</v>
      </c>
      <c r="L1457">
        <v>13577</v>
      </c>
      <c r="M1457">
        <v>1</v>
      </c>
      <c r="N1457" t="s">
        <v>32</v>
      </c>
      <c r="O1457">
        <v>15</v>
      </c>
      <c r="P1457">
        <v>3</v>
      </c>
      <c r="Q1457">
        <v>1</v>
      </c>
      <c r="R1457">
        <v>34</v>
      </c>
      <c r="S1457">
        <v>3</v>
      </c>
      <c r="T1457">
        <v>33</v>
      </c>
      <c r="U1457">
        <v>15</v>
      </c>
      <c r="V1457">
        <v>0</v>
      </c>
      <c r="W1457" t="s">
        <v>65</v>
      </c>
      <c r="X1457" s="1" t="d">
        <v>1988-04-09</v>
      </c>
      <c r="Z1457" t="s">
        <v>39</v>
      </c>
      <c r="AA1457" t="s">
        <v>46</v>
      </c>
      <c r="AB1457">
        <v>3</v>
      </c>
      <c r="AC1457">
        <v>1</v>
      </c>
      <c r="AD1457" t="s">
        <v>41</v>
      </c>
      <c r="AE1457" t="s">
        <v>62</v>
      </c>
      <c r="AF1457" t="s">
        <v>48</v>
      </c>
      <c r="AG1457">
        <f>IF(HR_Data[[#This Row],[Attrition]]="Yes",1,0)</f>
        <v>0</v>
      </c>
      <c r="AH1457" t="str">
        <f>IF(HR_Data[Date_of_termination]="","Active","Left")</f>
        <v>Active</v>
      </c>
      <c r="AI1457" t="str">
        <f>IF(HR_Data[YearsAtCompany]&lt;=2,"Fresher", IF(HR_Data[YearsAtCompany]&lt;=5,"Junior", IF(HR_Data[YearsAtCompany]&lt;=10, "Mid","Senior")))</f>
        <v>Senior</v>
      </c>
      <c r="AJ1457" s="2" t="str">
        <f>IF(HR_Data[MonthlyIncome]&lt;=300,"Low", IF(HR_Data[MonthlyIncome]&lt;=7000,"Medium", "High"))</f>
        <v>High</v>
      </c>
      <c r="AK1457" s="2" t="str">
        <f>VLOOKUP(HR_Data[JobRole], JobRole_Map[], 2, FALSE)</f>
        <v>Operations</v>
      </c>
    </row>
    <row r="1458" spans="1:37" x14ac:dyDescent="0.25">
      <c r="A1458" s="2">
        <v>51</v>
      </c>
      <c r="B1458" t="s">
        <v>41</v>
      </c>
      <c r="C1458" t="s">
        <v>33</v>
      </c>
      <c r="D1458" t="s">
        <v>70</v>
      </c>
      <c r="E1458">
        <v>5</v>
      </c>
      <c r="F1458" t="s">
        <v>35</v>
      </c>
      <c r="G1458">
        <v>3</v>
      </c>
      <c r="H1458">
        <v>4</v>
      </c>
      <c r="I1458" t="s">
        <v>66</v>
      </c>
      <c r="J1458">
        <v>2</v>
      </c>
      <c r="K1458" t="s">
        <v>55</v>
      </c>
      <c r="L1458">
        <v>14026</v>
      </c>
      <c r="M1458">
        <v>1</v>
      </c>
      <c r="N1458" t="s">
        <v>32</v>
      </c>
      <c r="O1458">
        <v>11</v>
      </c>
      <c r="P1458">
        <v>3</v>
      </c>
      <c r="Q1458">
        <v>1</v>
      </c>
      <c r="R1458">
        <v>33</v>
      </c>
      <c r="S1458">
        <v>2</v>
      </c>
      <c r="T1458">
        <v>33</v>
      </c>
      <c r="U1458">
        <v>0</v>
      </c>
      <c r="V1458">
        <v>10</v>
      </c>
      <c r="W1458" t="s">
        <v>51</v>
      </c>
      <c r="X1458" s="1" t="d">
        <v>1988-04-04</v>
      </c>
      <c r="Z1458" t="s">
        <v>59</v>
      </c>
      <c r="AA1458" t="s">
        <v>40</v>
      </c>
      <c r="AB1458">
        <v>4</v>
      </c>
      <c r="AC1458">
        <v>1</v>
      </c>
      <c r="AD1458" t="s">
        <v>32</v>
      </c>
      <c r="AE1458" t="s">
        <v>60</v>
      </c>
      <c r="AF1458" t="s">
        <v>43</v>
      </c>
      <c r="AG1458">
        <f>IF(HR_Data[[#This Row],[Attrition]]="Yes",1,0)</f>
        <v>0</v>
      </c>
      <c r="AH1458" t="str">
        <f>IF(HR_Data[Date_of_termination]="","Active","Left")</f>
        <v>Active</v>
      </c>
      <c r="AI1458" t="str">
        <f>IF(HR_Data[YearsAtCompany]&lt;=2,"Fresher", IF(HR_Data[YearsAtCompany]&lt;=5,"Junior", IF(HR_Data[YearsAtCompany]&lt;=10, "Mid","Senior")))</f>
        <v>Senior</v>
      </c>
      <c r="AJ1458" s="2" t="str">
        <f>IF(HR_Data[MonthlyIncome]&lt;=300,"Low", IF(HR_Data[MonthlyIncome]&lt;=7000,"Medium", "High"))</f>
        <v>High</v>
      </c>
      <c r="AK1458" s="2" t="str">
        <f>VLOOKUP(HR_Data[JobRole], JobRole_Map[], 2, FALSE)</f>
        <v>Management</v>
      </c>
    </row>
    <row r="1459" spans="1:37" x14ac:dyDescent="0.25">
      <c r="A1459" s="2">
        <v>53</v>
      </c>
      <c r="B1459" t="s">
        <v>32</v>
      </c>
      <c r="C1459" t="s">
        <v>33</v>
      </c>
      <c r="D1459" t="s">
        <v>34</v>
      </c>
      <c r="E1459">
        <v>2</v>
      </c>
      <c r="F1459" t="s">
        <v>58</v>
      </c>
      <c r="G1459">
        <v>2</v>
      </c>
      <c r="H1459">
        <v>3</v>
      </c>
      <c r="I1459" t="s">
        <v>67</v>
      </c>
      <c r="J1459">
        <v>4</v>
      </c>
      <c r="K1459" t="s">
        <v>50</v>
      </c>
      <c r="L1459">
        <v>10169</v>
      </c>
      <c r="M1459">
        <v>0</v>
      </c>
      <c r="N1459" t="s">
        <v>41</v>
      </c>
      <c r="O1459">
        <v>16</v>
      </c>
      <c r="P1459">
        <v>3</v>
      </c>
      <c r="Q1459">
        <v>1</v>
      </c>
      <c r="R1459">
        <v>34</v>
      </c>
      <c r="S1459">
        <v>4</v>
      </c>
      <c r="T1459">
        <v>33</v>
      </c>
      <c r="U1459">
        <v>1</v>
      </c>
      <c r="V1459">
        <v>9</v>
      </c>
      <c r="W1459" t="s">
        <v>51</v>
      </c>
      <c r="X1459" s="1" t="d">
        <v>1988-06-20</v>
      </c>
      <c r="Z1459" t="s">
        <v>45</v>
      </c>
      <c r="AA1459" t="s">
        <v>46</v>
      </c>
      <c r="AB1459">
        <v>4</v>
      </c>
      <c r="AC1459">
        <v>0</v>
      </c>
      <c r="AD1459" t="s">
        <v>32</v>
      </c>
      <c r="AE1459" t="s">
        <v>47</v>
      </c>
      <c r="AF1459" t="s">
        <v>43</v>
      </c>
      <c r="AG1459">
        <f>IF(HR_Data[[#This Row],[Attrition]]="Yes",1,0)</f>
        <v>1</v>
      </c>
      <c r="AH1459" t="str">
        <f>IF(HR_Data[Date_of_termination]="","Active","Left")</f>
        <v>Active</v>
      </c>
      <c r="AI1459" t="str">
        <f>IF(HR_Data[YearsAtCompany]&lt;=2,"Fresher", IF(HR_Data[YearsAtCompany]&lt;=5,"Junior", IF(HR_Data[YearsAtCompany]&lt;=10, "Mid","Senior")))</f>
        <v>Senior</v>
      </c>
      <c r="AJ1459" s="2" t="str">
        <f>IF(HR_Data[MonthlyIncome]&lt;=300,"Low", IF(HR_Data[MonthlyIncome]&lt;=7000,"Medium", "High"))</f>
        <v>High</v>
      </c>
      <c r="AK1459" s="2" t="str">
        <f>VLOOKUP(HR_Data[JobRole], JobRole_Map[], 2, FALSE)</f>
        <v>Operations</v>
      </c>
    </row>
    <row r="1460" spans="1:37" x14ac:dyDescent="0.25">
      <c r="A1460" s="2">
        <v>52</v>
      </c>
      <c r="B1460" t="s">
        <v>41</v>
      </c>
      <c r="C1460" t="s">
        <v>33</v>
      </c>
      <c r="D1460" t="s">
        <v>53</v>
      </c>
      <c r="E1460">
        <v>3</v>
      </c>
      <c r="F1460" t="s">
        <v>35</v>
      </c>
      <c r="G1460">
        <v>2</v>
      </c>
      <c r="H1460">
        <v>4</v>
      </c>
      <c r="I1460" t="s">
        <v>66</v>
      </c>
      <c r="J1460">
        <v>1</v>
      </c>
      <c r="K1460" t="s">
        <v>50</v>
      </c>
      <c r="L1460">
        <v>16856</v>
      </c>
      <c r="M1460">
        <v>1</v>
      </c>
      <c r="N1460" t="s">
        <v>41</v>
      </c>
      <c r="O1460">
        <v>11</v>
      </c>
      <c r="P1460">
        <v>3</v>
      </c>
      <c r="Q1460">
        <v>0</v>
      </c>
      <c r="R1460">
        <v>34</v>
      </c>
      <c r="S1460">
        <v>3</v>
      </c>
      <c r="T1460">
        <v>34</v>
      </c>
      <c r="U1460">
        <v>1</v>
      </c>
      <c r="V1460">
        <v>16</v>
      </c>
      <c r="W1460" t="s">
        <v>51</v>
      </c>
      <c r="X1460" s="1" t="d">
        <v>1987-06-05</v>
      </c>
      <c r="Z1460" t="s">
        <v>39</v>
      </c>
      <c r="AA1460" t="s">
        <v>40</v>
      </c>
      <c r="AB1460">
        <v>3</v>
      </c>
      <c r="AC1460">
        <v>2</v>
      </c>
      <c r="AD1460" t="s">
        <v>41</v>
      </c>
      <c r="AE1460" t="s">
        <v>60</v>
      </c>
      <c r="AF1460" t="s">
        <v>48</v>
      </c>
      <c r="AG1460">
        <f>IF(HR_Data[[#This Row],[Attrition]]="Yes",1,0)</f>
        <v>0</v>
      </c>
      <c r="AH1460" t="str">
        <f>IF(HR_Data[Date_of_termination]="","Active","Left")</f>
        <v>Active</v>
      </c>
      <c r="AI1460" t="str">
        <f>IF(HR_Data[YearsAtCompany]&lt;=2,"Fresher", IF(HR_Data[YearsAtCompany]&lt;=5,"Junior", IF(HR_Data[YearsAtCompany]&lt;=10, "Mid","Senior")))</f>
        <v>Senior</v>
      </c>
      <c r="AJ1460" s="2" t="str">
        <f>IF(HR_Data[MonthlyIncome]&lt;=300,"Low", IF(HR_Data[MonthlyIncome]&lt;=7000,"Medium", "High"))</f>
        <v>High</v>
      </c>
      <c r="AK1460" s="2" t="str">
        <f>VLOOKUP(HR_Data[JobRole], JobRole_Map[], 2, FALSE)</f>
        <v>Management</v>
      </c>
    </row>
    <row r="1461" spans="1:37" x14ac:dyDescent="0.25">
      <c r="A1461" s="2">
        <v>55</v>
      </c>
      <c r="B1461" t="s">
        <v>41</v>
      </c>
      <c r="C1461" t="s">
        <v>33</v>
      </c>
      <c r="D1461" t="s">
        <v>34</v>
      </c>
      <c r="E1461">
        <v>1</v>
      </c>
      <c r="F1461" t="s">
        <v>35</v>
      </c>
      <c r="G1461">
        <v>3</v>
      </c>
      <c r="H1461">
        <v>5</v>
      </c>
      <c r="I1461" t="s">
        <v>66</v>
      </c>
      <c r="J1461">
        <v>1</v>
      </c>
      <c r="K1461" t="s">
        <v>37</v>
      </c>
      <c r="L1461">
        <v>19045</v>
      </c>
      <c r="M1461">
        <v>0</v>
      </c>
      <c r="N1461" t="s">
        <v>32</v>
      </c>
      <c r="O1461">
        <v>14</v>
      </c>
      <c r="P1461">
        <v>3</v>
      </c>
      <c r="Q1461">
        <v>0</v>
      </c>
      <c r="R1461">
        <v>37</v>
      </c>
      <c r="S1461">
        <v>2</v>
      </c>
      <c r="T1461">
        <v>36</v>
      </c>
      <c r="U1461">
        <v>4</v>
      </c>
      <c r="V1461">
        <v>13</v>
      </c>
      <c r="W1461" t="s">
        <v>51</v>
      </c>
      <c r="X1461" s="1" t="d">
        <v>1985-01-20</v>
      </c>
      <c r="Z1461" t="s">
        <v>45</v>
      </c>
      <c r="AA1461" t="s">
        <v>46</v>
      </c>
      <c r="AB1461">
        <v>1</v>
      </c>
      <c r="AC1461">
        <v>1</v>
      </c>
      <c r="AD1461" t="s">
        <v>41</v>
      </c>
      <c r="AE1461" t="s">
        <v>62</v>
      </c>
      <c r="AF1461" t="s">
        <v>57</v>
      </c>
      <c r="AG1461">
        <f>IF(HR_Data[[#This Row],[Attrition]]="Yes",1,0)</f>
        <v>0</v>
      </c>
      <c r="AH1461" t="str">
        <f>IF(HR_Data[Date_of_termination]="","Active","Left")</f>
        <v>Active</v>
      </c>
      <c r="AI1461" t="str">
        <f>IF(HR_Data[YearsAtCompany]&lt;=2,"Fresher", IF(HR_Data[YearsAtCompany]&lt;=5,"Junior", IF(HR_Data[YearsAtCompany]&lt;=10, "Mid","Senior")))</f>
        <v>Senior</v>
      </c>
      <c r="AJ1461" s="2" t="str">
        <f>IF(HR_Data[MonthlyIncome]&lt;=300,"Low", IF(HR_Data[MonthlyIncome]&lt;=7000,"Medium", "High"))</f>
        <v>High</v>
      </c>
      <c r="AK1461" s="2" t="str">
        <f>VLOOKUP(HR_Data[JobRole], JobRole_Map[], 2, FALSE)</f>
        <v>Management</v>
      </c>
    </row>
    <row r="1462" spans="1:37" x14ac:dyDescent="0.25">
      <c r="A1462" s="2">
        <v>55</v>
      </c>
      <c r="B1462" t="s">
        <v>41</v>
      </c>
      <c r="C1462" t="s">
        <v>33</v>
      </c>
      <c r="D1462" t="s">
        <v>53</v>
      </c>
      <c r="E1462">
        <v>26</v>
      </c>
      <c r="F1462" t="s">
        <v>35</v>
      </c>
      <c r="G1462">
        <v>2</v>
      </c>
      <c r="H1462">
        <v>5</v>
      </c>
      <c r="I1462" t="s">
        <v>66</v>
      </c>
      <c r="J1462">
        <v>4</v>
      </c>
      <c r="K1462" t="s">
        <v>50</v>
      </c>
      <c r="L1462">
        <v>19586</v>
      </c>
      <c r="M1462">
        <v>1</v>
      </c>
      <c r="N1462" t="s">
        <v>41</v>
      </c>
      <c r="O1462">
        <v>21</v>
      </c>
      <c r="P1462">
        <v>4</v>
      </c>
      <c r="Q1462">
        <v>1</v>
      </c>
      <c r="R1462">
        <v>36</v>
      </c>
      <c r="S1462">
        <v>3</v>
      </c>
      <c r="T1462">
        <v>36</v>
      </c>
      <c r="U1462">
        <v>2</v>
      </c>
      <c r="V1462">
        <v>13</v>
      </c>
      <c r="W1462" t="s">
        <v>51</v>
      </c>
      <c r="X1462" s="1" t="d">
        <v>1985-02-17</v>
      </c>
      <c r="Z1462" t="s">
        <v>45</v>
      </c>
      <c r="AA1462" t="s">
        <v>40</v>
      </c>
      <c r="AB1462">
        <v>2</v>
      </c>
      <c r="AC1462">
        <v>1</v>
      </c>
      <c r="AD1462" t="s">
        <v>41</v>
      </c>
      <c r="AE1462" t="s">
        <v>47</v>
      </c>
      <c r="AF1462" t="s">
        <v>48</v>
      </c>
      <c r="AG1462">
        <f>IF(HR_Data[[#This Row],[Attrition]]="Yes",1,0)</f>
        <v>0</v>
      </c>
      <c r="AH1462" t="str">
        <f>IF(HR_Data[Date_of_termination]="","Active","Left")</f>
        <v>Active</v>
      </c>
      <c r="AI1462" t="str">
        <f>IF(HR_Data[YearsAtCompany]&lt;=2,"Fresher", IF(HR_Data[YearsAtCompany]&lt;=5,"Junior", IF(HR_Data[YearsAtCompany]&lt;=10, "Mid","Senior")))</f>
        <v>Senior</v>
      </c>
      <c r="AJ1462" s="2" t="str">
        <f>IF(HR_Data[MonthlyIncome]&lt;=300,"Low", IF(HR_Data[MonthlyIncome]&lt;=7000,"Medium", "High"))</f>
        <v>High</v>
      </c>
      <c r="AK1462" s="2" t="str">
        <f>VLOOKUP(HR_Data[JobRole], JobRole_Map[], 2, FALSE)</f>
        <v>Management</v>
      </c>
    </row>
    <row r="1463" spans="1:37" x14ac:dyDescent="0.25">
      <c r="A1463" s="2">
        <v>58</v>
      </c>
      <c r="B1463" t="s">
        <v>41</v>
      </c>
      <c r="C1463" t="s">
        <v>33</v>
      </c>
      <c r="D1463" t="s">
        <v>53</v>
      </c>
      <c r="E1463">
        <v>10</v>
      </c>
      <c r="F1463" t="s">
        <v>35</v>
      </c>
      <c r="G1463">
        <v>3</v>
      </c>
      <c r="H1463">
        <v>4</v>
      </c>
      <c r="I1463" t="s">
        <v>64</v>
      </c>
      <c r="J1463">
        <v>3</v>
      </c>
      <c r="K1463" t="s">
        <v>37</v>
      </c>
      <c r="L1463">
        <v>13872</v>
      </c>
      <c r="M1463">
        <v>0</v>
      </c>
      <c r="N1463" t="s">
        <v>41</v>
      </c>
      <c r="O1463">
        <v>13</v>
      </c>
      <c r="P1463">
        <v>3</v>
      </c>
      <c r="Q1463">
        <v>0</v>
      </c>
      <c r="R1463">
        <v>38</v>
      </c>
      <c r="S1463">
        <v>1</v>
      </c>
      <c r="T1463">
        <v>37</v>
      </c>
      <c r="U1463">
        <v>1</v>
      </c>
      <c r="V1463">
        <v>8</v>
      </c>
      <c r="W1463" t="s">
        <v>56</v>
      </c>
      <c r="X1463" s="1" t="d">
        <v>1984-06-29</v>
      </c>
      <c r="Z1463" t="s">
        <v>63</v>
      </c>
      <c r="AA1463" t="s">
        <v>46</v>
      </c>
      <c r="AB1463">
        <v>2</v>
      </c>
      <c r="AC1463">
        <v>2</v>
      </c>
      <c r="AD1463" t="s">
        <v>32</v>
      </c>
      <c r="AE1463" t="s">
        <v>42</v>
      </c>
      <c r="AF1463" t="s">
        <v>48</v>
      </c>
      <c r="AG1463">
        <f>IF(HR_Data[[#This Row],[Attrition]]="Yes",1,0)</f>
        <v>0</v>
      </c>
      <c r="AH1463" t="str">
        <f>IF(HR_Data[Date_of_termination]="","Active","Left")</f>
        <v>Active</v>
      </c>
      <c r="AI1463" t="str">
        <f>IF(HR_Data[YearsAtCompany]&lt;=2,"Fresher", IF(HR_Data[YearsAtCompany]&lt;=5,"Junior", IF(HR_Data[YearsAtCompany]&lt;=10, "Mid","Senior")))</f>
        <v>Senior</v>
      </c>
      <c r="AJ1463" s="2" t="str">
        <f>IF(HR_Data[MonthlyIncome]&lt;=300,"Low", IF(HR_Data[MonthlyIncome]&lt;=7000,"Medium", "High"))</f>
        <v>High</v>
      </c>
      <c r="AK1463" s="2" t="str">
        <f>VLOOKUP(HR_Data[JobRole], JobRole_Map[], 2, FALSE)</f>
        <v>Sales</v>
      </c>
    </row>
    <row r="1464" spans="1:37" x14ac:dyDescent="0.25">
      <c r="A1464" s="2">
        <v>58</v>
      </c>
      <c r="B1464" t="s">
        <v>32</v>
      </c>
      <c r="C1464" t="s">
        <v>33</v>
      </c>
      <c r="D1464" t="s">
        <v>34</v>
      </c>
      <c r="E1464">
        <v>23</v>
      </c>
      <c r="F1464" t="s">
        <v>58</v>
      </c>
      <c r="G1464">
        <v>3</v>
      </c>
      <c r="H1464">
        <v>3</v>
      </c>
      <c r="I1464" t="s">
        <v>69</v>
      </c>
      <c r="J1464">
        <v>4</v>
      </c>
      <c r="K1464" t="s">
        <v>50</v>
      </c>
      <c r="L1464">
        <v>10312</v>
      </c>
      <c r="M1464">
        <v>1</v>
      </c>
      <c r="N1464" t="s">
        <v>41</v>
      </c>
      <c r="O1464">
        <v>12</v>
      </c>
      <c r="P1464">
        <v>3</v>
      </c>
      <c r="Q1464">
        <v>1</v>
      </c>
      <c r="R1464">
        <v>40</v>
      </c>
      <c r="S1464">
        <v>3</v>
      </c>
      <c r="T1464">
        <v>40</v>
      </c>
      <c r="U1464">
        <v>15</v>
      </c>
      <c r="V1464">
        <v>6</v>
      </c>
      <c r="W1464" t="s">
        <v>65</v>
      </c>
      <c r="X1464" s="1" t="d">
        <v>1981-02-08</v>
      </c>
      <c r="Z1464" t="s">
        <v>63</v>
      </c>
      <c r="AA1464" t="s">
        <v>46</v>
      </c>
      <c r="AB1464">
        <v>4</v>
      </c>
      <c r="AC1464">
        <v>3</v>
      </c>
      <c r="AD1464" t="s">
        <v>32</v>
      </c>
      <c r="AE1464" t="s">
        <v>60</v>
      </c>
      <c r="AF1464" t="s">
        <v>57</v>
      </c>
      <c r="AG1464">
        <f>IF(HR_Data[[#This Row],[Attrition]]="Yes",1,0)</f>
        <v>1</v>
      </c>
      <c r="AH1464" t="str">
        <f>IF(HR_Data[Date_of_termination]="","Active","Left")</f>
        <v>Active</v>
      </c>
      <c r="AI1464" t="str">
        <f>IF(HR_Data[YearsAtCompany]&lt;=2,"Fresher", IF(HR_Data[YearsAtCompany]&lt;=5,"Junior", IF(HR_Data[YearsAtCompany]&lt;=10, "Mid","Senior")))</f>
        <v>Senior</v>
      </c>
      <c r="AJ1464" s="2" t="str">
        <f>IF(HR_Data[MonthlyIncome]&lt;=300,"Low", IF(HR_Data[MonthlyIncome]&lt;=7000,"Medium", "High"))</f>
        <v>High</v>
      </c>
      <c r="AK1464" s="2" t="str">
        <f>VLOOKUP(HR_Data[JobRole], JobRole_Map[], 2, FALSE)</f>
        <v>Operations</v>
      </c>
    </row>
    <row r="1465" spans="1:37" x14ac:dyDescent="0.25">
      <c r="A1465"/>
    </row>
    <row r="1466" spans="1:37" x14ac:dyDescent="0.25">
      <c r="A1466"/>
    </row>
    <row r="1467" spans="1:37" x14ac:dyDescent="0.25">
      <c r="A1467"/>
    </row>
    <row r="1468" spans="1:37" x14ac:dyDescent="0.25">
      <c r="A1468"/>
    </row>
    <row r="1469" spans="1:37" x14ac:dyDescent="0.25">
      <c r="A1469"/>
    </row>
    <row r="1470" spans="1:37" x14ac:dyDescent="0.25">
      <c r="A1470"/>
    </row>
    <row r="1471" spans="1:37" x14ac:dyDescent="0.25">
      <c r="A1471"/>
    </row>
  </sheetData>
  <pageMargins left="0.7" right="0.7" top="0.75" bottom="0.75" header="0.3" footer="0.3"/>
  <pageSetup orientation="portrait" r:id="rId1"/>
  <tableParts count="1">
    <tablePart r:id="rId2"/>
  </tableParts>
</worksheet>
</file>

<file path=xl/worksheets/sheet10.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39173-1AEE-4222-896E-4F8101BD46AE}">
  <dimension ref="A1:AF1471"/>
  <sheetViews>
    <sheetView workbookViewId="0">
      <selection activeCell="Q2" sqref="Q2"/>
    </sheetView>
  </sheetViews>
  <sheetFormatPr defaultRowHeight="15" x14ac:dyDescent="0.25"/>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x14ac:dyDescent="0.25">
      <c r="A2">
        <v>37</v>
      </c>
      <c r="B2" t="s">
        <v>32</v>
      </c>
      <c r="C2" t="s">
        <v>33</v>
      </c>
      <c r="D2" t="s">
        <v>34</v>
      </c>
      <c r="E2">
        <v>2</v>
      </c>
      <c r="F2" t="s">
        <v>35</v>
      </c>
      <c r="G2">
        <v>2</v>
      </c>
      <c r="H2">
        <v>1</v>
      </c>
      <c r="I2" t="s">
        <v>36</v>
      </c>
      <c r="J2">
        <v>3</v>
      </c>
      <c r="K2" t="s">
        <v>37</v>
      </c>
      <c r="L2">
        <v>2090</v>
      </c>
      <c r="M2">
        <v>6</v>
      </c>
      <c r="N2" t="s">
        <v>32</v>
      </c>
      <c r="O2">
        <v>15</v>
      </c>
      <c r="P2">
        <v>3</v>
      </c>
      <c r="Q2">
        <v>0</v>
      </c>
      <c r="R2">
        <v>7</v>
      </c>
      <c r="S2">
        <v>3</v>
      </c>
      <c r="T2">
        <v>0</v>
      </c>
      <c r="U2">
        <v>0</v>
      </c>
      <c r="V2">
        <v>0</v>
      </c>
      <c r="W2" t="s">
        <v>38</v>
      </c>
      <c r="X2" s="1" t="d">
        <v>2021-01-21</v>
      </c>
      <c r="Z2" t="s">
        <v>39</v>
      </c>
      <c r="AA2" t="s">
        <v>40</v>
      </c>
      <c r="AB2">
        <v>4</v>
      </c>
      <c r="AC2">
        <v>2</v>
      </c>
      <c r="AD2" t="s">
        <v>41</v>
      </c>
      <c r="AE2" t="s">
        <v>42</v>
      </c>
      <c r="AF2" t="s">
        <v>43</v>
      </c>
    </row>
    <row r="3" spans="1:32" x14ac:dyDescent="0.25">
      <c r="A3">
        <v>21</v>
      </c>
      <c r="B3" t="s">
        <v>41</v>
      </c>
      <c r="C3" t="s">
        <v>33</v>
      </c>
      <c r="D3" t="s">
        <v>34</v>
      </c>
      <c r="E3">
        <v>15</v>
      </c>
      <c r="F3" t="s">
        <v>35</v>
      </c>
      <c r="G3">
        <v>3</v>
      </c>
      <c r="H3">
        <v>1</v>
      </c>
      <c r="I3" t="s">
        <v>44</v>
      </c>
      <c r="J3">
        <v>4</v>
      </c>
      <c r="K3" t="s">
        <v>37</v>
      </c>
      <c r="L3">
        <v>1232</v>
      </c>
      <c r="M3">
        <v>1</v>
      </c>
      <c r="N3" t="s">
        <v>41</v>
      </c>
      <c r="O3">
        <v>14</v>
      </c>
      <c r="P3">
        <v>3</v>
      </c>
      <c r="Q3">
        <v>0</v>
      </c>
      <c r="R3">
        <v>0</v>
      </c>
      <c r="S3">
        <v>6</v>
      </c>
      <c r="T3">
        <v>0</v>
      </c>
      <c r="U3">
        <v>0</v>
      </c>
      <c r="V3">
        <v>0</v>
      </c>
      <c r="W3" t="s">
        <v>38</v>
      </c>
      <c r="X3" s="1" t="d">
        <v>2021-03-13</v>
      </c>
      <c r="Z3" t="s">
        <v>45</v>
      </c>
      <c r="AA3" t="s">
        <v>46</v>
      </c>
      <c r="AB3">
        <v>5</v>
      </c>
      <c r="AC3">
        <v>2</v>
      </c>
      <c r="AD3" t="s">
        <v>41</v>
      </c>
      <c r="AE3" t="s">
        <v>47</v>
      </c>
      <c r="AF3" t="s">
        <v>48</v>
      </c>
    </row>
    <row r="4" spans="1:32" x14ac:dyDescent="0.25">
      <c r="A4">
        <v>45</v>
      </c>
      <c r="B4" t="s">
        <v>41</v>
      </c>
      <c r="C4" t="s">
        <v>33</v>
      </c>
      <c r="D4" t="s">
        <v>34</v>
      </c>
      <c r="E4">
        <v>6</v>
      </c>
      <c r="F4" t="s">
        <v>35</v>
      </c>
      <c r="G4">
        <v>3</v>
      </c>
      <c r="H4">
        <v>3</v>
      </c>
      <c r="I4" t="s">
        <v>49</v>
      </c>
      <c r="J4">
        <v>1</v>
      </c>
      <c r="K4" t="s">
        <v>50</v>
      </c>
      <c r="L4">
        <v>13245</v>
      </c>
      <c r="M4">
        <v>4</v>
      </c>
      <c r="N4" t="s">
        <v>32</v>
      </c>
      <c r="O4">
        <v>14</v>
      </c>
      <c r="P4">
        <v>3</v>
      </c>
      <c r="Q4">
        <v>0</v>
      </c>
      <c r="R4">
        <v>17</v>
      </c>
      <c r="S4">
        <v>3</v>
      </c>
      <c r="T4">
        <v>0</v>
      </c>
      <c r="U4">
        <v>0</v>
      </c>
      <c r="V4">
        <v>0</v>
      </c>
      <c r="W4" t="s">
        <v>51</v>
      </c>
      <c r="X4" s="1" t="d">
        <v>2021-01-23</v>
      </c>
      <c r="Z4" t="s">
        <v>52</v>
      </c>
      <c r="AA4" t="s">
        <v>46</v>
      </c>
      <c r="AB4">
        <v>1</v>
      </c>
      <c r="AC4">
        <v>3</v>
      </c>
      <c r="AD4" t="s">
        <v>41</v>
      </c>
      <c r="AE4" t="s">
        <v>42</v>
      </c>
      <c r="AF4" t="s">
        <v>43</v>
      </c>
    </row>
    <row r="5" spans="1:32" x14ac:dyDescent="0.25">
      <c r="A5">
        <v>23</v>
      </c>
      <c r="B5" t="s">
        <v>41</v>
      </c>
      <c r="C5" t="s">
        <v>33</v>
      </c>
      <c r="D5" t="s">
        <v>53</v>
      </c>
      <c r="E5">
        <v>2</v>
      </c>
      <c r="F5" t="s">
        <v>35</v>
      </c>
      <c r="G5">
        <v>3</v>
      </c>
      <c r="H5">
        <v>1</v>
      </c>
      <c r="I5" t="s">
        <v>54</v>
      </c>
      <c r="J5">
        <v>1</v>
      </c>
      <c r="K5" t="s">
        <v>55</v>
      </c>
      <c r="L5">
        <v>2322</v>
      </c>
      <c r="M5">
        <v>3</v>
      </c>
      <c r="N5" t="s">
        <v>41</v>
      </c>
      <c r="O5">
        <v>13</v>
      </c>
      <c r="P5">
        <v>3</v>
      </c>
      <c r="Q5">
        <v>1</v>
      </c>
      <c r="R5">
        <v>3</v>
      </c>
      <c r="S5">
        <v>3</v>
      </c>
      <c r="T5">
        <v>0</v>
      </c>
      <c r="U5">
        <v>0</v>
      </c>
      <c r="V5">
        <v>0</v>
      </c>
      <c r="W5" t="s">
        <v>56</v>
      </c>
      <c r="X5" s="1" t="d">
        <v>2021-04-25</v>
      </c>
      <c r="Z5" t="s">
        <v>45</v>
      </c>
      <c r="AA5" t="s">
        <v>40</v>
      </c>
      <c r="AB5">
        <v>1</v>
      </c>
      <c r="AC5">
        <v>0</v>
      </c>
      <c r="AD5" t="s">
        <v>32</v>
      </c>
      <c r="AE5" t="s">
        <v>47</v>
      </c>
      <c r="AF5" t="s">
        <v>57</v>
      </c>
    </row>
    <row r="6" spans="1:32" x14ac:dyDescent="0.25">
      <c r="A6">
        <v>22</v>
      </c>
      <c r="B6" t="s">
        <v>41</v>
      </c>
      <c r="C6" t="s">
        <v>33</v>
      </c>
      <c r="D6" t="s">
        <v>34</v>
      </c>
      <c r="E6">
        <v>15</v>
      </c>
      <c r="F6" t="s">
        <v>58</v>
      </c>
      <c r="G6">
        <v>3</v>
      </c>
      <c r="H6">
        <v>1</v>
      </c>
      <c r="I6" t="s">
        <v>36</v>
      </c>
      <c r="J6">
        <v>4</v>
      </c>
      <c r="K6" t="s">
        <v>37</v>
      </c>
      <c r="L6">
        <v>2871</v>
      </c>
      <c r="M6">
        <v>1</v>
      </c>
      <c r="N6" t="s">
        <v>41</v>
      </c>
      <c r="O6">
        <v>15</v>
      </c>
      <c r="P6">
        <v>3</v>
      </c>
      <c r="Q6">
        <v>0</v>
      </c>
      <c r="R6">
        <v>1</v>
      </c>
      <c r="S6">
        <v>5</v>
      </c>
      <c r="T6">
        <v>0</v>
      </c>
      <c r="U6">
        <v>0</v>
      </c>
      <c r="V6">
        <v>0</v>
      </c>
      <c r="W6" t="s">
        <v>56</v>
      </c>
      <c r="X6" s="1" t="d">
        <v>2021-06-14</v>
      </c>
      <c r="Z6" t="s">
        <v>59</v>
      </c>
      <c r="AA6" t="s">
        <v>46</v>
      </c>
      <c r="AB6">
        <v>5</v>
      </c>
      <c r="AC6">
        <v>2</v>
      </c>
      <c r="AD6" t="s">
        <v>41</v>
      </c>
      <c r="AE6" t="s">
        <v>42</v>
      </c>
      <c r="AF6" t="s">
        <v>43</v>
      </c>
    </row>
    <row r="7" spans="1:32" x14ac:dyDescent="0.25">
      <c r="A7">
        <v>19</v>
      </c>
      <c r="B7" t="s">
        <v>32</v>
      </c>
      <c r="C7" t="s">
        <v>33</v>
      </c>
      <c r="D7" t="s">
        <v>53</v>
      </c>
      <c r="E7">
        <v>22</v>
      </c>
      <c r="F7" t="s">
        <v>35</v>
      </c>
      <c r="G7">
        <v>3</v>
      </c>
      <c r="H7">
        <v>1</v>
      </c>
      <c r="I7" t="s">
        <v>54</v>
      </c>
      <c r="J7">
        <v>3</v>
      </c>
      <c r="K7" t="s">
        <v>37</v>
      </c>
      <c r="L7">
        <v>1675</v>
      </c>
      <c r="M7">
        <v>1</v>
      </c>
      <c r="N7" t="s">
        <v>32</v>
      </c>
      <c r="O7">
        <v>19</v>
      </c>
      <c r="P7">
        <v>3</v>
      </c>
      <c r="Q7">
        <v>0</v>
      </c>
      <c r="R7">
        <v>0</v>
      </c>
      <c r="S7">
        <v>2</v>
      </c>
      <c r="T7">
        <v>0</v>
      </c>
      <c r="U7">
        <v>0</v>
      </c>
      <c r="V7">
        <v>0</v>
      </c>
      <c r="W7" t="s">
        <v>56</v>
      </c>
      <c r="X7" s="1" t="d">
        <v>2021-04-14</v>
      </c>
      <c r="Z7" t="s">
        <v>45</v>
      </c>
      <c r="AA7" t="s">
        <v>46</v>
      </c>
      <c r="AB7">
        <v>1</v>
      </c>
      <c r="AC7">
        <v>1</v>
      </c>
      <c r="AD7" t="s">
        <v>32</v>
      </c>
      <c r="AE7" t="s">
        <v>60</v>
      </c>
      <c r="AF7" t="s">
        <v>48</v>
      </c>
    </row>
    <row r="8" spans="1:32" x14ac:dyDescent="0.25">
      <c r="A8">
        <v>19</v>
      </c>
      <c r="B8" t="s">
        <v>32</v>
      </c>
      <c r="C8" t="s">
        <v>61</v>
      </c>
      <c r="D8" t="s">
        <v>53</v>
      </c>
      <c r="E8">
        <v>1</v>
      </c>
      <c r="F8" t="s">
        <v>58</v>
      </c>
      <c r="G8">
        <v>1</v>
      </c>
      <c r="H8">
        <v>1</v>
      </c>
      <c r="I8" t="s">
        <v>54</v>
      </c>
      <c r="J8">
        <v>1</v>
      </c>
      <c r="K8" t="s">
        <v>37</v>
      </c>
      <c r="L8">
        <v>2325</v>
      </c>
      <c r="M8">
        <v>0</v>
      </c>
      <c r="N8" t="s">
        <v>41</v>
      </c>
      <c r="O8">
        <v>21</v>
      </c>
      <c r="P8">
        <v>4</v>
      </c>
      <c r="Q8">
        <v>0</v>
      </c>
      <c r="R8">
        <v>1</v>
      </c>
      <c r="S8">
        <v>5</v>
      </c>
      <c r="T8">
        <v>0</v>
      </c>
      <c r="U8">
        <v>0</v>
      </c>
      <c r="V8">
        <v>0</v>
      </c>
      <c r="W8" t="s">
        <v>56</v>
      </c>
      <c r="X8" s="1" t="d">
        <v>2021-01-12</v>
      </c>
      <c r="Z8" t="s">
        <v>45</v>
      </c>
      <c r="AA8" t="s">
        <v>46</v>
      </c>
      <c r="AB8">
        <v>2</v>
      </c>
      <c r="AC8">
        <v>2</v>
      </c>
      <c r="AD8" t="s">
        <v>41</v>
      </c>
      <c r="AE8" t="s">
        <v>62</v>
      </c>
      <c r="AF8" t="s">
        <v>43</v>
      </c>
    </row>
    <row r="9" spans="1:32" x14ac:dyDescent="0.25">
      <c r="A9">
        <v>28</v>
      </c>
      <c r="B9" t="s">
        <v>32</v>
      </c>
      <c r="C9" t="s">
        <v>33</v>
      </c>
      <c r="D9" t="s">
        <v>34</v>
      </c>
      <c r="E9">
        <v>2</v>
      </c>
      <c r="F9" t="s">
        <v>35</v>
      </c>
      <c r="G9">
        <v>3</v>
      </c>
      <c r="H9">
        <v>1</v>
      </c>
      <c r="I9" t="s">
        <v>36</v>
      </c>
      <c r="J9">
        <v>3</v>
      </c>
      <c r="K9" t="s">
        <v>37</v>
      </c>
      <c r="L9">
        <v>3485</v>
      </c>
      <c r="M9">
        <v>2</v>
      </c>
      <c r="N9" t="s">
        <v>41</v>
      </c>
      <c r="O9">
        <v>11</v>
      </c>
      <c r="P9">
        <v>3</v>
      </c>
      <c r="Q9">
        <v>0</v>
      </c>
      <c r="R9">
        <v>5</v>
      </c>
      <c r="S9">
        <v>5</v>
      </c>
      <c r="T9">
        <v>0</v>
      </c>
      <c r="U9">
        <v>0</v>
      </c>
      <c r="V9">
        <v>0</v>
      </c>
      <c r="W9" t="s">
        <v>51</v>
      </c>
      <c r="X9" s="1" t="d">
        <v>2021-05-30</v>
      </c>
      <c r="Z9" t="s">
        <v>63</v>
      </c>
      <c r="AA9" t="s">
        <v>46</v>
      </c>
      <c r="AB9">
        <v>0</v>
      </c>
      <c r="AC9">
        <v>2</v>
      </c>
      <c r="AD9" t="s">
        <v>41</v>
      </c>
      <c r="AE9" t="s">
        <v>62</v>
      </c>
      <c r="AF9" t="s">
        <v>43</v>
      </c>
    </row>
    <row r="10" spans="1:32" x14ac:dyDescent="0.25">
      <c r="A10">
        <v>29</v>
      </c>
      <c r="B10" t="s">
        <v>41</v>
      </c>
      <c r="C10" t="s">
        <v>33</v>
      </c>
      <c r="D10" t="s">
        <v>53</v>
      </c>
      <c r="E10">
        <v>2</v>
      </c>
      <c r="F10" t="s">
        <v>35</v>
      </c>
      <c r="G10">
        <v>2</v>
      </c>
      <c r="H10">
        <v>2</v>
      </c>
      <c r="I10" t="s">
        <v>64</v>
      </c>
      <c r="J10">
        <v>2</v>
      </c>
      <c r="K10" t="s">
        <v>50</v>
      </c>
      <c r="L10">
        <v>6644</v>
      </c>
      <c r="M10">
        <v>2</v>
      </c>
      <c r="N10" t="s">
        <v>41</v>
      </c>
      <c r="O10">
        <v>19</v>
      </c>
      <c r="P10">
        <v>3</v>
      </c>
      <c r="Q10">
        <v>2</v>
      </c>
      <c r="R10">
        <v>10</v>
      </c>
      <c r="S10">
        <v>2</v>
      </c>
      <c r="T10">
        <v>0</v>
      </c>
      <c r="U10">
        <v>0</v>
      </c>
      <c r="V10">
        <v>0</v>
      </c>
      <c r="W10" t="s">
        <v>38</v>
      </c>
      <c r="X10" s="1" t="d">
        <v>2021-02-28</v>
      </c>
      <c r="Z10" t="s">
        <v>59</v>
      </c>
      <c r="AA10" t="s">
        <v>40</v>
      </c>
      <c r="AB10">
        <v>5</v>
      </c>
      <c r="AC10">
        <v>2</v>
      </c>
      <c r="AD10" t="s">
        <v>41</v>
      </c>
      <c r="AE10" t="s">
        <v>62</v>
      </c>
      <c r="AF10" t="s">
        <v>48</v>
      </c>
    </row>
    <row r="11" spans="1:32" x14ac:dyDescent="0.25">
      <c r="A11">
        <v>18</v>
      </c>
      <c r="B11" t="s">
        <v>32</v>
      </c>
      <c r="C11" t="s">
        <v>33</v>
      </c>
      <c r="D11" t="s">
        <v>34</v>
      </c>
      <c r="E11">
        <v>3</v>
      </c>
      <c r="F11" t="s">
        <v>35</v>
      </c>
      <c r="G11">
        <v>3</v>
      </c>
      <c r="H11">
        <v>1</v>
      </c>
      <c r="I11" t="s">
        <v>36</v>
      </c>
      <c r="J11">
        <v>3</v>
      </c>
      <c r="K11" t="s">
        <v>37</v>
      </c>
      <c r="L11">
        <v>1420</v>
      </c>
      <c r="M11">
        <v>1</v>
      </c>
      <c r="N11" t="s">
        <v>41</v>
      </c>
      <c r="O11">
        <v>13</v>
      </c>
      <c r="P11">
        <v>3</v>
      </c>
      <c r="Q11">
        <v>0</v>
      </c>
      <c r="R11">
        <v>0</v>
      </c>
      <c r="S11">
        <v>2</v>
      </c>
      <c r="T11">
        <v>0</v>
      </c>
      <c r="U11">
        <v>0</v>
      </c>
      <c r="V11">
        <v>0</v>
      </c>
      <c r="W11" t="s">
        <v>56</v>
      </c>
      <c r="X11" s="1" t="d">
        <v>2021-05-06</v>
      </c>
      <c r="Z11" t="s">
        <v>63</v>
      </c>
      <c r="AA11" t="s">
        <v>46</v>
      </c>
      <c r="AB11">
        <v>5</v>
      </c>
      <c r="AC11">
        <v>2</v>
      </c>
      <c r="AD11" t="s">
        <v>41</v>
      </c>
      <c r="AE11" t="s">
        <v>62</v>
      </c>
      <c r="AF11" t="s">
        <v>57</v>
      </c>
    </row>
    <row r="12" spans="1:32" x14ac:dyDescent="0.25">
      <c r="A12">
        <v>18</v>
      </c>
      <c r="B12" t="s">
        <v>41</v>
      </c>
      <c r="C12" t="s">
        <v>33</v>
      </c>
      <c r="D12" t="s">
        <v>53</v>
      </c>
      <c r="E12">
        <v>10</v>
      </c>
      <c r="F12" t="s">
        <v>58</v>
      </c>
      <c r="G12">
        <v>2</v>
      </c>
      <c r="H12">
        <v>1</v>
      </c>
      <c r="I12" t="s">
        <v>54</v>
      </c>
      <c r="J12">
        <v>3</v>
      </c>
      <c r="K12" t="s">
        <v>37</v>
      </c>
      <c r="L12">
        <v>1200</v>
      </c>
      <c r="M12">
        <v>1</v>
      </c>
      <c r="N12" t="s">
        <v>41</v>
      </c>
      <c r="O12">
        <v>12</v>
      </c>
      <c r="P12">
        <v>3</v>
      </c>
      <c r="Q12">
        <v>0</v>
      </c>
      <c r="R12">
        <v>0</v>
      </c>
      <c r="S12">
        <v>2</v>
      </c>
      <c r="T12">
        <v>0</v>
      </c>
      <c r="U12">
        <v>0</v>
      </c>
      <c r="V12">
        <v>0</v>
      </c>
      <c r="W12" t="s">
        <v>65</v>
      </c>
      <c r="X12" s="1" t="d">
        <v>2021-06-17</v>
      </c>
      <c r="Z12" t="s">
        <v>63</v>
      </c>
      <c r="AA12" t="s">
        <v>46</v>
      </c>
      <c r="AB12">
        <v>1</v>
      </c>
      <c r="AC12">
        <v>2</v>
      </c>
      <c r="AD12" t="s">
        <v>32</v>
      </c>
      <c r="AE12" t="s">
        <v>60</v>
      </c>
      <c r="AF12" t="s">
        <v>57</v>
      </c>
    </row>
    <row r="13" spans="1:32" x14ac:dyDescent="0.25">
      <c r="A13">
        <v>47</v>
      </c>
      <c r="B13" t="s">
        <v>41</v>
      </c>
      <c r="C13" t="s">
        <v>61</v>
      </c>
      <c r="D13" t="s">
        <v>53</v>
      </c>
      <c r="E13">
        <v>4</v>
      </c>
      <c r="F13" t="s">
        <v>35</v>
      </c>
      <c r="G13">
        <v>3</v>
      </c>
      <c r="H13">
        <v>2</v>
      </c>
      <c r="I13" t="s">
        <v>54</v>
      </c>
      <c r="J13">
        <v>3</v>
      </c>
      <c r="K13" t="s">
        <v>37</v>
      </c>
      <c r="L13">
        <v>2976</v>
      </c>
      <c r="M13">
        <v>3</v>
      </c>
      <c r="N13" t="s">
        <v>41</v>
      </c>
      <c r="O13">
        <v>19</v>
      </c>
      <c r="P13">
        <v>3</v>
      </c>
      <c r="Q13">
        <v>0</v>
      </c>
      <c r="R13">
        <v>5</v>
      </c>
      <c r="S13">
        <v>3</v>
      </c>
      <c r="T13">
        <v>0</v>
      </c>
      <c r="U13">
        <v>0</v>
      </c>
      <c r="V13">
        <v>0</v>
      </c>
      <c r="W13" t="s">
        <v>65</v>
      </c>
      <c r="X13" s="1" t="d">
        <v>2021-02-25</v>
      </c>
      <c r="Z13" t="s">
        <v>63</v>
      </c>
      <c r="AA13" t="s">
        <v>46</v>
      </c>
      <c r="AB13">
        <v>5</v>
      </c>
      <c r="AC13">
        <v>0</v>
      </c>
      <c r="AD13" t="s">
        <v>32</v>
      </c>
      <c r="AE13" t="s">
        <v>62</v>
      </c>
      <c r="AF13" t="s">
        <v>57</v>
      </c>
    </row>
    <row r="14" spans="1:32" x14ac:dyDescent="0.25">
      <c r="A14">
        <v>48</v>
      </c>
      <c r="B14" t="s">
        <v>41</v>
      </c>
      <c r="C14" t="s">
        <v>33</v>
      </c>
      <c r="D14" t="s">
        <v>53</v>
      </c>
      <c r="E14">
        <v>29</v>
      </c>
      <c r="F14" t="s">
        <v>58</v>
      </c>
      <c r="G14">
        <v>3</v>
      </c>
      <c r="H14">
        <v>3</v>
      </c>
      <c r="I14" t="s">
        <v>66</v>
      </c>
      <c r="J14">
        <v>3</v>
      </c>
      <c r="K14" t="s">
        <v>50</v>
      </c>
      <c r="L14">
        <v>12504</v>
      </c>
      <c r="M14">
        <v>3</v>
      </c>
      <c r="N14" t="s">
        <v>41</v>
      </c>
      <c r="O14">
        <v>21</v>
      </c>
      <c r="P14">
        <v>4</v>
      </c>
      <c r="Q14">
        <v>1</v>
      </c>
      <c r="R14">
        <v>15</v>
      </c>
      <c r="S14">
        <v>3</v>
      </c>
      <c r="T14">
        <v>0</v>
      </c>
      <c r="U14">
        <v>0</v>
      </c>
      <c r="V14">
        <v>0</v>
      </c>
      <c r="W14" t="s">
        <v>56</v>
      </c>
      <c r="X14" s="1" t="d">
        <v>2021-05-06</v>
      </c>
      <c r="Z14" t="s">
        <v>45</v>
      </c>
      <c r="AA14" t="s">
        <v>46</v>
      </c>
      <c r="AB14">
        <v>1</v>
      </c>
      <c r="AC14">
        <v>2</v>
      </c>
      <c r="AD14" t="s">
        <v>32</v>
      </c>
      <c r="AE14" t="s">
        <v>42</v>
      </c>
      <c r="AF14" t="s">
        <v>48</v>
      </c>
    </row>
    <row r="15" spans="1:32" x14ac:dyDescent="0.25">
      <c r="A15">
        <v>18</v>
      </c>
      <c r="B15" t="s">
        <v>32</v>
      </c>
      <c r="C15" t="s">
        <v>61</v>
      </c>
      <c r="D15" t="s">
        <v>53</v>
      </c>
      <c r="E15">
        <v>5</v>
      </c>
      <c r="F15" t="s">
        <v>35</v>
      </c>
      <c r="G15">
        <v>3</v>
      </c>
      <c r="H15">
        <v>1</v>
      </c>
      <c r="I15" t="s">
        <v>54</v>
      </c>
      <c r="J15">
        <v>2</v>
      </c>
      <c r="K15" t="s">
        <v>37</v>
      </c>
      <c r="L15">
        <v>1878</v>
      </c>
      <c r="M15">
        <v>1</v>
      </c>
      <c r="N15" t="s">
        <v>32</v>
      </c>
      <c r="O15">
        <v>14</v>
      </c>
      <c r="P15">
        <v>3</v>
      </c>
      <c r="Q15">
        <v>0</v>
      </c>
      <c r="R15">
        <v>0</v>
      </c>
      <c r="S15">
        <v>3</v>
      </c>
      <c r="T15">
        <v>0</v>
      </c>
      <c r="U15">
        <v>0</v>
      </c>
      <c r="V15">
        <v>0</v>
      </c>
      <c r="W15" t="s">
        <v>51</v>
      </c>
      <c r="X15" s="1" t="d">
        <v>2021-05-12</v>
      </c>
      <c r="Z15" t="s">
        <v>63</v>
      </c>
      <c r="AA15" t="s">
        <v>46</v>
      </c>
      <c r="AB15">
        <v>3</v>
      </c>
      <c r="AC15">
        <v>2</v>
      </c>
      <c r="AD15" t="s">
        <v>41</v>
      </c>
      <c r="AE15" t="s">
        <v>60</v>
      </c>
      <c r="AF15" t="s">
        <v>57</v>
      </c>
    </row>
    <row r="16" spans="1:32" x14ac:dyDescent="0.25">
      <c r="A16">
        <v>26</v>
      </c>
      <c r="B16" t="s">
        <v>41</v>
      </c>
      <c r="C16" t="s">
        <v>33</v>
      </c>
      <c r="D16" t="s">
        <v>53</v>
      </c>
      <c r="E16">
        <v>29</v>
      </c>
      <c r="F16" t="s">
        <v>35</v>
      </c>
      <c r="G16">
        <v>3</v>
      </c>
      <c r="H16">
        <v>2</v>
      </c>
      <c r="I16" t="s">
        <v>64</v>
      </c>
      <c r="J16">
        <v>3</v>
      </c>
      <c r="K16" t="s">
        <v>55</v>
      </c>
      <c r="L16">
        <v>4306</v>
      </c>
      <c r="M16">
        <v>5</v>
      </c>
      <c r="N16" t="s">
        <v>41</v>
      </c>
      <c r="O16">
        <v>12</v>
      </c>
      <c r="P16">
        <v>3</v>
      </c>
      <c r="Q16">
        <v>2</v>
      </c>
      <c r="R16">
        <v>8</v>
      </c>
      <c r="S16">
        <v>5</v>
      </c>
      <c r="T16">
        <v>0</v>
      </c>
      <c r="U16">
        <v>0</v>
      </c>
      <c r="V16">
        <v>0</v>
      </c>
      <c r="W16" t="s">
        <v>38</v>
      </c>
      <c r="X16" s="1" t="d">
        <v>2021-05-25</v>
      </c>
      <c r="Z16" t="s">
        <v>52</v>
      </c>
      <c r="AA16" t="s">
        <v>46</v>
      </c>
      <c r="AB16">
        <v>0</v>
      </c>
      <c r="AC16">
        <v>3</v>
      </c>
      <c r="AD16" t="s">
        <v>32</v>
      </c>
      <c r="AE16" t="s">
        <v>42</v>
      </c>
      <c r="AF16" t="s">
        <v>48</v>
      </c>
    </row>
    <row r="17" spans="1:32" x14ac:dyDescent="0.25">
      <c r="A17">
        <v>38</v>
      </c>
      <c r="B17" t="s">
        <v>41</v>
      </c>
      <c r="C17" t="s">
        <v>33</v>
      </c>
      <c r="D17" t="s">
        <v>34</v>
      </c>
      <c r="E17">
        <v>1</v>
      </c>
      <c r="F17" t="s">
        <v>58</v>
      </c>
      <c r="G17">
        <v>3</v>
      </c>
      <c r="H17">
        <v>1</v>
      </c>
      <c r="I17" t="s">
        <v>44</v>
      </c>
      <c r="J17">
        <v>1</v>
      </c>
      <c r="K17" t="s">
        <v>37</v>
      </c>
      <c r="L17">
        <v>2619</v>
      </c>
      <c r="M17">
        <v>3</v>
      </c>
      <c r="N17" t="s">
        <v>41</v>
      </c>
      <c r="O17">
        <v>17</v>
      </c>
      <c r="P17">
        <v>3</v>
      </c>
      <c r="Q17">
        <v>0</v>
      </c>
      <c r="R17">
        <v>8</v>
      </c>
      <c r="S17">
        <v>3</v>
      </c>
      <c r="T17">
        <v>0</v>
      </c>
      <c r="U17">
        <v>0</v>
      </c>
      <c r="V17">
        <v>0</v>
      </c>
      <c r="W17" t="s">
        <v>38</v>
      </c>
      <c r="X17" s="1" t="d">
        <v>2021-03-30</v>
      </c>
      <c r="Z17" t="s">
        <v>52</v>
      </c>
      <c r="AA17" t="s">
        <v>46</v>
      </c>
      <c r="AB17">
        <v>2</v>
      </c>
      <c r="AC17">
        <v>3</v>
      </c>
      <c r="AD17" t="s">
        <v>41</v>
      </c>
      <c r="AE17" t="s">
        <v>62</v>
      </c>
      <c r="AF17" t="s">
        <v>57</v>
      </c>
    </row>
    <row r="18" spans="1:32" x14ac:dyDescent="0.25">
      <c r="A18">
        <v>34</v>
      </c>
      <c r="B18" t="s">
        <v>41</v>
      </c>
      <c r="C18" t="s">
        <v>33</v>
      </c>
      <c r="D18" t="s">
        <v>34</v>
      </c>
      <c r="E18">
        <v>8</v>
      </c>
      <c r="F18" t="s">
        <v>58</v>
      </c>
      <c r="G18">
        <v>3</v>
      </c>
      <c r="H18">
        <v>2</v>
      </c>
      <c r="I18" t="s">
        <v>67</v>
      </c>
      <c r="J18">
        <v>1</v>
      </c>
      <c r="K18" t="s">
        <v>55</v>
      </c>
      <c r="L18">
        <v>5121</v>
      </c>
      <c r="M18">
        <v>3</v>
      </c>
      <c r="N18" t="s">
        <v>41</v>
      </c>
      <c r="O18">
        <v>14</v>
      </c>
      <c r="P18">
        <v>3</v>
      </c>
      <c r="Q18">
        <v>1</v>
      </c>
      <c r="R18">
        <v>7</v>
      </c>
      <c r="S18">
        <v>3</v>
      </c>
      <c r="T18">
        <v>0</v>
      </c>
      <c r="U18">
        <v>0</v>
      </c>
      <c r="V18">
        <v>0</v>
      </c>
      <c r="W18" t="s">
        <v>65</v>
      </c>
      <c r="X18" s="1" t="d">
        <v>2021-02-16</v>
      </c>
      <c r="Z18" t="s">
        <v>39</v>
      </c>
      <c r="AA18" t="s">
        <v>46</v>
      </c>
      <c r="AB18">
        <v>3</v>
      </c>
      <c r="AC18">
        <v>0</v>
      </c>
      <c r="AD18" t="s">
        <v>41</v>
      </c>
      <c r="AE18" t="s">
        <v>60</v>
      </c>
      <c r="AF18" t="s">
        <v>48</v>
      </c>
    </row>
    <row r="19" spans="1:32" x14ac:dyDescent="0.25">
      <c r="A19">
        <v>23</v>
      </c>
      <c r="B19" t="s">
        <v>32</v>
      </c>
      <c r="C19" t="s">
        <v>33</v>
      </c>
      <c r="D19" t="s">
        <v>34</v>
      </c>
      <c r="E19">
        <v>6</v>
      </c>
      <c r="F19" t="s">
        <v>35</v>
      </c>
      <c r="G19">
        <v>4</v>
      </c>
      <c r="H19">
        <v>1</v>
      </c>
      <c r="I19" t="s">
        <v>36</v>
      </c>
      <c r="J19">
        <v>1</v>
      </c>
      <c r="K19" t="s">
        <v>50</v>
      </c>
      <c r="L19">
        <v>1601</v>
      </c>
      <c r="M19">
        <v>1</v>
      </c>
      <c r="N19" t="s">
        <v>32</v>
      </c>
      <c r="O19">
        <v>21</v>
      </c>
      <c r="P19">
        <v>4</v>
      </c>
      <c r="Q19">
        <v>2</v>
      </c>
      <c r="R19">
        <v>1</v>
      </c>
      <c r="S19">
        <v>2</v>
      </c>
      <c r="T19">
        <v>0</v>
      </c>
      <c r="U19">
        <v>0</v>
      </c>
      <c r="V19">
        <v>0</v>
      </c>
      <c r="W19" t="s">
        <v>38</v>
      </c>
      <c r="X19" s="1" t="d">
        <v>2021-03-10</v>
      </c>
      <c r="Z19" t="s">
        <v>52</v>
      </c>
      <c r="AA19" t="s">
        <v>40</v>
      </c>
      <c r="AB19">
        <v>2</v>
      </c>
      <c r="AC19">
        <v>1</v>
      </c>
      <c r="AD19" t="s">
        <v>32</v>
      </c>
      <c r="AE19" t="s">
        <v>42</v>
      </c>
      <c r="AF19" t="s">
        <v>48</v>
      </c>
    </row>
    <row r="20" spans="1:32" x14ac:dyDescent="0.25">
      <c r="A20">
        <v>30</v>
      </c>
      <c r="B20" t="s">
        <v>41</v>
      </c>
      <c r="C20" t="s">
        <v>33</v>
      </c>
      <c r="D20" t="s">
        <v>34</v>
      </c>
      <c r="E20">
        <v>2</v>
      </c>
      <c r="F20" t="s">
        <v>58</v>
      </c>
      <c r="G20">
        <v>2</v>
      </c>
      <c r="H20">
        <v>2</v>
      </c>
      <c r="I20" t="s">
        <v>67</v>
      </c>
      <c r="J20">
        <v>4</v>
      </c>
      <c r="K20" t="s">
        <v>37</v>
      </c>
      <c r="L20">
        <v>6877</v>
      </c>
      <c r="M20">
        <v>5</v>
      </c>
      <c r="N20" t="s">
        <v>32</v>
      </c>
      <c r="O20">
        <v>24</v>
      </c>
      <c r="P20">
        <v>4</v>
      </c>
      <c r="Q20">
        <v>0</v>
      </c>
      <c r="R20">
        <v>12</v>
      </c>
      <c r="S20">
        <v>4</v>
      </c>
      <c r="T20">
        <v>0</v>
      </c>
      <c r="U20">
        <v>0</v>
      </c>
      <c r="V20">
        <v>0</v>
      </c>
      <c r="W20" t="s">
        <v>38</v>
      </c>
      <c r="X20" s="1" t="d">
        <v>2021-06-25</v>
      </c>
      <c r="Z20" t="s">
        <v>63</v>
      </c>
      <c r="AA20" t="s">
        <v>46</v>
      </c>
      <c r="AB20">
        <v>3</v>
      </c>
      <c r="AC20">
        <v>3</v>
      </c>
      <c r="AD20" t="s">
        <v>32</v>
      </c>
      <c r="AE20" t="s">
        <v>42</v>
      </c>
      <c r="AF20" t="s">
        <v>48</v>
      </c>
    </row>
    <row r="21" spans="1:32" x14ac:dyDescent="0.25">
      <c r="A21">
        <v>27</v>
      </c>
      <c r="B21" t="s">
        <v>41</v>
      </c>
      <c r="C21" t="s">
        <v>68</v>
      </c>
      <c r="D21" t="s">
        <v>34</v>
      </c>
      <c r="E21">
        <v>3</v>
      </c>
      <c r="F21" t="s">
        <v>35</v>
      </c>
      <c r="G21">
        <v>3</v>
      </c>
      <c r="H21">
        <v>1</v>
      </c>
      <c r="I21" t="s">
        <v>44</v>
      </c>
      <c r="J21">
        <v>4</v>
      </c>
      <c r="K21" t="s">
        <v>50</v>
      </c>
      <c r="L21">
        <v>1706</v>
      </c>
      <c r="M21">
        <v>1</v>
      </c>
      <c r="N21" t="s">
        <v>41</v>
      </c>
      <c r="O21">
        <v>11</v>
      </c>
      <c r="P21">
        <v>3</v>
      </c>
      <c r="Q21">
        <v>3</v>
      </c>
      <c r="R21">
        <v>0</v>
      </c>
      <c r="S21">
        <v>6</v>
      </c>
      <c r="T21">
        <v>0</v>
      </c>
      <c r="U21">
        <v>0</v>
      </c>
      <c r="V21">
        <v>0</v>
      </c>
      <c r="W21" t="s">
        <v>38</v>
      </c>
      <c r="X21" s="1" t="d">
        <v>2021-04-12</v>
      </c>
      <c r="Z21" t="s">
        <v>52</v>
      </c>
      <c r="AA21" t="s">
        <v>40</v>
      </c>
      <c r="AB21">
        <v>3</v>
      </c>
      <c r="AC21">
        <v>2</v>
      </c>
      <c r="AD21" t="s">
        <v>41</v>
      </c>
      <c r="AE21" t="s">
        <v>60</v>
      </c>
      <c r="AF21" t="s">
        <v>43</v>
      </c>
    </row>
    <row r="22" spans="1:32" x14ac:dyDescent="0.25">
      <c r="A22">
        <v>48</v>
      </c>
      <c r="B22" t="s">
        <v>41</v>
      </c>
      <c r="C22" t="s">
        <v>33</v>
      </c>
      <c r="D22" t="s">
        <v>34</v>
      </c>
      <c r="E22">
        <v>20</v>
      </c>
      <c r="F22" t="s">
        <v>35</v>
      </c>
      <c r="G22">
        <v>3</v>
      </c>
      <c r="H22">
        <v>1</v>
      </c>
      <c r="I22" t="s">
        <v>44</v>
      </c>
      <c r="J22">
        <v>3</v>
      </c>
      <c r="K22" t="s">
        <v>50</v>
      </c>
      <c r="L22">
        <v>2259</v>
      </c>
      <c r="M22">
        <v>4</v>
      </c>
      <c r="N22" t="s">
        <v>41</v>
      </c>
      <c r="O22">
        <v>17</v>
      </c>
      <c r="P22">
        <v>3</v>
      </c>
      <c r="Q22">
        <v>2</v>
      </c>
      <c r="R22">
        <v>13</v>
      </c>
      <c r="S22">
        <v>2</v>
      </c>
      <c r="T22">
        <v>0</v>
      </c>
      <c r="U22">
        <v>0</v>
      </c>
      <c r="V22">
        <v>0</v>
      </c>
      <c r="W22" t="s">
        <v>51</v>
      </c>
      <c r="X22" s="1" t="d">
        <v>2021-04-25</v>
      </c>
      <c r="Z22" t="s">
        <v>52</v>
      </c>
      <c r="AA22" t="s">
        <v>46</v>
      </c>
      <c r="AB22">
        <v>0</v>
      </c>
      <c r="AC22">
        <v>2</v>
      </c>
      <c r="AD22" t="s">
        <v>32</v>
      </c>
      <c r="AE22" t="s">
        <v>62</v>
      </c>
      <c r="AF22" t="s">
        <v>57</v>
      </c>
    </row>
    <row r="23" spans="1:32" x14ac:dyDescent="0.25">
      <c r="A23">
        <v>29</v>
      </c>
      <c r="B23" t="s">
        <v>32</v>
      </c>
      <c r="C23" t="s">
        <v>33</v>
      </c>
      <c r="D23" t="s">
        <v>34</v>
      </c>
      <c r="E23">
        <v>10</v>
      </c>
      <c r="F23" t="s">
        <v>58</v>
      </c>
      <c r="G23">
        <v>2</v>
      </c>
      <c r="H23">
        <v>1</v>
      </c>
      <c r="I23" t="s">
        <v>44</v>
      </c>
      <c r="J23">
        <v>1</v>
      </c>
      <c r="K23" t="s">
        <v>37</v>
      </c>
      <c r="L23">
        <v>2404</v>
      </c>
      <c r="M23">
        <v>6</v>
      </c>
      <c r="N23" t="s">
        <v>32</v>
      </c>
      <c r="O23">
        <v>20</v>
      </c>
      <c r="P23">
        <v>4</v>
      </c>
      <c r="Q23">
        <v>0</v>
      </c>
      <c r="R23">
        <v>3</v>
      </c>
      <c r="S23">
        <v>5</v>
      </c>
      <c r="T23">
        <v>0</v>
      </c>
      <c r="U23">
        <v>0</v>
      </c>
      <c r="V23">
        <v>0</v>
      </c>
      <c r="W23" t="s">
        <v>65</v>
      </c>
      <c r="X23" s="1" t="d">
        <v>2021-05-11</v>
      </c>
      <c r="Z23" t="s">
        <v>39</v>
      </c>
      <c r="AA23" t="s">
        <v>46</v>
      </c>
      <c r="AB23">
        <v>1</v>
      </c>
      <c r="AC23">
        <v>0</v>
      </c>
      <c r="AD23" t="s">
        <v>41</v>
      </c>
      <c r="AE23" t="s">
        <v>60</v>
      </c>
      <c r="AF23" t="s">
        <v>57</v>
      </c>
    </row>
    <row r="24" spans="1:32" x14ac:dyDescent="0.25">
      <c r="A24">
        <v>18</v>
      </c>
      <c r="B24" t="s">
        <v>41</v>
      </c>
      <c r="C24" t="s">
        <v>68</v>
      </c>
      <c r="D24" t="s">
        <v>34</v>
      </c>
      <c r="E24">
        <v>5</v>
      </c>
      <c r="F24" t="s">
        <v>35</v>
      </c>
      <c r="G24">
        <v>3</v>
      </c>
      <c r="H24">
        <v>1</v>
      </c>
      <c r="I24" t="s">
        <v>44</v>
      </c>
      <c r="J24">
        <v>4</v>
      </c>
      <c r="K24" t="s">
        <v>37</v>
      </c>
      <c r="L24">
        <v>1051</v>
      </c>
      <c r="M24">
        <v>1</v>
      </c>
      <c r="N24" t="s">
        <v>41</v>
      </c>
      <c r="O24">
        <v>15</v>
      </c>
      <c r="P24">
        <v>3</v>
      </c>
      <c r="Q24">
        <v>0</v>
      </c>
      <c r="R24">
        <v>0</v>
      </c>
      <c r="S24">
        <v>2</v>
      </c>
      <c r="T24">
        <v>0</v>
      </c>
      <c r="U24">
        <v>0</v>
      </c>
      <c r="V24">
        <v>0</v>
      </c>
      <c r="W24" t="s">
        <v>51</v>
      </c>
      <c r="X24" s="1" t="d">
        <v>2021-03-19</v>
      </c>
      <c r="Z24" t="s">
        <v>52</v>
      </c>
      <c r="AA24" t="s">
        <v>46</v>
      </c>
      <c r="AB24">
        <v>3</v>
      </c>
      <c r="AC24">
        <v>0</v>
      </c>
      <c r="AD24" t="s">
        <v>41</v>
      </c>
      <c r="AE24" t="s">
        <v>60</v>
      </c>
      <c r="AF24" t="s">
        <v>57</v>
      </c>
    </row>
    <row r="25" spans="1:32" x14ac:dyDescent="0.25">
      <c r="A25">
        <v>50</v>
      </c>
      <c r="B25" t="s">
        <v>32</v>
      </c>
      <c r="C25" t="s">
        <v>61</v>
      </c>
      <c r="D25" t="s">
        <v>53</v>
      </c>
      <c r="E25">
        <v>1</v>
      </c>
      <c r="F25" t="s">
        <v>35</v>
      </c>
      <c r="G25">
        <v>3</v>
      </c>
      <c r="H25">
        <v>2</v>
      </c>
      <c r="I25" t="s">
        <v>64</v>
      </c>
      <c r="J25">
        <v>3</v>
      </c>
      <c r="K25" t="s">
        <v>37</v>
      </c>
      <c r="L25">
        <v>4728</v>
      </c>
      <c r="M25">
        <v>3</v>
      </c>
      <c r="N25" t="s">
        <v>32</v>
      </c>
      <c r="O25">
        <v>14</v>
      </c>
      <c r="P25">
        <v>3</v>
      </c>
      <c r="Q25">
        <v>0</v>
      </c>
      <c r="R25">
        <v>5</v>
      </c>
      <c r="S25">
        <v>4</v>
      </c>
      <c r="T25">
        <v>0</v>
      </c>
      <c r="U25">
        <v>0</v>
      </c>
      <c r="V25">
        <v>0</v>
      </c>
      <c r="W25" t="s">
        <v>38</v>
      </c>
      <c r="X25" s="1" t="d">
        <v>2021-04-29</v>
      </c>
      <c r="Z25" t="s">
        <v>52</v>
      </c>
      <c r="AA25" t="s">
        <v>40</v>
      </c>
      <c r="AB25">
        <v>1</v>
      </c>
      <c r="AC25">
        <v>3</v>
      </c>
      <c r="AD25" t="s">
        <v>41</v>
      </c>
      <c r="AE25" t="s">
        <v>47</v>
      </c>
      <c r="AF25" t="s">
        <v>48</v>
      </c>
    </row>
    <row r="26" spans="1:32" x14ac:dyDescent="0.25">
      <c r="A26">
        <v>34</v>
      </c>
      <c r="B26" t="s">
        <v>41</v>
      </c>
      <c r="C26" t="s">
        <v>68</v>
      </c>
      <c r="D26" t="s">
        <v>34</v>
      </c>
      <c r="E26">
        <v>3</v>
      </c>
      <c r="F26" t="s">
        <v>35</v>
      </c>
      <c r="G26">
        <v>2</v>
      </c>
      <c r="H26">
        <v>1</v>
      </c>
      <c r="I26" t="s">
        <v>44</v>
      </c>
      <c r="J26">
        <v>4</v>
      </c>
      <c r="K26" t="s">
        <v>50</v>
      </c>
      <c r="L26">
        <v>2979</v>
      </c>
      <c r="M26">
        <v>3</v>
      </c>
      <c r="N26" t="s">
        <v>41</v>
      </c>
      <c r="O26">
        <v>17</v>
      </c>
      <c r="P26">
        <v>3</v>
      </c>
      <c r="Q26">
        <v>3</v>
      </c>
      <c r="R26">
        <v>6</v>
      </c>
      <c r="S26">
        <v>2</v>
      </c>
      <c r="T26">
        <v>0</v>
      </c>
      <c r="U26">
        <v>0</v>
      </c>
      <c r="V26">
        <v>0</v>
      </c>
      <c r="W26" t="s">
        <v>65</v>
      </c>
      <c r="X26" s="1" t="d">
        <v>2021-05-23</v>
      </c>
      <c r="Z26" t="s">
        <v>63</v>
      </c>
      <c r="AA26" t="s">
        <v>46</v>
      </c>
      <c r="AB26">
        <v>0</v>
      </c>
      <c r="AC26">
        <v>2</v>
      </c>
      <c r="AD26" t="s">
        <v>41</v>
      </c>
      <c r="AE26" t="s">
        <v>47</v>
      </c>
      <c r="AF26" t="s">
        <v>43</v>
      </c>
    </row>
    <row r="27" spans="1:32" x14ac:dyDescent="0.25">
      <c r="A27">
        <v>18</v>
      </c>
      <c r="B27" t="s">
        <v>32</v>
      </c>
      <c r="C27" t="s">
        <v>68</v>
      </c>
      <c r="D27" t="s">
        <v>34</v>
      </c>
      <c r="E27">
        <v>8</v>
      </c>
      <c r="F27" t="s">
        <v>35</v>
      </c>
      <c r="G27">
        <v>3</v>
      </c>
      <c r="H27">
        <v>1</v>
      </c>
      <c r="I27" t="s">
        <v>36</v>
      </c>
      <c r="J27">
        <v>3</v>
      </c>
      <c r="K27" t="s">
        <v>37</v>
      </c>
      <c r="L27">
        <v>1904</v>
      </c>
      <c r="M27">
        <v>1</v>
      </c>
      <c r="N27" t="s">
        <v>41</v>
      </c>
      <c r="O27">
        <v>12</v>
      </c>
      <c r="P27">
        <v>3</v>
      </c>
      <c r="Q27">
        <v>0</v>
      </c>
      <c r="R27">
        <v>0</v>
      </c>
      <c r="S27">
        <v>0</v>
      </c>
      <c r="T27">
        <v>0</v>
      </c>
      <c r="U27">
        <v>0</v>
      </c>
      <c r="V27">
        <v>0</v>
      </c>
      <c r="W27" t="s">
        <v>56</v>
      </c>
      <c r="X27" s="1" t="d">
        <v>2021-01-06</v>
      </c>
      <c r="Z27" t="s">
        <v>45</v>
      </c>
      <c r="AA27" t="s">
        <v>40</v>
      </c>
      <c r="AB27">
        <v>5</v>
      </c>
      <c r="AC27">
        <v>3</v>
      </c>
      <c r="AD27" t="s">
        <v>41</v>
      </c>
      <c r="AE27" t="s">
        <v>47</v>
      </c>
      <c r="AF27" t="s">
        <v>57</v>
      </c>
    </row>
    <row r="28" spans="1:32" x14ac:dyDescent="0.25">
      <c r="A28">
        <v>22</v>
      </c>
      <c r="B28" t="s">
        <v>32</v>
      </c>
      <c r="C28" t="s">
        <v>61</v>
      </c>
      <c r="D28" t="s">
        <v>34</v>
      </c>
      <c r="E28">
        <v>3</v>
      </c>
      <c r="F28" t="s">
        <v>35</v>
      </c>
      <c r="G28">
        <v>2</v>
      </c>
      <c r="H28">
        <v>1</v>
      </c>
      <c r="I28" t="s">
        <v>44</v>
      </c>
      <c r="J28">
        <v>4</v>
      </c>
      <c r="K28" t="s">
        <v>50</v>
      </c>
      <c r="L28">
        <v>2853</v>
      </c>
      <c r="M28">
        <v>0</v>
      </c>
      <c r="N28" t="s">
        <v>32</v>
      </c>
      <c r="O28">
        <v>11</v>
      </c>
      <c r="P28">
        <v>3</v>
      </c>
      <c r="Q28">
        <v>1</v>
      </c>
      <c r="R28">
        <v>1</v>
      </c>
      <c r="S28">
        <v>5</v>
      </c>
      <c r="T28">
        <v>0</v>
      </c>
      <c r="U28">
        <v>0</v>
      </c>
      <c r="V28">
        <v>0</v>
      </c>
      <c r="W28" t="s">
        <v>65</v>
      </c>
      <c r="X28" s="1" t="d">
        <v>2021-05-26</v>
      </c>
      <c r="Z28" t="s">
        <v>52</v>
      </c>
      <c r="AA28" t="s">
        <v>46</v>
      </c>
      <c r="AB28">
        <v>5</v>
      </c>
      <c r="AC28">
        <v>1</v>
      </c>
      <c r="AD28" t="s">
        <v>41</v>
      </c>
      <c r="AE28" t="s">
        <v>62</v>
      </c>
      <c r="AF28" t="s">
        <v>57</v>
      </c>
    </row>
    <row r="29" spans="1:32" x14ac:dyDescent="0.25">
      <c r="A29">
        <v>44</v>
      </c>
      <c r="B29" t="s">
        <v>41</v>
      </c>
      <c r="C29" t="s">
        <v>68</v>
      </c>
      <c r="D29" t="s">
        <v>34</v>
      </c>
      <c r="E29">
        <v>17</v>
      </c>
      <c r="F29" t="s">
        <v>35</v>
      </c>
      <c r="G29">
        <v>1</v>
      </c>
      <c r="H29">
        <v>1</v>
      </c>
      <c r="I29" t="s">
        <v>44</v>
      </c>
      <c r="J29">
        <v>3</v>
      </c>
      <c r="K29" t="s">
        <v>37</v>
      </c>
      <c r="L29">
        <v>2290</v>
      </c>
      <c r="M29">
        <v>2</v>
      </c>
      <c r="N29" t="s">
        <v>41</v>
      </c>
      <c r="O29">
        <v>13</v>
      </c>
      <c r="P29">
        <v>3</v>
      </c>
      <c r="Q29">
        <v>0</v>
      </c>
      <c r="R29">
        <v>6</v>
      </c>
      <c r="S29">
        <v>3</v>
      </c>
      <c r="T29">
        <v>0</v>
      </c>
      <c r="U29">
        <v>0</v>
      </c>
      <c r="V29">
        <v>0</v>
      </c>
      <c r="W29" t="s">
        <v>56</v>
      </c>
      <c r="X29" s="1" t="d">
        <v>2021-01-04</v>
      </c>
      <c r="Z29" t="s">
        <v>45</v>
      </c>
      <c r="AA29" t="s">
        <v>46</v>
      </c>
      <c r="AB29">
        <v>1</v>
      </c>
      <c r="AC29">
        <v>3</v>
      </c>
      <c r="AD29" t="s">
        <v>41</v>
      </c>
      <c r="AE29" t="s">
        <v>47</v>
      </c>
      <c r="AF29" t="s">
        <v>43</v>
      </c>
    </row>
    <row r="30" spans="1:32" x14ac:dyDescent="0.25">
      <c r="A30">
        <v>40</v>
      </c>
      <c r="B30" t="s">
        <v>41</v>
      </c>
      <c r="C30" t="s">
        <v>61</v>
      </c>
      <c r="D30" t="s">
        <v>53</v>
      </c>
      <c r="E30">
        <v>2</v>
      </c>
      <c r="F30" t="s">
        <v>35</v>
      </c>
      <c r="G30">
        <v>3</v>
      </c>
      <c r="H30">
        <v>2</v>
      </c>
      <c r="I30" t="s">
        <v>64</v>
      </c>
      <c r="J30">
        <v>2</v>
      </c>
      <c r="K30" t="s">
        <v>50</v>
      </c>
      <c r="L30">
        <v>4327</v>
      </c>
      <c r="M30">
        <v>5</v>
      </c>
      <c r="N30" t="s">
        <v>41</v>
      </c>
      <c r="O30">
        <v>12</v>
      </c>
      <c r="P30">
        <v>3</v>
      </c>
      <c r="Q30">
        <v>3</v>
      </c>
      <c r="R30">
        <v>5</v>
      </c>
      <c r="S30">
        <v>2</v>
      </c>
      <c r="T30">
        <v>0</v>
      </c>
      <c r="U30">
        <v>0</v>
      </c>
      <c r="V30">
        <v>0</v>
      </c>
      <c r="W30" t="s">
        <v>51</v>
      </c>
      <c r="X30" s="1" t="d">
        <v>2021-02-01</v>
      </c>
      <c r="Z30" t="s">
        <v>39</v>
      </c>
      <c r="AA30" t="s">
        <v>46</v>
      </c>
      <c r="AB30">
        <v>2</v>
      </c>
      <c r="AC30">
        <v>3</v>
      </c>
      <c r="AD30" t="s">
        <v>32</v>
      </c>
      <c r="AE30" t="s">
        <v>62</v>
      </c>
      <c r="AF30" t="s">
        <v>57</v>
      </c>
    </row>
    <row r="31" spans="1:32" x14ac:dyDescent="0.25">
      <c r="A31">
        <v>45</v>
      </c>
      <c r="B31" t="s">
        <v>41</v>
      </c>
      <c r="C31" t="s">
        <v>61</v>
      </c>
      <c r="D31" t="s">
        <v>34</v>
      </c>
      <c r="E31">
        <v>25</v>
      </c>
      <c r="F31" t="s">
        <v>58</v>
      </c>
      <c r="G31">
        <v>3</v>
      </c>
      <c r="H31">
        <v>5</v>
      </c>
      <c r="I31" t="s">
        <v>66</v>
      </c>
      <c r="J31">
        <v>2</v>
      </c>
      <c r="K31" t="s">
        <v>37</v>
      </c>
      <c r="L31">
        <v>18061</v>
      </c>
      <c r="M31">
        <v>3</v>
      </c>
      <c r="N31" t="s">
        <v>41</v>
      </c>
      <c r="O31">
        <v>22</v>
      </c>
      <c r="P31">
        <v>4</v>
      </c>
      <c r="Q31">
        <v>0</v>
      </c>
      <c r="R31">
        <v>22</v>
      </c>
      <c r="S31">
        <v>4</v>
      </c>
      <c r="T31">
        <v>0</v>
      </c>
      <c r="U31">
        <v>0</v>
      </c>
      <c r="V31">
        <v>0</v>
      </c>
      <c r="W31" t="s">
        <v>65</v>
      </c>
      <c r="X31" s="1" t="d">
        <v>2021-04-16</v>
      </c>
      <c r="Z31" t="s">
        <v>45</v>
      </c>
      <c r="AA31" t="s">
        <v>40</v>
      </c>
      <c r="AB31">
        <v>4</v>
      </c>
      <c r="AC31">
        <v>3</v>
      </c>
      <c r="AD31" t="s">
        <v>32</v>
      </c>
      <c r="AE31" t="s">
        <v>60</v>
      </c>
      <c r="AF31" t="s">
        <v>43</v>
      </c>
    </row>
    <row r="32" spans="1:32" x14ac:dyDescent="0.25">
      <c r="A32">
        <v>18</v>
      </c>
      <c r="B32" t="s">
        <v>41</v>
      </c>
      <c r="C32" t="s">
        <v>68</v>
      </c>
      <c r="D32" t="s">
        <v>34</v>
      </c>
      <c r="E32">
        <v>1</v>
      </c>
      <c r="F32" t="s">
        <v>58</v>
      </c>
      <c r="G32">
        <v>3</v>
      </c>
      <c r="H32">
        <v>1</v>
      </c>
      <c r="I32" t="s">
        <v>36</v>
      </c>
      <c r="J32">
        <v>4</v>
      </c>
      <c r="K32" t="s">
        <v>37</v>
      </c>
      <c r="L32">
        <v>1611</v>
      </c>
      <c r="M32">
        <v>1</v>
      </c>
      <c r="N32" t="s">
        <v>41</v>
      </c>
      <c r="O32">
        <v>15</v>
      </c>
      <c r="P32">
        <v>3</v>
      </c>
      <c r="Q32">
        <v>0</v>
      </c>
      <c r="R32">
        <v>0</v>
      </c>
      <c r="S32">
        <v>5</v>
      </c>
      <c r="T32">
        <v>0</v>
      </c>
      <c r="U32">
        <v>0</v>
      </c>
      <c r="V32">
        <v>0</v>
      </c>
      <c r="W32" t="s">
        <v>65</v>
      </c>
      <c r="X32" s="1" t="d">
        <v>2021-01-04</v>
      </c>
      <c r="Z32" t="s">
        <v>39</v>
      </c>
      <c r="AA32" t="s">
        <v>46</v>
      </c>
      <c r="AB32">
        <v>1</v>
      </c>
      <c r="AC32">
        <v>3</v>
      </c>
      <c r="AD32" t="s">
        <v>32</v>
      </c>
      <c r="AE32" t="s">
        <v>42</v>
      </c>
      <c r="AF32" t="s">
        <v>48</v>
      </c>
    </row>
    <row r="33" spans="1:32" x14ac:dyDescent="0.25">
      <c r="A33">
        <v>24</v>
      </c>
      <c r="B33" t="s">
        <v>32</v>
      </c>
      <c r="C33" t="s">
        <v>61</v>
      </c>
      <c r="D33" t="s">
        <v>34</v>
      </c>
      <c r="E33">
        <v>9</v>
      </c>
      <c r="F33" t="s">
        <v>35</v>
      </c>
      <c r="G33">
        <v>3</v>
      </c>
      <c r="H33">
        <v>1</v>
      </c>
      <c r="I33" t="s">
        <v>36</v>
      </c>
      <c r="J33">
        <v>1</v>
      </c>
      <c r="K33" t="s">
        <v>37</v>
      </c>
      <c r="L33">
        <v>3172</v>
      </c>
      <c r="M33">
        <v>2</v>
      </c>
      <c r="N33" t="s">
        <v>32</v>
      </c>
      <c r="O33">
        <v>11</v>
      </c>
      <c r="P33">
        <v>3</v>
      </c>
      <c r="Q33">
        <v>0</v>
      </c>
      <c r="R33">
        <v>4</v>
      </c>
      <c r="S33">
        <v>2</v>
      </c>
      <c r="T33">
        <v>0</v>
      </c>
      <c r="U33">
        <v>0</v>
      </c>
      <c r="V33">
        <v>0</v>
      </c>
      <c r="W33" t="s">
        <v>38</v>
      </c>
      <c r="X33" s="1" t="d">
        <v>2021-04-22</v>
      </c>
      <c r="Z33" t="s">
        <v>63</v>
      </c>
      <c r="AA33" t="s">
        <v>40</v>
      </c>
      <c r="AB33">
        <v>5</v>
      </c>
      <c r="AC33">
        <v>2</v>
      </c>
      <c r="AD33" t="s">
        <v>32</v>
      </c>
      <c r="AE33" t="s">
        <v>42</v>
      </c>
      <c r="AF33" t="s">
        <v>48</v>
      </c>
    </row>
    <row r="34" spans="1:32" x14ac:dyDescent="0.25">
      <c r="A34">
        <v>28</v>
      </c>
      <c r="B34" t="s">
        <v>32</v>
      </c>
      <c r="C34" t="s">
        <v>61</v>
      </c>
      <c r="D34" t="s">
        <v>34</v>
      </c>
      <c r="E34">
        <v>2</v>
      </c>
      <c r="F34" t="s">
        <v>35</v>
      </c>
      <c r="G34">
        <v>2</v>
      </c>
      <c r="H34">
        <v>1</v>
      </c>
      <c r="I34" t="s">
        <v>36</v>
      </c>
      <c r="J34">
        <v>1</v>
      </c>
      <c r="K34" t="s">
        <v>37</v>
      </c>
      <c r="L34">
        <v>2561</v>
      </c>
      <c r="M34">
        <v>7</v>
      </c>
      <c r="N34" t="s">
        <v>41</v>
      </c>
      <c r="O34">
        <v>11</v>
      </c>
      <c r="P34">
        <v>3</v>
      </c>
      <c r="Q34">
        <v>0</v>
      </c>
      <c r="R34">
        <v>8</v>
      </c>
      <c r="S34">
        <v>2</v>
      </c>
      <c r="T34">
        <v>0</v>
      </c>
      <c r="U34">
        <v>0</v>
      </c>
      <c r="V34">
        <v>0</v>
      </c>
      <c r="W34" t="s">
        <v>65</v>
      </c>
      <c r="X34" s="1" t="d">
        <v>2021-02-20</v>
      </c>
      <c r="Z34" t="s">
        <v>52</v>
      </c>
      <c r="AA34" t="s">
        <v>46</v>
      </c>
      <c r="AB34">
        <v>5</v>
      </c>
      <c r="AC34">
        <v>0</v>
      </c>
      <c r="AD34" t="s">
        <v>41</v>
      </c>
      <c r="AE34" t="s">
        <v>42</v>
      </c>
      <c r="AF34" t="s">
        <v>57</v>
      </c>
    </row>
    <row r="35" spans="1:32" x14ac:dyDescent="0.25">
      <c r="A35">
        <v>33</v>
      </c>
      <c r="B35" t="s">
        <v>41</v>
      </c>
      <c r="C35" t="s">
        <v>33</v>
      </c>
      <c r="D35" t="s">
        <v>34</v>
      </c>
      <c r="E35">
        <v>8</v>
      </c>
      <c r="F35" t="s">
        <v>35</v>
      </c>
      <c r="G35">
        <v>3</v>
      </c>
      <c r="H35">
        <v>2</v>
      </c>
      <c r="I35" t="s">
        <v>69</v>
      </c>
      <c r="J35">
        <v>3</v>
      </c>
      <c r="K35" t="s">
        <v>37</v>
      </c>
      <c r="L35">
        <v>6388</v>
      </c>
      <c r="M35">
        <v>2</v>
      </c>
      <c r="N35" t="s">
        <v>32</v>
      </c>
      <c r="O35">
        <v>17</v>
      </c>
      <c r="P35">
        <v>3</v>
      </c>
      <c r="Q35">
        <v>0</v>
      </c>
      <c r="R35">
        <v>14</v>
      </c>
      <c r="S35">
        <v>6</v>
      </c>
      <c r="T35">
        <v>0</v>
      </c>
      <c r="U35">
        <v>0</v>
      </c>
      <c r="V35">
        <v>0</v>
      </c>
      <c r="W35" t="s">
        <v>38</v>
      </c>
      <c r="X35" s="1" t="d">
        <v>2021-04-06</v>
      </c>
      <c r="Z35" t="s">
        <v>45</v>
      </c>
      <c r="AA35" t="s">
        <v>40</v>
      </c>
      <c r="AB35">
        <v>3</v>
      </c>
      <c r="AC35">
        <v>3</v>
      </c>
      <c r="AD35" t="s">
        <v>41</v>
      </c>
      <c r="AE35" t="s">
        <v>60</v>
      </c>
      <c r="AF35" t="s">
        <v>57</v>
      </c>
    </row>
    <row r="36" spans="1:32" x14ac:dyDescent="0.25">
      <c r="A36">
        <v>18</v>
      </c>
      <c r="B36" t="s">
        <v>32</v>
      </c>
      <c r="C36" t="s">
        <v>61</v>
      </c>
      <c r="D36" t="s">
        <v>53</v>
      </c>
      <c r="E36">
        <v>3</v>
      </c>
      <c r="F36" t="s">
        <v>58</v>
      </c>
      <c r="G36">
        <v>3</v>
      </c>
      <c r="H36">
        <v>1</v>
      </c>
      <c r="I36" t="s">
        <v>54</v>
      </c>
      <c r="J36">
        <v>4</v>
      </c>
      <c r="K36" t="s">
        <v>37</v>
      </c>
      <c r="L36">
        <v>1569</v>
      </c>
      <c r="M36">
        <v>1</v>
      </c>
      <c r="N36" t="s">
        <v>32</v>
      </c>
      <c r="O36">
        <v>12</v>
      </c>
      <c r="P36">
        <v>3</v>
      </c>
      <c r="Q36">
        <v>0</v>
      </c>
      <c r="R36">
        <v>0</v>
      </c>
      <c r="S36">
        <v>2</v>
      </c>
      <c r="T36">
        <v>0</v>
      </c>
      <c r="U36">
        <v>0</v>
      </c>
      <c r="V36">
        <v>0</v>
      </c>
      <c r="W36" t="s">
        <v>65</v>
      </c>
      <c r="X36" s="1" t="d">
        <v>2021-01-29</v>
      </c>
      <c r="Z36" t="s">
        <v>52</v>
      </c>
      <c r="AA36" t="s">
        <v>40</v>
      </c>
      <c r="AB36">
        <v>0</v>
      </c>
      <c r="AC36">
        <v>1</v>
      </c>
      <c r="AD36" t="s">
        <v>41</v>
      </c>
      <c r="AE36" t="s">
        <v>47</v>
      </c>
      <c r="AF36" t="s">
        <v>48</v>
      </c>
    </row>
    <row r="37" spans="1:32" x14ac:dyDescent="0.25">
      <c r="A37">
        <v>38</v>
      </c>
      <c r="B37" t="s">
        <v>41</v>
      </c>
      <c r="C37" t="s">
        <v>33</v>
      </c>
      <c r="D37" t="s">
        <v>34</v>
      </c>
      <c r="E37">
        <v>4</v>
      </c>
      <c r="F37" t="s">
        <v>58</v>
      </c>
      <c r="G37">
        <v>3</v>
      </c>
      <c r="H37">
        <v>1</v>
      </c>
      <c r="I37" t="s">
        <v>36</v>
      </c>
      <c r="J37">
        <v>3</v>
      </c>
      <c r="K37" t="s">
        <v>50</v>
      </c>
      <c r="L37">
        <v>3306</v>
      </c>
      <c r="M37">
        <v>7</v>
      </c>
      <c r="N37" t="s">
        <v>41</v>
      </c>
      <c r="O37">
        <v>19</v>
      </c>
      <c r="P37">
        <v>3</v>
      </c>
      <c r="Q37">
        <v>1</v>
      </c>
      <c r="R37">
        <v>7</v>
      </c>
      <c r="S37">
        <v>5</v>
      </c>
      <c r="T37">
        <v>0</v>
      </c>
      <c r="U37">
        <v>0</v>
      </c>
      <c r="V37">
        <v>0</v>
      </c>
      <c r="W37" t="s">
        <v>51</v>
      </c>
      <c r="X37" s="1" t="d">
        <v>2021-01-25</v>
      </c>
      <c r="Z37" t="s">
        <v>52</v>
      </c>
      <c r="AA37" t="s">
        <v>40</v>
      </c>
      <c r="AB37">
        <v>2</v>
      </c>
      <c r="AC37">
        <v>3</v>
      </c>
      <c r="AD37" t="s">
        <v>32</v>
      </c>
      <c r="AE37" t="s">
        <v>62</v>
      </c>
      <c r="AF37" t="s">
        <v>57</v>
      </c>
    </row>
    <row r="38" spans="1:32" x14ac:dyDescent="0.25">
      <c r="A38">
        <v>32</v>
      </c>
      <c r="B38" t="s">
        <v>32</v>
      </c>
      <c r="C38" t="s">
        <v>33</v>
      </c>
      <c r="D38" t="s">
        <v>53</v>
      </c>
      <c r="E38">
        <v>1</v>
      </c>
      <c r="F38" t="s">
        <v>35</v>
      </c>
      <c r="G38">
        <v>1</v>
      </c>
      <c r="H38">
        <v>2</v>
      </c>
      <c r="I38" t="s">
        <v>64</v>
      </c>
      <c r="J38">
        <v>2</v>
      </c>
      <c r="K38" t="s">
        <v>37</v>
      </c>
      <c r="L38">
        <v>6735</v>
      </c>
      <c r="M38">
        <v>6</v>
      </c>
      <c r="N38" t="s">
        <v>41</v>
      </c>
      <c r="O38">
        <v>15</v>
      </c>
      <c r="P38">
        <v>3</v>
      </c>
      <c r="Q38">
        <v>0</v>
      </c>
      <c r="R38">
        <v>10</v>
      </c>
      <c r="S38">
        <v>2</v>
      </c>
      <c r="T38">
        <v>0</v>
      </c>
      <c r="U38">
        <v>0</v>
      </c>
      <c r="V38">
        <v>0</v>
      </c>
      <c r="W38" t="s">
        <v>56</v>
      </c>
      <c r="X38" s="1" t="d">
        <v>2021-06-17</v>
      </c>
      <c r="Z38" t="s">
        <v>63</v>
      </c>
      <c r="AA38" t="s">
        <v>46</v>
      </c>
      <c r="AB38">
        <v>1</v>
      </c>
      <c r="AC38">
        <v>1</v>
      </c>
      <c r="AD38" t="s">
        <v>32</v>
      </c>
      <c r="AE38" t="s">
        <v>47</v>
      </c>
      <c r="AF38" t="s">
        <v>57</v>
      </c>
    </row>
    <row r="39" spans="1:32" x14ac:dyDescent="0.25">
      <c r="A39">
        <v>33</v>
      </c>
      <c r="B39" t="s">
        <v>32</v>
      </c>
      <c r="C39" t="s">
        <v>33</v>
      </c>
      <c r="D39" t="s">
        <v>53</v>
      </c>
      <c r="E39">
        <v>16</v>
      </c>
      <c r="F39" t="s">
        <v>58</v>
      </c>
      <c r="G39">
        <v>3</v>
      </c>
      <c r="H39">
        <v>3</v>
      </c>
      <c r="I39" t="s">
        <v>64</v>
      </c>
      <c r="J39">
        <v>1</v>
      </c>
      <c r="K39" t="s">
        <v>37</v>
      </c>
      <c r="L39">
        <v>8564</v>
      </c>
      <c r="M39">
        <v>2</v>
      </c>
      <c r="N39" t="s">
        <v>32</v>
      </c>
      <c r="O39">
        <v>20</v>
      </c>
      <c r="P39">
        <v>4</v>
      </c>
      <c r="Q39">
        <v>0</v>
      </c>
      <c r="R39">
        <v>11</v>
      </c>
      <c r="S39">
        <v>2</v>
      </c>
      <c r="T39">
        <v>0</v>
      </c>
      <c r="U39">
        <v>0</v>
      </c>
      <c r="V39">
        <v>0</v>
      </c>
      <c r="W39" t="s">
        <v>51</v>
      </c>
      <c r="X39" s="1" t="d">
        <v>2021-01-07</v>
      </c>
      <c r="Z39" t="s">
        <v>39</v>
      </c>
      <c r="AA39" t="s">
        <v>40</v>
      </c>
      <c r="AB39">
        <v>5</v>
      </c>
      <c r="AC39">
        <v>1</v>
      </c>
      <c r="AD39" t="s">
        <v>41</v>
      </c>
      <c r="AE39" t="s">
        <v>47</v>
      </c>
      <c r="AF39" t="s">
        <v>43</v>
      </c>
    </row>
    <row r="40" spans="1:32" x14ac:dyDescent="0.25">
      <c r="A40">
        <v>42</v>
      </c>
      <c r="B40" t="s">
        <v>41</v>
      </c>
      <c r="C40" t="s">
        <v>33</v>
      </c>
      <c r="D40" t="s">
        <v>34</v>
      </c>
      <c r="E40">
        <v>13</v>
      </c>
      <c r="F40" t="s">
        <v>35</v>
      </c>
      <c r="G40">
        <v>4</v>
      </c>
      <c r="H40">
        <v>2</v>
      </c>
      <c r="I40" t="s">
        <v>69</v>
      </c>
      <c r="J40">
        <v>1</v>
      </c>
      <c r="K40" t="s">
        <v>50</v>
      </c>
      <c r="L40">
        <v>5538</v>
      </c>
      <c r="M40">
        <v>5</v>
      </c>
      <c r="N40" t="s">
        <v>41</v>
      </c>
      <c r="O40">
        <v>18</v>
      </c>
      <c r="P40">
        <v>3</v>
      </c>
      <c r="Q40">
        <v>2</v>
      </c>
      <c r="R40">
        <v>10</v>
      </c>
      <c r="S40">
        <v>2</v>
      </c>
      <c r="T40">
        <v>0</v>
      </c>
      <c r="U40">
        <v>0</v>
      </c>
      <c r="V40">
        <v>0</v>
      </c>
      <c r="W40" t="s">
        <v>51</v>
      </c>
      <c r="X40" s="1" t="d">
        <v>2021-03-02</v>
      </c>
      <c r="Z40" t="s">
        <v>45</v>
      </c>
      <c r="AA40" t="s">
        <v>46</v>
      </c>
      <c r="AB40">
        <v>3</v>
      </c>
      <c r="AC40">
        <v>0</v>
      </c>
      <c r="AD40" t="s">
        <v>32</v>
      </c>
      <c r="AE40" t="s">
        <v>42</v>
      </c>
      <c r="AF40" t="s">
        <v>43</v>
      </c>
    </row>
    <row r="41" spans="1:32" x14ac:dyDescent="0.25">
      <c r="A41">
        <v>18</v>
      </c>
      <c r="B41" t="s">
        <v>41</v>
      </c>
      <c r="C41" t="s">
        <v>68</v>
      </c>
      <c r="D41" t="s">
        <v>34</v>
      </c>
      <c r="E41">
        <v>14</v>
      </c>
      <c r="F41" t="s">
        <v>58</v>
      </c>
      <c r="G41">
        <v>3</v>
      </c>
      <c r="H41">
        <v>1</v>
      </c>
      <c r="I41" t="s">
        <v>44</v>
      </c>
      <c r="J41">
        <v>3</v>
      </c>
      <c r="K41" t="s">
        <v>37</v>
      </c>
      <c r="L41">
        <v>1514</v>
      </c>
      <c r="M41">
        <v>1</v>
      </c>
      <c r="N41" t="s">
        <v>41</v>
      </c>
      <c r="O41">
        <v>16</v>
      </c>
      <c r="P41">
        <v>3</v>
      </c>
      <c r="Q41">
        <v>0</v>
      </c>
      <c r="R41">
        <v>0</v>
      </c>
      <c r="S41">
        <v>4</v>
      </c>
      <c r="T41">
        <v>0</v>
      </c>
      <c r="U41">
        <v>0</v>
      </c>
      <c r="V41">
        <v>0</v>
      </c>
      <c r="W41" t="s">
        <v>38</v>
      </c>
      <c r="X41" s="1" t="d">
        <v>2021-03-23</v>
      </c>
      <c r="Z41" t="s">
        <v>63</v>
      </c>
      <c r="AA41" t="s">
        <v>46</v>
      </c>
      <c r="AB41">
        <v>4</v>
      </c>
      <c r="AC41">
        <v>3</v>
      </c>
      <c r="AD41" t="s">
        <v>41</v>
      </c>
      <c r="AE41" t="s">
        <v>62</v>
      </c>
      <c r="AF41" t="s">
        <v>43</v>
      </c>
    </row>
    <row r="42" spans="1:32" x14ac:dyDescent="0.25">
      <c r="A42">
        <v>32</v>
      </c>
      <c r="B42" t="s">
        <v>41</v>
      </c>
      <c r="C42" t="s">
        <v>61</v>
      </c>
      <c r="D42" t="s">
        <v>53</v>
      </c>
      <c r="E42">
        <v>10</v>
      </c>
      <c r="F42" t="s">
        <v>35</v>
      </c>
      <c r="G42">
        <v>3</v>
      </c>
      <c r="H42">
        <v>2</v>
      </c>
      <c r="I42" t="s">
        <v>64</v>
      </c>
      <c r="J42">
        <v>4</v>
      </c>
      <c r="K42" t="s">
        <v>37</v>
      </c>
      <c r="L42">
        <v>4648</v>
      </c>
      <c r="M42">
        <v>8</v>
      </c>
      <c r="N42" t="s">
        <v>41</v>
      </c>
      <c r="O42">
        <v>13</v>
      </c>
      <c r="P42">
        <v>3</v>
      </c>
      <c r="Q42">
        <v>0</v>
      </c>
      <c r="R42">
        <v>4</v>
      </c>
      <c r="S42">
        <v>2</v>
      </c>
      <c r="T42">
        <v>0</v>
      </c>
      <c r="U42">
        <v>0</v>
      </c>
      <c r="V42">
        <v>0</v>
      </c>
      <c r="W42" t="s">
        <v>51</v>
      </c>
      <c r="X42" s="1" t="d">
        <v>2021-03-20</v>
      </c>
      <c r="Z42" t="s">
        <v>63</v>
      </c>
      <c r="AA42" t="s">
        <v>40</v>
      </c>
      <c r="AB42">
        <v>3</v>
      </c>
      <c r="AC42">
        <v>3</v>
      </c>
      <c r="AD42" t="s">
        <v>32</v>
      </c>
      <c r="AE42" t="s">
        <v>62</v>
      </c>
      <c r="AF42" t="s">
        <v>43</v>
      </c>
    </row>
    <row r="43" spans="1:32" x14ac:dyDescent="0.25">
      <c r="A43">
        <v>42</v>
      </c>
      <c r="B43" t="s">
        <v>41</v>
      </c>
      <c r="C43" t="s">
        <v>33</v>
      </c>
      <c r="D43" t="s">
        <v>34</v>
      </c>
      <c r="E43">
        <v>8</v>
      </c>
      <c r="F43" t="s">
        <v>35</v>
      </c>
      <c r="G43">
        <v>3</v>
      </c>
      <c r="H43">
        <v>1</v>
      </c>
      <c r="I43" t="s">
        <v>36</v>
      </c>
      <c r="J43">
        <v>3</v>
      </c>
      <c r="K43" t="s">
        <v>37</v>
      </c>
      <c r="L43">
        <v>3968</v>
      </c>
      <c r="M43">
        <v>4</v>
      </c>
      <c r="N43" t="s">
        <v>41</v>
      </c>
      <c r="O43">
        <v>13</v>
      </c>
      <c r="P43">
        <v>3</v>
      </c>
      <c r="Q43">
        <v>0</v>
      </c>
      <c r="R43">
        <v>8</v>
      </c>
      <c r="S43">
        <v>3</v>
      </c>
      <c r="T43">
        <v>0</v>
      </c>
      <c r="U43">
        <v>0</v>
      </c>
      <c r="V43">
        <v>0</v>
      </c>
      <c r="W43" t="s">
        <v>38</v>
      </c>
      <c r="X43" s="1" t="d">
        <v>2021-03-09</v>
      </c>
      <c r="Z43" t="s">
        <v>59</v>
      </c>
      <c r="AA43" t="s">
        <v>40</v>
      </c>
      <c r="AB43">
        <v>5</v>
      </c>
      <c r="AC43">
        <v>1</v>
      </c>
      <c r="AD43" t="s">
        <v>41</v>
      </c>
      <c r="AE43" t="s">
        <v>60</v>
      </c>
      <c r="AF43" t="s">
        <v>57</v>
      </c>
    </row>
    <row r="44" spans="1:32" x14ac:dyDescent="0.25">
      <c r="A44">
        <v>56</v>
      </c>
      <c r="B44" t="s">
        <v>41</v>
      </c>
      <c r="C44" t="s">
        <v>33</v>
      </c>
      <c r="D44" t="s">
        <v>53</v>
      </c>
      <c r="E44">
        <v>11</v>
      </c>
      <c r="F44" t="s">
        <v>58</v>
      </c>
      <c r="G44">
        <v>2</v>
      </c>
      <c r="H44">
        <v>2</v>
      </c>
      <c r="I44" t="s">
        <v>64</v>
      </c>
      <c r="J44">
        <v>1</v>
      </c>
      <c r="K44" t="s">
        <v>50</v>
      </c>
      <c r="L44">
        <v>5380</v>
      </c>
      <c r="M44">
        <v>4</v>
      </c>
      <c r="N44" t="s">
        <v>41</v>
      </c>
      <c r="O44">
        <v>16</v>
      </c>
      <c r="P44">
        <v>3</v>
      </c>
      <c r="Q44">
        <v>1</v>
      </c>
      <c r="R44">
        <v>6</v>
      </c>
      <c r="S44">
        <v>3</v>
      </c>
      <c r="T44">
        <v>0</v>
      </c>
      <c r="U44">
        <v>0</v>
      </c>
      <c r="V44">
        <v>0</v>
      </c>
      <c r="W44" t="s">
        <v>56</v>
      </c>
      <c r="X44" s="1" t="d">
        <v>2021-05-30</v>
      </c>
      <c r="Z44" t="s">
        <v>59</v>
      </c>
      <c r="AA44" t="s">
        <v>40</v>
      </c>
      <c r="AB44">
        <v>5</v>
      </c>
      <c r="AC44">
        <v>0</v>
      </c>
      <c r="AD44" t="s">
        <v>32</v>
      </c>
      <c r="AE44" t="s">
        <v>47</v>
      </c>
      <c r="AF44" t="s">
        <v>43</v>
      </c>
    </row>
    <row r="45" spans="1:32" x14ac:dyDescent="0.25">
      <c r="A45">
        <v>42</v>
      </c>
      <c r="B45" t="s">
        <v>41</v>
      </c>
      <c r="C45" t="s">
        <v>33</v>
      </c>
      <c r="D45" t="s">
        <v>53</v>
      </c>
      <c r="E45">
        <v>12</v>
      </c>
      <c r="F45" t="s">
        <v>35</v>
      </c>
      <c r="G45">
        <v>3</v>
      </c>
      <c r="H45">
        <v>2</v>
      </c>
      <c r="I45" t="s">
        <v>64</v>
      </c>
      <c r="J45">
        <v>4</v>
      </c>
      <c r="K45" t="s">
        <v>55</v>
      </c>
      <c r="L45">
        <v>5087</v>
      </c>
      <c r="M45">
        <v>3</v>
      </c>
      <c r="N45" t="s">
        <v>32</v>
      </c>
      <c r="O45">
        <v>12</v>
      </c>
      <c r="P45">
        <v>3</v>
      </c>
      <c r="Q45">
        <v>2</v>
      </c>
      <c r="R45">
        <v>14</v>
      </c>
      <c r="S45">
        <v>4</v>
      </c>
      <c r="T45">
        <v>0</v>
      </c>
      <c r="U45">
        <v>0</v>
      </c>
      <c r="V45">
        <v>0</v>
      </c>
      <c r="W45" t="s">
        <v>56</v>
      </c>
      <c r="X45" s="1" t="d">
        <v>2021-02-12</v>
      </c>
      <c r="Z45" t="s">
        <v>63</v>
      </c>
      <c r="AA45" t="s">
        <v>40</v>
      </c>
      <c r="AB45">
        <v>1</v>
      </c>
      <c r="AC45">
        <v>2</v>
      </c>
      <c r="AD45" t="s">
        <v>41</v>
      </c>
      <c r="AE45" t="s">
        <v>47</v>
      </c>
      <c r="AF45" t="s">
        <v>48</v>
      </c>
    </row>
    <row r="46" spans="1:32" x14ac:dyDescent="0.25">
      <c r="A46">
        <v>59</v>
      </c>
      <c r="B46" t="s">
        <v>41</v>
      </c>
      <c r="C46" t="s">
        <v>33</v>
      </c>
      <c r="D46" t="s">
        <v>34</v>
      </c>
      <c r="E46">
        <v>3</v>
      </c>
      <c r="F46" t="s">
        <v>58</v>
      </c>
      <c r="G46">
        <v>4</v>
      </c>
      <c r="H46">
        <v>1</v>
      </c>
      <c r="I46" t="s">
        <v>36</v>
      </c>
      <c r="J46">
        <v>1</v>
      </c>
      <c r="K46" t="s">
        <v>50</v>
      </c>
      <c r="L46">
        <v>2670</v>
      </c>
      <c r="M46">
        <v>4</v>
      </c>
      <c r="N46" t="s">
        <v>32</v>
      </c>
      <c r="O46">
        <v>20</v>
      </c>
      <c r="P46">
        <v>4</v>
      </c>
      <c r="Q46">
        <v>3</v>
      </c>
      <c r="R46">
        <v>12</v>
      </c>
      <c r="S46">
        <v>3</v>
      </c>
      <c r="T46">
        <v>1</v>
      </c>
      <c r="U46">
        <v>0</v>
      </c>
      <c r="V46">
        <v>0</v>
      </c>
      <c r="W46" t="s">
        <v>51</v>
      </c>
      <c r="X46" s="1" t="d">
        <v>2020-05-10</v>
      </c>
      <c r="Z46" t="s">
        <v>45</v>
      </c>
      <c r="AA46" t="s">
        <v>40</v>
      </c>
      <c r="AB46">
        <v>2</v>
      </c>
      <c r="AC46">
        <v>1</v>
      </c>
      <c r="AD46" t="s">
        <v>32</v>
      </c>
      <c r="AE46" t="s">
        <v>42</v>
      </c>
      <c r="AF46" t="s">
        <v>43</v>
      </c>
    </row>
    <row r="47" spans="1:32" x14ac:dyDescent="0.25">
      <c r="A47">
        <v>30</v>
      </c>
      <c r="B47" t="s">
        <v>41</v>
      </c>
      <c r="C47" t="s">
        <v>33</v>
      </c>
      <c r="D47" t="s">
        <v>34</v>
      </c>
      <c r="E47">
        <v>24</v>
      </c>
      <c r="F47" t="s">
        <v>35</v>
      </c>
      <c r="G47">
        <v>3</v>
      </c>
      <c r="H47">
        <v>1</v>
      </c>
      <c r="I47" t="s">
        <v>36</v>
      </c>
      <c r="J47">
        <v>3</v>
      </c>
      <c r="K47" t="s">
        <v>55</v>
      </c>
      <c r="L47">
        <v>2693</v>
      </c>
      <c r="M47">
        <v>1</v>
      </c>
      <c r="N47" t="s">
        <v>41</v>
      </c>
      <c r="O47">
        <v>22</v>
      </c>
      <c r="P47">
        <v>4</v>
      </c>
      <c r="Q47">
        <v>1</v>
      </c>
      <c r="R47">
        <v>1</v>
      </c>
      <c r="S47">
        <v>2</v>
      </c>
      <c r="T47">
        <v>1</v>
      </c>
      <c r="U47">
        <v>0</v>
      </c>
      <c r="V47">
        <v>0</v>
      </c>
      <c r="W47" t="s">
        <v>38</v>
      </c>
      <c r="X47" s="1" t="d">
        <v>2020-02-28</v>
      </c>
      <c r="Z47" t="s">
        <v>45</v>
      </c>
      <c r="AA47" t="s">
        <v>46</v>
      </c>
      <c r="AB47">
        <v>2</v>
      </c>
      <c r="AC47">
        <v>3</v>
      </c>
      <c r="AD47" t="s">
        <v>41</v>
      </c>
      <c r="AE47" t="s">
        <v>62</v>
      </c>
      <c r="AF47" t="s">
        <v>48</v>
      </c>
    </row>
    <row r="48" spans="1:32" x14ac:dyDescent="0.25">
      <c r="A48">
        <v>22</v>
      </c>
      <c r="B48" t="s">
        <v>41</v>
      </c>
      <c r="C48" t="s">
        <v>68</v>
      </c>
      <c r="D48" t="s">
        <v>34</v>
      </c>
      <c r="E48">
        <v>16</v>
      </c>
      <c r="F48" t="s">
        <v>35</v>
      </c>
      <c r="G48">
        <v>4</v>
      </c>
      <c r="H48">
        <v>1</v>
      </c>
      <c r="I48" t="s">
        <v>36</v>
      </c>
      <c r="J48">
        <v>4</v>
      </c>
      <c r="K48" t="s">
        <v>55</v>
      </c>
      <c r="L48">
        <v>2935</v>
      </c>
      <c r="M48">
        <v>1</v>
      </c>
      <c r="N48" t="s">
        <v>32</v>
      </c>
      <c r="O48">
        <v>13</v>
      </c>
      <c r="P48">
        <v>3</v>
      </c>
      <c r="Q48">
        <v>2</v>
      </c>
      <c r="R48">
        <v>1</v>
      </c>
      <c r="S48">
        <v>2</v>
      </c>
      <c r="T48">
        <v>1</v>
      </c>
      <c r="U48">
        <v>0</v>
      </c>
      <c r="V48">
        <v>0</v>
      </c>
      <c r="W48" t="s">
        <v>56</v>
      </c>
      <c r="X48" s="1" t="d">
        <v>2020-04-14</v>
      </c>
      <c r="Z48" t="s">
        <v>39</v>
      </c>
      <c r="AA48" t="s">
        <v>40</v>
      </c>
      <c r="AB48">
        <v>0</v>
      </c>
      <c r="AC48">
        <v>0</v>
      </c>
      <c r="AD48" t="s">
        <v>32</v>
      </c>
      <c r="AE48" t="s">
        <v>62</v>
      </c>
      <c r="AF48" t="s">
        <v>43</v>
      </c>
    </row>
    <row r="49" spans="1:32" x14ac:dyDescent="0.25">
      <c r="A49">
        <v>33</v>
      </c>
      <c r="B49" t="s">
        <v>41</v>
      </c>
      <c r="C49" t="s">
        <v>33</v>
      </c>
      <c r="D49" t="s">
        <v>34</v>
      </c>
      <c r="E49">
        <v>2</v>
      </c>
      <c r="F49" t="s">
        <v>35</v>
      </c>
      <c r="G49">
        <v>3</v>
      </c>
      <c r="H49">
        <v>1</v>
      </c>
      <c r="I49" t="s">
        <v>36</v>
      </c>
      <c r="J49">
        <v>4</v>
      </c>
      <c r="K49" t="s">
        <v>37</v>
      </c>
      <c r="L49">
        <v>2496</v>
      </c>
      <c r="M49">
        <v>4</v>
      </c>
      <c r="N49" t="s">
        <v>41</v>
      </c>
      <c r="O49">
        <v>11</v>
      </c>
      <c r="P49">
        <v>3</v>
      </c>
      <c r="Q49">
        <v>0</v>
      </c>
      <c r="R49">
        <v>7</v>
      </c>
      <c r="S49">
        <v>3</v>
      </c>
      <c r="T49">
        <v>1</v>
      </c>
      <c r="U49">
        <v>0</v>
      </c>
      <c r="V49">
        <v>0</v>
      </c>
      <c r="W49" t="s">
        <v>56</v>
      </c>
      <c r="X49" s="1" t="d">
        <v>2020-06-03</v>
      </c>
      <c r="Z49" t="s">
        <v>63</v>
      </c>
      <c r="AA49" t="s">
        <v>40</v>
      </c>
      <c r="AB49">
        <v>1</v>
      </c>
      <c r="AC49">
        <v>0</v>
      </c>
      <c r="AD49" t="s">
        <v>32</v>
      </c>
      <c r="AE49" t="s">
        <v>42</v>
      </c>
      <c r="AF49" t="s">
        <v>43</v>
      </c>
    </row>
    <row r="50" spans="1:32" x14ac:dyDescent="0.25">
      <c r="A50">
        <v>39</v>
      </c>
      <c r="B50" t="s">
        <v>32</v>
      </c>
      <c r="C50" t="s">
        <v>33</v>
      </c>
      <c r="D50" t="s">
        <v>53</v>
      </c>
      <c r="E50">
        <v>5</v>
      </c>
      <c r="F50" t="s">
        <v>35</v>
      </c>
      <c r="G50">
        <v>3</v>
      </c>
      <c r="H50">
        <v>2</v>
      </c>
      <c r="I50" t="s">
        <v>54</v>
      </c>
      <c r="J50">
        <v>4</v>
      </c>
      <c r="K50" t="s">
        <v>50</v>
      </c>
      <c r="L50">
        <v>2086</v>
      </c>
      <c r="M50">
        <v>3</v>
      </c>
      <c r="N50" t="s">
        <v>41</v>
      </c>
      <c r="O50">
        <v>14</v>
      </c>
      <c r="P50">
        <v>3</v>
      </c>
      <c r="Q50">
        <v>1</v>
      </c>
      <c r="R50">
        <v>19</v>
      </c>
      <c r="S50">
        <v>6</v>
      </c>
      <c r="T50">
        <v>1</v>
      </c>
      <c r="U50">
        <v>0</v>
      </c>
      <c r="V50">
        <v>0</v>
      </c>
      <c r="W50" t="s">
        <v>51</v>
      </c>
      <c r="X50" s="1" t="d">
        <v>2020-04-27</v>
      </c>
      <c r="Z50" t="s">
        <v>52</v>
      </c>
      <c r="AA50" t="s">
        <v>40</v>
      </c>
      <c r="AB50">
        <v>5</v>
      </c>
      <c r="AC50">
        <v>0</v>
      </c>
      <c r="AD50" t="s">
        <v>41</v>
      </c>
      <c r="AE50" t="s">
        <v>47</v>
      </c>
      <c r="AF50" t="s">
        <v>43</v>
      </c>
    </row>
    <row r="51" spans="1:32" x14ac:dyDescent="0.25">
      <c r="A51">
        <v>36</v>
      </c>
      <c r="B51" t="s">
        <v>41</v>
      </c>
      <c r="C51" t="s">
        <v>33</v>
      </c>
      <c r="D51" t="s">
        <v>34</v>
      </c>
      <c r="E51">
        <v>5</v>
      </c>
      <c r="F51" t="s">
        <v>58</v>
      </c>
      <c r="G51">
        <v>2</v>
      </c>
      <c r="H51">
        <v>1</v>
      </c>
      <c r="I51" t="s">
        <v>44</v>
      </c>
      <c r="J51">
        <v>1</v>
      </c>
      <c r="K51" t="s">
        <v>50</v>
      </c>
      <c r="L51">
        <v>3419</v>
      </c>
      <c r="M51">
        <v>9</v>
      </c>
      <c r="N51" t="s">
        <v>32</v>
      </c>
      <c r="O51">
        <v>14</v>
      </c>
      <c r="P51">
        <v>3</v>
      </c>
      <c r="Q51">
        <v>1</v>
      </c>
      <c r="R51">
        <v>6</v>
      </c>
      <c r="S51">
        <v>3</v>
      </c>
      <c r="T51">
        <v>1</v>
      </c>
      <c r="U51">
        <v>0</v>
      </c>
      <c r="V51">
        <v>0</v>
      </c>
      <c r="W51" t="s">
        <v>38</v>
      </c>
      <c r="X51" s="1" t="d">
        <v>2020-03-24</v>
      </c>
      <c r="Z51" t="s">
        <v>63</v>
      </c>
      <c r="AA51" t="s">
        <v>40</v>
      </c>
      <c r="AB51">
        <v>4</v>
      </c>
      <c r="AC51">
        <v>2</v>
      </c>
      <c r="AD51" t="s">
        <v>41</v>
      </c>
      <c r="AE51" t="s">
        <v>47</v>
      </c>
      <c r="AF51" t="s">
        <v>48</v>
      </c>
    </row>
    <row r="52" spans="1:32" x14ac:dyDescent="0.25">
      <c r="A52">
        <v>35</v>
      </c>
      <c r="B52" t="s">
        <v>41</v>
      </c>
      <c r="C52" t="s">
        <v>33</v>
      </c>
      <c r="D52" t="s">
        <v>34</v>
      </c>
      <c r="E52">
        <v>4</v>
      </c>
      <c r="F52" t="s">
        <v>35</v>
      </c>
      <c r="G52">
        <v>3</v>
      </c>
      <c r="H52">
        <v>1</v>
      </c>
      <c r="I52" t="s">
        <v>36</v>
      </c>
      <c r="J52">
        <v>4</v>
      </c>
      <c r="K52" t="s">
        <v>55</v>
      </c>
      <c r="L52">
        <v>1951</v>
      </c>
      <c r="M52">
        <v>1</v>
      </c>
      <c r="N52" t="s">
        <v>41</v>
      </c>
      <c r="O52">
        <v>12</v>
      </c>
      <c r="P52">
        <v>3</v>
      </c>
      <c r="Q52">
        <v>1</v>
      </c>
      <c r="R52">
        <v>1</v>
      </c>
      <c r="S52">
        <v>3</v>
      </c>
      <c r="T52">
        <v>1</v>
      </c>
      <c r="U52">
        <v>0</v>
      </c>
      <c r="V52">
        <v>0</v>
      </c>
      <c r="W52" t="s">
        <v>38</v>
      </c>
      <c r="X52" s="1" t="d">
        <v>2020-06-14</v>
      </c>
      <c r="Z52" t="s">
        <v>59</v>
      </c>
      <c r="AA52" t="s">
        <v>46</v>
      </c>
      <c r="AB52">
        <v>0</v>
      </c>
      <c r="AC52">
        <v>3</v>
      </c>
      <c r="AD52" t="s">
        <v>41</v>
      </c>
      <c r="AE52" t="s">
        <v>60</v>
      </c>
      <c r="AF52" t="s">
        <v>57</v>
      </c>
    </row>
    <row r="53" spans="1:32" x14ac:dyDescent="0.25">
      <c r="A53">
        <v>27</v>
      </c>
      <c r="B53" t="s">
        <v>41</v>
      </c>
      <c r="C53" t="s">
        <v>33</v>
      </c>
      <c r="D53" t="s">
        <v>34</v>
      </c>
      <c r="E53">
        <v>2</v>
      </c>
      <c r="F53" t="s">
        <v>58</v>
      </c>
      <c r="G53">
        <v>3</v>
      </c>
      <c r="H53">
        <v>1</v>
      </c>
      <c r="I53" t="s">
        <v>36</v>
      </c>
      <c r="J53">
        <v>1</v>
      </c>
      <c r="K53" t="s">
        <v>55</v>
      </c>
      <c r="L53">
        <v>2341</v>
      </c>
      <c r="M53">
        <v>1</v>
      </c>
      <c r="N53" t="s">
        <v>41</v>
      </c>
      <c r="O53">
        <v>13</v>
      </c>
      <c r="P53">
        <v>3</v>
      </c>
      <c r="Q53">
        <v>1</v>
      </c>
      <c r="R53">
        <v>1</v>
      </c>
      <c r="S53">
        <v>6</v>
      </c>
      <c r="T53">
        <v>1</v>
      </c>
      <c r="U53">
        <v>0</v>
      </c>
      <c r="V53">
        <v>0</v>
      </c>
      <c r="W53" t="s">
        <v>65</v>
      </c>
      <c r="X53" s="1" t="d">
        <v>2020-03-04</v>
      </c>
      <c r="Z53" t="s">
        <v>59</v>
      </c>
      <c r="AA53" t="s">
        <v>40</v>
      </c>
      <c r="AB53">
        <v>5</v>
      </c>
      <c r="AC53">
        <v>0</v>
      </c>
      <c r="AD53" t="s">
        <v>41</v>
      </c>
      <c r="AE53" t="s">
        <v>42</v>
      </c>
      <c r="AF53" t="s">
        <v>48</v>
      </c>
    </row>
    <row r="54" spans="1:32" x14ac:dyDescent="0.25">
      <c r="A54">
        <v>26</v>
      </c>
      <c r="B54" t="s">
        <v>32</v>
      </c>
      <c r="C54" t="s">
        <v>33</v>
      </c>
      <c r="D54" t="s">
        <v>34</v>
      </c>
      <c r="E54">
        <v>25</v>
      </c>
      <c r="F54" t="s">
        <v>35</v>
      </c>
      <c r="G54">
        <v>1</v>
      </c>
      <c r="H54">
        <v>1</v>
      </c>
      <c r="I54" t="s">
        <v>36</v>
      </c>
      <c r="J54">
        <v>3</v>
      </c>
      <c r="K54" t="s">
        <v>37</v>
      </c>
      <c r="L54">
        <v>2293</v>
      </c>
      <c r="M54">
        <v>1</v>
      </c>
      <c r="N54" t="s">
        <v>41</v>
      </c>
      <c r="O54">
        <v>12</v>
      </c>
      <c r="P54">
        <v>3</v>
      </c>
      <c r="Q54">
        <v>0</v>
      </c>
      <c r="R54">
        <v>1</v>
      </c>
      <c r="S54">
        <v>2</v>
      </c>
      <c r="T54">
        <v>1</v>
      </c>
      <c r="U54">
        <v>0</v>
      </c>
      <c r="V54">
        <v>1</v>
      </c>
      <c r="W54" t="s">
        <v>51</v>
      </c>
      <c r="X54" s="1" t="d">
        <v>2020-01-15</v>
      </c>
      <c r="Z54" t="s">
        <v>52</v>
      </c>
      <c r="AA54" t="s">
        <v>46</v>
      </c>
      <c r="AB54">
        <v>4</v>
      </c>
      <c r="AC54">
        <v>3</v>
      </c>
      <c r="AD54" t="s">
        <v>41</v>
      </c>
      <c r="AE54" t="s">
        <v>60</v>
      </c>
      <c r="AF54" t="s">
        <v>48</v>
      </c>
    </row>
    <row r="55" spans="1:32" x14ac:dyDescent="0.25">
      <c r="A55">
        <v>37</v>
      </c>
      <c r="B55" t="s">
        <v>41</v>
      </c>
      <c r="C55" t="s">
        <v>33</v>
      </c>
      <c r="D55" t="s">
        <v>34</v>
      </c>
      <c r="E55">
        <v>19</v>
      </c>
      <c r="F55" t="s">
        <v>35</v>
      </c>
      <c r="G55">
        <v>3</v>
      </c>
      <c r="H55">
        <v>1</v>
      </c>
      <c r="I55" t="s">
        <v>44</v>
      </c>
      <c r="J55">
        <v>2</v>
      </c>
      <c r="K55" t="s">
        <v>50</v>
      </c>
      <c r="L55">
        <v>3022</v>
      </c>
      <c r="M55">
        <v>4</v>
      </c>
      <c r="N55" t="s">
        <v>41</v>
      </c>
      <c r="O55">
        <v>21</v>
      </c>
      <c r="P55">
        <v>4</v>
      </c>
      <c r="Q55">
        <v>0</v>
      </c>
      <c r="R55">
        <v>8</v>
      </c>
      <c r="S55">
        <v>1</v>
      </c>
      <c r="T55">
        <v>1</v>
      </c>
      <c r="U55">
        <v>0</v>
      </c>
      <c r="V55">
        <v>0</v>
      </c>
      <c r="W55" t="s">
        <v>56</v>
      </c>
      <c r="X55" s="1" t="d">
        <v>2020-02-04</v>
      </c>
      <c r="Z55" t="s">
        <v>63</v>
      </c>
      <c r="AA55" t="s">
        <v>46</v>
      </c>
      <c r="AB55">
        <v>5</v>
      </c>
      <c r="AC55">
        <v>1</v>
      </c>
      <c r="AD55" t="s">
        <v>41</v>
      </c>
      <c r="AE55" t="s">
        <v>42</v>
      </c>
      <c r="AF55" t="s">
        <v>48</v>
      </c>
    </row>
    <row r="56" spans="1:32" x14ac:dyDescent="0.25">
      <c r="A56">
        <v>35</v>
      </c>
      <c r="B56" t="s">
        <v>41</v>
      </c>
      <c r="C56" t="s">
        <v>33</v>
      </c>
      <c r="D56" t="s">
        <v>34</v>
      </c>
      <c r="E56">
        <v>8</v>
      </c>
      <c r="F56" t="s">
        <v>35</v>
      </c>
      <c r="G56">
        <v>4</v>
      </c>
      <c r="H56">
        <v>1</v>
      </c>
      <c r="I56" t="s">
        <v>36</v>
      </c>
      <c r="J56">
        <v>4</v>
      </c>
      <c r="K56" t="s">
        <v>50</v>
      </c>
      <c r="L56">
        <v>2269</v>
      </c>
      <c r="M56">
        <v>1</v>
      </c>
      <c r="N56" t="s">
        <v>41</v>
      </c>
      <c r="O56">
        <v>19</v>
      </c>
      <c r="P56">
        <v>3</v>
      </c>
      <c r="Q56">
        <v>0</v>
      </c>
      <c r="R56">
        <v>1</v>
      </c>
      <c r="S56">
        <v>2</v>
      </c>
      <c r="T56">
        <v>1</v>
      </c>
      <c r="U56">
        <v>0</v>
      </c>
      <c r="V56">
        <v>1</v>
      </c>
      <c r="W56" t="s">
        <v>56</v>
      </c>
      <c r="X56" s="1" t="d">
        <v>2020-04-21</v>
      </c>
      <c r="Z56" t="s">
        <v>39</v>
      </c>
      <c r="AA56" t="s">
        <v>40</v>
      </c>
      <c r="AB56">
        <v>2</v>
      </c>
      <c r="AC56">
        <v>2</v>
      </c>
      <c r="AD56" t="s">
        <v>32</v>
      </c>
      <c r="AE56" t="s">
        <v>62</v>
      </c>
      <c r="AF56" t="s">
        <v>57</v>
      </c>
    </row>
    <row r="57" spans="1:32" x14ac:dyDescent="0.25">
      <c r="A57">
        <v>48</v>
      </c>
      <c r="B57" t="s">
        <v>32</v>
      </c>
      <c r="C57" t="s">
        <v>33</v>
      </c>
      <c r="D57" t="s">
        <v>34</v>
      </c>
      <c r="E57">
        <v>1</v>
      </c>
      <c r="F57" t="s">
        <v>35</v>
      </c>
      <c r="G57">
        <v>2</v>
      </c>
      <c r="H57">
        <v>3</v>
      </c>
      <c r="I57" t="s">
        <v>36</v>
      </c>
      <c r="J57">
        <v>3</v>
      </c>
      <c r="K57" t="s">
        <v>37</v>
      </c>
      <c r="L57">
        <v>5381</v>
      </c>
      <c r="M57">
        <v>9</v>
      </c>
      <c r="N57" t="s">
        <v>32</v>
      </c>
      <c r="O57">
        <v>13</v>
      </c>
      <c r="P57">
        <v>3</v>
      </c>
      <c r="Q57">
        <v>0</v>
      </c>
      <c r="R57">
        <v>23</v>
      </c>
      <c r="S57">
        <v>2</v>
      </c>
      <c r="T57">
        <v>1</v>
      </c>
      <c r="U57">
        <v>0</v>
      </c>
      <c r="V57">
        <v>0</v>
      </c>
      <c r="W57" t="s">
        <v>38</v>
      </c>
      <c r="X57" s="1" t="d">
        <v>2020-01-08</v>
      </c>
      <c r="Z57" t="s">
        <v>45</v>
      </c>
      <c r="AA57" t="s">
        <v>40</v>
      </c>
      <c r="AB57">
        <v>4</v>
      </c>
      <c r="AC57">
        <v>2</v>
      </c>
      <c r="AD57" t="s">
        <v>41</v>
      </c>
      <c r="AE57" t="s">
        <v>47</v>
      </c>
      <c r="AF57" t="s">
        <v>43</v>
      </c>
    </row>
    <row r="58" spans="1:32" x14ac:dyDescent="0.25">
      <c r="A58">
        <v>45</v>
      </c>
      <c r="B58" t="s">
        <v>41</v>
      </c>
      <c r="C58" t="s">
        <v>33</v>
      </c>
      <c r="D58" t="s">
        <v>34</v>
      </c>
      <c r="E58">
        <v>7</v>
      </c>
      <c r="F58" t="s">
        <v>35</v>
      </c>
      <c r="G58">
        <v>3</v>
      </c>
      <c r="H58">
        <v>3</v>
      </c>
      <c r="I58" t="s">
        <v>44</v>
      </c>
      <c r="J58">
        <v>1</v>
      </c>
      <c r="K58" t="s">
        <v>55</v>
      </c>
      <c r="L58">
        <v>9724</v>
      </c>
      <c r="M58">
        <v>2</v>
      </c>
      <c r="N58" t="s">
        <v>41</v>
      </c>
      <c r="O58">
        <v>17</v>
      </c>
      <c r="P58">
        <v>3</v>
      </c>
      <c r="Q58">
        <v>1</v>
      </c>
      <c r="R58">
        <v>25</v>
      </c>
      <c r="S58">
        <v>2</v>
      </c>
      <c r="T58">
        <v>1</v>
      </c>
      <c r="U58">
        <v>0</v>
      </c>
      <c r="V58">
        <v>0</v>
      </c>
      <c r="W58" t="s">
        <v>38</v>
      </c>
      <c r="X58" s="1" t="d">
        <v>2020-01-09</v>
      </c>
      <c r="Z58" t="s">
        <v>63</v>
      </c>
      <c r="AA58" t="s">
        <v>40</v>
      </c>
      <c r="AB58">
        <v>5</v>
      </c>
      <c r="AC58">
        <v>0</v>
      </c>
      <c r="AD58" t="s">
        <v>41</v>
      </c>
      <c r="AE58" t="s">
        <v>60</v>
      </c>
      <c r="AF58" t="s">
        <v>48</v>
      </c>
    </row>
    <row r="59" spans="1:32" x14ac:dyDescent="0.25">
      <c r="A59">
        <v>36</v>
      </c>
      <c r="B59" t="s">
        <v>32</v>
      </c>
      <c r="C59" t="s">
        <v>33</v>
      </c>
      <c r="D59" t="s">
        <v>34</v>
      </c>
      <c r="E59">
        <v>9</v>
      </c>
      <c r="F59" t="s">
        <v>35</v>
      </c>
      <c r="G59">
        <v>2</v>
      </c>
      <c r="H59">
        <v>1</v>
      </c>
      <c r="I59" t="s">
        <v>44</v>
      </c>
      <c r="J59">
        <v>3</v>
      </c>
      <c r="K59" t="s">
        <v>50</v>
      </c>
      <c r="L59">
        <v>3388</v>
      </c>
      <c r="M59">
        <v>0</v>
      </c>
      <c r="N59" t="s">
        <v>32</v>
      </c>
      <c r="O59">
        <v>17</v>
      </c>
      <c r="P59">
        <v>3</v>
      </c>
      <c r="Q59">
        <v>1</v>
      </c>
      <c r="R59">
        <v>2</v>
      </c>
      <c r="S59">
        <v>0</v>
      </c>
      <c r="T59">
        <v>1</v>
      </c>
      <c r="U59">
        <v>0</v>
      </c>
      <c r="V59">
        <v>0</v>
      </c>
      <c r="W59" t="s">
        <v>51</v>
      </c>
      <c r="X59" s="1" t="d">
        <v>2020-01-09</v>
      </c>
      <c r="Z59" t="s">
        <v>45</v>
      </c>
      <c r="AA59" t="s">
        <v>46</v>
      </c>
      <c r="AB59">
        <v>4</v>
      </c>
      <c r="AC59">
        <v>3</v>
      </c>
      <c r="AD59" t="s">
        <v>32</v>
      </c>
      <c r="AE59" t="s">
        <v>42</v>
      </c>
      <c r="AF59" t="s">
        <v>57</v>
      </c>
    </row>
    <row r="60" spans="1:32" x14ac:dyDescent="0.25">
      <c r="A60">
        <v>31</v>
      </c>
      <c r="B60" t="s">
        <v>41</v>
      </c>
      <c r="C60" t="s">
        <v>33</v>
      </c>
      <c r="D60" t="s">
        <v>34</v>
      </c>
      <c r="E60">
        <v>1</v>
      </c>
      <c r="F60" t="s">
        <v>35</v>
      </c>
      <c r="G60">
        <v>3</v>
      </c>
      <c r="H60">
        <v>1</v>
      </c>
      <c r="I60" t="s">
        <v>44</v>
      </c>
      <c r="J60">
        <v>2</v>
      </c>
      <c r="K60" t="s">
        <v>37</v>
      </c>
      <c r="L60">
        <v>2501</v>
      </c>
      <c r="M60">
        <v>1</v>
      </c>
      <c r="N60" t="s">
        <v>41</v>
      </c>
      <c r="O60">
        <v>17</v>
      </c>
      <c r="P60">
        <v>3</v>
      </c>
      <c r="Q60">
        <v>0</v>
      </c>
      <c r="R60">
        <v>1</v>
      </c>
      <c r="S60">
        <v>4</v>
      </c>
      <c r="T60">
        <v>1</v>
      </c>
      <c r="U60">
        <v>1</v>
      </c>
      <c r="V60">
        <v>0</v>
      </c>
      <c r="W60" t="s">
        <v>38</v>
      </c>
      <c r="X60" s="1" t="d">
        <v>2020-05-14</v>
      </c>
      <c r="Z60" t="s">
        <v>39</v>
      </c>
      <c r="AA60" t="s">
        <v>46</v>
      </c>
      <c r="AB60">
        <v>0</v>
      </c>
      <c r="AC60">
        <v>3</v>
      </c>
      <c r="AD60" t="s">
        <v>41</v>
      </c>
      <c r="AE60" t="s">
        <v>47</v>
      </c>
      <c r="AF60" t="s">
        <v>43</v>
      </c>
    </row>
    <row r="61" spans="1:32" x14ac:dyDescent="0.25">
      <c r="A61">
        <v>36</v>
      </c>
      <c r="B61" t="s">
        <v>41</v>
      </c>
      <c r="C61" t="s">
        <v>33</v>
      </c>
      <c r="D61" t="s">
        <v>34</v>
      </c>
      <c r="E61">
        <v>6</v>
      </c>
      <c r="F61" t="s">
        <v>58</v>
      </c>
      <c r="G61">
        <v>4</v>
      </c>
      <c r="H61">
        <v>1</v>
      </c>
      <c r="I61" t="s">
        <v>36</v>
      </c>
      <c r="J61">
        <v>4</v>
      </c>
      <c r="K61" t="s">
        <v>50</v>
      </c>
      <c r="L61">
        <v>3038</v>
      </c>
      <c r="M61">
        <v>3</v>
      </c>
      <c r="N61" t="s">
        <v>41</v>
      </c>
      <c r="O61">
        <v>12</v>
      </c>
      <c r="P61">
        <v>3</v>
      </c>
      <c r="Q61">
        <v>0</v>
      </c>
      <c r="R61">
        <v>5</v>
      </c>
      <c r="S61">
        <v>3</v>
      </c>
      <c r="T61">
        <v>1</v>
      </c>
      <c r="U61">
        <v>0</v>
      </c>
      <c r="V61">
        <v>0</v>
      </c>
      <c r="W61" t="s">
        <v>65</v>
      </c>
      <c r="X61" s="1" t="d">
        <v>2020-01-15</v>
      </c>
      <c r="Z61" t="s">
        <v>52</v>
      </c>
      <c r="AA61" t="s">
        <v>40</v>
      </c>
      <c r="AB61">
        <v>3</v>
      </c>
      <c r="AC61">
        <v>1</v>
      </c>
      <c r="AD61" t="s">
        <v>32</v>
      </c>
      <c r="AE61" t="s">
        <v>62</v>
      </c>
      <c r="AF61" t="s">
        <v>43</v>
      </c>
    </row>
    <row r="62" spans="1:32" x14ac:dyDescent="0.25">
      <c r="A62">
        <v>55</v>
      </c>
      <c r="B62" t="s">
        <v>41</v>
      </c>
      <c r="C62" t="s">
        <v>33</v>
      </c>
      <c r="D62" t="s">
        <v>53</v>
      </c>
      <c r="E62">
        <v>1</v>
      </c>
      <c r="F62" t="s">
        <v>35</v>
      </c>
      <c r="G62">
        <v>3</v>
      </c>
      <c r="H62">
        <v>3</v>
      </c>
      <c r="I62" t="s">
        <v>64</v>
      </c>
      <c r="J62">
        <v>4</v>
      </c>
      <c r="K62" t="s">
        <v>50</v>
      </c>
      <c r="L62">
        <v>10239</v>
      </c>
      <c r="M62">
        <v>3</v>
      </c>
      <c r="N62" t="s">
        <v>41</v>
      </c>
      <c r="O62">
        <v>14</v>
      </c>
      <c r="P62">
        <v>3</v>
      </c>
      <c r="Q62">
        <v>1</v>
      </c>
      <c r="R62">
        <v>24</v>
      </c>
      <c r="S62">
        <v>4</v>
      </c>
      <c r="T62">
        <v>1</v>
      </c>
      <c r="U62">
        <v>1</v>
      </c>
      <c r="V62">
        <v>0</v>
      </c>
      <c r="W62" t="s">
        <v>56</v>
      </c>
      <c r="X62" s="1" t="d">
        <v>2020-02-09</v>
      </c>
      <c r="Z62" t="s">
        <v>63</v>
      </c>
      <c r="AA62" t="s">
        <v>46</v>
      </c>
      <c r="AB62">
        <v>0</v>
      </c>
      <c r="AC62">
        <v>2</v>
      </c>
      <c r="AD62" t="s">
        <v>41</v>
      </c>
      <c r="AE62" t="s">
        <v>60</v>
      </c>
      <c r="AF62" t="s">
        <v>57</v>
      </c>
    </row>
    <row r="63" spans="1:32" x14ac:dyDescent="0.25">
      <c r="A63">
        <v>32</v>
      </c>
      <c r="B63" t="s">
        <v>41</v>
      </c>
      <c r="C63" t="s">
        <v>33</v>
      </c>
      <c r="D63" t="s">
        <v>34</v>
      </c>
      <c r="E63">
        <v>1</v>
      </c>
      <c r="F63" t="s">
        <v>35</v>
      </c>
      <c r="G63">
        <v>3</v>
      </c>
      <c r="H63">
        <v>1</v>
      </c>
      <c r="I63" t="s">
        <v>44</v>
      </c>
      <c r="J63">
        <v>1</v>
      </c>
      <c r="K63" t="s">
        <v>37</v>
      </c>
      <c r="L63">
        <v>2956</v>
      </c>
      <c r="M63">
        <v>1</v>
      </c>
      <c r="N63" t="s">
        <v>41</v>
      </c>
      <c r="O63">
        <v>13</v>
      </c>
      <c r="P63">
        <v>3</v>
      </c>
      <c r="Q63">
        <v>0</v>
      </c>
      <c r="R63">
        <v>1</v>
      </c>
      <c r="S63">
        <v>2</v>
      </c>
      <c r="T63">
        <v>1</v>
      </c>
      <c r="U63">
        <v>0</v>
      </c>
      <c r="V63">
        <v>0</v>
      </c>
      <c r="W63" t="s">
        <v>65</v>
      </c>
      <c r="X63" s="1" t="d">
        <v>2020-02-20</v>
      </c>
      <c r="Z63" t="s">
        <v>39</v>
      </c>
      <c r="AA63" t="s">
        <v>46</v>
      </c>
      <c r="AB63">
        <v>4</v>
      </c>
      <c r="AC63">
        <v>1</v>
      </c>
      <c r="AD63" t="s">
        <v>32</v>
      </c>
      <c r="AE63" t="s">
        <v>60</v>
      </c>
      <c r="AF63" t="s">
        <v>57</v>
      </c>
    </row>
    <row r="64" spans="1:32" x14ac:dyDescent="0.25">
      <c r="A64">
        <v>20</v>
      </c>
      <c r="B64" t="s">
        <v>32</v>
      </c>
      <c r="C64" t="s">
        <v>61</v>
      </c>
      <c r="D64" t="s">
        <v>34</v>
      </c>
      <c r="E64">
        <v>6</v>
      </c>
      <c r="F64" t="s">
        <v>58</v>
      </c>
      <c r="G64">
        <v>2</v>
      </c>
      <c r="H64">
        <v>1</v>
      </c>
      <c r="I64" t="s">
        <v>36</v>
      </c>
      <c r="J64">
        <v>4</v>
      </c>
      <c r="K64" t="s">
        <v>37</v>
      </c>
      <c r="L64">
        <v>2926</v>
      </c>
      <c r="M64">
        <v>1</v>
      </c>
      <c r="N64" t="s">
        <v>32</v>
      </c>
      <c r="O64">
        <v>18</v>
      </c>
      <c r="P64">
        <v>3</v>
      </c>
      <c r="Q64">
        <v>0</v>
      </c>
      <c r="R64">
        <v>1</v>
      </c>
      <c r="S64">
        <v>5</v>
      </c>
      <c r="T64">
        <v>1</v>
      </c>
      <c r="U64">
        <v>1</v>
      </c>
      <c r="V64">
        <v>0</v>
      </c>
      <c r="W64" t="s">
        <v>38</v>
      </c>
      <c r="X64" s="1" t="d">
        <v>2020-03-27</v>
      </c>
      <c r="Z64" t="s">
        <v>52</v>
      </c>
      <c r="AA64" t="s">
        <v>46</v>
      </c>
      <c r="AB64">
        <v>3</v>
      </c>
      <c r="AC64">
        <v>3</v>
      </c>
      <c r="AD64" t="s">
        <v>41</v>
      </c>
      <c r="AE64" t="s">
        <v>47</v>
      </c>
      <c r="AF64" t="s">
        <v>43</v>
      </c>
    </row>
    <row r="65" spans="1:32" x14ac:dyDescent="0.25">
      <c r="A65">
        <v>37</v>
      </c>
      <c r="B65" t="s">
        <v>41</v>
      </c>
      <c r="C65" t="s">
        <v>68</v>
      </c>
      <c r="D65" t="s">
        <v>34</v>
      </c>
      <c r="E65">
        <v>2</v>
      </c>
      <c r="F65" t="s">
        <v>35</v>
      </c>
      <c r="G65">
        <v>2</v>
      </c>
      <c r="H65">
        <v>2</v>
      </c>
      <c r="I65" t="s">
        <v>69</v>
      </c>
      <c r="J65">
        <v>4</v>
      </c>
      <c r="K65" t="s">
        <v>55</v>
      </c>
      <c r="L65">
        <v>5163</v>
      </c>
      <c r="M65">
        <v>5</v>
      </c>
      <c r="N65" t="s">
        <v>41</v>
      </c>
      <c r="O65">
        <v>14</v>
      </c>
      <c r="P65">
        <v>3</v>
      </c>
      <c r="Q65">
        <v>1</v>
      </c>
      <c r="R65">
        <v>17</v>
      </c>
      <c r="S65">
        <v>2</v>
      </c>
      <c r="T65">
        <v>1</v>
      </c>
      <c r="U65">
        <v>0</v>
      </c>
      <c r="V65">
        <v>0</v>
      </c>
      <c r="W65" t="s">
        <v>65</v>
      </c>
      <c r="X65" s="1" t="d">
        <v>2020-01-24</v>
      </c>
      <c r="Z65" t="s">
        <v>63</v>
      </c>
      <c r="AA65" t="s">
        <v>46</v>
      </c>
      <c r="AB65">
        <v>3</v>
      </c>
      <c r="AC65">
        <v>0</v>
      </c>
      <c r="AD65" t="s">
        <v>41</v>
      </c>
      <c r="AE65" t="s">
        <v>47</v>
      </c>
      <c r="AF65" t="s">
        <v>43</v>
      </c>
    </row>
    <row r="66" spans="1:32" x14ac:dyDescent="0.25">
      <c r="A66">
        <v>34</v>
      </c>
      <c r="B66" t="s">
        <v>41</v>
      </c>
      <c r="C66" t="s">
        <v>33</v>
      </c>
      <c r="D66" t="s">
        <v>34</v>
      </c>
      <c r="E66">
        <v>6</v>
      </c>
      <c r="F66" t="s">
        <v>58</v>
      </c>
      <c r="G66">
        <v>2</v>
      </c>
      <c r="H66">
        <v>2</v>
      </c>
      <c r="I66" t="s">
        <v>44</v>
      </c>
      <c r="J66">
        <v>2</v>
      </c>
      <c r="K66" t="s">
        <v>55</v>
      </c>
      <c r="L66">
        <v>4505</v>
      </c>
      <c r="M66">
        <v>6</v>
      </c>
      <c r="N66" t="s">
        <v>41</v>
      </c>
      <c r="O66">
        <v>15</v>
      </c>
      <c r="P66">
        <v>3</v>
      </c>
      <c r="Q66">
        <v>1</v>
      </c>
      <c r="R66">
        <v>12</v>
      </c>
      <c r="S66">
        <v>3</v>
      </c>
      <c r="T66">
        <v>1</v>
      </c>
      <c r="U66">
        <v>0</v>
      </c>
      <c r="V66">
        <v>0</v>
      </c>
      <c r="W66" t="s">
        <v>65</v>
      </c>
      <c r="X66" s="1" t="d">
        <v>2020-06-16</v>
      </c>
      <c r="Z66" t="s">
        <v>39</v>
      </c>
      <c r="AA66" t="s">
        <v>46</v>
      </c>
      <c r="AB66">
        <v>5</v>
      </c>
      <c r="AC66">
        <v>2</v>
      </c>
      <c r="AD66" t="s">
        <v>32</v>
      </c>
      <c r="AE66" t="s">
        <v>60</v>
      </c>
      <c r="AF66" t="s">
        <v>43</v>
      </c>
    </row>
    <row r="67" spans="1:32" x14ac:dyDescent="0.25">
      <c r="A67">
        <v>36</v>
      </c>
      <c r="B67" t="s">
        <v>41</v>
      </c>
      <c r="C67" t="s">
        <v>33</v>
      </c>
      <c r="D67" t="s">
        <v>34</v>
      </c>
      <c r="E67">
        <v>3</v>
      </c>
      <c r="F67" t="s">
        <v>58</v>
      </c>
      <c r="G67">
        <v>3</v>
      </c>
      <c r="H67">
        <v>1</v>
      </c>
      <c r="I67" t="s">
        <v>36</v>
      </c>
      <c r="J67">
        <v>4</v>
      </c>
      <c r="K67" t="s">
        <v>55</v>
      </c>
      <c r="L67">
        <v>2835</v>
      </c>
      <c r="M67">
        <v>5</v>
      </c>
      <c r="N67" t="s">
        <v>41</v>
      </c>
      <c r="O67">
        <v>22</v>
      </c>
      <c r="P67">
        <v>4</v>
      </c>
      <c r="Q67">
        <v>1</v>
      </c>
      <c r="R67">
        <v>7</v>
      </c>
      <c r="S67">
        <v>2</v>
      </c>
      <c r="T67">
        <v>1</v>
      </c>
      <c r="U67">
        <v>0</v>
      </c>
      <c r="V67">
        <v>0</v>
      </c>
      <c r="W67" t="s">
        <v>38</v>
      </c>
      <c r="X67" s="1" t="d">
        <v>2020-03-29</v>
      </c>
      <c r="Z67" t="s">
        <v>39</v>
      </c>
      <c r="AA67" t="s">
        <v>40</v>
      </c>
      <c r="AB67">
        <v>5</v>
      </c>
      <c r="AC67">
        <v>2</v>
      </c>
      <c r="AD67" t="s">
        <v>41</v>
      </c>
      <c r="AE67" t="s">
        <v>42</v>
      </c>
      <c r="AF67" t="s">
        <v>57</v>
      </c>
    </row>
    <row r="68" spans="1:32" x14ac:dyDescent="0.25">
      <c r="A68">
        <v>19</v>
      </c>
      <c r="B68" t="s">
        <v>41</v>
      </c>
      <c r="C68" t="s">
        <v>33</v>
      </c>
      <c r="D68" t="s">
        <v>34</v>
      </c>
      <c r="E68">
        <v>3</v>
      </c>
      <c r="F68" t="s">
        <v>58</v>
      </c>
      <c r="G68">
        <v>3</v>
      </c>
      <c r="H68">
        <v>1</v>
      </c>
      <c r="I68" t="s">
        <v>36</v>
      </c>
      <c r="J68">
        <v>2</v>
      </c>
      <c r="K68" t="s">
        <v>37</v>
      </c>
      <c r="L68">
        <v>1483</v>
      </c>
      <c r="M68">
        <v>1</v>
      </c>
      <c r="N68" t="s">
        <v>41</v>
      </c>
      <c r="O68">
        <v>14</v>
      </c>
      <c r="P68">
        <v>3</v>
      </c>
      <c r="Q68">
        <v>0</v>
      </c>
      <c r="R68">
        <v>1</v>
      </c>
      <c r="S68">
        <v>3</v>
      </c>
      <c r="T68">
        <v>1</v>
      </c>
      <c r="U68">
        <v>0</v>
      </c>
      <c r="V68">
        <v>0</v>
      </c>
      <c r="W68" t="s">
        <v>65</v>
      </c>
      <c r="X68" s="1" t="d">
        <v>2020-03-22</v>
      </c>
      <c r="Z68" t="s">
        <v>45</v>
      </c>
      <c r="AA68" t="s">
        <v>40</v>
      </c>
      <c r="AB68">
        <v>0</v>
      </c>
      <c r="AC68">
        <v>0</v>
      </c>
      <c r="AD68" t="s">
        <v>41</v>
      </c>
      <c r="AE68" t="s">
        <v>42</v>
      </c>
      <c r="AF68" t="s">
        <v>57</v>
      </c>
    </row>
    <row r="69" spans="1:32" x14ac:dyDescent="0.25">
      <c r="A69">
        <v>51</v>
      </c>
      <c r="B69" t="s">
        <v>41</v>
      </c>
      <c r="C69" t="s">
        <v>33</v>
      </c>
      <c r="D69" t="s">
        <v>34</v>
      </c>
      <c r="E69">
        <v>7</v>
      </c>
      <c r="F69" t="s">
        <v>35</v>
      </c>
      <c r="G69">
        <v>2</v>
      </c>
      <c r="H69">
        <v>2</v>
      </c>
      <c r="I69" t="s">
        <v>67</v>
      </c>
      <c r="J69">
        <v>3</v>
      </c>
      <c r="K69" t="s">
        <v>50</v>
      </c>
      <c r="L69">
        <v>6132</v>
      </c>
      <c r="M69">
        <v>2</v>
      </c>
      <c r="N69" t="s">
        <v>41</v>
      </c>
      <c r="O69">
        <v>17</v>
      </c>
      <c r="P69">
        <v>3</v>
      </c>
      <c r="Q69">
        <v>0</v>
      </c>
      <c r="R69">
        <v>10</v>
      </c>
      <c r="S69">
        <v>2</v>
      </c>
      <c r="T69">
        <v>1</v>
      </c>
      <c r="U69">
        <v>0</v>
      </c>
      <c r="V69">
        <v>0</v>
      </c>
      <c r="W69" t="s">
        <v>51</v>
      </c>
      <c r="X69" s="1" t="d">
        <v>2020-04-14</v>
      </c>
      <c r="Z69" t="s">
        <v>63</v>
      </c>
      <c r="AA69" t="s">
        <v>46</v>
      </c>
      <c r="AB69">
        <v>1</v>
      </c>
      <c r="AC69">
        <v>1</v>
      </c>
      <c r="AD69" t="s">
        <v>32</v>
      </c>
      <c r="AE69" t="s">
        <v>42</v>
      </c>
      <c r="AF69" t="s">
        <v>43</v>
      </c>
    </row>
    <row r="70" spans="1:32" x14ac:dyDescent="0.25">
      <c r="A70">
        <v>58</v>
      </c>
      <c r="B70" t="s">
        <v>41</v>
      </c>
      <c r="C70" t="s">
        <v>33</v>
      </c>
      <c r="D70" t="s">
        <v>34</v>
      </c>
      <c r="E70">
        <v>9</v>
      </c>
      <c r="F70" t="s">
        <v>58</v>
      </c>
      <c r="G70">
        <v>2</v>
      </c>
      <c r="H70">
        <v>1</v>
      </c>
      <c r="I70" t="s">
        <v>44</v>
      </c>
      <c r="J70">
        <v>2</v>
      </c>
      <c r="K70" t="s">
        <v>50</v>
      </c>
      <c r="L70">
        <v>3346</v>
      </c>
      <c r="M70">
        <v>4</v>
      </c>
      <c r="N70" t="s">
        <v>32</v>
      </c>
      <c r="O70">
        <v>20</v>
      </c>
      <c r="P70">
        <v>4</v>
      </c>
      <c r="Q70">
        <v>1</v>
      </c>
      <c r="R70">
        <v>9</v>
      </c>
      <c r="S70">
        <v>3</v>
      </c>
      <c r="T70">
        <v>1</v>
      </c>
      <c r="U70">
        <v>0</v>
      </c>
      <c r="V70">
        <v>0</v>
      </c>
      <c r="W70" t="s">
        <v>38</v>
      </c>
      <c r="X70" s="1" t="d">
        <v>2020-05-10</v>
      </c>
      <c r="Z70" t="s">
        <v>45</v>
      </c>
      <c r="AA70" t="s">
        <v>46</v>
      </c>
      <c r="AB70">
        <v>3</v>
      </c>
      <c r="AC70">
        <v>0</v>
      </c>
      <c r="AD70" t="s">
        <v>41</v>
      </c>
      <c r="AE70" t="s">
        <v>42</v>
      </c>
      <c r="AF70" t="s">
        <v>43</v>
      </c>
    </row>
    <row r="71" spans="1:32" x14ac:dyDescent="0.25">
      <c r="A71">
        <v>27</v>
      </c>
      <c r="B71" t="s">
        <v>41</v>
      </c>
      <c r="C71" t="s">
        <v>68</v>
      </c>
      <c r="D71" t="s">
        <v>34</v>
      </c>
      <c r="E71">
        <v>3</v>
      </c>
      <c r="F71" t="s">
        <v>35</v>
      </c>
      <c r="G71">
        <v>2</v>
      </c>
      <c r="H71">
        <v>1</v>
      </c>
      <c r="I71" t="s">
        <v>44</v>
      </c>
      <c r="J71">
        <v>3</v>
      </c>
      <c r="K71" t="s">
        <v>55</v>
      </c>
      <c r="L71">
        <v>2566</v>
      </c>
      <c r="M71">
        <v>1</v>
      </c>
      <c r="N71" t="s">
        <v>32</v>
      </c>
      <c r="O71">
        <v>15</v>
      </c>
      <c r="P71">
        <v>3</v>
      </c>
      <c r="Q71">
        <v>1</v>
      </c>
      <c r="R71">
        <v>1</v>
      </c>
      <c r="S71">
        <v>2</v>
      </c>
      <c r="T71">
        <v>1</v>
      </c>
      <c r="U71">
        <v>0</v>
      </c>
      <c r="V71">
        <v>1</v>
      </c>
      <c r="W71" t="s">
        <v>51</v>
      </c>
      <c r="X71" s="1" t="d">
        <v>2020-03-10</v>
      </c>
      <c r="Z71" t="s">
        <v>63</v>
      </c>
      <c r="AA71" t="s">
        <v>46</v>
      </c>
      <c r="AB71">
        <v>5</v>
      </c>
      <c r="AC71">
        <v>1</v>
      </c>
      <c r="AD71" t="s">
        <v>32</v>
      </c>
      <c r="AE71" t="s">
        <v>42</v>
      </c>
      <c r="AF71" t="s">
        <v>43</v>
      </c>
    </row>
    <row r="72" spans="1:32" x14ac:dyDescent="0.25">
      <c r="A72">
        <v>19</v>
      </c>
      <c r="B72" t="s">
        <v>32</v>
      </c>
      <c r="C72" t="s">
        <v>33</v>
      </c>
      <c r="D72" t="s">
        <v>34</v>
      </c>
      <c r="E72">
        <v>2</v>
      </c>
      <c r="F72" t="s">
        <v>35</v>
      </c>
      <c r="G72">
        <v>2</v>
      </c>
      <c r="H72">
        <v>1</v>
      </c>
      <c r="I72" t="s">
        <v>36</v>
      </c>
      <c r="J72">
        <v>4</v>
      </c>
      <c r="K72" t="s">
        <v>37</v>
      </c>
      <c r="L72">
        <v>1102</v>
      </c>
      <c r="M72">
        <v>1</v>
      </c>
      <c r="N72" t="s">
        <v>41</v>
      </c>
      <c r="O72">
        <v>22</v>
      </c>
      <c r="P72">
        <v>4</v>
      </c>
      <c r="Q72">
        <v>0</v>
      </c>
      <c r="R72">
        <v>1</v>
      </c>
      <c r="S72">
        <v>3</v>
      </c>
      <c r="T72">
        <v>1</v>
      </c>
      <c r="U72">
        <v>1</v>
      </c>
      <c r="V72">
        <v>0</v>
      </c>
      <c r="W72" t="s">
        <v>51</v>
      </c>
      <c r="X72" s="1" t="d">
        <v>2020-04-04</v>
      </c>
      <c r="Z72" t="s">
        <v>63</v>
      </c>
      <c r="AA72" t="s">
        <v>40</v>
      </c>
      <c r="AB72">
        <v>0</v>
      </c>
      <c r="AC72">
        <v>1</v>
      </c>
      <c r="AD72" t="s">
        <v>41</v>
      </c>
      <c r="AE72" t="s">
        <v>60</v>
      </c>
      <c r="AF72" t="s">
        <v>43</v>
      </c>
    </row>
    <row r="73" spans="1:32" x14ac:dyDescent="0.25">
      <c r="A73">
        <v>35</v>
      </c>
      <c r="B73" t="s">
        <v>32</v>
      </c>
      <c r="C73" t="s">
        <v>33</v>
      </c>
      <c r="D73" t="s">
        <v>34</v>
      </c>
      <c r="E73">
        <v>23</v>
      </c>
      <c r="F73" t="s">
        <v>35</v>
      </c>
      <c r="G73">
        <v>2</v>
      </c>
      <c r="H73">
        <v>2</v>
      </c>
      <c r="I73" t="s">
        <v>67</v>
      </c>
      <c r="J73">
        <v>3</v>
      </c>
      <c r="K73" t="s">
        <v>50</v>
      </c>
      <c r="L73">
        <v>5916</v>
      </c>
      <c r="M73">
        <v>3</v>
      </c>
      <c r="N73" t="s">
        <v>32</v>
      </c>
      <c r="O73">
        <v>13</v>
      </c>
      <c r="P73">
        <v>3</v>
      </c>
      <c r="Q73">
        <v>0</v>
      </c>
      <c r="R73">
        <v>8</v>
      </c>
      <c r="S73">
        <v>1</v>
      </c>
      <c r="T73">
        <v>1</v>
      </c>
      <c r="U73">
        <v>0</v>
      </c>
      <c r="V73">
        <v>1</v>
      </c>
      <c r="W73" t="s">
        <v>56</v>
      </c>
      <c r="X73" s="1" t="d">
        <v>2020-03-18</v>
      </c>
      <c r="Z73" t="s">
        <v>39</v>
      </c>
      <c r="AA73" t="s">
        <v>46</v>
      </c>
      <c r="AB73">
        <v>0</v>
      </c>
      <c r="AC73">
        <v>0</v>
      </c>
      <c r="AD73" t="s">
        <v>32</v>
      </c>
      <c r="AE73" t="s">
        <v>47</v>
      </c>
      <c r="AF73" t="s">
        <v>57</v>
      </c>
    </row>
    <row r="74" spans="1:32" x14ac:dyDescent="0.25">
      <c r="A74">
        <v>38</v>
      </c>
      <c r="B74" t="s">
        <v>41</v>
      </c>
      <c r="C74" t="s">
        <v>33</v>
      </c>
      <c r="D74" t="s">
        <v>34</v>
      </c>
      <c r="E74">
        <v>2</v>
      </c>
      <c r="F74" t="s">
        <v>35</v>
      </c>
      <c r="G74">
        <v>3</v>
      </c>
      <c r="H74">
        <v>2</v>
      </c>
      <c r="I74" t="s">
        <v>67</v>
      </c>
      <c r="J74">
        <v>3</v>
      </c>
      <c r="K74" t="s">
        <v>50</v>
      </c>
      <c r="L74">
        <v>6553</v>
      </c>
      <c r="M74">
        <v>9</v>
      </c>
      <c r="N74" t="s">
        <v>41</v>
      </c>
      <c r="O74">
        <v>14</v>
      </c>
      <c r="P74">
        <v>3</v>
      </c>
      <c r="Q74">
        <v>0</v>
      </c>
      <c r="R74">
        <v>14</v>
      </c>
      <c r="S74">
        <v>3</v>
      </c>
      <c r="T74">
        <v>1</v>
      </c>
      <c r="U74">
        <v>0</v>
      </c>
      <c r="V74">
        <v>0</v>
      </c>
      <c r="W74" t="s">
        <v>51</v>
      </c>
      <c r="X74" s="1" t="d">
        <v>2020-05-18</v>
      </c>
      <c r="Z74" t="s">
        <v>59</v>
      </c>
      <c r="AA74" t="s">
        <v>40</v>
      </c>
      <c r="AB74">
        <v>3</v>
      </c>
      <c r="AC74">
        <v>2</v>
      </c>
      <c r="AD74" t="s">
        <v>32</v>
      </c>
      <c r="AE74" t="s">
        <v>42</v>
      </c>
      <c r="AF74" t="s">
        <v>57</v>
      </c>
    </row>
    <row r="75" spans="1:32" x14ac:dyDescent="0.25">
      <c r="A75">
        <v>38</v>
      </c>
      <c r="B75" t="s">
        <v>32</v>
      </c>
      <c r="C75" t="s">
        <v>33</v>
      </c>
      <c r="D75" t="s">
        <v>34</v>
      </c>
      <c r="E75">
        <v>29</v>
      </c>
      <c r="F75" t="s">
        <v>35</v>
      </c>
      <c r="G75">
        <v>3</v>
      </c>
      <c r="H75">
        <v>2</v>
      </c>
      <c r="I75" t="s">
        <v>69</v>
      </c>
      <c r="J75">
        <v>1</v>
      </c>
      <c r="K75" t="s">
        <v>50</v>
      </c>
      <c r="L75">
        <v>6673</v>
      </c>
      <c r="M75">
        <v>7</v>
      </c>
      <c r="N75" t="s">
        <v>32</v>
      </c>
      <c r="O75">
        <v>19</v>
      </c>
      <c r="P75">
        <v>3</v>
      </c>
      <c r="Q75">
        <v>0</v>
      </c>
      <c r="R75">
        <v>17</v>
      </c>
      <c r="S75">
        <v>2</v>
      </c>
      <c r="T75">
        <v>1</v>
      </c>
      <c r="U75">
        <v>0</v>
      </c>
      <c r="V75">
        <v>0</v>
      </c>
      <c r="W75" t="s">
        <v>51</v>
      </c>
      <c r="X75" s="1" t="d">
        <v>2020-01-05</v>
      </c>
      <c r="Z75" t="s">
        <v>59</v>
      </c>
      <c r="AA75" t="s">
        <v>40</v>
      </c>
      <c r="AB75">
        <v>3</v>
      </c>
      <c r="AC75">
        <v>2</v>
      </c>
      <c r="AD75" t="s">
        <v>41</v>
      </c>
      <c r="AE75" t="s">
        <v>47</v>
      </c>
      <c r="AF75" t="s">
        <v>48</v>
      </c>
    </row>
    <row r="76" spans="1:32" x14ac:dyDescent="0.25">
      <c r="A76">
        <v>41</v>
      </c>
      <c r="B76" t="s">
        <v>41</v>
      </c>
      <c r="C76" t="s">
        <v>33</v>
      </c>
      <c r="D76" t="s">
        <v>53</v>
      </c>
      <c r="E76">
        <v>6</v>
      </c>
      <c r="F76" t="s">
        <v>58</v>
      </c>
      <c r="G76">
        <v>3</v>
      </c>
      <c r="H76">
        <v>3</v>
      </c>
      <c r="I76" t="s">
        <v>66</v>
      </c>
      <c r="J76">
        <v>4</v>
      </c>
      <c r="K76" t="s">
        <v>37</v>
      </c>
      <c r="L76">
        <v>13591</v>
      </c>
      <c r="M76">
        <v>3</v>
      </c>
      <c r="N76" t="s">
        <v>32</v>
      </c>
      <c r="O76">
        <v>18</v>
      </c>
      <c r="P76">
        <v>3</v>
      </c>
      <c r="Q76">
        <v>0</v>
      </c>
      <c r="R76">
        <v>16</v>
      </c>
      <c r="S76">
        <v>3</v>
      </c>
      <c r="T76">
        <v>1</v>
      </c>
      <c r="U76">
        <v>0</v>
      </c>
      <c r="V76">
        <v>0</v>
      </c>
      <c r="W76" t="s">
        <v>56</v>
      </c>
      <c r="X76" s="1" t="d">
        <v>2020-05-16</v>
      </c>
      <c r="Z76" t="s">
        <v>45</v>
      </c>
      <c r="AA76" t="s">
        <v>46</v>
      </c>
      <c r="AB76">
        <v>5</v>
      </c>
      <c r="AC76">
        <v>1</v>
      </c>
      <c r="AD76" t="s">
        <v>32</v>
      </c>
      <c r="AE76" t="s">
        <v>62</v>
      </c>
      <c r="AF76" t="s">
        <v>48</v>
      </c>
    </row>
    <row r="77" spans="1:32" x14ac:dyDescent="0.25">
      <c r="A77">
        <v>59</v>
      </c>
      <c r="B77" t="s">
        <v>41</v>
      </c>
      <c r="C77" t="s">
        <v>33</v>
      </c>
      <c r="D77" t="s">
        <v>34</v>
      </c>
      <c r="E77">
        <v>3</v>
      </c>
      <c r="F77" t="s">
        <v>35</v>
      </c>
      <c r="G77">
        <v>2</v>
      </c>
      <c r="H77">
        <v>1</v>
      </c>
      <c r="I77" t="s">
        <v>44</v>
      </c>
      <c r="J77">
        <v>4</v>
      </c>
      <c r="K77" t="s">
        <v>50</v>
      </c>
      <c r="L77">
        <v>2177</v>
      </c>
      <c r="M77">
        <v>3</v>
      </c>
      <c r="N77" t="s">
        <v>41</v>
      </c>
      <c r="O77">
        <v>17</v>
      </c>
      <c r="P77">
        <v>3</v>
      </c>
      <c r="Q77">
        <v>1</v>
      </c>
      <c r="R77">
        <v>7</v>
      </c>
      <c r="S77">
        <v>6</v>
      </c>
      <c r="T77">
        <v>1</v>
      </c>
      <c r="U77">
        <v>0</v>
      </c>
      <c r="V77">
        <v>0</v>
      </c>
      <c r="W77" t="s">
        <v>56</v>
      </c>
      <c r="X77" s="1" t="d">
        <v>2020-05-17</v>
      </c>
      <c r="Z77" t="s">
        <v>52</v>
      </c>
      <c r="AA77" t="s">
        <v>40</v>
      </c>
      <c r="AB77">
        <v>4</v>
      </c>
      <c r="AC77">
        <v>1</v>
      </c>
      <c r="AD77" t="s">
        <v>32</v>
      </c>
      <c r="AE77" t="s">
        <v>47</v>
      </c>
      <c r="AF77" t="s">
        <v>43</v>
      </c>
    </row>
    <row r="78" spans="1:32" x14ac:dyDescent="0.25">
      <c r="A78">
        <v>41</v>
      </c>
      <c r="B78" t="s">
        <v>41</v>
      </c>
      <c r="C78" t="s">
        <v>33</v>
      </c>
      <c r="D78" t="s">
        <v>34</v>
      </c>
      <c r="E78">
        <v>19</v>
      </c>
      <c r="F78" t="s">
        <v>35</v>
      </c>
      <c r="G78">
        <v>3</v>
      </c>
      <c r="H78">
        <v>2</v>
      </c>
      <c r="I78" t="s">
        <v>44</v>
      </c>
      <c r="J78">
        <v>1</v>
      </c>
      <c r="K78" t="s">
        <v>55</v>
      </c>
      <c r="L78">
        <v>3072</v>
      </c>
      <c r="M78">
        <v>2</v>
      </c>
      <c r="N78" t="s">
        <v>41</v>
      </c>
      <c r="O78">
        <v>16</v>
      </c>
      <c r="P78">
        <v>3</v>
      </c>
      <c r="Q78">
        <v>2</v>
      </c>
      <c r="R78">
        <v>17</v>
      </c>
      <c r="S78">
        <v>2</v>
      </c>
      <c r="T78">
        <v>1</v>
      </c>
      <c r="U78">
        <v>0</v>
      </c>
      <c r="V78">
        <v>0</v>
      </c>
      <c r="W78" t="s">
        <v>38</v>
      </c>
      <c r="X78" s="1" t="d">
        <v>2020-05-31</v>
      </c>
      <c r="Z78" t="s">
        <v>52</v>
      </c>
      <c r="AA78" t="s">
        <v>46</v>
      </c>
      <c r="AB78">
        <v>0</v>
      </c>
      <c r="AC78">
        <v>1</v>
      </c>
      <c r="AD78" t="s">
        <v>32</v>
      </c>
      <c r="AE78" t="s">
        <v>42</v>
      </c>
      <c r="AF78" t="s">
        <v>48</v>
      </c>
    </row>
    <row r="79" spans="1:32" x14ac:dyDescent="0.25">
      <c r="A79">
        <v>37</v>
      </c>
      <c r="B79" t="s">
        <v>32</v>
      </c>
      <c r="C79" t="s">
        <v>61</v>
      </c>
      <c r="D79" t="s">
        <v>34</v>
      </c>
      <c r="E79">
        <v>10</v>
      </c>
      <c r="F79" t="s">
        <v>35</v>
      </c>
      <c r="G79">
        <v>3</v>
      </c>
      <c r="H79">
        <v>3</v>
      </c>
      <c r="I79" t="s">
        <v>67</v>
      </c>
      <c r="J79">
        <v>3</v>
      </c>
      <c r="K79" t="s">
        <v>55</v>
      </c>
      <c r="L79">
        <v>10048</v>
      </c>
      <c r="M79">
        <v>6</v>
      </c>
      <c r="N79" t="s">
        <v>41</v>
      </c>
      <c r="O79">
        <v>11</v>
      </c>
      <c r="P79">
        <v>3</v>
      </c>
      <c r="Q79">
        <v>2</v>
      </c>
      <c r="R79">
        <v>17</v>
      </c>
      <c r="S79">
        <v>5</v>
      </c>
      <c r="T79">
        <v>1</v>
      </c>
      <c r="U79">
        <v>0</v>
      </c>
      <c r="V79">
        <v>0</v>
      </c>
      <c r="W79" t="s">
        <v>38</v>
      </c>
      <c r="X79" s="1" t="d">
        <v>2020-05-29</v>
      </c>
      <c r="Z79" t="s">
        <v>39</v>
      </c>
      <c r="AA79" t="s">
        <v>46</v>
      </c>
      <c r="AB79">
        <v>0</v>
      </c>
      <c r="AC79">
        <v>1</v>
      </c>
      <c r="AD79" t="s">
        <v>32</v>
      </c>
      <c r="AE79" t="s">
        <v>47</v>
      </c>
      <c r="AF79" t="s">
        <v>48</v>
      </c>
    </row>
    <row r="80" spans="1:32" x14ac:dyDescent="0.25">
      <c r="A80">
        <v>51</v>
      </c>
      <c r="B80" t="s">
        <v>41</v>
      </c>
      <c r="C80" t="s">
        <v>33</v>
      </c>
      <c r="D80" t="s">
        <v>34</v>
      </c>
      <c r="E80">
        <v>1</v>
      </c>
      <c r="F80" t="s">
        <v>35</v>
      </c>
      <c r="G80">
        <v>3</v>
      </c>
      <c r="H80">
        <v>1</v>
      </c>
      <c r="I80" t="s">
        <v>44</v>
      </c>
      <c r="J80">
        <v>4</v>
      </c>
      <c r="K80" t="s">
        <v>50</v>
      </c>
      <c r="L80">
        <v>2723</v>
      </c>
      <c r="M80">
        <v>1</v>
      </c>
      <c r="N80" t="s">
        <v>41</v>
      </c>
      <c r="O80">
        <v>11</v>
      </c>
      <c r="P80">
        <v>3</v>
      </c>
      <c r="Q80">
        <v>0</v>
      </c>
      <c r="R80">
        <v>1</v>
      </c>
      <c r="S80">
        <v>0</v>
      </c>
      <c r="T80">
        <v>1</v>
      </c>
      <c r="U80">
        <v>0</v>
      </c>
      <c r="V80">
        <v>0</v>
      </c>
      <c r="W80" t="s">
        <v>65</v>
      </c>
      <c r="X80" s="1" t="d">
        <v>2020-04-02</v>
      </c>
      <c r="Z80" t="s">
        <v>59</v>
      </c>
      <c r="AA80" t="s">
        <v>46</v>
      </c>
      <c r="AB80">
        <v>2</v>
      </c>
      <c r="AC80">
        <v>1</v>
      </c>
      <c r="AD80" t="s">
        <v>32</v>
      </c>
      <c r="AE80" t="s">
        <v>47</v>
      </c>
      <c r="AF80" t="s">
        <v>48</v>
      </c>
    </row>
    <row r="81" spans="1:32" x14ac:dyDescent="0.25">
      <c r="A81">
        <v>44</v>
      </c>
      <c r="B81" t="s">
        <v>32</v>
      </c>
      <c r="C81" t="s">
        <v>61</v>
      </c>
      <c r="D81" t="s">
        <v>34</v>
      </c>
      <c r="E81">
        <v>24</v>
      </c>
      <c r="F81" t="s">
        <v>35</v>
      </c>
      <c r="G81">
        <v>3</v>
      </c>
      <c r="H81">
        <v>1</v>
      </c>
      <c r="I81" t="s">
        <v>36</v>
      </c>
      <c r="J81">
        <v>3</v>
      </c>
      <c r="K81" t="s">
        <v>55</v>
      </c>
      <c r="L81">
        <v>3161</v>
      </c>
      <c r="M81">
        <v>3</v>
      </c>
      <c r="N81" t="s">
        <v>32</v>
      </c>
      <c r="O81">
        <v>22</v>
      </c>
      <c r="P81">
        <v>4</v>
      </c>
      <c r="Q81">
        <v>1</v>
      </c>
      <c r="R81">
        <v>19</v>
      </c>
      <c r="S81">
        <v>0</v>
      </c>
      <c r="T81">
        <v>1</v>
      </c>
      <c r="U81">
        <v>0</v>
      </c>
      <c r="V81">
        <v>0</v>
      </c>
      <c r="W81" t="s">
        <v>51</v>
      </c>
      <c r="X81" s="1" t="d">
        <v>2020-01-29</v>
      </c>
      <c r="Z81" t="s">
        <v>45</v>
      </c>
      <c r="AA81" t="s">
        <v>40</v>
      </c>
      <c r="AB81">
        <v>0</v>
      </c>
      <c r="AC81">
        <v>2</v>
      </c>
      <c r="AD81" t="s">
        <v>41</v>
      </c>
      <c r="AE81" t="s">
        <v>47</v>
      </c>
      <c r="AF81" t="s">
        <v>43</v>
      </c>
    </row>
    <row r="82" spans="1:32" x14ac:dyDescent="0.25">
      <c r="A82">
        <v>36</v>
      </c>
      <c r="B82" t="s">
        <v>41</v>
      </c>
      <c r="C82" t="s">
        <v>61</v>
      </c>
      <c r="D82" t="s">
        <v>34</v>
      </c>
      <c r="E82">
        <v>18</v>
      </c>
      <c r="F82" t="s">
        <v>35</v>
      </c>
      <c r="G82">
        <v>4</v>
      </c>
      <c r="H82">
        <v>1</v>
      </c>
      <c r="I82" t="s">
        <v>36</v>
      </c>
      <c r="J82">
        <v>4</v>
      </c>
      <c r="K82" t="s">
        <v>50</v>
      </c>
      <c r="L82">
        <v>3688</v>
      </c>
      <c r="M82">
        <v>4</v>
      </c>
      <c r="N82" t="s">
        <v>41</v>
      </c>
      <c r="O82">
        <v>18</v>
      </c>
      <c r="P82">
        <v>3</v>
      </c>
      <c r="Q82">
        <v>2</v>
      </c>
      <c r="R82">
        <v>4</v>
      </c>
      <c r="S82">
        <v>2</v>
      </c>
      <c r="T82">
        <v>1</v>
      </c>
      <c r="U82">
        <v>0</v>
      </c>
      <c r="V82">
        <v>0</v>
      </c>
      <c r="W82" t="s">
        <v>65</v>
      </c>
      <c r="X82" s="1" t="d">
        <v>2020-01-06</v>
      </c>
      <c r="Z82" t="s">
        <v>59</v>
      </c>
      <c r="AA82" t="s">
        <v>40</v>
      </c>
      <c r="AB82">
        <v>4</v>
      </c>
      <c r="AC82">
        <v>0</v>
      </c>
      <c r="AD82" t="s">
        <v>41</v>
      </c>
      <c r="AE82" t="s">
        <v>47</v>
      </c>
      <c r="AF82" t="s">
        <v>57</v>
      </c>
    </row>
    <row r="83" spans="1:32" x14ac:dyDescent="0.25">
      <c r="A83">
        <v>39</v>
      </c>
      <c r="B83" t="s">
        <v>32</v>
      </c>
      <c r="C83" t="s">
        <v>33</v>
      </c>
      <c r="D83" t="s">
        <v>53</v>
      </c>
      <c r="E83">
        <v>3</v>
      </c>
      <c r="F83" t="s">
        <v>58</v>
      </c>
      <c r="G83">
        <v>3</v>
      </c>
      <c r="H83">
        <v>2</v>
      </c>
      <c r="I83" t="s">
        <v>64</v>
      </c>
      <c r="J83">
        <v>3</v>
      </c>
      <c r="K83" t="s">
        <v>50</v>
      </c>
      <c r="L83">
        <v>5238</v>
      </c>
      <c r="M83">
        <v>4</v>
      </c>
      <c r="N83" t="s">
        <v>32</v>
      </c>
      <c r="O83">
        <v>18</v>
      </c>
      <c r="P83">
        <v>3</v>
      </c>
      <c r="Q83">
        <v>0</v>
      </c>
      <c r="R83">
        <v>12</v>
      </c>
      <c r="S83">
        <v>3</v>
      </c>
      <c r="T83">
        <v>1</v>
      </c>
      <c r="U83">
        <v>0</v>
      </c>
      <c r="V83">
        <v>0</v>
      </c>
      <c r="W83" t="s">
        <v>56</v>
      </c>
      <c r="X83" s="1" t="d">
        <v>2020-05-01</v>
      </c>
      <c r="Z83" t="s">
        <v>45</v>
      </c>
      <c r="AA83" t="s">
        <v>40</v>
      </c>
      <c r="AB83">
        <v>0</v>
      </c>
      <c r="AC83">
        <v>1</v>
      </c>
      <c r="AD83" t="s">
        <v>32</v>
      </c>
      <c r="AE83" t="s">
        <v>42</v>
      </c>
      <c r="AF83" t="s">
        <v>57</v>
      </c>
    </row>
    <row r="84" spans="1:32" x14ac:dyDescent="0.25">
      <c r="A84">
        <v>43</v>
      </c>
      <c r="B84" t="s">
        <v>41</v>
      </c>
      <c r="C84" t="s">
        <v>33</v>
      </c>
      <c r="D84" t="s">
        <v>34</v>
      </c>
      <c r="E84">
        <v>7</v>
      </c>
      <c r="F84" t="s">
        <v>58</v>
      </c>
      <c r="G84">
        <v>3</v>
      </c>
      <c r="H84">
        <v>3</v>
      </c>
      <c r="I84" t="s">
        <v>69</v>
      </c>
      <c r="J84">
        <v>1</v>
      </c>
      <c r="K84" t="s">
        <v>50</v>
      </c>
      <c r="L84">
        <v>9985</v>
      </c>
      <c r="M84">
        <v>8</v>
      </c>
      <c r="N84" t="s">
        <v>41</v>
      </c>
      <c r="O84">
        <v>16</v>
      </c>
      <c r="P84">
        <v>3</v>
      </c>
      <c r="Q84">
        <v>1</v>
      </c>
      <c r="R84">
        <v>10</v>
      </c>
      <c r="S84">
        <v>1</v>
      </c>
      <c r="T84">
        <v>1</v>
      </c>
      <c r="U84">
        <v>0</v>
      </c>
      <c r="V84">
        <v>0</v>
      </c>
      <c r="W84" t="s">
        <v>38</v>
      </c>
      <c r="X84" s="1" t="d">
        <v>2020-04-15</v>
      </c>
      <c r="Z84" t="s">
        <v>52</v>
      </c>
      <c r="AA84" t="s">
        <v>46</v>
      </c>
      <c r="AB84">
        <v>1</v>
      </c>
      <c r="AC84">
        <v>3</v>
      </c>
      <c r="AD84" t="s">
        <v>41</v>
      </c>
      <c r="AE84" t="s">
        <v>47</v>
      </c>
      <c r="AF84" t="s">
        <v>57</v>
      </c>
    </row>
    <row r="85" spans="1:32" x14ac:dyDescent="0.25">
      <c r="A85">
        <v>42</v>
      </c>
      <c r="B85" t="s">
        <v>41</v>
      </c>
      <c r="C85" t="s">
        <v>33</v>
      </c>
      <c r="D85" t="s">
        <v>34</v>
      </c>
      <c r="E85">
        <v>23</v>
      </c>
      <c r="F85" t="s">
        <v>58</v>
      </c>
      <c r="G85">
        <v>3</v>
      </c>
      <c r="H85">
        <v>4</v>
      </c>
      <c r="I85" t="s">
        <v>49</v>
      </c>
      <c r="J85">
        <v>4</v>
      </c>
      <c r="K85" t="s">
        <v>37</v>
      </c>
      <c r="L85">
        <v>15992</v>
      </c>
      <c r="M85">
        <v>2</v>
      </c>
      <c r="N85" t="s">
        <v>41</v>
      </c>
      <c r="O85">
        <v>14</v>
      </c>
      <c r="P85">
        <v>3</v>
      </c>
      <c r="Q85">
        <v>0</v>
      </c>
      <c r="R85">
        <v>16</v>
      </c>
      <c r="S85">
        <v>2</v>
      </c>
      <c r="T85">
        <v>1</v>
      </c>
      <c r="U85">
        <v>0</v>
      </c>
      <c r="V85">
        <v>0</v>
      </c>
      <c r="W85" t="s">
        <v>38</v>
      </c>
      <c r="X85" s="1" t="d">
        <v>2020-01-11</v>
      </c>
      <c r="Z85" t="s">
        <v>45</v>
      </c>
      <c r="AA85" t="s">
        <v>46</v>
      </c>
      <c r="AB85">
        <v>1</v>
      </c>
      <c r="AC85">
        <v>0</v>
      </c>
      <c r="AD85" t="s">
        <v>41</v>
      </c>
      <c r="AE85" t="s">
        <v>42</v>
      </c>
      <c r="AF85" t="s">
        <v>57</v>
      </c>
    </row>
    <row r="86" spans="1:32" x14ac:dyDescent="0.25">
      <c r="A86">
        <v>42</v>
      </c>
      <c r="B86" t="s">
        <v>41</v>
      </c>
      <c r="C86" t="s">
        <v>33</v>
      </c>
      <c r="D86" t="s">
        <v>34</v>
      </c>
      <c r="E86">
        <v>2</v>
      </c>
      <c r="F86" t="s">
        <v>35</v>
      </c>
      <c r="G86">
        <v>2</v>
      </c>
      <c r="H86">
        <v>2</v>
      </c>
      <c r="I86" t="s">
        <v>69</v>
      </c>
      <c r="J86">
        <v>4</v>
      </c>
      <c r="K86" t="s">
        <v>37</v>
      </c>
      <c r="L86">
        <v>6781</v>
      </c>
      <c r="M86">
        <v>3</v>
      </c>
      <c r="N86" t="s">
        <v>41</v>
      </c>
      <c r="O86">
        <v>23</v>
      </c>
      <c r="P86">
        <v>4</v>
      </c>
      <c r="Q86">
        <v>0</v>
      </c>
      <c r="R86">
        <v>14</v>
      </c>
      <c r="S86">
        <v>6</v>
      </c>
      <c r="T86">
        <v>1</v>
      </c>
      <c r="U86">
        <v>0</v>
      </c>
      <c r="V86">
        <v>0</v>
      </c>
      <c r="W86" t="s">
        <v>65</v>
      </c>
      <c r="X86" s="1" t="d">
        <v>2020-04-26</v>
      </c>
      <c r="Z86" t="s">
        <v>45</v>
      </c>
      <c r="AA86" t="s">
        <v>46</v>
      </c>
      <c r="AB86">
        <v>3</v>
      </c>
      <c r="AC86">
        <v>0</v>
      </c>
      <c r="AD86" t="s">
        <v>32</v>
      </c>
      <c r="AE86" t="s">
        <v>42</v>
      </c>
      <c r="AF86" t="s">
        <v>43</v>
      </c>
    </row>
    <row r="87" spans="1:32" x14ac:dyDescent="0.25">
      <c r="A87">
        <v>36</v>
      </c>
      <c r="B87" t="s">
        <v>41</v>
      </c>
      <c r="C87" t="s">
        <v>68</v>
      </c>
      <c r="D87" t="s">
        <v>53</v>
      </c>
      <c r="E87">
        <v>1</v>
      </c>
      <c r="F87" t="s">
        <v>58</v>
      </c>
      <c r="G87">
        <v>3</v>
      </c>
      <c r="H87">
        <v>2</v>
      </c>
      <c r="I87" t="s">
        <v>64</v>
      </c>
      <c r="J87">
        <v>4</v>
      </c>
      <c r="K87" t="s">
        <v>37</v>
      </c>
      <c r="L87">
        <v>6653</v>
      </c>
      <c r="M87">
        <v>4</v>
      </c>
      <c r="N87" t="s">
        <v>41</v>
      </c>
      <c r="O87">
        <v>15</v>
      </c>
      <c r="P87">
        <v>3</v>
      </c>
      <c r="Q87">
        <v>0</v>
      </c>
      <c r="R87">
        <v>7</v>
      </c>
      <c r="S87">
        <v>6</v>
      </c>
      <c r="T87">
        <v>1</v>
      </c>
      <c r="U87">
        <v>0</v>
      </c>
      <c r="V87">
        <v>0</v>
      </c>
      <c r="W87" t="s">
        <v>51</v>
      </c>
      <c r="X87" s="1" t="d">
        <v>2020-04-26</v>
      </c>
      <c r="Z87" t="s">
        <v>63</v>
      </c>
      <c r="AA87" t="s">
        <v>46</v>
      </c>
      <c r="AB87">
        <v>3</v>
      </c>
      <c r="AC87">
        <v>0</v>
      </c>
      <c r="AD87" t="s">
        <v>41</v>
      </c>
      <c r="AE87" t="s">
        <v>47</v>
      </c>
      <c r="AF87" t="s">
        <v>43</v>
      </c>
    </row>
    <row r="88" spans="1:32" x14ac:dyDescent="0.25">
      <c r="A88">
        <v>33</v>
      </c>
      <c r="B88" t="s">
        <v>32</v>
      </c>
      <c r="C88" t="s">
        <v>33</v>
      </c>
      <c r="D88" t="s">
        <v>53</v>
      </c>
      <c r="E88">
        <v>5</v>
      </c>
      <c r="F88" t="s">
        <v>58</v>
      </c>
      <c r="G88">
        <v>3</v>
      </c>
      <c r="H88">
        <v>1</v>
      </c>
      <c r="I88" t="s">
        <v>54</v>
      </c>
      <c r="J88">
        <v>3</v>
      </c>
      <c r="K88" t="s">
        <v>37</v>
      </c>
      <c r="L88">
        <v>2851</v>
      </c>
      <c r="M88">
        <v>1</v>
      </c>
      <c r="N88" t="s">
        <v>32</v>
      </c>
      <c r="O88">
        <v>13</v>
      </c>
      <c r="P88">
        <v>3</v>
      </c>
      <c r="Q88">
        <v>0</v>
      </c>
      <c r="R88">
        <v>1</v>
      </c>
      <c r="S88">
        <v>2</v>
      </c>
      <c r="T88">
        <v>1</v>
      </c>
      <c r="U88">
        <v>0</v>
      </c>
      <c r="V88">
        <v>0</v>
      </c>
      <c r="W88" t="s">
        <v>56</v>
      </c>
      <c r="X88" s="1" t="d">
        <v>2020-02-23</v>
      </c>
      <c r="Z88" t="s">
        <v>63</v>
      </c>
      <c r="AA88" t="s">
        <v>40</v>
      </c>
      <c r="AB88">
        <v>0</v>
      </c>
      <c r="AC88">
        <v>1</v>
      </c>
      <c r="AD88" t="s">
        <v>41</v>
      </c>
      <c r="AE88" t="s">
        <v>47</v>
      </c>
      <c r="AF88" t="s">
        <v>43</v>
      </c>
    </row>
    <row r="89" spans="1:32" x14ac:dyDescent="0.25">
      <c r="A89">
        <v>46</v>
      </c>
      <c r="B89" t="s">
        <v>41</v>
      </c>
      <c r="C89" t="s">
        <v>68</v>
      </c>
      <c r="D89" t="s">
        <v>34</v>
      </c>
      <c r="E89">
        <v>7</v>
      </c>
      <c r="F89" t="s">
        <v>58</v>
      </c>
      <c r="G89">
        <v>3</v>
      </c>
      <c r="H89">
        <v>2</v>
      </c>
      <c r="I89" t="s">
        <v>67</v>
      </c>
      <c r="J89">
        <v>3</v>
      </c>
      <c r="K89" t="s">
        <v>50</v>
      </c>
      <c r="L89">
        <v>5258</v>
      </c>
      <c r="M89">
        <v>2</v>
      </c>
      <c r="N89" t="s">
        <v>41</v>
      </c>
      <c r="O89">
        <v>14</v>
      </c>
      <c r="P89">
        <v>3</v>
      </c>
      <c r="Q89">
        <v>0</v>
      </c>
      <c r="R89">
        <v>7</v>
      </c>
      <c r="S89">
        <v>2</v>
      </c>
      <c r="T89">
        <v>1</v>
      </c>
      <c r="U89">
        <v>0</v>
      </c>
      <c r="V89">
        <v>0</v>
      </c>
      <c r="W89" t="s">
        <v>38</v>
      </c>
      <c r="X89" s="1" t="d">
        <v>2020-05-21</v>
      </c>
      <c r="Z89" t="s">
        <v>59</v>
      </c>
      <c r="AA89" t="s">
        <v>46</v>
      </c>
      <c r="AB89">
        <v>1</v>
      </c>
      <c r="AC89">
        <v>3</v>
      </c>
      <c r="AD89" t="s">
        <v>41</v>
      </c>
      <c r="AE89" t="s">
        <v>62</v>
      </c>
      <c r="AF89" t="s">
        <v>43</v>
      </c>
    </row>
    <row r="90" spans="1:32" x14ac:dyDescent="0.25">
      <c r="A90">
        <v>21</v>
      </c>
      <c r="B90" t="s">
        <v>32</v>
      </c>
      <c r="C90" t="s">
        <v>33</v>
      </c>
      <c r="D90" t="s">
        <v>53</v>
      </c>
      <c r="E90">
        <v>12</v>
      </c>
      <c r="F90" t="s">
        <v>58</v>
      </c>
      <c r="G90">
        <v>4</v>
      </c>
      <c r="H90">
        <v>1</v>
      </c>
      <c r="I90" t="s">
        <v>54</v>
      </c>
      <c r="J90">
        <v>2</v>
      </c>
      <c r="K90" t="s">
        <v>37</v>
      </c>
      <c r="L90">
        <v>2716</v>
      </c>
      <c r="M90">
        <v>1</v>
      </c>
      <c r="N90" t="s">
        <v>41</v>
      </c>
      <c r="O90">
        <v>15</v>
      </c>
      <c r="P90">
        <v>3</v>
      </c>
      <c r="Q90">
        <v>0</v>
      </c>
      <c r="R90">
        <v>1</v>
      </c>
      <c r="S90">
        <v>0</v>
      </c>
      <c r="T90">
        <v>1</v>
      </c>
      <c r="U90">
        <v>0</v>
      </c>
      <c r="V90">
        <v>0</v>
      </c>
      <c r="W90" t="s">
        <v>65</v>
      </c>
      <c r="X90" s="1" t="d">
        <v>2020-05-19</v>
      </c>
      <c r="Z90" t="s">
        <v>39</v>
      </c>
      <c r="AA90" t="s">
        <v>46</v>
      </c>
      <c r="AB90">
        <v>1</v>
      </c>
      <c r="AC90">
        <v>1</v>
      </c>
      <c r="AD90" t="s">
        <v>32</v>
      </c>
      <c r="AE90" t="s">
        <v>47</v>
      </c>
      <c r="AF90" t="s">
        <v>48</v>
      </c>
    </row>
    <row r="91" spans="1:32" x14ac:dyDescent="0.25">
      <c r="A91">
        <v>35</v>
      </c>
      <c r="B91" t="s">
        <v>41</v>
      </c>
      <c r="C91" t="s">
        <v>33</v>
      </c>
      <c r="D91" t="s">
        <v>34</v>
      </c>
      <c r="E91">
        <v>9</v>
      </c>
      <c r="F91" t="s">
        <v>35</v>
      </c>
      <c r="G91">
        <v>2</v>
      </c>
      <c r="H91">
        <v>2</v>
      </c>
      <c r="I91" t="s">
        <v>69</v>
      </c>
      <c r="J91">
        <v>2</v>
      </c>
      <c r="K91" t="s">
        <v>37</v>
      </c>
      <c r="L91">
        <v>6540</v>
      </c>
      <c r="M91">
        <v>9</v>
      </c>
      <c r="N91" t="s">
        <v>41</v>
      </c>
      <c r="O91">
        <v>19</v>
      </c>
      <c r="P91">
        <v>3</v>
      </c>
      <c r="Q91">
        <v>0</v>
      </c>
      <c r="R91">
        <v>10</v>
      </c>
      <c r="S91">
        <v>5</v>
      </c>
      <c r="T91">
        <v>1</v>
      </c>
      <c r="U91">
        <v>0</v>
      </c>
      <c r="V91">
        <v>0</v>
      </c>
      <c r="W91" t="s">
        <v>51</v>
      </c>
      <c r="X91" s="1" t="d">
        <v>2020-04-12</v>
      </c>
      <c r="Z91" t="s">
        <v>45</v>
      </c>
      <c r="AA91" t="s">
        <v>40</v>
      </c>
      <c r="AB91">
        <v>1</v>
      </c>
      <c r="AC91">
        <v>2</v>
      </c>
      <c r="AD91" t="s">
        <v>41</v>
      </c>
      <c r="AE91" t="s">
        <v>42</v>
      </c>
      <c r="AF91" t="s">
        <v>57</v>
      </c>
    </row>
    <row r="92" spans="1:32" x14ac:dyDescent="0.25">
      <c r="A92">
        <v>30</v>
      </c>
      <c r="B92" t="s">
        <v>41</v>
      </c>
      <c r="C92" t="s">
        <v>33</v>
      </c>
      <c r="D92" t="s">
        <v>53</v>
      </c>
      <c r="E92">
        <v>2</v>
      </c>
      <c r="F92" t="s">
        <v>35</v>
      </c>
      <c r="G92">
        <v>3</v>
      </c>
      <c r="H92">
        <v>1</v>
      </c>
      <c r="I92" t="s">
        <v>54</v>
      </c>
      <c r="J92">
        <v>2</v>
      </c>
      <c r="K92" t="s">
        <v>50</v>
      </c>
      <c r="L92">
        <v>2476</v>
      </c>
      <c r="M92">
        <v>1</v>
      </c>
      <c r="N92" t="s">
        <v>41</v>
      </c>
      <c r="O92">
        <v>18</v>
      </c>
      <c r="P92">
        <v>3</v>
      </c>
      <c r="Q92">
        <v>1</v>
      </c>
      <c r="R92">
        <v>1</v>
      </c>
      <c r="S92">
        <v>3</v>
      </c>
      <c r="T92">
        <v>1</v>
      </c>
      <c r="U92">
        <v>0</v>
      </c>
      <c r="V92">
        <v>0</v>
      </c>
      <c r="W92" t="s">
        <v>56</v>
      </c>
      <c r="X92" s="1" t="d">
        <v>2020-02-10</v>
      </c>
      <c r="Z92" t="s">
        <v>52</v>
      </c>
      <c r="AA92" t="s">
        <v>46</v>
      </c>
      <c r="AB92">
        <v>4</v>
      </c>
      <c r="AC92">
        <v>2</v>
      </c>
      <c r="AD92" t="s">
        <v>41</v>
      </c>
      <c r="AE92" t="s">
        <v>42</v>
      </c>
      <c r="AF92" t="s">
        <v>57</v>
      </c>
    </row>
    <row r="93" spans="1:32" x14ac:dyDescent="0.25">
      <c r="A93">
        <v>30</v>
      </c>
      <c r="B93" t="s">
        <v>32</v>
      </c>
      <c r="C93" t="s">
        <v>61</v>
      </c>
      <c r="D93" t="s">
        <v>34</v>
      </c>
      <c r="E93">
        <v>4</v>
      </c>
      <c r="F93" t="s">
        <v>35</v>
      </c>
      <c r="G93">
        <v>3</v>
      </c>
      <c r="H93">
        <v>1</v>
      </c>
      <c r="I93" t="s">
        <v>44</v>
      </c>
      <c r="J93">
        <v>4</v>
      </c>
      <c r="K93" t="s">
        <v>37</v>
      </c>
      <c r="L93">
        <v>2285</v>
      </c>
      <c r="M93">
        <v>9</v>
      </c>
      <c r="N93" t="s">
        <v>32</v>
      </c>
      <c r="O93">
        <v>23</v>
      </c>
      <c r="P93">
        <v>4</v>
      </c>
      <c r="Q93">
        <v>0</v>
      </c>
      <c r="R93">
        <v>3</v>
      </c>
      <c r="S93">
        <v>4</v>
      </c>
      <c r="T93">
        <v>1</v>
      </c>
      <c r="U93">
        <v>0</v>
      </c>
      <c r="V93">
        <v>0</v>
      </c>
      <c r="W93" t="s">
        <v>65</v>
      </c>
      <c r="X93" s="1" t="d">
        <v>2020-02-07</v>
      </c>
      <c r="Z93" t="s">
        <v>45</v>
      </c>
      <c r="AA93" t="s">
        <v>46</v>
      </c>
      <c r="AB93">
        <v>4</v>
      </c>
      <c r="AC93">
        <v>1</v>
      </c>
      <c r="AD93" t="s">
        <v>32</v>
      </c>
      <c r="AE93" t="s">
        <v>42</v>
      </c>
      <c r="AF93" t="s">
        <v>57</v>
      </c>
    </row>
    <row r="94" spans="1:32" x14ac:dyDescent="0.25">
      <c r="A94">
        <v>37</v>
      </c>
      <c r="B94" t="s">
        <v>41</v>
      </c>
      <c r="C94" t="s">
        <v>33</v>
      </c>
      <c r="D94" t="s">
        <v>34</v>
      </c>
      <c r="E94">
        <v>10</v>
      </c>
      <c r="F94" t="s">
        <v>35</v>
      </c>
      <c r="G94">
        <v>3</v>
      </c>
      <c r="H94">
        <v>2</v>
      </c>
      <c r="I94" t="s">
        <v>67</v>
      </c>
      <c r="J94">
        <v>2</v>
      </c>
      <c r="K94" t="s">
        <v>37</v>
      </c>
      <c r="L94">
        <v>4197</v>
      </c>
      <c r="M94">
        <v>2</v>
      </c>
      <c r="N94" t="s">
        <v>32</v>
      </c>
      <c r="O94">
        <v>12</v>
      </c>
      <c r="P94">
        <v>3</v>
      </c>
      <c r="Q94">
        <v>0</v>
      </c>
      <c r="R94">
        <v>18</v>
      </c>
      <c r="S94">
        <v>2</v>
      </c>
      <c r="T94">
        <v>1</v>
      </c>
      <c r="U94">
        <v>0</v>
      </c>
      <c r="V94">
        <v>1</v>
      </c>
      <c r="W94" t="s">
        <v>38</v>
      </c>
      <c r="X94" s="1" t="d">
        <v>2020-05-12</v>
      </c>
      <c r="Z94" t="s">
        <v>45</v>
      </c>
      <c r="AA94" t="s">
        <v>40</v>
      </c>
      <c r="AB94">
        <v>3</v>
      </c>
      <c r="AC94">
        <v>3</v>
      </c>
      <c r="AD94" t="s">
        <v>41</v>
      </c>
      <c r="AE94" t="s">
        <v>42</v>
      </c>
      <c r="AF94" t="s">
        <v>57</v>
      </c>
    </row>
    <row r="95" spans="1:32" x14ac:dyDescent="0.25">
      <c r="A95">
        <v>40</v>
      </c>
      <c r="B95" t="s">
        <v>41</v>
      </c>
      <c r="C95" t="s">
        <v>33</v>
      </c>
      <c r="D95" t="s">
        <v>34</v>
      </c>
      <c r="E95">
        <v>2</v>
      </c>
      <c r="F95" t="s">
        <v>58</v>
      </c>
      <c r="G95">
        <v>2</v>
      </c>
      <c r="H95">
        <v>2</v>
      </c>
      <c r="I95" t="s">
        <v>36</v>
      </c>
      <c r="J95">
        <v>3</v>
      </c>
      <c r="K95" t="s">
        <v>50</v>
      </c>
      <c r="L95">
        <v>3448</v>
      </c>
      <c r="M95">
        <v>6</v>
      </c>
      <c r="N95" t="s">
        <v>41</v>
      </c>
      <c r="O95">
        <v>22</v>
      </c>
      <c r="P95">
        <v>4</v>
      </c>
      <c r="Q95">
        <v>1</v>
      </c>
      <c r="R95">
        <v>20</v>
      </c>
      <c r="S95">
        <v>3</v>
      </c>
      <c r="T95">
        <v>1</v>
      </c>
      <c r="U95">
        <v>0</v>
      </c>
      <c r="V95">
        <v>0</v>
      </c>
      <c r="W95" t="s">
        <v>38</v>
      </c>
      <c r="X95" s="1" t="d">
        <v>2020-03-02</v>
      </c>
      <c r="Z95" t="s">
        <v>39</v>
      </c>
      <c r="AA95" t="s">
        <v>46</v>
      </c>
      <c r="AB95">
        <v>5</v>
      </c>
      <c r="AC95">
        <v>1</v>
      </c>
      <c r="AD95" t="s">
        <v>41</v>
      </c>
      <c r="AE95" t="s">
        <v>47</v>
      </c>
      <c r="AF95" t="s">
        <v>43</v>
      </c>
    </row>
    <row r="96" spans="1:32" x14ac:dyDescent="0.25">
      <c r="A96">
        <v>38</v>
      </c>
      <c r="B96" t="s">
        <v>41</v>
      </c>
      <c r="C96" t="s">
        <v>61</v>
      </c>
      <c r="D96" t="s">
        <v>34</v>
      </c>
      <c r="E96">
        <v>2</v>
      </c>
      <c r="F96" t="s">
        <v>35</v>
      </c>
      <c r="G96">
        <v>3</v>
      </c>
      <c r="H96">
        <v>1</v>
      </c>
      <c r="I96" t="s">
        <v>36</v>
      </c>
      <c r="J96">
        <v>4</v>
      </c>
      <c r="K96" t="s">
        <v>50</v>
      </c>
      <c r="L96">
        <v>1702</v>
      </c>
      <c r="M96">
        <v>1</v>
      </c>
      <c r="N96" t="s">
        <v>32</v>
      </c>
      <c r="O96">
        <v>23</v>
      </c>
      <c r="P96">
        <v>4</v>
      </c>
      <c r="Q96">
        <v>1</v>
      </c>
      <c r="R96">
        <v>1</v>
      </c>
      <c r="S96">
        <v>3</v>
      </c>
      <c r="T96">
        <v>1</v>
      </c>
      <c r="U96">
        <v>0</v>
      </c>
      <c r="V96">
        <v>0</v>
      </c>
      <c r="W96" t="s">
        <v>65</v>
      </c>
      <c r="X96" s="1" t="d">
        <v>2020-04-21</v>
      </c>
      <c r="Z96" t="s">
        <v>39</v>
      </c>
      <c r="AA96" t="s">
        <v>46</v>
      </c>
      <c r="AB96">
        <v>5</v>
      </c>
      <c r="AC96">
        <v>2</v>
      </c>
      <c r="AD96" t="s">
        <v>41</v>
      </c>
      <c r="AE96" t="s">
        <v>47</v>
      </c>
      <c r="AF96" t="s">
        <v>57</v>
      </c>
    </row>
    <row r="97" spans="1:32" x14ac:dyDescent="0.25">
      <c r="A97">
        <v>19</v>
      </c>
      <c r="B97" t="s">
        <v>32</v>
      </c>
      <c r="C97" t="s">
        <v>33</v>
      </c>
      <c r="D97" t="s">
        <v>70</v>
      </c>
      <c r="E97">
        <v>2</v>
      </c>
      <c r="F97" t="s">
        <v>35</v>
      </c>
      <c r="G97">
        <v>2</v>
      </c>
      <c r="H97">
        <v>1</v>
      </c>
      <c r="I97" t="s">
        <v>70</v>
      </c>
      <c r="J97">
        <v>4</v>
      </c>
      <c r="K97" t="s">
        <v>37</v>
      </c>
      <c r="L97">
        <v>2564</v>
      </c>
      <c r="M97">
        <v>1</v>
      </c>
      <c r="N97" t="s">
        <v>41</v>
      </c>
      <c r="O97">
        <v>12</v>
      </c>
      <c r="P97">
        <v>3</v>
      </c>
      <c r="Q97">
        <v>0</v>
      </c>
      <c r="R97">
        <v>1</v>
      </c>
      <c r="S97">
        <v>3</v>
      </c>
      <c r="T97">
        <v>1</v>
      </c>
      <c r="U97">
        <v>0</v>
      </c>
      <c r="V97">
        <v>0</v>
      </c>
      <c r="W97" t="s">
        <v>51</v>
      </c>
      <c r="X97" s="1" t="d">
        <v>2020-01-21</v>
      </c>
      <c r="Z97" t="s">
        <v>45</v>
      </c>
      <c r="AA97" t="s">
        <v>46</v>
      </c>
      <c r="AB97">
        <v>0</v>
      </c>
      <c r="AC97">
        <v>0</v>
      </c>
      <c r="AD97" t="s">
        <v>32</v>
      </c>
      <c r="AE97" t="s">
        <v>62</v>
      </c>
      <c r="AF97" t="s">
        <v>57</v>
      </c>
    </row>
    <row r="98" spans="1:32" x14ac:dyDescent="0.25">
      <c r="A98">
        <v>57</v>
      </c>
      <c r="B98" t="s">
        <v>41</v>
      </c>
      <c r="C98" t="s">
        <v>33</v>
      </c>
      <c r="D98" t="s">
        <v>53</v>
      </c>
      <c r="E98">
        <v>29</v>
      </c>
      <c r="F98" t="s">
        <v>35</v>
      </c>
      <c r="G98">
        <v>2</v>
      </c>
      <c r="H98">
        <v>4</v>
      </c>
      <c r="I98" t="s">
        <v>66</v>
      </c>
      <c r="J98">
        <v>4</v>
      </c>
      <c r="K98" t="s">
        <v>55</v>
      </c>
      <c r="L98">
        <v>14118</v>
      </c>
      <c r="M98">
        <v>3</v>
      </c>
      <c r="N98" t="s">
        <v>41</v>
      </c>
      <c r="O98">
        <v>12</v>
      </c>
      <c r="P98">
        <v>3</v>
      </c>
      <c r="Q98">
        <v>1</v>
      </c>
      <c r="R98">
        <v>32</v>
      </c>
      <c r="S98">
        <v>3</v>
      </c>
      <c r="T98">
        <v>1</v>
      </c>
      <c r="U98">
        <v>0</v>
      </c>
      <c r="V98">
        <v>0</v>
      </c>
      <c r="W98" t="s">
        <v>51</v>
      </c>
      <c r="X98" s="1" t="d">
        <v>2020-02-22</v>
      </c>
      <c r="Z98" t="s">
        <v>45</v>
      </c>
      <c r="AA98" t="s">
        <v>46</v>
      </c>
      <c r="AB98">
        <v>2</v>
      </c>
      <c r="AC98">
        <v>3</v>
      </c>
      <c r="AD98" t="s">
        <v>41</v>
      </c>
      <c r="AE98" t="s">
        <v>62</v>
      </c>
      <c r="AF98" t="s">
        <v>43</v>
      </c>
    </row>
    <row r="99" spans="1:32" x14ac:dyDescent="0.25">
      <c r="A99">
        <v>54</v>
      </c>
      <c r="B99" t="s">
        <v>41</v>
      </c>
      <c r="C99" t="s">
        <v>33</v>
      </c>
      <c r="D99" t="s">
        <v>34</v>
      </c>
      <c r="E99">
        <v>8</v>
      </c>
      <c r="F99" t="s">
        <v>58</v>
      </c>
      <c r="G99">
        <v>3</v>
      </c>
      <c r="H99">
        <v>2</v>
      </c>
      <c r="I99" t="s">
        <v>36</v>
      </c>
      <c r="J99">
        <v>3</v>
      </c>
      <c r="K99" t="s">
        <v>37</v>
      </c>
      <c r="L99">
        <v>3780</v>
      </c>
      <c r="M99">
        <v>7</v>
      </c>
      <c r="N99" t="s">
        <v>41</v>
      </c>
      <c r="O99">
        <v>11</v>
      </c>
      <c r="P99">
        <v>3</v>
      </c>
      <c r="Q99">
        <v>0</v>
      </c>
      <c r="R99">
        <v>19</v>
      </c>
      <c r="S99">
        <v>3</v>
      </c>
      <c r="T99">
        <v>1</v>
      </c>
      <c r="U99">
        <v>0</v>
      </c>
      <c r="V99">
        <v>0</v>
      </c>
      <c r="W99" t="s">
        <v>38</v>
      </c>
      <c r="X99" s="1" t="d">
        <v>2020-02-17</v>
      </c>
      <c r="Z99" t="s">
        <v>59</v>
      </c>
      <c r="AA99" t="s">
        <v>46</v>
      </c>
      <c r="AB99">
        <v>0</v>
      </c>
      <c r="AC99">
        <v>3</v>
      </c>
      <c r="AD99" t="s">
        <v>41</v>
      </c>
      <c r="AE99" t="s">
        <v>42</v>
      </c>
      <c r="AF99" t="s">
        <v>57</v>
      </c>
    </row>
    <row r="100" spans="1:32" x14ac:dyDescent="0.25">
      <c r="A100">
        <v>31</v>
      </c>
      <c r="B100" t="s">
        <v>32</v>
      </c>
      <c r="C100" t="s">
        <v>61</v>
      </c>
      <c r="D100" t="s">
        <v>34</v>
      </c>
      <c r="E100">
        <v>20</v>
      </c>
      <c r="F100" t="s">
        <v>35</v>
      </c>
      <c r="G100">
        <v>3</v>
      </c>
      <c r="H100">
        <v>3</v>
      </c>
      <c r="I100" t="s">
        <v>69</v>
      </c>
      <c r="J100">
        <v>3</v>
      </c>
      <c r="K100" t="s">
        <v>50</v>
      </c>
      <c r="L100">
        <v>9824</v>
      </c>
      <c r="M100">
        <v>3</v>
      </c>
      <c r="N100" t="s">
        <v>41</v>
      </c>
      <c r="O100">
        <v>12</v>
      </c>
      <c r="P100">
        <v>3</v>
      </c>
      <c r="Q100">
        <v>0</v>
      </c>
      <c r="R100">
        <v>12</v>
      </c>
      <c r="S100">
        <v>2</v>
      </c>
      <c r="T100">
        <v>1</v>
      </c>
      <c r="U100">
        <v>0</v>
      </c>
      <c r="V100">
        <v>0</v>
      </c>
      <c r="W100" t="s">
        <v>38</v>
      </c>
      <c r="X100" s="1" t="d">
        <v>2020-04-12</v>
      </c>
      <c r="Z100" t="s">
        <v>39</v>
      </c>
      <c r="AA100" t="s">
        <v>46</v>
      </c>
      <c r="AB100">
        <v>4</v>
      </c>
      <c r="AC100">
        <v>0</v>
      </c>
      <c r="AD100" t="s">
        <v>32</v>
      </c>
      <c r="AE100" t="s">
        <v>60</v>
      </c>
      <c r="AF100" t="s">
        <v>57</v>
      </c>
    </row>
    <row r="101" spans="1:32" x14ac:dyDescent="0.25">
      <c r="A101">
        <v>40</v>
      </c>
      <c r="B101" t="s">
        <v>41</v>
      </c>
      <c r="C101" t="s">
        <v>68</v>
      </c>
      <c r="D101" t="s">
        <v>53</v>
      </c>
      <c r="E101">
        <v>28</v>
      </c>
      <c r="F101" t="s">
        <v>35</v>
      </c>
      <c r="G101">
        <v>1</v>
      </c>
      <c r="H101">
        <v>3</v>
      </c>
      <c r="I101" t="s">
        <v>64</v>
      </c>
      <c r="J101">
        <v>1</v>
      </c>
      <c r="K101" t="s">
        <v>55</v>
      </c>
      <c r="L101">
        <v>10932</v>
      </c>
      <c r="M101">
        <v>3</v>
      </c>
      <c r="N101" t="s">
        <v>41</v>
      </c>
      <c r="O101">
        <v>15</v>
      </c>
      <c r="P101">
        <v>3</v>
      </c>
      <c r="Q101">
        <v>1</v>
      </c>
      <c r="R101">
        <v>20</v>
      </c>
      <c r="S101">
        <v>2</v>
      </c>
      <c r="T101">
        <v>1</v>
      </c>
      <c r="U101">
        <v>0</v>
      </c>
      <c r="V101">
        <v>1</v>
      </c>
      <c r="W101" t="s">
        <v>56</v>
      </c>
      <c r="X101" s="1" t="d">
        <v>2020-06-26</v>
      </c>
      <c r="Z101" t="s">
        <v>52</v>
      </c>
      <c r="AA101" t="s">
        <v>46</v>
      </c>
      <c r="AB101">
        <v>3</v>
      </c>
      <c r="AC101">
        <v>3</v>
      </c>
      <c r="AD101" t="s">
        <v>41</v>
      </c>
      <c r="AE101" t="s">
        <v>62</v>
      </c>
      <c r="AF101" t="s">
        <v>57</v>
      </c>
    </row>
    <row r="102" spans="1:32" x14ac:dyDescent="0.25">
      <c r="A102">
        <v>26</v>
      </c>
      <c r="B102" t="s">
        <v>32</v>
      </c>
      <c r="C102" t="s">
        <v>33</v>
      </c>
      <c r="D102" t="s">
        <v>34</v>
      </c>
      <c r="E102">
        <v>24</v>
      </c>
      <c r="F102" t="s">
        <v>35</v>
      </c>
      <c r="G102">
        <v>1</v>
      </c>
      <c r="H102">
        <v>1</v>
      </c>
      <c r="I102" t="s">
        <v>36</v>
      </c>
      <c r="J102">
        <v>4</v>
      </c>
      <c r="K102" t="s">
        <v>37</v>
      </c>
      <c r="L102">
        <v>2340</v>
      </c>
      <c r="M102">
        <v>1</v>
      </c>
      <c r="N102" t="s">
        <v>32</v>
      </c>
      <c r="O102">
        <v>18</v>
      </c>
      <c r="P102">
        <v>3</v>
      </c>
      <c r="Q102">
        <v>0</v>
      </c>
      <c r="R102">
        <v>1</v>
      </c>
      <c r="S102">
        <v>3</v>
      </c>
      <c r="T102">
        <v>1</v>
      </c>
      <c r="U102">
        <v>0</v>
      </c>
      <c r="V102">
        <v>0</v>
      </c>
      <c r="W102" t="s">
        <v>65</v>
      </c>
      <c r="X102" s="1" t="d">
        <v>2020-04-30</v>
      </c>
      <c r="Z102" t="s">
        <v>39</v>
      </c>
      <c r="AA102" t="s">
        <v>46</v>
      </c>
      <c r="AB102">
        <v>2</v>
      </c>
      <c r="AC102">
        <v>2</v>
      </c>
      <c r="AD102" t="s">
        <v>41</v>
      </c>
      <c r="AE102" t="s">
        <v>60</v>
      </c>
      <c r="AF102" t="s">
        <v>43</v>
      </c>
    </row>
    <row r="103" spans="1:32" x14ac:dyDescent="0.25">
      <c r="A103">
        <v>38</v>
      </c>
      <c r="B103" t="s">
        <v>41</v>
      </c>
      <c r="C103" t="s">
        <v>33</v>
      </c>
      <c r="D103" t="s">
        <v>34</v>
      </c>
      <c r="E103">
        <v>10</v>
      </c>
      <c r="F103" t="s">
        <v>58</v>
      </c>
      <c r="G103">
        <v>3</v>
      </c>
      <c r="H103">
        <v>2</v>
      </c>
      <c r="I103" t="s">
        <v>69</v>
      </c>
      <c r="J103">
        <v>3</v>
      </c>
      <c r="K103" t="s">
        <v>50</v>
      </c>
      <c r="L103">
        <v>9824</v>
      </c>
      <c r="M103">
        <v>3</v>
      </c>
      <c r="N103" t="s">
        <v>41</v>
      </c>
      <c r="O103">
        <v>19</v>
      </c>
      <c r="P103">
        <v>3</v>
      </c>
      <c r="Q103">
        <v>1</v>
      </c>
      <c r="R103">
        <v>18</v>
      </c>
      <c r="S103">
        <v>4</v>
      </c>
      <c r="T103">
        <v>1</v>
      </c>
      <c r="U103">
        <v>0</v>
      </c>
      <c r="V103">
        <v>0</v>
      </c>
      <c r="W103" t="s">
        <v>65</v>
      </c>
      <c r="X103" s="1" t="d">
        <v>2020-03-04</v>
      </c>
      <c r="Z103" t="s">
        <v>39</v>
      </c>
      <c r="AA103" t="s">
        <v>46</v>
      </c>
      <c r="AB103">
        <v>0</v>
      </c>
      <c r="AC103">
        <v>3</v>
      </c>
      <c r="AD103" t="s">
        <v>41</v>
      </c>
      <c r="AE103" t="s">
        <v>62</v>
      </c>
      <c r="AF103" t="s">
        <v>43</v>
      </c>
    </row>
    <row r="104" spans="1:32" x14ac:dyDescent="0.25">
      <c r="A104">
        <v>24</v>
      </c>
      <c r="B104" t="s">
        <v>41</v>
      </c>
      <c r="C104" t="s">
        <v>33</v>
      </c>
      <c r="D104" t="s">
        <v>34</v>
      </c>
      <c r="E104">
        <v>17</v>
      </c>
      <c r="F104" t="s">
        <v>35</v>
      </c>
      <c r="G104">
        <v>2</v>
      </c>
      <c r="H104">
        <v>1</v>
      </c>
      <c r="I104" t="s">
        <v>36</v>
      </c>
      <c r="J104">
        <v>2</v>
      </c>
      <c r="K104" t="s">
        <v>50</v>
      </c>
      <c r="L104">
        <v>2127</v>
      </c>
      <c r="M104">
        <v>1</v>
      </c>
      <c r="N104" t="s">
        <v>41</v>
      </c>
      <c r="O104">
        <v>21</v>
      </c>
      <c r="P104">
        <v>4</v>
      </c>
      <c r="Q104">
        <v>1</v>
      </c>
      <c r="R104">
        <v>1</v>
      </c>
      <c r="S104">
        <v>2</v>
      </c>
      <c r="T104">
        <v>1</v>
      </c>
      <c r="U104">
        <v>0</v>
      </c>
      <c r="V104">
        <v>0</v>
      </c>
      <c r="W104" t="s">
        <v>56</v>
      </c>
      <c r="X104" s="1" t="d">
        <v>2020-02-25</v>
      </c>
      <c r="Z104" t="s">
        <v>45</v>
      </c>
      <c r="AA104" t="s">
        <v>40</v>
      </c>
      <c r="AB104">
        <v>5</v>
      </c>
      <c r="AC104">
        <v>3</v>
      </c>
      <c r="AD104" t="s">
        <v>32</v>
      </c>
      <c r="AE104" t="s">
        <v>60</v>
      </c>
      <c r="AF104" t="s">
        <v>57</v>
      </c>
    </row>
    <row r="105" spans="1:32" x14ac:dyDescent="0.25">
      <c r="A105">
        <v>30</v>
      </c>
      <c r="B105" t="s">
        <v>32</v>
      </c>
      <c r="C105" t="s">
        <v>61</v>
      </c>
      <c r="D105" t="s">
        <v>53</v>
      </c>
      <c r="E105">
        <v>12</v>
      </c>
      <c r="F105" t="s">
        <v>35</v>
      </c>
      <c r="G105">
        <v>2</v>
      </c>
      <c r="H105">
        <v>1</v>
      </c>
      <c r="I105" t="s">
        <v>54</v>
      </c>
      <c r="J105">
        <v>1</v>
      </c>
      <c r="K105" t="s">
        <v>50</v>
      </c>
      <c r="L105">
        <v>2033</v>
      </c>
      <c r="M105">
        <v>1</v>
      </c>
      <c r="N105" t="s">
        <v>41</v>
      </c>
      <c r="O105">
        <v>18</v>
      </c>
      <c r="P105">
        <v>3</v>
      </c>
      <c r="Q105">
        <v>1</v>
      </c>
      <c r="R105">
        <v>1</v>
      </c>
      <c r="S105">
        <v>2</v>
      </c>
      <c r="T105">
        <v>1</v>
      </c>
      <c r="U105">
        <v>0</v>
      </c>
      <c r="V105">
        <v>0</v>
      </c>
      <c r="W105" t="s">
        <v>38</v>
      </c>
      <c r="X105" s="1" t="d">
        <v>2020-01-21</v>
      </c>
      <c r="Z105" t="s">
        <v>39</v>
      </c>
      <c r="AA105" t="s">
        <v>46</v>
      </c>
      <c r="AB105">
        <v>4</v>
      </c>
      <c r="AC105">
        <v>3</v>
      </c>
      <c r="AD105" t="s">
        <v>32</v>
      </c>
      <c r="AE105" t="s">
        <v>42</v>
      </c>
      <c r="AF105" t="s">
        <v>43</v>
      </c>
    </row>
    <row r="106" spans="1:32" x14ac:dyDescent="0.25">
      <c r="A106">
        <v>20</v>
      </c>
      <c r="B106" t="s">
        <v>41</v>
      </c>
      <c r="C106" t="s">
        <v>33</v>
      </c>
      <c r="D106" t="s">
        <v>34</v>
      </c>
      <c r="E106">
        <v>1</v>
      </c>
      <c r="F106" t="s">
        <v>58</v>
      </c>
      <c r="G106">
        <v>2</v>
      </c>
      <c r="H106">
        <v>1</v>
      </c>
      <c r="I106" t="s">
        <v>44</v>
      </c>
      <c r="J106">
        <v>2</v>
      </c>
      <c r="K106" t="s">
        <v>37</v>
      </c>
      <c r="L106">
        <v>2836</v>
      </c>
      <c r="M106">
        <v>1</v>
      </c>
      <c r="N106" t="s">
        <v>41</v>
      </c>
      <c r="O106">
        <v>13</v>
      </c>
      <c r="P106">
        <v>3</v>
      </c>
      <c r="Q106">
        <v>0</v>
      </c>
      <c r="R106">
        <v>1</v>
      </c>
      <c r="S106">
        <v>0</v>
      </c>
      <c r="T106">
        <v>1</v>
      </c>
      <c r="U106">
        <v>0</v>
      </c>
      <c r="V106">
        <v>0</v>
      </c>
      <c r="W106" t="s">
        <v>65</v>
      </c>
      <c r="X106" s="1" t="d">
        <v>2020-05-08</v>
      </c>
      <c r="Z106" t="s">
        <v>39</v>
      </c>
      <c r="AA106" t="s">
        <v>46</v>
      </c>
      <c r="AB106">
        <v>0</v>
      </c>
      <c r="AC106">
        <v>2</v>
      </c>
      <c r="AD106" t="s">
        <v>41</v>
      </c>
      <c r="AE106" t="s">
        <v>60</v>
      </c>
      <c r="AF106" t="s">
        <v>48</v>
      </c>
    </row>
    <row r="107" spans="1:32" x14ac:dyDescent="0.25">
      <c r="A107">
        <v>43</v>
      </c>
      <c r="B107" t="s">
        <v>41</v>
      </c>
      <c r="C107" t="s">
        <v>33</v>
      </c>
      <c r="D107" t="s">
        <v>34</v>
      </c>
      <c r="E107">
        <v>6</v>
      </c>
      <c r="F107" t="s">
        <v>35</v>
      </c>
      <c r="G107">
        <v>2</v>
      </c>
      <c r="H107">
        <v>4</v>
      </c>
      <c r="I107" t="s">
        <v>49</v>
      </c>
      <c r="J107">
        <v>4</v>
      </c>
      <c r="K107" t="s">
        <v>55</v>
      </c>
      <c r="L107">
        <v>16627</v>
      </c>
      <c r="M107">
        <v>4</v>
      </c>
      <c r="N107" t="s">
        <v>32</v>
      </c>
      <c r="O107">
        <v>14</v>
      </c>
      <c r="P107">
        <v>3</v>
      </c>
      <c r="Q107">
        <v>1</v>
      </c>
      <c r="R107">
        <v>21</v>
      </c>
      <c r="S107">
        <v>3</v>
      </c>
      <c r="T107">
        <v>1</v>
      </c>
      <c r="U107">
        <v>0</v>
      </c>
      <c r="V107">
        <v>0</v>
      </c>
      <c r="W107" t="s">
        <v>65</v>
      </c>
      <c r="X107" s="1" t="d">
        <v>2020-02-13</v>
      </c>
      <c r="Z107" t="s">
        <v>52</v>
      </c>
      <c r="AA107" t="s">
        <v>46</v>
      </c>
      <c r="AB107">
        <v>4</v>
      </c>
      <c r="AC107">
        <v>3</v>
      </c>
      <c r="AD107" t="s">
        <v>41</v>
      </c>
      <c r="AE107" t="s">
        <v>42</v>
      </c>
      <c r="AF107" t="s">
        <v>43</v>
      </c>
    </row>
    <row r="108" spans="1:32" x14ac:dyDescent="0.25">
      <c r="A108">
        <v>30</v>
      </c>
      <c r="B108" t="s">
        <v>41</v>
      </c>
      <c r="C108" t="s">
        <v>61</v>
      </c>
      <c r="D108" t="s">
        <v>34</v>
      </c>
      <c r="E108">
        <v>3</v>
      </c>
      <c r="F108" t="s">
        <v>58</v>
      </c>
      <c r="G108">
        <v>3</v>
      </c>
      <c r="H108">
        <v>1</v>
      </c>
      <c r="I108" t="s">
        <v>44</v>
      </c>
      <c r="J108">
        <v>3</v>
      </c>
      <c r="K108" t="s">
        <v>55</v>
      </c>
      <c r="L108">
        <v>2083</v>
      </c>
      <c r="M108">
        <v>1</v>
      </c>
      <c r="N108" t="s">
        <v>41</v>
      </c>
      <c r="O108">
        <v>20</v>
      </c>
      <c r="P108">
        <v>4</v>
      </c>
      <c r="Q108">
        <v>1</v>
      </c>
      <c r="R108">
        <v>1</v>
      </c>
      <c r="S108">
        <v>2</v>
      </c>
      <c r="T108">
        <v>1</v>
      </c>
      <c r="U108">
        <v>0</v>
      </c>
      <c r="V108">
        <v>0</v>
      </c>
      <c r="W108" t="s">
        <v>38</v>
      </c>
      <c r="X108" s="1" t="d">
        <v>2020-05-28</v>
      </c>
      <c r="Z108" t="s">
        <v>63</v>
      </c>
      <c r="AA108" t="s">
        <v>46</v>
      </c>
      <c r="AB108">
        <v>4</v>
      </c>
      <c r="AC108">
        <v>0</v>
      </c>
      <c r="AD108" t="s">
        <v>32</v>
      </c>
      <c r="AE108" t="s">
        <v>62</v>
      </c>
      <c r="AF108" t="s">
        <v>57</v>
      </c>
    </row>
    <row r="109" spans="1:32" x14ac:dyDescent="0.25">
      <c r="A109">
        <v>45</v>
      </c>
      <c r="B109" t="s">
        <v>32</v>
      </c>
      <c r="C109" t="s">
        <v>61</v>
      </c>
      <c r="D109" t="s">
        <v>53</v>
      </c>
      <c r="E109">
        <v>26</v>
      </c>
      <c r="F109" t="s">
        <v>58</v>
      </c>
      <c r="G109">
        <v>3</v>
      </c>
      <c r="H109">
        <v>2</v>
      </c>
      <c r="I109" t="s">
        <v>64</v>
      </c>
      <c r="J109">
        <v>1</v>
      </c>
      <c r="K109" t="s">
        <v>50</v>
      </c>
      <c r="L109">
        <v>4286</v>
      </c>
      <c r="M109">
        <v>2</v>
      </c>
      <c r="N109" t="s">
        <v>41</v>
      </c>
      <c r="O109">
        <v>14</v>
      </c>
      <c r="P109">
        <v>3</v>
      </c>
      <c r="Q109">
        <v>2</v>
      </c>
      <c r="R109">
        <v>5</v>
      </c>
      <c r="S109">
        <v>4</v>
      </c>
      <c r="T109">
        <v>1</v>
      </c>
      <c r="U109">
        <v>0</v>
      </c>
      <c r="V109">
        <v>0</v>
      </c>
      <c r="W109" t="s">
        <v>51</v>
      </c>
      <c r="X109" s="1" t="d">
        <v>2020-01-30</v>
      </c>
      <c r="Z109" t="s">
        <v>52</v>
      </c>
      <c r="AA109" t="s">
        <v>40</v>
      </c>
      <c r="AB109">
        <v>0</v>
      </c>
      <c r="AC109">
        <v>3</v>
      </c>
      <c r="AD109" t="s">
        <v>32</v>
      </c>
      <c r="AE109" t="s">
        <v>60</v>
      </c>
      <c r="AF109" t="s">
        <v>43</v>
      </c>
    </row>
    <row r="110" spans="1:32" x14ac:dyDescent="0.25">
      <c r="A110">
        <v>20</v>
      </c>
      <c r="B110" t="s">
        <v>32</v>
      </c>
      <c r="C110" t="s">
        <v>33</v>
      </c>
      <c r="D110" t="s">
        <v>34</v>
      </c>
      <c r="E110">
        <v>10</v>
      </c>
      <c r="F110" t="s">
        <v>35</v>
      </c>
      <c r="G110">
        <v>3</v>
      </c>
      <c r="H110">
        <v>1</v>
      </c>
      <c r="I110" t="s">
        <v>44</v>
      </c>
      <c r="J110">
        <v>3</v>
      </c>
      <c r="K110" t="s">
        <v>37</v>
      </c>
      <c r="L110">
        <v>1009</v>
      </c>
      <c r="M110">
        <v>1</v>
      </c>
      <c r="N110" t="s">
        <v>32</v>
      </c>
      <c r="O110">
        <v>11</v>
      </c>
      <c r="P110">
        <v>3</v>
      </c>
      <c r="Q110">
        <v>0</v>
      </c>
      <c r="R110">
        <v>1</v>
      </c>
      <c r="S110">
        <v>5</v>
      </c>
      <c r="T110">
        <v>1</v>
      </c>
      <c r="U110">
        <v>1</v>
      </c>
      <c r="V110">
        <v>1</v>
      </c>
      <c r="W110" t="s">
        <v>38</v>
      </c>
      <c r="X110" s="1" t="d">
        <v>2020-06-09</v>
      </c>
      <c r="Z110" t="s">
        <v>39</v>
      </c>
      <c r="AA110" t="s">
        <v>40</v>
      </c>
      <c r="AB110">
        <v>1</v>
      </c>
      <c r="AC110">
        <v>3</v>
      </c>
      <c r="AD110" t="s">
        <v>41</v>
      </c>
      <c r="AE110" t="s">
        <v>60</v>
      </c>
      <c r="AF110" t="s">
        <v>57</v>
      </c>
    </row>
    <row r="111" spans="1:32" x14ac:dyDescent="0.25">
      <c r="A111">
        <v>35</v>
      </c>
      <c r="B111" t="s">
        <v>41</v>
      </c>
      <c r="C111" t="s">
        <v>68</v>
      </c>
      <c r="D111" t="s">
        <v>34</v>
      </c>
      <c r="E111">
        <v>3</v>
      </c>
      <c r="F111" t="s">
        <v>35</v>
      </c>
      <c r="G111">
        <v>2</v>
      </c>
      <c r="H111">
        <v>1</v>
      </c>
      <c r="I111" t="s">
        <v>36</v>
      </c>
      <c r="J111">
        <v>3</v>
      </c>
      <c r="K111" t="s">
        <v>50</v>
      </c>
      <c r="L111">
        <v>1281</v>
      </c>
      <c r="M111">
        <v>1</v>
      </c>
      <c r="N111" t="s">
        <v>41</v>
      </c>
      <c r="O111">
        <v>18</v>
      </c>
      <c r="P111">
        <v>3</v>
      </c>
      <c r="Q111">
        <v>2</v>
      </c>
      <c r="R111">
        <v>1</v>
      </c>
      <c r="S111">
        <v>3</v>
      </c>
      <c r="T111">
        <v>1</v>
      </c>
      <c r="U111">
        <v>0</v>
      </c>
      <c r="V111">
        <v>0</v>
      </c>
      <c r="W111" t="s">
        <v>38</v>
      </c>
      <c r="X111" s="1" t="d">
        <v>2020-05-24</v>
      </c>
      <c r="Z111" t="s">
        <v>39</v>
      </c>
      <c r="AA111" t="s">
        <v>46</v>
      </c>
      <c r="AB111">
        <v>0</v>
      </c>
      <c r="AC111">
        <v>1</v>
      </c>
      <c r="AD111" t="s">
        <v>32</v>
      </c>
      <c r="AE111" t="s">
        <v>42</v>
      </c>
      <c r="AF111" t="s">
        <v>57</v>
      </c>
    </row>
    <row r="112" spans="1:32" x14ac:dyDescent="0.25">
      <c r="A112">
        <v>37</v>
      </c>
      <c r="B112" t="s">
        <v>41</v>
      </c>
      <c r="C112" t="s">
        <v>33</v>
      </c>
      <c r="D112" t="s">
        <v>34</v>
      </c>
      <c r="E112">
        <v>10</v>
      </c>
      <c r="F112" t="s">
        <v>35</v>
      </c>
      <c r="G112">
        <v>4</v>
      </c>
      <c r="H112">
        <v>1</v>
      </c>
      <c r="I112" t="s">
        <v>44</v>
      </c>
      <c r="J112">
        <v>4</v>
      </c>
      <c r="K112" t="s">
        <v>37</v>
      </c>
      <c r="L112">
        <v>4680</v>
      </c>
      <c r="M112">
        <v>3</v>
      </c>
      <c r="N112" t="s">
        <v>41</v>
      </c>
      <c r="O112">
        <v>17</v>
      </c>
      <c r="P112">
        <v>3</v>
      </c>
      <c r="Q112">
        <v>0</v>
      </c>
      <c r="R112">
        <v>4</v>
      </c>
      <c r="S112">
        <v>2</v>
      </c>
      <c r="T112">
        <v>1</v>
      </c>
      <c r="U112">
        <v>0</v>
      </c>
      <c r="V112">
        <v>0</v>
      </c>
      <c r="W112" t="s">
        <v>38</v>
      </c>
      <c r="X112" s="1" t="d">
        <v>2020-04-04</v>
      </c>
      <c r="Z112" t="s">
        <v>45</v>
      </c>
      <c r="AA112" t="s">
        <v>46</v>
      </c>
      <c r="AB112">
        <v>5</v>
      </c>
      <c r="AC112">
        <v>3</v>
      </c>
      <c r="AD112" t="s">
        <v>32</v>
      </c>
      <c r="AE112" t="s">
        <v>47</v>
      </c>
      <c r="AF112" t="s">
        <v>57</v>
      </c>
    </row>
    <row r="113" spans="1:32" x14ac:dyDescent="0.25">
      <c r="A113">
        <v>38</v>
      </c>
      <c r="B113" t="s">
        <v>41</v>
      </c>
      <c r="C113" t="s">
        <v>33</v>
      </c>
      <c r="D113" t="s">
        <v>34</v>
      </c>
      <c r="E113">
        <v>1</v>
      </c>
      <c r="F113" t="s">
        <v>58</v>
      </c>
      <c r="G113">
        <v>3</v>
      </c>
      <c r="H113">
        <v>3</v>
      </c>
      <c r="I113" t="s">
        <v>67</v>
      </c>
      <c r="J113">
        <v>3</v>
      </c>
      <c r="K113" t="s">
        <v>37</v>
      </c>
      <c r="L113">
        <v>7861</v>
      </c>
      <c r="M113">
        <v>4</v>
      </c>
      <c r="N113" t="s">
        <v>32</v>
      </c>
      <c r="O113">
        <v>14</v>
      </c>
      <c r="P113">
        <v>3</v>
      </c>
      <c r="Q113">
        <v>0</v>
      </c>
      <c r="R113">
        <v>10</v>
      </c>
      <c r="S113">
        <v>4</v>
      </c>
      <c r="T113">
        <v>1</v>
      </c>
      <c r="U113">
        <v>0</v>
      </c>
      <c r="V113">
        <v>0</v>
      </c>
      <c r="W113" t="s">
        <v>51</v>
      </c>
      <c r="X113" s="1" t="d">
        <v>2020-06-12</v>
      </c>
      <c r="Z113" t="s">
        <v>59</v>
      </c>
      <c r="AA113" t="s">
        <v>40</v>
      </c>
      <c r="AB113">
        <v>4</v>
      </c>
      <c r="AC113">
        <v>2</v>
      </c>
      <c r="AD113" t="s">
        <v>41</v>
      </c>
      <c r="AE113" t="s">
        <v>42</v>
      </c>
      <c r="AF113" t="s">
        <v>43</v>
      </c>
    </row>
    <row r="114" spans="1:32" x14ac:dyDescent="0.25">
      <c r="A114">
        <v>29</v>
      </c>
      <c r="B114" t="s">
        <v>41</v>
      </c>
      <c r="C114" t="s">
        <v>33</v>
      </c>
      <c r="D114" t="s">
        <v>53</v>
      </c>
      <c r="E114">
        <v>10</v>
      </c>
      <c r="F114" t="s">
        <v>35</v>
      </c>
      <c r="G114">
        <v>3</v>
      </c>
      <c r="H114">
        <v>1</v>
      </c>
      <c r="I114" t="s">
        <v>54</v>
      </c>
      <c r="J114">
        <v>3</v>
      </c>
      <c r="K114" t="s">
        <v>37</v>
      </c>
      <c r="L114">
        <v>2642</v>
      </c>
      <c r="M114">
        <v>1</v>
      </c>
      <c r="N114" t="s">
        <v>41</v>
      </c>
      <c r="O114">
        <v>11</v>
      </c>
      <c r="P114">
        <v>3</v>
      </c>
      <c r="Q114">
        <v>0</v>
      </c>
      <c r="R114">
        <v>1</v>
      </c>
      <c r="S114">
        <v>6</v>
      </c>
      <c r="T114">
        <v>1</v>
      </c>
      <c r="U114">
        <v>0</v>
      </c>
      <c r="V114">
        <v>0</v>
      </c>
      <c r="W114" t="s">
        <v>65</v>
      </c>
      <c r="X114" s="1" t="d">
        <v>2020-04-14</v>
      </c>
      <c r="Z114" t="s">
        <v>39</v>
      </c>
      <c r="AA114" t="s">
        <v>46</v>
      </c>
      <c r="AB114">
        <v>5</v>
      </c>
      <c r="AC114">
        <v>2</v>
      </c>
      <c r="AD114" t="s">
        <v>41</v>
      </c>
      <c r="AE114" t="s">
        <v>42</v>
      </c>
      <c r="AF114" t="s">
        <v>43</v>
      </c>
    </row>
    <row r="115" spans="1:32" x14ac:dyDescent="0.25">
      <c r="A115">
        <v>35</v>
      </c>
      <c r="B115" t="s">
        <v>41</v>
      </c>
      <c r="C115" t="s">
        <v>68</v>
      </c>
      <c r="D115" t="s">
        <v>34</v>
      </c>
      <c r="E115">
        <v>2</v>
      </c>
      <c r="F115" t="s">
        <v>58</v>
      </c>
      <c r="G115">
        <v>3</v>
      </c>
      <c r="H115">
        <v>2</v>
      </c>
      <c r="I115" t="s">
        <v>69</v>
      </c>
      <c r="J115">
        <v>1</v>
      </c>
      <c r="K115" t="s">
        <v>55</v>
      </c>
      <c r="L115">
        <v>5093</v>
      </c>
      <c r="M115">
        <v>2</v>
      </c>
      <c r="N115" t="s">
        <v>41</v>
      </c>
      <c r="O115">
        <v>11</v>
      </c>
      <c r="P115">
        <v>3</v>
      </c>
      <c r="Q115">
        <v>1</v>
      </c>
      <c r="R115">
        <v>16</v>
      </c>
      <c r="S115">
        <v>2</v>
      </c>
      <c r="T115">
        <v>1</v>
      </c>
      <c r="U115">
        <v>0</v>
      </c>
      <c r="V115">
        <v>0</v>
      </c>
      <c r="W115" t="s">
        <v>51</v>
      </c>
      <c r="X115" s="1" t="d">
        <v>2020-06-30</v>
      </c>
      <c r="Z115" t="s">
        <v>45</v>
      </c>
      <c r="AA115" t="s">
        <v>46</v>
      </c>
      <c r="AB115">
        <v>0</v>
      </c>
      <c r="AC115">
        <v>0</v>
      </c>
      <c r="AD115" t="s">
        <v>41</v>
      </c>
      <c r="AE115" t="s">
        <v>62</v>
      </c>
      <c r="AF115" t="s">
        <v>48</v>
      </c>
    </row>
    <row r="116" spans="1:32" x14ac:dyDescent="0.25">
      <c r="A116">
        <v>38</v>
      </c>
      <c r="B116" t="s">
        <v>41</v>
      </c>
      <c r="C116" t="s">
        <v>33</v>
      </c>
      <c r="D116" t="s">
        <v>34</v>
      </c>
      <c r="E116">
        <v>2</v>
      </c>
      <c r="F116" t="s">
        <v>35</v>
      </c>
      <c r="G116">
        <v>3</v>
      </c>
      <c r="H116">
        <v>1</v>
      </c>
      <c r="I116" t="s">
        <v>44</v>
      </c>
      <c r="J116">
        <v>3</v>
      </c>
      <c r="K116" t="s">
        <v>50</v>
      </c>
      <c r="L116">
        <v>3057</v>
      </c>
      <c r="M116">
        <v>6</v>
      </c>
      <c r="N116" t="s">
        <v>32</v>
      </c>
      <c r="O116">
        <v>13</v>
      </c>
      <c r="P116">
        <v>3</v>
      </c>
      <c r="Q116">
        <v>1</v>
      </c>
      <c r="R116">
        <v>6</v>
      </c>
      <c r="S116">
        <v>0</v>
      </c>
      <c r="T116">
        <v>1</v>
      </c>
      <c r="U116">
        <v>0</v>
      </c>
      <c r="V116">
        <v>1</v>
      </c>
      <c r="W116" t="s">
        <v>51</v>
      </c>
      <c r="X116" s="1" t="d">
        <v>2020-04-04</v>
      </c>
      <c r="Z116" t="s">
        <v>59</v>
      </c>
      <c r="AA116" t="s">
        <v>40</v>
      </c>
      <c r="AB116">
        <v>1</v>
      </c>
      <c r="AC116">
        <v>0</v>
      </c>
      <c r="AD116" t="s">
        <v>41</v>
      </c>
      <c r="AE116" t="s">
        <v>62</v>
      </c>
      <c r="AF116" t="s">
        <v>57</v>
      </c>
    </row>
    <row r="117" spans="1:32" x14ac:dyDescent="0.25">
      <c r="A117">
        <v>24</v>
      </c>
      <c r="B117" t="s">
        <v>41</v>
      </c>
      <c r="C117" t="s">
        <v>68</v>
      </c>
      <c r="D117" t="s">
        <v>34</v>
      </c>
      <c r="E117">
        <v>9</v>
      </c>
      <c r="F117" t="s">
        <v>35</v>
      </c>
      <c r="G117">
        <v>2</v>
      </c>
      <c r="H117">
        <v>1</v>
      </c>
      <c r="I117" t="s">
        <v>36</v>
      </c>
      <c r="J117">
        <v>2</v>
      </c>
      <c r="K117" t="s">
        <v>55</v>
      </c>
      <c r="L117">
        <v>2694</v>
      </c>
      <c r="M117">
        <v>1</v>
      </c>
      <c r="N117" t="s">
        <v>41</v>
      </c>
      <c r="O117">
        <v>11</v>
      </c>
      <c r="P117">
        <v>3</v>
      </c>
      <c r="Q117">
        <v>3</v>
      </c>
      <c r="R117">
        <v>1</v>
      </c>
      <c r="S117">
        <v>4</v>
      </c>
      <c r="T117">
        <v>1</v>
      </c>
      <c r="U117">
        <v>0</v>
      </c>
      <c r="V117">
        <v>0</v>
      </c>
      <c r="W117" t="s">
        <v>38</v>
      </c>
      <c r="X117" s="1" t="d">
        <v>2020-06-10</v>
      </c>
      <c r="Z117" t="s">
        <v>63</v>
      </c>
      <c r="AA117" t="s">
        <v>40</v>
      </c>
      <c r="AB117">
        <v>3</v>
      </c>
      <c r="AC117">
        <v>2</v>
      </c>
      <c r="AD117" t="s">
        <v>41</v>
      </c>
      <c r="AE117" t="s">
        <v>42</v>
      </c>
      <c r="AF117" t="s">
        <v>48</v>
      </c>
    </row>
    <row r="118" spans="1:32" x14ac:dyDescent="0.25">
      <c r="A118">
        <v>29</v>
      </c>
      <c r="B118" t="s">
        <v>32</v>
      </c>
      <c r="C118" t="s">
        <v>33</v>
      </c>
      <c r="D118" t="s">
        <v>34</v>
      </c>
      <c r="E118">
        <v>1</v>
      </c>
      <c r="F118" t="s">
        <v>58</v>
      </c>
      <c r="G118">
        <v>2</v>
      </c>
      <c r="H118">
        <v>1</v>
      </c>
      <c r="I118" t="s">
        <v>36</v>
      </c>
      <c r="J118">
        <v>1</v>
      </c>
      <c r="K118" t="s">
        <v>50</v>
      </c>
      <c r="L118">
        <v>2319</v>
      </c>
      <c r="M118">
        <v>1</v>
      </c>
      <c r="N118" t="s">
        <v>32</v>
      </c>
      <c r="O118">
        <v>11</v>
      </c>
      <c r="P118">
        <v>3</v>
      </c>
      <c r="Q118">
        <v>1</v>
      </c>
      <c r="R118">
        <v>1</v>
      </c>
      <c r="S118">
        <v>1</v>
      </c>
      <c r="T118">
        <v>1</v>
      </c>
      <c r="U118">
        <v>0</v>
      </c>
      <c r="V118">
        <v>0</v>
      </c>
      <c r="W118" t="s">
        <v>51</v>
      </c>
      <c r="X118" s="1" t="d">
        <v>2020-04-13</v>
      </c>
      <c r="Z118" t="s">
        <v>39</v>
      </c>
      <c r="AA118" t="s">
        <v>40</v>
      </c>
      <c r="AB118">
        <v>3</v>
      </c>
      <c r="AC118">
        <v>1</v>
      </c>
      <c r="AD118" t="s">
        <v>41</v>
      </c>
      <c r="AE118" t="s">
        <v>62</v>
      </c>
      <c r="AF118" t="s">
        <v>48</v>
      </c>
    </row>
    <row r="119" spans="1:32" x14ac:dyDescent="0.25">
      <c r="A119">
        <v>40</v>
      </c>
      <c r="B119" t="s">
        <v>41</v>
      </c>
      <c r="C119" t="s">
        <v>61</v>
      </c>
      <c r="D119" t="s">
        <v>34</v>
      </c>
      <c r="E119">
        <v>16</v>
      </c>
      <c r="F119" t="s">
        <v>35</v>
      </c>
      <c r="G119">
        <v>2</v>
      </c>
      <c r="H119">
        <v>2</v>
      </c>
      <c r="I119" t="s">
        <v>36</v>
      </c>
      <c r="J119">
        <v>3</v>
      </c>
      <c r="K119" t="s">
        <v>37</v>
      </c>
      <c r="L119">
        <v>5094</v>
      </c>
      <c r="M119">
        <v>6</v>
      </c>
      <c r="N119" t="s">
        <v>41</v>
      </c>
      <c r="O119">
        <v>14</v>
      </c>
      <c r="P119">
        <v>3</v>
      </c>
      <c r="Q119">
        <v>0</v>
      </c>
      <c r="R119">
        <v>10</v>
      </c>
      <c r="S119">
        <v>6</v>
      </c>
      <c r="T119">
        <v>1</v>
      </c>
      <c r="U119">
        <v>0</v>
      </c>
      <c r="V119">
        <v>0</v>
      </c>
      <c r="W119" t="s">
        <v>65</v>
      </c>
      <c r="X119" s="1" t="d">
        <v>2020-01-26</v>
      </c>
      <c r="Z119" t="s">
        <v>52</v>
      </c>
      <c r="AA119" t="s">
        <v>40</v>
      </c>
      <c r="AB119">
        <v>2</v>
      </c>
      <c r="AC119">
        <v>2</v>
      </c>
      <c r="AD119" t="s">
        <v>32</v>
      </c>
      <c r="AE119" t="s">
        <v>47</v>
      </c>
      <c r="AF119" t="s">
        <v>48</v>
      </c>
    </row>
    <row r="120" spans="1:32" x14ac:dyDescent="0.25">
      <c r="A120">
        <v>45</v>
      </c>
      <c r="B120" t="s">
        <v>41</v>
      </c>
      <c r="C120" t="s">
        <v>33</v>
      </c>
      <c r="D120" t="s">
        <v>34</v>
      </c>
      <c r="E120">
        <v>2</v>
      </c>
      <c r="F120" t="s">
        <v>58</v>
      </c>
      <c r="G120">
        <v>2</v>
      </c>
      <c r="H120">
        <v>1</v>
      </c>
      <c r="I120" t="s">
        <v>44</v>
      </c>
      <c r="J120">
        <v>3</v>
      </c>
      <c r="K120" t="s">
        <v>37</v>
      </c>
      <c r="L120">
        <v>2274</v>
      </c>
      <c r="M120">
        <v>1</v>
      </c>
      <c r="N120" t="s">
        <v>41</v>
      </c>
      <c r="O120">
        <v>14</v>
      </c>
      <c r="P120">
        <v>3</v>
      </c>
      <c r="Q120">
        <v>0</v>
      </c>
      <c r="R120">
        <v>1</v>
      </c>
      <c r="S120">
        <v>3</v>
      </c>
      <c r="T120">
        <v>1</v>
      </c>
      <c r="U120">
        <v>0</v>
      </c>
      <c r="V120">
        <v>0</v>
      </c>
      <c r="W120" t="s">
        <v>51</v>
      </c>
      <c r="X120" s="1" t="d">
        <v>2020-06-04</v>
      </c>
      <c r="Z120" t="s">
        <v>52</v>
      </c>
      <c r="AA120" t="s">
        <v>40</v>
      </c>
      <c r="AB120">
        <v>4</v>
      </c>
      <c r="AC120">
        <v>3</v>
      </c>
      <c r="AD120" t="s">
        <v>32</v>
      </c>
      <c r="AE120" t="s">
        <v>62</v>
      </c>
      <c r="AF120" t="s">
        <v>43</v>
      </c>
    </row>
    <row r="121" spans="1:32" x14ac:dyDescent="0.25">
      <c r="A121">
        <v>37</v>
      </c>
      <c r="B121" t="s">
        <v>41</v>
      </c>
      <c r="C121" t="s">
        <v>33</v>
      </c>
      <c r="D121" t="s">
        <v>53</v>
      </c>
      <c r="E121">
        <v>16</v>
      </c>
      <c r="F121" t="s">
        <v>35</v>
      </c>
      <c r="G121">
        <v>2</v>
      </c>
      <c r="H121">
        <v>2</v>
      </c>
      <c r="I121" t="s">
        <v>64</v>
      </c>
      <c r="J121">
        <v>3</v>
      </c>
      <c r="K121" t="s">
        <v>55</v>
      </c>
      <c r="L121">
        <v>6334</v>
      </c>
      <c r="M121">
        <v>4</v>
      </c>
      <c r="N121" t="s">
        <v>41</v>
      </c>
      <c r="O121">
        <v>19</v>
      </c>
      <c r="P121">
        <v>3</v>
      </c>
      <c r="Q121">
        <v>2</v>
      </c>
      <c r="R121">
        <v>9</v>
      </c>
      <c r="S121">
        <v>2</v>
      </c>
      <c r="T121">
        <v>1</v>
      </c>
      <c r="U121">
        <v>0</v>
      </c>
      <c r="V121">
        <v>0</v>
      </c>
      <c r="W121" t="s">
        <v>65</v>
      </c>
      <c r="X121" s="1" t="d">
        <v>2020-01-08</v>
      </c>
      <c r="Z121" t="s">
        <v>45</v>
      </c>
      <c r="AA121" t="s">
        <v>40</v>
      </c>
      <c r="AB121">
        <v>0</v>
      </c>
      <c r="AC121">
        <v>0</v>
      </c>
      <c r="AD121" t="s">
        <v>41</v>
      </c>
      <c r="AE121" t="s">
        <v>62</v>
      </c>
      <c r="AF121" t="s">
        <v>48</v>
      </c>
    </row>
    <row r="122" spans="1:32" x14ac:dyDescent="0.25">
      <c r="A122">
        <v>32</v>
      </c>
      <c r="B122" t="s">
        <v>32</v>
      </c>
      <c r="C122" t="s">
        <v>33</v>
      </c>
      <c r="D122" t="s">
        <v>34</v>
      </c>
      <c r="E122">
        <v>25</v>
      </c>
      <c r="F122" t="s">
        <v>35</v>
      </c>
      <c r="G122">
        <v>3</v>
      </c>
      <c r="H122">
        <v>1</v>
      </c>
      <c r="I122" t="s">
        <v>36</v>
      </c>
      <c r="J122">
        <v>4</v>
      </c>
      <c r="K122" t="s">
        <v>37</v>
      </c>
      <c r="L122">
        <v>2795</v>
      </c>
      <c r="M122">
        <v>1</v>
      </c>
      <c r="N122" t="s">
        <v>32</v>
      </c>
      <c r="O122">
        <v>24</v>
      </c>
      <c r="P122">
        <v>4</v>
      </c>
      <c r="Q122">
        <v>0</v>
      </c>
      <c r="R122">
        <v>1</v>
      </c>
      <c r="S122">
        <v>2</v>
      </c>
      <c r="T122">
        <v>1</v>
      </c>
      <c r="U122">
        <v>0</v>
      </c>
      <c r="V122">
        <v>1</v>
      </c>
      <c r="W122" t="s">
        <v>65</v>
      </c>
      <c r="X122" s="1" t="d">
        <v>2020-04-30</v>
      </c>
      <c r="Z122" t="s">
        <v>45</v>
      </c>
      <c r="AA122" t="s">
        <v>46</v>
      </c>
      <c r="AB122">
        <v>2</v>
      </c>
      <c r="AC122">
        <v>1</v>
      </c>
      <c r="AD122" t="s">
        <v>32</v>
      </c>
      <c r="AE122" t="s">
        <v>60</v>
      </c>
      <c r="AF122" t="s">
        <v>48</v>
      </c>
    </row>
    <row r="123" spans="1:32" x14ac:dyDescent="0.25">
      <c r="A123">
        <v>58</v>
      </c>
      <c r="B123" t="s">
        <v>32</v>
      </c>
      <c r="C123" t="s">
        <v>61</v>
      </c>
      <c r="D123" t="s">
        <v>34</v>
      </c>
      <c r="E123">
        <v>2</v>
      </c>
      <c r="F123" t="s">
        <v>35</v>
      </c>
      <c r="G123">
        <v>2</v>
      </c>
      <c r="H123">
        <v>1</v>
      </c>
      <c r="I123" t="s">
        <v>36</v>
      </c>
      <c r="J123">
        <v>4</v>
      </c>
      <c r="K123" t="s">
        <v>55</v>
      </c>
      <c r="L123">
        <v>2380</v>
      </c>
      <c r="M123">
        <v>9</v>
      </c>
      <c r="N123" t="s">
        <v>32</v>
      </c>
      <c r="O123">
        <v>14</v>
      </c>
      <c r="P123">
        <v>3</v>
      </c>
      <c r="Q123">
        <v>1</v>
      </c>
      <c r="R123">
        <v>3</v>
      </c>
      <c r="S123">
        <v>3</v>
      </c>
      <c r="T123">
        <v>1</v>
      </c>
      <c r="U123">
        <v>0</v>
      </c>
      <c r="V123">
        <v>0</v>
      </c>
      <c r="W123" t="s">
        <v>56</v>
      </c>
      <c r="X123" s="1" t="d">
        <v>2020-06-08</v>
      </c>
      <c r="Z123" t="s">
        <v>59</v>
      </c>
      <c r="AA123" t="s">
        <v>40</v>
      </c>
      <c r="AB123">
        <v>0</v>
      </c>
      <c r="AC123">
        <v>2</v>
      </c>
      <c r="AD123" t="s">
        <v>32</v>
      </c>
      <c r="AE123" t="s">
        <v>47</v>
      </c>
      <c r="AF123" t="s">
        <v>43</v>
      </c>
    </row>
    <row r="124" spans="1:32" x14ac:dyDescent="0.25">
      <c r="A124">
        <v>43</v>
      </c>
      <c r="B124" t="s">
        <v>41</v>
      </c>
      <c r="C124" t="s">
        <v>33</v>
      </c>
      <c r="D124" t="s">
        <v>34</v>
      </c>
      <c r="E124">
        <v>8</v>
      </c>
      <c r="F124" t="s">
        <v>58</v>
      </c>
      <c r="G124">
        <v>3</v>
      </c>
      <c r="H124">
        <v>2</v>
      </c>
      <c r="I124" t="s">
        <v>67</v>
      </c>
      <c r="J124">
        <v>2</v>
      </c>
      <c r="K124" t="s">
        <v>55</v>
      </c>
      <c r="L124">
        <v>4765</v>
      </c>
      <c r="M124">
        <v>4</v>
      </c>
      <c r="N124" t="s">
        <v>41</v>
      </c>
      <c r="O124">
        <v>21</v>
      </c>
      <c r="P124">
        <v>4</v>
      </c>
      <c r="Q124">
        <v>1</v>
      </c>
      <c r="R124">
        <v>4</v>
      </c>
      <c r="S124">
        <v>2</v>
      </c>
      <c r="T124">
        <v>1</v>
      </c>
      <c r="U124">
        <v>0</v>
      </c>
      <c r="V124">
        <v>0</v>
      </c>
      <c r="W124" t="s">
        <v>51</v>
      </c>
      <c r="X124" s="1" t="d">
        <v>2020-02-02</v>
      </c>
      <c r="Z124" t="s">
        <v>59</v>
      </c>
      <c r="AA124" t="s">
        <v>40</v>
      </c>
      <c r="AB124">
        <v>3</v>
      </c>
      <c r="AC124">
        <v>3</v>
      </c>
      <c r="AD124" t="s">
        <v>41</v>
      </c>
      <c r="AE124" t="s">
        <v>60</v>
      </c>
      <c r="AF124" t="s">
        <v>57</v>
      </c>
    </row>
    <row r="125" spans="1:32" x14ac:dyDescent="0.25">
      <c r="A125">
        <v>21</v>
      </c>
      <c r="B125" t="s">
        <v>32</v>
      </c>
      <c r="C125" t="s">
        <v>33</v>
      </c>
      <c r="D125" t="s">
        <v>34</v>
      </c>
      <c r="E125">
        <v>18</v>
      </c>
      <c r="F125" t="s">
        <v>58</v>
      </c>
      <c r="G125">
        <v>3</v>
      </c>
      <c r="H125">
        <v>1</v>
      </c>
      <c r="I125" t="s">
        <v>44</v>
      </c>
      <c r="J125">
        <v>4</v>
      </c>
      <c r="K125" t="s">
        <v>37</v>
      </c>
      <c r="L125">
        <v>2693</v>
      </c>
      <c r="M125">
        <v>1</v>
      </c>
      <c r="N125" t="s">
        <v>41</v>
      </c>
      <c r="O125">
        <v>19</v>
      </c>
      <c r="P125">
        <v>3</v>
      </c>
      <c r="Q125">
        <v>0</v>
      </c>
      <c r="R125">
        <v>1</v>
      </c>
      <c r="S125">
        <v>3</v>
      </c>
      <c r="T125">
        <v>1</v>
      </c>
      <c r="U125">
        <v>0</v>
      </c>
      <c r="V125">
        <v>0</v>
      </c>
      <c r="W125" t="s">
        <v>51</v>
      </c>
      <c r="X125" s="1" t="d">
        <v>2020-06-08</v>
      </c>
      <c r="Z125" t="s">
        <v>63</v>
      </c>
      <c r="AA125" t="s">
        <v>46</v>
      </c>
      <c r="AB125">
        <v>4</v>
      </c>
      <c r="AC125">
        <v>0</v>
      </c>
      <c r="AD125" t="s">
        <v>41</v>
      </c>
      <c r="AE125" t="s">
        <v>62</v>
      </c>
      <c r="AF125" t="s">
        <v>48</v>
      </c>
    </row>
    <row r="126" spans="1:32" x14ac:dyDescent="0.25">
      <c r="A126">
        <v>27</v>
      </c>
      <c r="B126" t="s">
        <v>41</v>
      </c>
      <c r="C126" t="s">
        <v>33</v>
      </c>
      <c r="D126" t="s">
        <v>34</v>
      </c>
      <c r="E126">
        <v>4</v>
      </c>
      <c r="F126" t="s">
        <v>58</v>
      </c>
      <c r="G126">
        <v>3</v>
      </c>
      <c r="H126">
        <v>1</v>
      </c>
      <c r="I126" t="s">
        <v>44</v>
      </c>
      <c r="J126">
        <v>3</v>
      </c>
      <c r="K126" t="s">
        <v>37</v>
      </c>
      <c r="L126">
        <v>2318</v>
      </c>
      <c r="M126">
        <v>1</v>
      </c>
      <c r="N126" t="s">
        <v>41</v>
      </c>
      <c r="O126">
        <v>19</v>
      </c>
      <c r="P126">
        <v>3</v>
      </c>
      <c r="Q126">
        <v>0</v>
      </c>
      <c r="R126">
        <v>1</v>
      </c>
      <c r="S126">
        <v>2</v>
      </c>
      <c r="T126">
        <v>1</v>
      </c>
      <c r="U126">
        <v>0</v>
      </c>
      <c r="V126">
        <v>0</v>
      </c>
      <c r="W126" t="s">
        <v>65</v>
      </c>
      <c r="X126" s="1" t="d">
        <v>2020-04-26</v>
      </c>
      <c r="Z126" t="s">
        <v>59</v>
      </c>
      <c r="AA126" t="s">
        <v>40</v>
      </c>
      <c r="AB126">
        <v>4</v>
      </c>
      <c r="AC126">
        <v>3</v>
      </c>
      <c r="AD126" t="s">
        <v>32</v>
      </c>
      <c r="AE126" t="s">
        <v>60</v>
      </c>
      <c r="AF126" t="s">
        <v>57</v>
      </c>
    </row>
    <row r="127" spans="1:32" x14ac:dyDescent="0.25">
      <c r="A127">
        <v>34</v>
      </c>
      <c r="B127" t="s">
        <v>41</v>
      </c>
      <c r="C127" t="s">
        <v>33</v>
      </c>
      <c r="D127" t="s">
        <v>34</v>
      </c>
      <c r="E127">
        <v>10</v>
      </c>
      <c r="F127" t="s">
        <v>35</v>
      </c>
      <c r="G127">
        <v>3</v>
      </c>
      <c r="H127">
        <v>1</v>
      </c>
      <c r="I127" t="s">
        <v>36</v>
      </c>
      <c r="J127">
        <v>2</v>
      </c>
      <c r="K127" t="s">
        <v>55</v>
      </c>
      <c r="L127">
        <v>2008</v>
      </c>
      <c r="M127">
        <v>1</v>
      </c>
      <c r="N127" t="s">
        <v>41</v>
      </c>
      <c r="O127">
        <v>14</v>
      </c>
      <c r="P127">
        <v>3</v>
      </c>
      <c r="Q127">
        <v>2</v>
      </c>
      <c r="R127">
        <v>1</v>
      </c>
      <c r="S127">
        <v>3</v>
      </c>
      <c r="T127">
        <v>1</v>
      </c>
      <c r="U127">
        <v>1</v>
      </c>
      <c r="V127">
        <v>0</v>
      </c>
      <c r="W127" t="s">
        <v>65</v>
      </c>
      <c r="X127" s="1" t="d">
        <v>2020-06-26</v>
      </c>
      <c r="Z127" t="s">
        <v>52</v>
      </c>
      <c r="AA127" t="s">
        <v>46</v>
      </c>
      <c r="AB127">
        <v>4</v>
      </c>
      <c r="AC127">
        <v>1</v>
      </c>
      <c r="AD127" t="s">
        <v>41</v>
      </c>
      <c r="AE127" t="s">
        <v>62</v>
      </c>
      <c r="AF127" t="s">
        <v>57</v>
      </c>
    </row>
    <row r="128" spans="1:32" x14ac:dyDescent="0.25">
      <c r="A128">
        <v>25</v>
      </c>
      <c r="B128" t="s">
        <v>32</v>
      </c>
      <c r="C128" t="s">
        <v>33</v>
      </c>
      <c r="D128" t="s">
        <v>53</v>
      </c>
      <c r="E128">
        <v>19</v>
      </c>
      <c r="F128" t="s">
        <v>35</v>
      </c>
      <c r="G128">
        <v>2</v>
      </c>
      <c r="H128">
        <v>1</v>
      </c>
      <c r="I128" t="s">
        <v>54</v>
      </c>
      <c r="J128">
        <v>2</v>
      </c>
      <c r="K128" t="s">
        <v>50</v>
      </c>
      <c r="L128">
        <v>2413</v>
      </c>
      <c r="M128">
        <v>1</v>
      </c>
      <c r="N128" t="s">
        <v>32</v>
      </c>
      <c r="O128">
        <v>18</v>
      </c>
      <c r="P128">
        <v>3</v>
      </c>
      <c r="Q128">
        <v>3</v>
      </c>
      <c r="R128">
        <v>1</v>
      </c>
      <c r="S128">
        <v>2</v>
      </c>
      <c r="T128">
        <v>1</v>
      </c>
      <c r="U128">
        <v>0</v>
      </c>
      <c r="V128">
        <v>0</v>
      </c>
      <c r="W128" t="s">
        <v>51</v>
      </c>
      <c r="X128" s="1" t="d">
        <v>2020-04-24</v>
      </c>
      <c r="Z128" t="s">
        <v>45</v>
      </c>
      <c r="AA128" t="s">
        <v>46</v>
      </c>
      <c r="AB128">
        <v>5</v>
      </c>
      <c r="AC128">
        <v>3</v>
      </c>
      <c r="AD128" t="s">
        <v>32</v>
      </c>
      <c r="AE128" t="s">
        <v>62</v>
      </c>
      <c r="AF128" t="s">
        <v>57</v>
      </c>
    </row>
    <row r="129" spans="1:32" x14ac:dyDescent="0.25">
      <c r="A129">
        <v>40</v>
      </c>
      <c r="B129" t="s">
        <v>41</v>
      </c>
      <c r="C129" t="s">
        <v>33</v>
      </c>
      <c r="D129" t="s">
        <v>53</v>
      </c>
      <c r="E129">
        <v>10</v>
      </c>
      <c r="F129" t="s">
        <v>35</v>
      </c>
      <c r="G129">
        <v>2</v>
      </c>
      <c r="H129">
        <v>3</v>
      </c>
      <c r="I129" t="s">
        <v>64</v>
      </c>
      <c r="J129">
        <v>2</v>
      </c>
      <c r="K129" t="s">
        <v>55</v>
      </c>
      <c r="L129">
        <v>9705</v>
      </c>
      <c r="M129">
        <v>2</v>
      </c>
      <c r="N129" t="s">
        <v>41</v>
      </c>
      <c r="O129">
        <v>12</v>
      </c>
      <c r="P129">
        <v>3</v>
      </c>
      <c r="Q129">
        <v>1</v>
      </c>
      <c r="R129">
        <v>11</v>
      </c>
      <c r="S129">
        <v>2</v>
      </c>
      <c r="T129">
        <v>1</v>
      </c>
      <c r="U129">
        <v>0</v>
      </c>
      <c r="V129">
        <v>0</v>
      </c>
      <c r="W129" t="s">
        <v>51</v>
      </c>
      <c r="X129" s="1" t="d">
        <v>2020-03-09</v>
      </c>
      <c r="Z129" t="s">
        <v>52</v>
      </c>
      <c r="AA129" t="s">
        <v>40</v>
      </c>
      <c r="AB129">
        <v>4</v>
      </c>
      <c r="AC129">
        <v>2</v>
      </c>
      <c r="AD129" t="s">
        <v>41</v>
      </c>
      <c r="AE129" t="s">
        <v>42</v>
      </c>
      <c r="AF129" t="s">
        <v>57</v>
      </c>
    </row>
    <row r="130" spans="1:32" x14ac:dyDescent="0.25">
      <c r="A130">
        <v>19</v>
      </c>
      <c r="B130" t="s">
        <v>32</v>
      </c>
      <c r="C130" t="s">
        <v>33</v>
      </c>
      <c r="D130" t="s">
        <v>53</v>
      </c>
      <c r="E130">
        <v>21</v>
      </c>
      <c r="F130" t="s">
        <v>35</v>
      </c>
      <c r="G130">
        <v>2</v>
      </c>
      <c r="H130">
        <v>1</v>
      </c>
      <c r="I130" t="s">
        <v>54</v>
      </c>
      <c r="J130">
        <v>2</v>
      </c>
      <c r="K130" t="s">
        <v>37</v>
      </c>
      <c r="L130">
        <v>2121</v>
      </c>
      <c r="M130">
        <v>1</v>
      </c>
      <c r="N130" t="s">
        <v>32</v>
      </c>
      <c r="O130">
        <v>13</v>
      </c>
      <c r="P130">
        <v>3</v>
      </c>
      <c r="Q130">
        <v>0</v>
      </c>
      <c r="R130">
        <v>1</v>
      </c>
      <c r="S130">
        <v>3</v>
      </c>
      <c r="T130">
        <v>1</v>
      </c>
      <c r="U130">
        <v>0</v>
      </c>
      <c r="V130">
        <v>0</v>
      </c>
      <c r="W130" t="s">
        <v>56</v>
      </c>
      <c r="X130" s="1" t="d">
        <v>2020-03-07</v>
      </c>
      <c r="Z130" t="s">
        <v>63</v>
      </c>
      <c r="AA130" t="s">
        <v>40</v>
      </c>
      <c r="AB130">
        <v>2</v>
      </c>
      <c r="AC130">
        <v>0</v>
      </c>
      <c r="AD130" t="s">
        <v>41</v>
      </c>
      <c r="AE130" t="s">
        <v>47</v>
      </c>
      <c r="AF130" t="s">
        <v>43</v>
      </c>
    </row>
    <row r="131" spans="1:32" x14ac:dyDescent="0.25">
      <c r="A131">
        <v>20</v>
      </c>
      <c r="B131" t="s">
        <v>32</v>
      </c>
      <c r="C131" t="s">
        <v>33</v>
      </c>
      <c r="D131" t="s">
        <v>34</v>
      </c>
      <c r="E131">
        <v>4</v>
      </c>
      <c r="F131" t="s">
        <v>35</v>
      </c>
      <c r="G131">
        <v>3</v>
      </c>
      <c r="H131">
        <v>1</v>
      </c>
      <c r="I131" t="s">
        <v>36</v>
      </c>
      <c r="J131">
        <v>1</v>
      </c>
      <c r="K131" t="s">
        <v>37</v>
      </c>
      <c r="L131">
        <v>2973</v>
      </c>
      <c r="M131">
        <v>1</v>
      </c>
      <c r="N131" t="s">
        <v>41</v>
      </c>
      <c r="O131">
        <v>19</v>
      </c>
      <c r="P131">
        <v>3</v>
      </c>
      <c r="Q131">
        <v>0</v>
      </c>
      <c r="R131">
        <v>1</v>
      </c>
      <c r="S131">
        <v>2</v>
      </c>
      <c r="T131">
        <v>1</v>
      </c>
      <c r="U131">
        <v>0</v>
      </c>
      <c r="V131">
        <v>0</v>
      </c>
      <c r="W131" t="s">
        <v>38</v>
      </c>
      <c r="X131" s="1" t="d">
        <v>2020-03-27</v>
      </c>
      <c r="Z131" t="s">
        <v>39</v>
      </c>
      <c r="AA131" t="s">
        <v>40</v>
      </c>
      <c r="AB131">
        <v>0</v>
      </c>
      <c r="AC131">
        <v>1</v>
      </c>
      <c r="AD131" t="s">
        <v>32</v>
      </c>
      <c r="AE131" t="s">
        <v>42</v>
      </c>
      <c r="AF131" t="s">
        <v>43</v>
      </c>
    </row>
    <row r="132" spans="1:32" x14ac:dyDescent="0.25">
      <c r="A132">
        <v>40</v>
      </c>
      <c r="B132" t="s">
        <v>41</v>
      </c>
      <c r="C132" t="s">
        <v>61</v>
      </c>
      <c r="D132" t="s">
        <v>34</v>
      </c>
      <c r="E132">
        <v>9</v>
      </c>
      <c r="F132" t="s">
        <v>35</v>
      </c>
      <c r="G132">
        <v>3</v>
      </c>
      <c r="H132">
        <v>1</v>
      </c>
      <c r="I132" t="s">
        <v>44</v>
      </c>
      <c r="J132">
        <v>2</v>
      </c>
      <c r="K132" t="s">
        <v>55</v>
      </c>
      <c r="L132">
        <v>3617</v>
      </c>
      <c r="M132">
        <v>8</v>
      </c>
      <c r="N132" t="s">
        <v>32</v>
      </c>
      <c r="O132">
        <v>14</v>
      </c>
      <c r="P132">
        <v>3</v>
      </c>
      <c r="Q132">
        <v>1</v>
      </c>
      <c r="R132">
        <v>3</v>
      </c>
      <c r="S132">
        <v>2</v>
      </c>
      <c r="T132">
        <v>1</v>
      </c>
      <c r="U132">
        <v>0</v>
      </c>
      <c r="V132">
        <v>0</v>
      </c>
      <c r="W132" t="s">
        <v>38</v>
      </c>
      <c r="X132" s="1" t="d">
        <v>2020-03-07</v>
      </c>
      <c r="Z132" t="s">
        <v>63</v>
      </c>
      <c r="AA132" t="s">
        <v>46</v>
      </c>
      <c r="AB132">
        <v>2</v>
      </c>
      <c r="AC132">
        <v>0</v>
      </c>
      <c r="AD132" t="s">
        <v>41</v>
      </c>
      <c r="AE132" t="s">
        <v>47</v>
      </c>
      <c r="AF132" t="s">
        <v>43</v>
      </c>
    </row>
    <row r="133" spans="1:32" x14ac:dyDescent="0.25">
      <c r="A133">
        <v>58</v>
      </c>
      <c r="B133" t="s">
        <v>32</v>
      </c>
      <c r="C133" t="s">
        <v>33</v>
      </c>
      <c r="D133" t="s">
        <v>34</v>
      </c>
      <c r="E133">
        <v>2</v>
      </c>
      <c r="F133" t="s">
        <v>35</v>
      </c>
      <c r="G133">
        <v>3</v>
      </c>
      <c r="H133">
        <v>1</v>
      </c>
      <c r="I133" t="s">
        <v>44</v>
      </c>
      <c r="J133">
        <v>3</v>
      </c>
      <c r="K133" t="s">
        <v>37</v>
      </c>
      <c r="L133">
        <v>2479</v>
      </c>
      <c r="M133">
        <v>4</v>
      </c>
      <c r="N133" t="s">
        <v>41</v>
      </c>
      <c r="O133">
        <v>24</v>
      </c>
      <c r="P133">
        <v>4</v>
      </c>
      <c r="Q133">
        <v>0</v>
      </c>
      <c r="R133">
        <v>7</v>
      </c>
      <c r="S133">
        <v>4</v>
      </c>
      <c r="T133">
        <v>1</v>
      </c>
      <c r="U133">
        <v>0</v>
      </c>
      <c r="V133">
        <v>0</v>
      </c>
      <c r="W133" t="s">
        <v>38</v>
      </c>
      <c r="X133" s="1" t="d">
        <v>2020-05-03</v>
      </c>
      <c r="Z133" t="s">
        <v>45</v>
      </c>
      <c r="AA133" t="s">
        <v>46</v>
      </c>
      <c r="AB133">
        <v>4</v>
      </c>
      <c r="AC133">
        <v>2</v>
      </c>
      <c r="AD133" t="s">
        <v>32</v>
      </c>
      <c r="AE133" t="s">
        <v>62</v>
      </c>
      <c r="AF133" t="s">
        <v>43</v>
      </c>
    </row>
    <row r="134" spans="1:32" x14ac:dyDescent="0.25">
      <c r="A134">
        <v>40</v>
      </c>
      <c r="B134" t="s">
        <v>32</v>
      </c>
      <c r="C134" t="s">
        <v>68</v>
      </c>
      <c r="D134" t="s">
        <v>53</v>
      </c>
      <c r="E134">
        <v>24</v>
      </c>
      <c r="F134" t="s">
        <v>58</v>
      </c>
      <c r="G134">
        <v>4</v>
      </c>
      <c r="H134">
        <v>4</v>
      </c>
      <c r="I134" t="s">
        <v>64</v>
      </c>
      <c r="J134">
        <v>2</v>
      </c>
      <c r="K134" t="s">
        <v>37</v>
      </c>
      <c r="L134">
        <v>13194</v>
      </c>
      <c r="M134">
        <v>4</v>
      </c>
      <c r="N134" t="s">
        <v>32</v>
      </c>
      <c r="O134">
        <v>16</v>
      </c>
      <c r="P134">
        <v>3</v>
      </c>
      <c r="Q134">
        <v>0</v>
      </c>
      <c r="R134">
        <v>22</v>
      </c>
      <c r="S134">
        <v>2</v>
      </c>
      <c r="T134">
        <v>1</v>
      </c>
      <c r="U134">
        <v>0</v>
      </c>
      <c r="V134">
        <v>0</v>
      </c>
      <c r="W134" t="s">
        <v>38</v>
      </c>
      <c r="X134" s="1" t="d">
        <v>2020-06-27</v>
      </c>
      <c r="Z134" t="s">
        <v>52</v>
      </c>
      <c r="AA134" t="s">
        <v>40</v>
      </c>
      <c r="AB134">
        <v>4</v>
      </c>
      <c r="AC134">
        <v>3</v>
      </c>
      <c r="AD134" t="s">
        <v>32</v>
      </c>
      <c r="AE134" t="s">
        <v>47</v>
      </c>
      <c r="AF134" t="s">
        <v>57</v>
      </c>
    </row>
    <row r="135" spans="1:32" x14ac:dyDescent="0.25">
      <c r="A135">
        <v>20</v>
      </c>
      <c r="B135" t="s">
        <v>32</v>
      </c>
      <c r="C135" t="s">
        <v>33</v>
      </c>
      <c r="D135" t="s">
        <v>34</v>
      </c>
      <c r="E135">
        <v>11</v>
      </c>
      <c r="F135" t="s">
        <v>58</v>
      </c>
      <c r="G135">
        <v>2</v>
      </c>
      <c r="H135">
        <v>1</v>
      </c>
      <c r="I135" t="s">
        <v>44</v>
      </c>
      <c r="J135">
        <v>1</v>
      </c>
      <c r="K135" t="s">
        <v>37</v>
      </c>
      <c r="L135">
        <v>2600</v>
      </c>
      <c r="M135">
        <v>1</v>
      </c>
      <c r="N135" t="s">
        <v>32</v>
      </c>
      <c r="O135">
        <v>15</v>
      </c>
      <c r="P135">
        <v>3</v>
      </c>
      <c r="Q135">
        <v>0</v>
      </c>
      <c r="R135">
        <v>1</v>
      </c>
      <c r="S135">
        <v>2</v>
      </c>
      <c r="T135">
        <v>1</v>
      </c>
      <c r="U135">
        <v>0</v>
      </c>
      <c r="V135">
        <v>0</v>
      </c>
      <c r="W135" t="s">
        <v>38</v>
      </c>
      <c r="X135" s="1" t="d">
        <v>2020-01-21</v>
      </c>
      <c r="Z135" t="s">
        <v>59</v>
      </c>
      <c r="AA135" t="s">
        <v>40</v>
      </c>
      <c r="AB135">
        <v>0</v>
      </c>
      <c r="AC135">
        <v>2</v>
      </c>
      <c r="AD135" t="s">
        <v>32</v>
      </c>
      <c r="AE135" t="s">
        <v>60</v>
      </c>
      <c r="AF135" t="s">
        <v>57</v>
      </c>
    </row>
    <row r="136" spans="1:32" x14ac:dyDescent="0.25">
      <c r="A136">
        <v>42</v>
      </c>
      <c r="B136" t="s">
        <v>41</v>
      </c>
      <c r="C136" t="s">
        <v>33</v>
      </c>
      <c r="D136" t="s">
        <v>53</v>
      </c>
      <c r="E136">
        <v>5</v>
      </c>
      <c r="F136" t="s">
        <v>35</v>
      </c>
      <c r="G136">
        <v>3</v>
      </c>
      <c r="H136">
        <v>5</v>
      </c>
      <c r="I136" t="s">
        <v>66</v>
      </c>
      <c r="J136">
        <v>3</v>
      </c>
      <c r="K136" t="s">
        <v>50</v>
      </c>
      <c r="L136">
        <v>18303</v>
      </c>
      <c r="M136">
        <v>6</v>
      </c>
      <c r="N136" t="s">
        <v>41</v>
      </c>
      <c r="O136">
        <v>13</v>
      </c>
      <c r="P136">
        <v>3</v>
      </c>
      <c r="Q136">
        <v>0</v>
      </c>
      <c r="R136">
        <v>21</v>
      </c>
      <c r="S136">
        <v>3</v>
      </c>
      <c r="T136">
        <v>1</v>
      </c>
      <c r="U136">
        <v>0</v>
      </c>
      <c r="V136">
        <v>0</v>
      </c>
      <c r="W136" t="s">
        <v>38</v>
      </c>
      <c r="X136" s="1" t="d">
        <v>2020-05-17</v>
      </c>
      <c r="Z136" t="s">
        <v>63</v>
      </c>
      <c r="AA136" t="s">
        <v>46</v>
      </c>
      <c r="AB136">
        <v>4</v>
      </c>
      <c r="AC136">
        <v>2</v>
      </c>
      <c r="AD136" t="s">
        <v>41</v>
      </c>
      <c r="AE136" t="s">
        <v>42</v>
      </c>
      <c r="AF136" t="s">
        <v>48</v>
      </c>
    </row>
    <row r="137" spans="1:32" x14ac:dyDescent="0.25">
      <c r="A137">
        <v>50</v>
      </c>
      <c r="B137" t="s">
        <v>41</v>
      </c>
      <c r="C137" t="s">
        <v>33</v>
      </c>
      <c r="D137" t="s">
        <v>34</v>
      </c>
      <c r="E137">
        <v>9</v>
      </c>
      <c r="F137" t="s">
        <v>35</v>
      </c>
      <c r="G137">
        <v>3</v>
      </c>
      <c r="H137">
        <v>1</v>
      </c>
      <c r="I137" t="s">
        <v>36</v>
      </c>
      <c r="J137">
        <v>4</v>
      </c>
      <c r="K137" t="s">
        <v>50</v>
      </c>
      <c r="L137">
        <v>2380</v>
      </c>
      <c r="M137">
        <v>4</v>
      </c>
      <c r="N137" t="s">
        <v>41</v>
      </c>
      <c r="O137">
        <v>18</v>
      </c>
      <c r="P137">
        <v>3</v>
      </c>
      <c r="Q137">
        <v>0</v>
      </c>
      <c r="R137">
        <v>8</v>
      </c>
      <c r="S137">
        <v>5</v>
      </c>
      <c r="T137">
        <v>1</v>
      </c>
      <c r="U137">
        <v>0</v>
      </c>
      <c r="V137">
        <v>0</v>
      </c>
      <c r="W137" t="s">
        <v>38</v>
      </c>
      <c r="X137" s="1" t="d">
        <v>2020-06-11</v>
      </c>
      <c r="Z137" t="s">
        <v>39</v>
      </c>
      <c r="AA137" t="s">
        <v>46</v>
      </c>
      <c r="AB137">
        <v>3</v>
      </c>
      <c r="AC137">
        <v>0</v>
      </c>
      <c r="AD137" t="s">
        <v>41</v>
      </c>
      <c r="AE137" t="s">
        <v>62</v>
      </c>
      <c r="AF137" t="s">
        <v>57</v>
      </c>
    </row>
    <row r="138" spans="1:32" x14ac:dyDescent="0.25">
      <c r="A138">
        <v>37</v>
      </c>
      <c r="B138" t="s">
        <v>32</v>
      </c>
      <c r="C138" t="s">
        <v>33</v>
      </c>
      <c r="D138" t="s">
        <v>34</v>
      </c>
      <c r="E138">
        <v>11</v>
      </c>
      <c r="F138" t="s">
        <v>58</v>
      </c>
      <c r="G138">
        <v>1</v>
      </c>
      <c r="H138">
        <v>2</v>
      </c>
      <c r="I138" t="s">
        <v>69</v>
      </c>
      <c r="J138">
        <v>2</v>
      </c>
      <c r="K138" t="s">
        <v>50</v>
      </c>
      <c r="L138">
        <v>4777</v>
      </c>
      <c r="M138">
        <v>5</v>
      </c>
      <c r="N138" t="s">
        <v>41</v>
      </c>
      <c r="O138">
        <v>15</v>
      </c>
      <c r="P138">
        <v>3</v>
      </c>
      <c r="Q138">
        <v>0</v>
      </c>
      <c r="R138">
        <v>15</v>
      </c>
      <c r="S138">
        <v>2</v>
      </c>
      <c r="T138">
        <v>1</v>
      </c>
      <c r="U138">
        <v>0</v>
      </c>
      <c r="V138">
        <v>0</v>
      </c>
      <c r="W138" t="s">
        <v>51</v>
      </c>
      <c r="X138" s="1" t="d">
        <v>2020-01-09</v>
      </c>
      <c r="Z138" t="s">
        <v>59</v>
      </c>
      <c r="AA138" t="s">
        <v>40</v>
      </c>
      <c r="AB138">
        <v>2</v>
      </c>
      <c r="AC138">
        <v>0</v>
      </c>
      <c r="AD138" t="s">
        <v>41</v>
      </c>
      <c r="AE138" t="s">
        <v>47</v>
      </c>
      <c r="AF138" t="s">
        <v>57</v>
      </c>
    </row>
    <row r="139" spans="1:32" x14ac:dyDescent="0.25">
      <c r="A139">
        <v>38</v>
      </c>
      <c r="B139" t="s">
        <v>41</v>
      </c>
      <c r="C139" t="s">
        <v>33</v>
      </c>
      <c r="D139" t="s">
        <v>53</v>
      </c>
      <c r="E139">
        <v>3</v>
      </c>
      <c r="F139" t="s">
        <v>35</v>
      </c>
      <c r="G139">
        <v>3</v>
      </c>
      <c r="H139">
        <v>2</v>
      </c>
      <c r="I139" t="s">
        <v>64</v>
      </c>
      <c r="J139">
        <v>4</v>
      </c>
      <c r="K139" t="s">
        <v>37</v>
      </c>
      <c r="L139">
        <v>6861</v>
      </c>
      <c r="M139">
        <v>8</v>
      </c>
      <c r="N139" t="s">
        <v>32</v>
      </c>
      <c r="O139">
        <v>12</v>
      </c>
      <c r="P139">
        <v>3</v>
      </c>
      <c r="Q139">
        <v>0</v>
      </c>
      <c r="R139">
        <v>19</v>
      </c>
      <c r="S139">
        <v>1</v>
      </c>
      <c r="T139">
        <v>1</v>
      </c>
      <c r="U139">
        <v>0</v>
      </c>
      <c r="V139">
        <v>0</v>
      </c>
      <c r="W139" t="s">
        <v>56</v>
      </c>
      <c r="X139" s="1" t="d">
        <v>2020-04-16</v>
      </c>
      <c r="Z139" t="s">
        <v>52</v>
      </c>
      <c r="AA139" t="s">
        <v>46</v>
      </c>
      <c r="AB139">
        <v>1</v>
      </c>
      <c r="AC139">
        <v>1</v>
      </c>
      <c r="AD139" t="s">
        <v>41</v>
      </c>
      <c r="AE139" t="s">
        <v>47</v>
      </c>
      <c r="AF139" t="s">
        <v>43</v>
      </c>
    </row>
    <row r="140" spans="1:32" x14ac:dyDescent="0.25">
      <c r="A140">
        <v>36</v>
      </c>
      <c r="B140" t="s">
        <v>32</v>
      </c>
      <c r="C140" t="s">
        <v>33</v>
      </c>
      <c r="D140" t="s">
        <v>34</v>
      </c>
      <c r="E140">
        <v>15</v>
      </c>
      <c r="F140" t="s">
        <v>35</v>
      </c>
      <c r="G140">
        <v>3</v>
      </c>
      <c r="H140">
        <v>2</v>
      </c>
      <c r="I140" t="s">
        <v>36</v>
      </c>
      <c r="J140">
        <v>3</v>
      </c>
      <c r="K140" t="s">
        <v>55</v>
      </c>
      <c r="L140">
        <v>4834</v>
      </c>
      <c r="M140">
        <v>7</v>
      </c>
      <c r="N140" t="s">
        <v>41</v>
      </c>
      <c r="O140">
        <v>14</v>
      </c>
      <c r="P140">
        <v>3</v>
      </c>
      <c r="Q140">
        <v>1</v>
      </c>
      <c r="R140">
        <v>9</v>
      </c>
      <c r="S140">
        <v>3</v>
      </c>
      <c r="T140">
        <v>1</v>
      </c>
      <c r="U140">
        <v>0</v>
      </c>
      <c r="V140">
        <v>0</v>
      </c>
      <c r="W140" t="s">
        <v>38</v>
      </c>
      <c r="X140" s="1" t="d">
        <v>2020-05-13</v>
      </c>
      <c r="Z140" t="s">
        <v>63</v>
      </c>
      <c r="AA140" t="s">
        <v>40</v>
      </c>
      <c r="AB140">
        <v>4</v>
      </c>
      <c r="AC140">
        <v>2</v>
      </c>
      <c r="AD140" t="s">
        <v>32</v>
      </c>
      <c r="AE140" t="s">
        <v>62</v>
      </c>
      <c r="AF140" t="s">
        <v>57</v>
      </c>
    </row>
    <row r="141" spans="1:32" x14ac:dyDescent="0.25">
      <c r="A141">
        <v>34</v>
      </c>
      <c r="B141" t="s">
        <v>41</v>
      </c>
      <c r="C141" t="s">
        <v>33</v>
      </c>
      <c r="D141" t="s">
        <v>53</v>
      </c>
      <c r="E141">
        <v>10</v>
      </c>
      <c r="F141" t="s">
        <v>58</v>
      </c>
      <c r="G141">
        <v>3</v>
      </c>
      <c r="H141">
        <v>1</v>
      </c>
      <c r="I141" t="s">
        <v>54</v>
      </c>
      <c r="J141">
        <v>3</v>
      </c>
      <c r="K141" t="s">
        <v>50</v>
      </c>
      <c r="L141">
        <v>2220</v>
      </c>
      <c r="M141">
        <v>1</v>
      </c>
      <c r="N141" t="s">
        <v>32</v>
      </c>
      <c r="O141">
        <v>19</v>
      </c>
      <c r="P141">
        <v>3</v>
      </c>
      <c r="Q141">
        <v>1</v>
      </c>
      <c r="R141">
        <v>1</v>
      </c>
      <c r="S141">
        <v>2</v>
      </c>
      <c r="T141">
        <v>1</v>
      </c>
      <c r="U141">
        <v>0</v>
      </c>
      <c r="V141">
        <v>0</v>
      </c>
      <c r="W141" t="s">
        <v>51</v>
      </c>
      <c r="X141" s="1" t="d">
        <v>2020-02-18</v>
      </c>
      <c r="Z141" t="s">
        <v>39</v>
      </c>
      <c r="AA141" t="s">
        <v>40</v>
      </c>
      <c r="AB141">
        <v>0</v>
      </c>
      <c r="AC141">
        <v>3</v>
      </c>
      <c r="AD141" t="s">
        <v>32</v>
      </c>
      <c r="AE141" t="s">
        <v>42</v>
      </c>
      <c r="AF141" t="s">
        <v>57</v>
      </c>
    </row>
    <row r="142" spans="1:32" x14ac:dyDescent="0.25">
      <c r="A142">
        <v>28</v>
      </c>
      <c r="B142" t="s">
        <v>41</v>
      </c>
      <c r="C142" t="s">
        <v>33</v>
      </c>
      <c r="D142" t="s">
        <v>53</v>
      </c>
      <c r="E142">
        <v>10</v>
      </c>
      <c r="F142" t="s">
        <v>35</v>
      </c>
      <c r="G142">
        <v>3</v>
      </c>
      <c r="H142">
        <v>1</v>
      </c>
      <c r="I142" t="s">
        <v>54</v>
      </c>
      <c r="J142">
        <v>2</v>
      </c>
      <c r="K142" t="s">
        <v>50</v>
      </c>
      <c r="L142">
        <v>1052</v>
      </c>
      <c r="M142">
        <v>1</v>
      </c>
      <c r="N142" t="s">
        <v>41</v>
      </c>
      <c r="O142">
        <v>22</v>
      </c>
      <c r="P142">
        <v>4</v>
      </c>
      <c r="Q142">
        <v>0</v>
      </c>
      <c r="R142">
        <v>1</v>
      </c>
      <c r="S142">
        <v>5</v>
      </c>
      <c r="T142">
        <v>1</v>
      </c>
      <c r="U142">
        <v>0</v>
      </c>
      <c r="V142">
        <v>0</v>
      </c>
      <c r="W142" t="s">
        <v>51</v>
      </c>
      <c r="X142" s="1" t="d">
        <v>2020-04-25</v>
      </c>
      <c r="Z142" t="s">
        <v>63</v>
      </c>
      <c r="AA142" t="s">
        <v>46</v>
      </c>
      <c r="AB142">
        <v>0</v>
      </c>
      <c r="AC142">
        <v>0</v>
      </c>
      <c r="AD142" t="s">
        <v>32</v>
      </c>
      <c r="AE142" t="s">
        <v>42</v>
      </c>
      <c r="AF142" t="s">
        <v>43</v>
      </c>
    </row>
    <row r="143" spans="1:32" x14ac:dyDescent="0.25">
      <c r="A143">
        <v>43</v>
      </c>
      <c r="B143" t="s">
        <v>41</v>
      </c>
      <c r="C143" t="s">
        <v>33</v>
      </c>
      <c r="D143" t="s">
        <v>53</v>
      </c>
      <c r="E143">
        <v>25</v>
      </c>
      <c r="F143" t="s">
        <v>35</v>
      </c>
      <c r="G143">
        <v>2</v>
      </c>
      <c r="H143">
        <v>3</v>
      </c>
      <c r="I143" t="s">
        <v>64</v>
      </c>
      <c r="J143">
        <v>4</v>
      </c>
      <c r="K143" t="s">
        <v>55</v>
      </c>
      <c r="L143">
        <v>10798</v>
      </c>
      <c r="M143">
        <v>5</v>
      </c>
      <c r="N143" t="s">
        <v>41</v>
      </c>
      <c r="O143">
        <v>13</v>
      </c>
      <c r="P143">
        <v>3</v>
      </c>
      <c r="Q143">
        <v>1</v>
      </c>
      <c r="R143">
        <v>18</v>
      </c>
      <c r="S143">
        <v>5</v>
      </c>
      <c r="T143">
        <v>1</v>
      </c>
      <c r="U143">
        <v>0</v>
      </c>
      <c r="V143">
        <v>0</v>
      </c>
      <c r="W143" t="s">
        <v>51</v>
      </c>
      <c r="X143" s="1" t="d">
        <v>2020-06-27</v>
      </c>
      <c r="Z143" t="s">
        <v>45</v>
      </c>
      <c r="AA143" t="s">
        <v>40</v>
      </c>
      <c r="AB143">
        <v>4</v>
      </c>
      <c r="AC143">
        <v>2</v>
      </c>
      <c r="AD143" t="s">
        <v>41</v>
      </c>
      <c r="AE143" t="s">
        <v>62</v>
      </c>
      <c r="AF143" t="s">
        <v>48</v>
      </c>
    </row>
    <row r="144" spans="1:32" x14ac:dyDescent="0.25">
      <c r="A144">
        <v>21</v>
      </c>
      <c r="B144" t="s">
        <v>32</v>
      </c>
      <c r="C144" t="s">
        <v>33</v>
      </c>
      <c r="D144" t="s">
        <v>34</v>
      </c>
      <c r="E144">
        <v>10</v>
      </c>
      <c r="F144" t="s">
        <v>58</v>
      </c>
      <c r="G144">
        <v>2</v>
      </c>
      <c r="H144">
        <v>1</v>
      </c>
      <c r="I144" t="s">
        <v>36</v>
      </c>
      <c r="J144">
        <v>1</v>
      </c>
      <c r="K144" t="s">
        <v>37</v>
      </c>
      <c r="L144">
        <v>1416</v>
      </c>
      <c r="M144">
        <v>1</v>
      </c>
      <c r="N144" t="s">
        <v>41</v>
      </c>
      <c r="O144">
        <v>13</v>
      </c>
      <c r="P144">
        <v>3</v>
      </c>
      <c r="Q144">
        <v>0</v>
      </c>
      <c r="R144">
        <v>1</v>
      </c>
      <c r="S144">
        <v>6</v>
      </c>
      <c r="T144">
        <v>1</v>
      </c>
      <c r="U144">
        <v>1</v>
      </c>
      <c r="V144">
        <v>0</v>
      </c>
      <c r="W144" t="s">
        <v>65</v>
      </c>
      <c r="X144" s="1" t="d">
        <v>2020-06-25</v>
      </c>
      <c r="Z144" t="s">
        <v>63</v>
      </c>
      <c r="AA144" t="s">
        <v>40</v>
      </c>
      <c r="AB144">
        <v>1</v>
      </c>
      <c r="AC144">
        <v>1</v>
      </c>
      <c r="AD144" t="s">
        <v>32</v>
      </c>
      <c r="AE144" t="s">
        <v>47</v>
      </c>
      <c r="AF144" t="s">
        <v>43</v>
      </c>
    </row>
    <row r="145" spans="1:32" x14ac:dyDescent="0.25">
      <c r="A145">
        <v>37</v>
      </c>
      <c r="B145" t="s">
        <v>41</v>
      </c>
      <c r="C145" t="s">
        <v>33</v>
      </c>
      <c r="D145" t="s">
        <v>53</v>
      </c>
      <c r="E145">
        <v>10</v>
      </c>
      <c r="F145" t="s">
        <v>58</v>
      </c>
      <c r="G145">
        <v>2</v>
      </c>
      <c r="H145">
        <v>2</v>
      </c>
      <c r="I145" t="s">
        <v>64</v>
      </c>
      <c r="J145">
        <v>4</v>
      </c>
      <c r="K145" t="s">
        <v>55</v>
      </c>
      <c r="L145">
        <v>6694</v>
      </c>
      <c r="M145">
        <v>2</v>
      </c>
      <c r="N145" t="s">
        <v>32</v>
      </c>
      <c r="O145">
        <v>14</v>
      </c>
      <c r="P145">
        <v>3</v>
      </c>
      <c r="Q145">
        <v>3</v>
      </c>
      <c r="R145">
        <v>8</v>
      </c>
      <c r="S145">
        <v>5</v>
      </c>
      <c r="T145">
        <v>1</v>
      </c>
      <c r="U145">
        <v>0</v>
      </c>
      <c r="V145">
        <v>0</v>
      </c>
      <c r="W145" t="s">
        <v>51</v>
      </c>
      <c r="X145" s="1" t="d">
        <v>2020-06-25</v>
      </c>
      <c r="Z145" t="s">
        <v>39</v>
      </c>
      <c r="AA145" t="s">
        <v>46</v>
      </c>
      <c r="AB145">
        <v>3</v>
      </c>
      <c r="AC145">
        <v>2</v>
      </c>
      <c r="AD145" t="s">
        <v>32</v>
      </c>
      <c r="AE145" t="s">
        <v>47</v>
      </c>
      <c r="AF145" t="s">
        <v>48</v>
      </c>
    </row>
    <row r="146" spans="1:32" x14ac:dyDescent="0.25">
      <c r="A146">
        <v>26</v>
      </c>
      <c r="B146" t="s">
        <v>32</v>
      </c>
      <c r="C146" t="s">
        <v>33</v>
      </c>
      <c r="D146" t="s">
        <v>34</v>
      </c>
      <c r="E146">
        <v>21</v>
      </c>
      <c r="F146" t="s">
        <v>35</v>
      </c>
      <c r="G146">
        <v>3</v>
      </c>
      <c r="H146">
        <v>1</v>
      </c>
      <c r="I146" t="s">
        <v>36</v>
      </c>
      <c r="J146">
        <v>3</v>
      </c>
      <c r="K146" t="s">
        <v>55</v>
      </c>
      <c r="L146">
        <v>2377</v>
      </c>
      <c r="M146">
        <v>1</v>
      </c>
      <c r="N146" t="s">
        <v>41</v>
      </c>
      <c r="O146">
        <v>20</v>
      </c>
      <c r="P146">
        <v>4</v>
      </c>
      <c r="Q146">
        <v>1</v>
      </c>
      <c r="R146">
        <v>1</v>
      </c>
      <c r="S146">
        <v>0</v>
      </c>
      <c r="T146">
        <v>1</v>
      </c>
      <c r="U146">
        <v>0</v>
      </c>
      <c r="V146">
        <v>0</v>
      </c>
      <c r="W146" t="s">
        <v>65</v>
      </c>
      <c r="X146" s="1" t="d">
        <v>2020-03-31</v>
      </c>
      <c r="Z146" t="s">
        <v>63</v>
      </c>
      <c r="AA146" t="s">
        <v>40</v>
      </c>
      <c r="AB146">
        <v>0</v>
      </c>
      <c r="AC146">
        <v>0</v>
      </c>
      <c r="AD146" t="s">
        <v>41</v>
      </c>
      <c r="AE146" t="s">
        <v>62</v>
      </c>
      <c r="AF146" t="s">
        <v>57</v>
      </c>
    </row>
    <row r="147" spans="1:32" x14ac:dyDescent="0.25">
      <c r="A147">
        <v>28</v>
      </c>
      <c r="B147" t="s">
        <v>32</v>
      </c>
      <c r="C147" t="s">
        <v>61</v>
      </c>
      <c r="D147" t="s">
        <v>34</v>
      </c>
      <c r="E147">
        <v>1</v>
      </c>
      <c r="F147" t="s">
        <v>35</v>
      </c>
      <c r="G147">
        <v>2</v>
      </c>
      <c r="H147">
        <v>1</v>
      </c>
      <c r="I147" t="s">
        <v>36</v>
      </c>
      <c r="J147">
        <v>2</v>
      </c>
      <c r="K147" t="s">
        <v>55</v>
      </c>
      <c r="L147">
        <v>2596</v>
      </c>
      <c r="M147">
        <v>1</v>
      </c>
      <c r="N147" t="s">
        <v>41</v>
      </c>
      <c r="O147">
        <v>15</v>
      </c>
      <c r="P147">
        <v>3</v>
      </c>
      <c r="Q147">
        <v>2</v>
      </c>
      <c r="R147">
        <v>1</v>
      </c>
      <c r="S147">
        <v>2</v>
      </c>
      <c r="T147">
        <v>1</v>
      </c>
      <c r="U147">
        <v>0</v>
      </c>
      <c r="V147">
        <v>0</v>
      </c>
      <c r="W147" t="s">
        <v>56</v>
      </c>
      <c r="X147" s="1" t="d">
        <v>2020-06-23</v>
      </c>
      <c r="Z147" t="s">
        <v>63</v>
      </c>
      <c r="AA147" t="s">
        <v>46</v>
      </c>
      <c r="AB147">
        <v>0</v>
      </c>
      <c r="AC147">
        <v>2</v>
      </c>
      <c r="AD147" t="s">
        <v>41</v>
      </c>
      <c r="AE147" t="s">
        <v>47</v>
      </c>
      <c r="AF147" t="s">
        <v>43</v>
      </c>
    </row>
    <row r="148" spans="1:32" x14ac:dyDescent="0.25">
      <c r="A148">
        <v>38</v>
      </c>
      <c r="B148" t="s">
        <v>41</v>
      </c>
      <c r="C148" t="s">
        <v>33</v>
      </c>
      <c r="D148" t="s">
        <v>53</v>
      </c>
      <c r="E148">
        <v>2</v>
      </c>
      <c r="F148" t="s">
        <v>35</v>
      </c>
      <c r="G148">
        <v>3</v>
      </c>
      <c r="H148">
        <v>3</v>
      </c>
      <c r="I148" t="s">
        <v>64</v>
      </c>
      <c r="J148">
        <v>2</v>
      </c>
      <c r="K148" t="s">
        <v>37</v>
      </c>
      <c r="L148">
        <v>7351</v>
      </c>
      <c r="M148">
        <v>7</v>
      </c>
      <c r="N148" t="s">
        <v>41</v>
      </c>
      <c r="O148">
        <v>16</v>
      </c>
      <c r="P148">
        <v>3</v>
      </c>
      <c r="Q148">
        <v>0</v>
      </c>
      <c r="R148">
        <v>10</v>
      </c>
      <c r="S148">
        <v>2</v>
      </c>
      <c r="T148">
        <v>1</v>
      </c>
      <c r="U148">
        <v>0</v>
      </c>
      <c r="V148">
        <v>0</v>
      </c>
      <c r="W148" t="s">
        <v>65</v>
      </c>
      <c r="X148" s="1" t="d">
        <v>2020-03-29</v>
      </c>
      <c r="Z148" t="s">
        <v>39</v>
      </c>
      <c r="AA148" t="s">
        <v>46</v>
      </c>
      <c r="AB148">
        <v>3</v>
      </c>
      <c r="AC148">
        <v>0</v>
      </c>
      <c r="AD148" t="s">
        <v>41</v>
      </c>
      <c r="AE148" t="s">
        <v>47</v>
      </c>
      <c r="AF148" t="s">
        <v>48</v>
      </c>
    </row>
    <row r="149" spans="1:32" x14ac:dyDescent="0.25">
      <c r="A149">
        <v>42</v>
      </c>
      <c r="B149" t="s">
        <v>41</v>
      </c>
      <c r="C149" t="s">
        <v>33</v>
      </c>
      <c r="D149" t="s">
        <v>34</v>
      </c>
      <c r="E149">
        <v>29</v>
      </c>
      <c r="F149" t="s">
        <v>35</v>
      </c>
      <c r="G149">
        <v>1</v>
      </c>
      <c r="H149">
        <v>2</v>
      </c>
      <c r="I149" t="s">
        <v>36</v>
      </c>
      <c r="J149">
        <v>4</v>
      </c>
      <c r="K149" t="s">
        <v>37</v>
      </c>
      <c r="L149">
        <v>4272</v>
      </c>
      <c r="M149">
        <v>4</v>
      </c>
      <c r="N149" t="s">
        <v>41</v>
      </c>
      <c r="O149">
        <v>19</v>
      </c>
      <c r="P149">
        <v>3</v>
      </c>
      <c r="Q149">
        <v>0</v>
      </c>
      <c r="R149">
        <v>16</v>
      </c>
      <c r="S149">
        <v>3</v>
      </c>
      <c r="T149">
        <v>1</v>
      </c>
      <c r="U149">
        <v>0</v>
      </c>
      <c r="V149">
        <v>0</v>
      </c>
      <c r="W149" t="s">
        <v>51</v>
      </c>
      <c r="X149" s="1" t="d">
        <v>2020-03-17</v>
      </c>
      <c r="Z149" t="s">
        <v>63</v>
      </c>
      <c r="AA149" t="s">
        <v>46</v>
      </c>
      <c r="AB149">
        <v>0</v>
      </c>
      <c r="AC149">
        <v>1</v>
      </c>
      <c r="AD149" t="s">
        <v>41</v>
      </c>
      <c r="AE149" t="s">
        <v>62</v>
      </c>
      <c r="AF149" t="s">
        <v>57</v>
      </c>
    </row>
    <row r="150" spans="1:32" x14ac:dyDescent="0.25">
      <c r="A150">
        <v>41</v>
      </c>
      <c r="B150" t="s">
        <v>41</v>
      </c>
      <c r="C150" t="s">
        <v>33</v>
      </c>
      <c r="D150" t="s">
        <v>34</v>
      </c>
      <c r="E150">
        <v>12</v>
      </c>
      <c r="F150" t="s">
        <v>35</v>
      </c>
      <c r="G150">
        <v>3</v>
      </c>
      <c r="H150">
        <v>1</v>
      </c>
      <c r="I150" t="s">
        <v>36</v>
      </c>
      <c r="J150">
        <v>4</v>
      </c>
      <c r="K150" t="s">
        <v>50</v>
      </c>
      <c r="L150">
        <v>4766</v>
      </c>
      <c r="M150">
        <v>3</v>
      </c>
      <c r="N150" t="s">
        <v>32</v>
      </c>
      <c r="O150">
        <v>11</v>
      </c>
      <c r="P150">
        <v>3</v>
      </c>
      <c r="Q150">
        <v>1</v>
      </c>
      <c r="R150">
        <v>6</v>
      </c>
      <c r="S150">
        <v>4</v>
      </c>
      <c r="T150">
        <v>1</v>
      </c>
      <c r="U150">
        <v>0</v>
      </c>
      <c r="V150">
        <v>0</v>
      </c>
      <c r="W150" t="s">
        <v>65</v>
      </c>
      <c r="X150" s="1" t="d">
        <v>2020-01-30</v>
      </c>
      <c r="Z150" t="s">
        <v>59</v>
      </c>
      <c r="AA150" t="s">
        <v>40</v>
      </c>
      <c r="AB150">
        <v>1</v>
      </c>
      <c r="AC150">
        <v>0</v>
      </c>
      <c r="AD150" t="s">
        <v>41</v>
      </c>
      <c r="AE150" t="s">
        <v>47</v>
      </c>
      <c r="AF150" t="s">
        <v>57</v>
      </c>
    </row>
    <row r="151" spans="1:32" x14ac:dyDescent="0.25">
      <c r="A151">
        <v>28</v>
      </c>
      <c r="B151" t="s">
        <v>32</v>
      </c>
      <c r="C151" t="s">
        <v>33</v>
      </c>
      <c r="D151" t="s">
        <v>34</v>
      </c>
      <c r="E151">
        <v>12</v>
      </c>
      <c r="F151" t="s">
        <v>58</v>
      </c>
      <c r="G151">
        <v>3</v>
      </c>
      <c r="H151">
        <v>1</v>
      </c>
      <c r="I151" t="s">
        <v>36</v>
      </c>
      <c r="J151">
        <v>4</v>
      </c>
      <c r="K151" t="s">
        <v>50</v>
      </c>
      <c r="L151">
        <v>2515</v>
      </c>
      <c r="M151">
        <v>1</v>
      </c>
      <c r="N151" t="s">
        <v>32</v>
      </c>
      <c r="O151">
        <v>11</v>
      </c>
      <c r="P151">
        <v>3</v>
      </c>
      <c r="Q151">
        <v>0</v>
      </c>
      <c r="R151">
        <v>1</v>
      </c>
      <c r="S151">
        <v>4</v>
      </c>
      <c r="T151">
        <v>1</v>
      </c>
      <c r="U151">
        <v>0</v>
      </c>
      <c r="V151">
        <v>0</v>
      </c>
      <c r="W151" t="s">
        <v>51</v>
      </c>
      <c r="X151" s="1" t="d">
        <v>2020-01-14</v>
      </c>
      <c r="Z151" t="s">
        <v>63</v>
      </c>
      <c r="AA151" t="s">
        <v>40</v>
      </c>
      <c r="AB151">
        <v>4</v>
      </c>
      <c r="AC151">
        <v>1</v>
      </c>
      <c r="AD151" t="s">
        <v>32</v>
      </c>
      <c r="AE151" t="s">
        <v>60</v>
      </c>
      <c r="AF151" t="s">
        <v>57</v>
      </c>
    </row>
    <row r="152" spans="1:32" x14ac:dyDescent="0.25">
      <c r="A152">
        <v>40</v>
      </c>
      <c r="B152" t="s">
        <v>41</v>
      </c>
      <c r="C152" t="s">
        <v>61</v>
      </c>
      <c r="D152" t="s">
        <v>34</v>
      </c>
      <c r="E152">
        <v>26</v>
      </c>
      <c r="F152" t="s">
        <v>58</v>
      </c>
      <c r="G152">
        <v>2</v>
      </c>
      <c r="H152">
        <v>2</v>
      </c>
      <c r="I152" t="s">
        <v>44</v>
      </c>
      <c r="J152">
        <v>4</v>
      </c>
      <c r="K152" t="s">
        <v>50</v>
      </c>
      <c r="L152">
        <v>4422</v>
      </c>
      <c r="M152">
        <v>3</v>
      </c>
      <c r="N152" t="s">
        <v>32</v>
      </c>
      <c r="O152">
        <v>13</v>
      </c>
      <c r="P152">
        <v>3</v>
      </c>
      <c r="Q152">
        <v>1</v>
      </c>
      <c r="R152">
        <v>16</v>
      </c>
      <c r="S152">
        <v>3</v>
      </c>
      <c r="T152">
        <v>1</v>
      </c>
      <c r="U152">
        <v>0</v>
      </c>
      <c r="V152">
        <v>0</v>
      </c>
      <c r="W152" t="s">
        <v>38</v>
      </c>
      <c r="X152" s="1" t="d">
        <v>2020-05-29</v>
      </c>
      <c r="Z152" t="s">
        <v>39</v>
      </c>
      <c r="AA152" t="s">
        <v>46</v>
      </c>
      <c r="AB152">
        <v>5</v>
      </c>
      <c r="AC152">
        <v>3</v>
      </c>
      <c r="AD152" t="s">
        <v>41</v>
      </c>
      <c r="AE152" t="s">
        <v>47</v>
      </c>
      <c r="AF152" t="s">
        <v>48</v>
      </c>
    </row>
    <row r="153" spans="1:32" x14ac:dyDescent="0.25">
      <c r="A153">
        <v>32</v>
      </c>
      <c r="B153" t="s">
        <v>41</v>
      </c>
      <c r="C153" t="s">
        <v>68</v>
      </c>
      <c r="D153" t="s">
        <v>53</v>
      </c>
      <c r="E153">
        <v>2</v>
      </c>
      <c r="F153" t="s">
        <v>58</v>
      </c>
      <c r="G153">
        <v>3</v>
      </c>
      <c r="H153">
        <v>1</v>
      </c>
      <c r="I153" t="s">
        <v>54</v>
      </c>
      <c r="J153">
        <v>1</v>
      </c>
      <c r="K153" t="s">
        <v>55</v>
      </c>
      <c r="L153">
        <v>2827</v>
      </c>
      <c r="M153">
        <v>1</v>
      </c>
      <c r="N153" t="s">
        <v>41</v>
      </c>
      <c r="O153">
        <v>12</v>
      </c>
      <c r="P153">
        <v>3</v>
      </c>
      <c r="Q153">
        <v>3</v>
      </c>
      <c r="R153">
        <v>1</v>
      </c>
      <c r="S153">
        <v>3</v>
      </c>
      <c r="T153">
        <v>1</v>
      </c>
      <c r="U153">
        <v>0</v>
      </c>
      <c r="V153">
        <v>0</v>
      </c>
      <c r="W153" t="s">
        <v>51</v>
      </c>
      <c r="X153" s="1" t="d">
        <v>2020-02-07</v>
      </c>
      <c r="Z153" t="s">
        <v>52</v>
      </c>
      <c r="AA153" t="s">
        <v>40</v>
      </c>
      <c r="AB153">
        <v>4</v>
      </c>
      <c r="AC153">
        <v>0</v>
      </c>
      <c r="AD153" t="s">
        <v>41</v>
      </c>
      <c r="AE153" t="s">
        <v>60</v>
      </c>
      <c r="AF153" t="s">
        <v>57</v>
      </c>
    </row>
    <row r="154" spans="1:32" x14ac:dyDescent="0.25">
      <c r="A154">
        <v>19</v>
      </c>
      <c r="B154" t="s">
        <v>41</v>
      </c>
      <c r="C154" t="s">
        <v>33</v>
      </c>
      <c r="D154" t="s">
        <v>34</v>
      </c>
      <c r="E154">
        <v>9</v>
      </c>
      <c r="F154" t="s">
        <v>35</v>
      </c>
      <c r="G154">
        <v>3</v>
      </c>
      <c r="H154">
        <v>1</v>
      </c>
      <c r="I154" t="s">
        <v>44</v>
      </c>
      <c r="J154">
        <v>1</v>
      </c>
      <c r="K154" t="s">
        <v>37</v>
      </c>
      <c r="L154">
        <v>2552</v>
      </c>
      <c r="M154">
        <v>1</v>
      </c>
      <c r="N154" t="s">
        <v>41</v>
      </c>
      <c r="O154">
        <v>25</v>
      </c>
      <c r="P154">
        <v>4</v>
      </c>
      <c r="Q154">
        <v>0</v>
      </c>
      <c r="R154">
        <v>1</v>
      </c>
      <c r="S154">
        <v>4</v>
      </c>
      <c r="T154">
        <v>1</v>
      </c>
      <c r="U154">
        <v>0</v>
      </c>
      <c r="V154">
        <v>0</v>
      </c>
      <c r="W154" t="s">
        <v>51</v>
      </c>
      <c r="X154" s="1" t="d">
        <v>2020-01-26</v>
      </c>
      <c r="Z154" t="s">
        <v>63</v>
      </c>
      <c r="AA154" t="s">
        <v>46</v>
      </c>
      <c r="AB154">
        <v>5</v>
      </c>
      <c r="AC154">
        <v>1</v>
      </c>
      <c r="AD154" t="s">
        <v>32</v>
      </c>
      <c r="AE154" t="s">
        <v>62</v>
      </c>
      <c r="AF154" t="s">
        <v>43</v>
      </c>
    </row>
    <row r="155" spans="1:32" x14ac:dyDescent="0.25">
      <c r="A155">
        <v>41</v>
      </c>
      <c r="B155" t="s">
        <v>32</v>
      </c>
      <c r="C155" t="s">
        <v>68</v>
      </c>
      <c r="D155" t="s">
        <v>34</v>
      </c>
      <c r="E155">
        <v>5</v>
      </c>
      <c r="F155" t="s">
        <v>35</v>
      </c>
      <c r="G155">
        <v>2</v>
      </c>
      <c r="H155">
        <v>1</v>
      </c>
      <c r="I155" t="s">
        <v>44</v>
      </c>
      <c r="J155">
        <v>1</v>
      </c>
      <c r="K155" t="s">
        <v>55</v>
      </c>
      <c r="L155">
        <v>2107</v>
      </c>
      <c r="M155">
        <v>6</v>
      </c>
      <c r="N155" t="s">
        <v>41</v>
      </c>
      <c r="O155">
        <v>17</v>
      </c>
      <c r="P155">
        <v>3</v>
      </c>
      <c r="Q155">
        <v>1</v>
      </c>
      <c r="R155">
        <v>5</v>
      </c>
      <c r="S155">
        <v>2</v>
      </c>
      <c r="T155">
        <v>1</v>
      </c>
      <c r="U155">
        <v>0</v>
      </c>
      <c r="V155">
        <v>0</v>
      </c>
      <c r="W155" t="s">
        <v>65</v>
      </c>
      <c r="X155" s="1" t="d">
        <v>2020-03-01</v>
      </c>
      <c r="Z155" t="s">
        <v>45</v>
      </c>
      <c r="AA155" t="s">
        <v>46</v>
      </c>
      <c r="AB155">
        <v>0</v>
      </c>
      <c r="AC155">
        <v>3</v>
      </c>
      <c r="AD155" t="s">
        <v>32</v>
      </c>
      <c r="AE155" t="s">
        <v>60</v>
      </c>
      <c r="AF155" t="s">
        <v>43</v>
      </c>
    </row>
    <row r="156" spans="1:32" x14ac:dyDescent="0.25">
      <c r="A156">
        <v>24</v>
      </c>
      <c r="B156" t="s">
        <v>32</v>
      </c>
      <c r="C156" t="s">
        <v>33</v>
      </c>
      <c r="D156" t="s">
        <v>34</v>
      </c>
      <c r="E156">
        <v>17</v>
      </c>
      <c r="F156" t="s">
        <v>58</v>
      </c>
      <c r="G156">
        <v>3</v>
      </c>
      <c r="H156">
        <v>1</v>
      </c>
      <c r="I156" t="s">
        <v>36</v>
      </c>
      <c r="J156">
        <v>2</v>
      </c>
      <c r="K156" t="s">
        <v>50</v>
      </c>
      <c r="L156">
        <v>2210</v>
      </c>
      <c r="M156">
        <v>1</v>
      </c>
      <c r="N156" t="s">
        <v>41</v>
      </c>
      <c r="O156">
        <v>13</v>
      </c>
      <c r="P156">
        <v>3</v>
      </c>
      <c r="Q156">
        <v>1</v>
      </c>
      <c r="R156">
        <v>1</v>
      </c>
      <c r="S156">
        <v>3</v>
      </c>
      <c r="T156">
        <v>1</v>
      </c>
      <c r="U156">
        <v>0</v>
      </c>
      <c r="V156">
        <v>0</v>
      </c>
      <c r="W156" t="s">
        <v>51</v>
      </c>
      <c r="X156" s="1" t="d">
        <v>2020-01-19</v>
      </c>
      <c r="Z156" t="s">
        <v>63</v>
      </c>
      <c r="AA156" t="s">
        <v>40</v>
      </c>
      <c r="AB156">
        <v>5</v>
      </c>
      <c r="AC156">
        <v>3</v>
      </c>
      <c r="AD156" t="s">
        <v>41</v>
      </c>
      <c r="AE156" t="s">
        <v>62</v>
      </c>
      <c r="AF156" t="s">
        <v>57</v>
      </c>
    </row>
    <row r="157" spans="1:32" x14ac:dyDescent="0.25">
      <c r="A157">
        <v>42</v>
      </c>
      <c r="B157" t="s">
        <v>41</v>
      </c>
      <c r="C157" t="s">
        <v>61</v>
      </c>
      <c r="D157" t="s">
        <v>34</v>
      </c>
      <c r="E157">
        <v>26</v>
      </c>
      <c r="F157" t="s">
        <v>58</v>
      </c>
      <c r="G157">
        <v>3</v>
      </c>
      <c r="H157">
        <v>3</v>
      </c>
      <c r="I157" t="s">
        <v>49</v>
      </c>
      <c r="J157">
        <v>1</v>
      </c>
      <c r="K157" t="s">
        <v>50</v>
      </c>
      <c r="L157">
        <v>13191</v>
      </c>
      <c r="M157">
        <v>3</v>
      </c>
      <c r="N157" t="s">
        <v>32</v>
      </c>
      <c r="O157">
        <v>17</v>
      </c>
      <c r="P157">
        <v>3</v>
      </c>
      <c r="Q157">
        <v>0</v>
      </c>
      <c r="R157">
        <v>20</v>
      </c>
      <c r="S157">
        <v>6</v>
      </c>
      <c r="T157">
        <v>1</v>
      </c>
      <c r="U157">
        <v>0</v>
      </c>
      <c r="V157">
        <v>0</v>
      </c>
      <c r="W157" t="s">
        <v>38</v>
      </c>
      <c r="X157" s="1" t="d">
        <v>2020-03-21</v>
      </c>
      <c r="Z157" t="s">
        <v>59</v>
      </c>
      <c r="AA157" t="s">
        <v>40</v>
      </c>
      <c r="AB157">
        <v>1</v>
      </c>
      <c r="AC157">
        <v>3</v>
      </c>
      <c r="AD157" t="s">
        <v>41</v>
      </c>
      <c r="AE157" t="s">
        <v>47</v>
      </c>
      <c r="AF157" t="s">
        <v>48</v>
      </c>
    </row>
    <row r="158" spans="1:32" x14ac:dyDescent="0.25">
      <c r="A158">
        <v>19</v>
      </c>
      <c r="B158" t="s">
        <v>32</v>
      </c>
      <c r="C158" t="s">
        <v>68</v>
      </c>
      <c r="D158" t="s">
        <v>34</v>
      </c>
      <c r="E158">
        <v>10</v>
      </c>
      <c r="F158" t="s">
        <v>58</v>
      </c>
      <c r="G158">
        <v>2</v>
      </c>
      <c r="H158">
        <v>1</v>
      </c>
      <c r="I158" t="s">
        <v>44</v>
      </c>
      <c r="J158">
        <v>2</v>
      </c>
      <c r="K158" t="s">
        <v>37</v>
      </c>
      <c r="L158">
        <v>1859</v>
      </c>
      <c r="M158">
        <v>1</v>
      </c>
      <c r="N158" t="s">
        <v>32</v>
      </c>
      <c r="O158">
        <v>25</v>
      </c>
      <c r="P158">
        <v>4</v>
      </c>
      <c r="Q158">
        <v>0</v>
      </c>
      <c r="R158">
        <v>1</v>
      </c>
      <c r="S158">
        <v>2</v>
      </c>
      <c r="T158">
        <v>1</v>
      </c>
      <c r="U158">
        <v>0</v>
      </c>
      <c r="V158">
        <v>0</v>
      </c>
      <c r="W158" t="s">
        <v>38</v>
      </c>
      <c r="X158" s="1" t="d">
        <v>2020-04-01</v>
      </c>
      <c r="Z158" t="s">
        <v>45</v>
      </c>
      <c r="AA158" t="s">
        <v>40</v>
      </c>
      <c r="AB158">
        <v>1</v>
      </c>
      <c r="AC158">
        <v>1</v>
      </c>
      <c r="AD158" t="s">
        <v>32</v>
      </c>
      <c r="AE158" t="s">
        <v>62</v>
      </c>
      <c r="AF158" t="s">
        <v>48</v>
      </c>
    </row>
    <row r="159" spans="1:32" x14ac:dyDescent="0.25">
      <c r="A159">
        <v>49</v>
      </c>
      <c r="B159" t="s">
        <v>41</v>
      </c>
      <c r="C159" t="s">
        <v>33</v>
      </c>
      <c r="D159" t="s">
        <v>34</v>
      </c>
      <c r="E159">
        <v>4</v>
      </c>
      <c r="F159" t="s">
        <v>35</v>
      </c>
      <c r="G159">
        <v>2</v>
      </c>
      <c r="H159">
        <v>5</v>
      </c>
      <c r="I159" t="s">
        <v>66</v>
      </c>
      <c r="J159">
        <v>3</v>
      </c>
      <c r="K159" t="s">
        <v>50</v>
      </c>
      <c r="L159">
        <v>18711</v>
      </c>
      <c r="M159">
        <v>2</v>
      </c>
      <c r="N159" t="s">
        <v>41</v>
      </c>
      <c r="O159">
        <v>13</v>
      </c>
      <c r="P159">
        <v>3</v>
      </c>
      <c r="Q159">
        <v>1</v>
      </c>
      <c r="R159">
        <v>23</v>
      </c>
      <c r="S159">
        <v>2</v>
      </c>
      <c r="T159">
        <v>1</v>
      </c>
      <c r="U159">
        <v>0</v>
      </c>
      <c r="V159">
        <v>0</v>
      </c>
      <c r="W159" t="s">
        <v>51</v>
      </c>
      <c r="X159" s="1" t="d">
        <v>2020-05-22</v>
      </c>
      <c r="Z159" t="s">
        <v>39</v>
      </c>
      <c r="AA159" t="s">
        <v>40</v>
      </c>
      <c r="AB159">
        <v>4</v>
      </c>
      <c r="AC159">
        <v>1</v>
      </c>
      <c r="AD159" t="s">
        <v>41</v>
      </c>
      <c r="AE159" t="s">
        <v>47</v>
      </c>
      <c r="AF159" t="s">
        <v>43</v>
      </c>
    </row>
    <row r="160" spans="1:32" x14ac:dyDescent="0.25">
      <c r="A160">
        <v>48</v>
      </c>
      <c r="B160" t="s">
        <v>41</v>
      </c>
      <c r="C160" t="s">
        <v>33</v>
      </c>
      <c r="D160" t="s">
        <v>34</v>
      </c>
      <c r="E160">
        <v>2</v>
      </c>
      <c r="F160" t="s">
        <v>35</v>
      </c>
      <c r="G160">
        <v>4</v>
      </c>
      <c r="H160">
        <v>1</v>
      </c>
      <c r="I160" t="s">
        <v>36</v>
      </c>
      <c r="J160">
        <v>2</v>
      </c>
      <c r="K160" t="s">
        <v>37</v>
      </c>
      <c r="L160">
        <v>2559</v>
      </c>
      <c r="M160">
        <v>5</v>
      </c>
      <c r="N160" t="s">
        <v>41</v>
      </c>
      <c r="O160">
        <v>11</v>
      </c>
      <c r="P160">
        <v>3</v>
      </c>
      <c r="Q160">
        <v>0</v>
      </c>
      <c r="R160">
        <v>7</v>
      </c>
      <c r="S160">
        <v>4</v>
      </c>
      <c r="T160">
        <v>1</v>
      </c>
      <c r="U160">
        <v>0</v>
      </c>
      <c r="V160">
        <v>0</v>
      </c>
      <c r="W160" t="s">
        <v>38</v>
      </c>
      <c r="X160" s="1" t="d">
        <v>2020-01-06</v>
      </c>
      <c r="Z160" t="s">
        <v>63</v>
      </c>
      <c r="AA160" t="s">
        <v>40</v>
      </c>
      <c r="AB160">
        <v>3</v>
      </c>
      <c r="AC160">
        <v>0</v>
      </c>
      <c r="AD160" t="s">
        <v>41</v>
      </c>
      <c r="AE160" t="s">
        <v>47</v>
      </c>
      <c r="AF160" t="s">
        <v>48</v>
      </c>
    </row>
    <row r="161" spans="1:32" x14ac:dyDescent="0.25">
      <c r="A161">
        <v>48</v>
      </c>
      <c r="B161" t="s">
        <v>41</v>
      </c>
      <c r="C161" t="s">
        <v>33</v>
      </c>
      <c r="D161" t="s">
        <v>34</v>
      </c>
      <c r="E161">
        <v>1</v>
      </c>
      <c r="F161" t="s">
        <v>35</v>
      </c>
      <c r="G161">
        <v>2</v>
      </c>
      <c r="H161">
        <v>5</v>
      </c>
      <c r="I161" t="s">
        <v>49</v>
      </c>
      <c r="J161">
        <v>4</v>
      </c>
      <c r="K161" t="s">
        <v>37</v>
      </c>
      <c r="L161">
        <v>18265</v>
      </c>
      <c r="M161">
        <v>6</v>
      </c>
      <c r="N161" t="s">
        <v>41</v>
      </c>
      <c r="O161">
        <v>12</v>
      </c>
      <c r="P161">
        <v>3</v>
      </c>
      <c r="Q161">
        <v>0</v>
      </c>
      <c r="R161">
        <v>25</v>
      </c>
      <c r="S161">
        <v>3</v>
      </c>
      <c r="T161">
        <v>1</v>
      </c>
      <c r="U161">
        <v>0</v>
      </c>
      <c r="V161">
        <v>0</v>
      </c>
      <c r="W161" t="s">
        <v>38</v>
      </c>
      <c r="X161" s="1" t="d">
        <v>2020-02-03</v>
      </c>
      <c r="Z161" t="s">
        <v>63</v>
      </c>
      <c r="AA161" t="s">
        <v>46</v>
      </c>
      <c r="AB161">
        <v>5</v>
      </c>
      <c r="AC161">
        <v>0</v>
      </c>
      <c r="AD161" t="s">
        <v>32</v>
      </c>
      <c r="AE161" t="s">
        <v>62</v>
      </c>
      <c r="AF161" t="s">
        <v>48</v>
      </c>
    </row>
    <row r="162" spans="1:32" x14ac:dyDescent="0.25">
      <c r="A162">
        <v>34</v>
      </c>
      <c r="B162" t="s">
        <v>41</v>
      </c>
      <c r="C162" t="s">
        <v>33</v>
      </c>
      <c r="D162" t="s">
        <v>34</v>
      </c>
      <c r="E162">
        <v>20</v>
      </c>
      <c r="F162" t="s">
        <v>58</v>
      </c>
      <c r="G162">
        <v>4</v>
      </c>
      <c r="H162">
        <v>1</v>
      </c>
      <c r="I162" t="s">
        <v>44</v>
      </c>
      <c r="J162">
        <v>3</v>
      </c>
      <c r="K162" t="s">
        <v>50</v>
      </c>
      <c r="L162">
        <v>2585</v>
      </c>
      <c r="M162">
        <v>0</v>
      </c>
      <c r="N162" t="s">
        <v>41</v>
      </c>
      <c r="O162">
        <v>17</v>
      </c>
      <c r="P162">
        <v>3</v>
      </c>
      <c r="Q162">
        <v>0</v>
      </c>
      <c r="R162">
        <v>2</v>
      </c>
      <c r="S162">
        <v>5</v>
      </c>
      <c r="T162">
        <v>1</v>
      </c>
      <c r="U162">
        <v>0</v>
      </c>
      <c r="V162">
        <v>0</v>
      </c>
      <c r="W162" t="s">
        <v>65</v>
      </c>
      <c r="X162" s="1" t="d">
        <v>2020-04-10</v>
      </c>
      <c r="Z162" t="s">
        <v>52</v>
      </c>
      <c r="AA162" t="s">
        <v>46</v>
      </c>
      <c r="AB162">
        <v>5</v>
      </c>
      <c r="AC162">
        <v>2</v>
      </c>
      <c r="AD162" t="s">
        <v>32</v>
      </c>
      <c r="AE162" t="s">
        <v>47</v>
      </c>
      <c r="AF162" t="s">
        <v>57</v>
      </c>
    </row>
    <row r="163" spans="1:32" x14ac:dyDescent="0.25">
      <c r="A163">
        <v>19</v>
      </c>
      <c r="B163" t="s">
        <v>41</v>
      </c>
      <c r="C163" t="s">
        <v>33</v>
      </c>
      <c r="D163" t="s">
        <v>34</v>
      </c>
      <c r="E163">
        <v>25</v>
      </c>
      <c r="F163" t="s">
        <v>58</v>
      </c>
      <c r="G163">
        <v>4</v>
      </c>
      <c r="H163">
        <v>1</v>
      </c>
      <c r="I163" t="s">
        <v>44</v>
      </c>
      <c r="J163">
        <v>4</v>
      </c>
      <c r="K163" t="s">
        <v>37</v>
      </c>
      <c r="L163">
        <v>2994</v>
      </c>
      <c r="M163">
        <v>1</v>
      </c>
      <c r="N163" t="s">
        <v>32</v>
      </c>
      <c r="O163">
        <v>12</v>
      </c>
      <c r="P163">
        <v>3</v>
      </c>
      <c r="Q163">
        <v>0</v>
      </c>
      <c r="R163">
        <v>1</v>
      </c>
      <c r="S163">
        <v>2</v>
      </c>
      <c r="T163">
        <v>1</v>
      </c>
      <c r="U163">
        <v>0</v>
      </c>
      <c r="V163">
        <v>1</v>
      </c>
      <c r="W163" t="s">
        <v>51</v>
      </c>
      <c r="X163" s="1" t="d">
        <v>2020-03-21</v>
      </c>
      <c r="Z163" t="s">
        <v>63</v>
      </c>
      <c r="AA163" t="s">
        <v>46</v>
      </c>
      <c r="AB163">
        <v>3</v>
      </c>
      <c r="AC163">
        <v>0</v>
      </c>
      <c r="AD163" t="s">
        <v>41</v>
      </c>
      <c r="AE163" t="s">
        <v>62</v>
      </c>
      <c r="AF163" t="s">
        <v>43</v>
      </c>
    </row>
    <row r="164" spans="1:32" x14ac:dyDescent="0.25">
      <c r="A164">
        <v>23</v>
      </c>
      <c r="B164" t="s">
        <v>41</v>
      </c>
      <c r="C164" t="s">
        <v>33</v>
      </c>
      <c r="D164" t="s">
        <v>34</v>
      </c>
      <c r="E164">
        <v>1</v>
      </c>
      <c r="F164" t="s">
        <v>35</v>
      </c>
      <c r="G164">
        <v>3</v>
      </c>
      <c r="H164">
        <v>1</v>
      </c>
      <c r="I164" t="s">
        <v>44</v>
      </c>
      <c r="J164">
        <v>3</v>
      </c>
      <c r="K164" t="s">
        <v>50</v>
      </c>
      <c r="L164">
        <v>1223</v>
      </c>
      <c r="M164">
        <v>1</v>
      </c>
      <c r="N164" t="s">
        <v>41</v>
      </c>
      <c r="O164">
        <v>22</v>
      </c>
      <c r="P164">
        <v>4</v>
      </c>
      <c r="Q164">
        <v>1</v>
      </c>
      <c r="R164">
        <v>1</v>
      </c>
      <c r="S164">
        <v>2</v>
      </c>
      <c r="T164">
        <v>1</v>
      </c>
      <c r="U164">
        <v>0</v>
      </c>
      <c r="V164">
        <v>1</v>
      </c>
      <c r="W164" t="s">
        <v>38</v>
      </c>
      <c r="X164" s="1" t="d">
        <v>2020-03-30</v>
      </c>
      <c r="Z164" t="s">
        <v>59</v>
      </c>
      <c r="AA164" t="s">
        <v>40</v>
      </c>
      <c r="AB164">
        <v>2</v>
      </c>
      <c r="AC164">
        <v>1</v>
      </c>
      <c r="AD164" t="s">
        <v>32</v>
      </c>
      <c r="AE164" t="s">
        <v>42</v>
      </c>
      <c r="AF164" t="s">
        <v>57</v>
      </c>
    </row>
    <row r="165" spans="1:32" x14ac:dyDescent="0.25">
      <c r="A165">
        <v>25</v>
      </c>
      <c r="B165" t="s">
        <v>32</v>
      </c>
      <c r="C165" t="s">
        <v>61</v>
      </c>
      <c r="D165" t="s">
        <v>53</v>
      </c>
      <c r="E165">
        <v>24</v>
      </c>
      <c r="F165" t="s">
        <v>35</v>
      </c>
      <c r="G165">
        <v>1</v>
      </c>
      <c r="H165">
        <v>1</v>
      </c>
      <c r="I165" t="s">
        <v>54</v>
      </c>
      <c r="J165">
        <v>4</v>
      </c>
      <c r="K165" t="s">
        <v>37</v>
      </c>
      <c r="L165">
        <v>1118</v>
      </c>
      <c r="M165">
        <v>1</v>
      </c>
      <c r="N165" t="s">
        <v>32</v>
      </c>
      <c r="O165">
        <v>14</v>
      </c>
      <c r="P165">
        <v>3</v>
      </c>
      <c r="Q165">
        <v>0</v>
      </c>
      <c r="R165">
        <v>1</v>
      </c>
      <c r="S165">
        <v>4</v>
      </c>
      <c r="T165">
        <v>1</v>
      </c>
      <c r="U165">
        <v>1</v>
      </c>
      <c r="V165">
        <v>0</v>
      </c>
      <c r="W165" t="s">
        <v>56</v>
      </c>
      <c r="X165" s="1" t="d">
        <v>2020-06-27</v>
      </c>
      <c r="Z165" t="s">
        <v>59</v>
      </c>
      <c r="AA165" t="s">
        <v>40</v>
      </c>
      <c r="AB165">
        <v>0</v>
      </c>
      <c r="AC165">
        <v>1</v>
      </c>
      <c r="AD165" t="s">
        <v>41</v>
      </c>
      <c r="AE165" t="s">
        <v>62</v>
      </c>
      <c r="AF165" t="s">
        <v>57</v>
      </c>
    </row>
    <row r="166" spans="1:32" x14ac:dyDescent="0.25">
      <c r="A166">
        <v>42</v>
      </c>
      <c r="B166" t="s">
        <v>41</v>
      </c>
      <c r="C166" t="s">
        <v>33</v>
      </c>
      <c r="D166" t="s">
        <v>34</v>
      </c>
      <c r="E166">
        <v>7</v>
      </c>
      <c r="F166" t="s">
        <v>58</v>
      </c>
      <c r="G166">
        <v>4</v>
      </c>
      <c r="H166">
        <v>2</v>
      </c>
      <c r="I166" t="s">
        <v>44</v>
      </c>
      <c r="J166">
        <v>2</v>
      </c>
      <c r="K166" t="s">
        <v>50</v>
      </c>
      <c r="L166">
        <v>2372</v>
      </c>
      <c r="M166">
        <v>6</v>
      </c>
      <c r="N166" t="s">
        <v>32</v>
      </c>
      <c r="O166">
        <v>16</v>
      </c>
      <c r="P166">
        <v>3</v>
      </c>
      <c r="Q166">
        <v>0</v>
      </c>
      <c r="R166">
        <v>18</v>
      </c>
      <c r="S166">
        <v>2</v>
      </c>
      <c r="T166">
        <v>1</v>
      </c>
      <c r="U166">
        <v>0</v>
      </c>
      <c r="V166">
        <v>0</v>
      </c>
      <c r="W166" t="s">
        <v>65</v>
      </c>
      <c r="X166" s="1" t="d">
        <v>2020-04-18</v>
      </c>
      <c r="Z166" t="s">
        <v>45</v>
      </c>
      <c r="AA166" t="s">
        <v>46</v>
      </c>
      <c r="AB166">
        <v>5</v>
      </c>
      <c r="AC166">
        <v>3</v>
      </c>
      <c r="AD166" t="s">
        <v>32</v>
      </c>
      <c r="AE166" t="s">
        <v>62</v>
      </c>
      <c r="AF166" t="s">
        <v>57</v>
      </c>
    </row>
    <row r="167" spans="1:32" x14ac:dyDescent="0.25">
      <c r="A167">
        <v>27</v>
      </c>
      <c r="B167" t="s">
        <v>41</v>
      </c>
      <c r="C167" t="s">
        <v>33</v>
      </c>
      <c r="D167" t="s">
        <v>53</v>
      </c>
      <c r="E167">
        <v>11</v>
      </c>
      <c r="F167" t="s">
        <v>58</v>
      </c>
      <c r="G167">
        <v>4</v>
      </c>
      <c r="H167">
        <v>1</v>
      </c>
      <c r="I167" t="s">
        <v>54</v>
      </c>
      <c r="J167">
        <v>4</v>
      </c>
      <c r="K167" t="s">
        <v>50</v>
      </c>
      <c r="L167">
        <v>2534</v>
      </c>
      <c r="M167">
        <v>8</v>
      </c>
      <c r="N167" t="s">
        <v>41</v>
      </c>
      <c r="O167">
        <v>14</v>
      </c>
      <c r="P167">
        <v>3</v>
      </c>
      <c r="Q167">
        <v>1</v>
      </c>
      <c r="R167">
        <v>5</v>
      </c>
      <c r="S167">
        <v>4</v>
      </c>
      <c r="T167">
        <v>1</v>
      </c>
      <c r="U167">
        <v>0</v>
      </c>
      <c r="V167">
        <v>0</v>
      </c>
      <c r="W167" t="s">
        <v>51</v>
      </c>
      <c r="X167" s="1" t="d">
        <v>2020-01-28</v>
      </c>
      <c r="Z167" t="s">
        <v>45</v>
      </c>
      <c r="AA167" t="s">
        <v>40</v>
      </c>
      <c r="AB167">
        <v>2</v>
      </c>
      <c r="AC167">
        <v>1</v>
      </c>
      <c r="AD167" t="s">
        <v>32</v>
      </c>
      <c r="AE167" t="s">
        <v>60</v>
      </c>
      <c r="AF167" t="s">
        <v>43</v>
      </c>
    </row>
    <row r="168" spans="1:32" x14ac:dyDescent="0.25">
      <c r="A168">
        <v>31</v>
      </c>
      <c r="B168" t="s">
        <v>32</v>
      </c>
      <c r="C168" t="s">
        <v>61</v>
      </c>
      <c r="D168" t="s">
        <v>53</v>
      </c>
      <c r="E168">
        <v>2</v>
      </c>
      <c r="F168" t="s">
        <v>58</v>
      </c>
      <c r="G168">
        <v>2</v>
      </c>
      <c r="H168">
        <v>1</v>
      </c>
      <c r="I168" t="s">
        <v>54</v>
      </c>
      <c r="J168">
        <v>4</v>
      </c>
      <c r="K168" t="s">
        <v>37</v>
      </c>
      <c r="L168">
        <v>2785</v>
      </c>
      <c r="M168">
        <v>7</v>
      </c>
      <c r="N168" t="s">
        <v>41</v>
      </c>
      <c r="O168">
        <v>14</v>
      </c>
      <c r="P168">
        <v>3</v>
      </c>
      <c r="Q168">
        <v>0</v>
      </c>
      <c r="R168">
        <v>3</v>
      </c>
      <c r="S168">
        <v>3</v>
      </c>
      <c r="T168">
        <v>1</v>
      </c>
      <c r="U168">
        <v>0</v>
      </c>
      <c r="V168">
        <v>0</v>
      </c>
      <c r="W168" t="s">
        <v>65</v>
      </c>
      <c r="X168" s="1" t="d">
        <v>2020-06-27</v>
      </c>
      <c r="Z168" t="s">
        <v>52</v>
      </c>
      <c r="AA168" t="s">
        <v>46</v>
      </c>
      <c r="AB168">
        <v>1</v>
      </c>
      <c r="AC168">
        <v>1</v>
      </c>
      <c r="AD168" t="s">
        <v>41</v>
      </c>
      <c r="AE168" t="s">
        <v>47</v>
      </c>
      <c r="AF168" t="s">
        <v>43</v>
      </c>
    </row>
    <row r="169" spans="1:32" x14ac:dyDescent="0.25">
      <c r="A169">
        <v>31</v>
      </c>
      <c r="B169" t="s">
        <v>32</v>
      </c>
      <c r="C169" t="s">
        <v>61</v>
      </c>
      <c r="D169" t="s">
        <v>53</v>
      </c>
      <c r="E169">
        <v>1</v>
      </c>
      <c r="F169" t="s">
        <v>58</v>
      </c>
      <c r="G169">
        <v>1</v>
      </c>
      <c r="H169">
        <v>1</v>
      </c>
      <c r="I169" t="s">
        <v>54</v>
      </c>
      <c r="J169">
        <v>3</v>
      </c>
      <c r="K169" t="s">
        <v>37</v>
      </c>
      <c r="L169">
        <v>1359</v>
      </c>
      <c r="M169">
        <v>1</v>
      </c>
      <c r="N169" t="s">
        <v>41</v>
      </c>
      <c r="O169">
        <v>12</v>
      </c>
      <c r="P169">
        <v>3</v>
      </c>
      <c r="Q169">
        <v>0</v>
      </c>
      <c r="R169">
        <v>1</v>
      </c>
      <c r="S169">
        <v>3</v>
      </c>
      <c r="T169">
        <v>1</v>
      </c>
      <c r="U169">
        <v>0</v>
      </c>
      <c r="V169">
        <v>0</v>
      </c>
      <c r="W169" t="s">
        <v>38</v>
      </c>
      <c r="X169" s="1" t="d">
        <v>2020-06-27</v>
      </c>
      <c r="Z169" t="s">
        <v>52</v>
      </c>
      <c r="AA169" t="s">
        <v>46</v>
      </c>
      <c r="AB169">
        <v>0</v>
      </c>
      <c r="AC169">
        <v>1</v>
      </c>
      <c r="AD169" t="s">
        <v>32</v>
      </c>
      <c r="AE169" t="s">
        <v>47</v>
      </c>
      <c r="AF169" t="s">
        <v>48</v>
      </c>
    </row>
    <row r="170" spans="1:32" x14ac:dyDescent="0.25">
      <c r="A170">
        <v>31</v>
      </c>
      <c r="B170" t="s">
        <v>32</v>
      </c>
      <c r="C170" t="s">
        <v>33</v>
      </c>
      <c r="D170" t="s">
        <v>34</v>
      </c>
      <c r="E170">
        <v>8</v>
      </c>
      <c r="F170" t="s">
        <v>58</v>
      </c>
      <c r="G170">
        <v>2</v>
      </c>
      <c r="H170">
        <v>1</v>
      </c>
      <c r="I170" t="s">
        <v>44</v>
      </c>
      <c r="J170">
        <v>2</v>
      </c>
      <c r="K170" t="s">
        <v>37</v>
      </c>
      <c r="L170">
        <v>1261</v>
      </c>
      <c r="M170">
        <v>1</v>
      </c>
      <c r="N170" t="s">
        <v>41</v>
      </c>
      <c r="O170">
        <v>12</v>
      </c>
      <c r="P170">
        <v>3</v>
      </c>
      <c r="Q170">
        <v>0</v>
      </c>
      <c r="R170">
        <v>1</v>
      </c>
      <c r="S170">
        <v>3</v>
      </c>
      <c r="T170">
        <v>1</v>
      </c>
      <c r="U170">
        <v>0</v>
      </c>
      <c r="V170">
        <v>0</v>
      </c>
      <c r="W170" t="s">
        <v>38</v>
      </c>
      <c r="X170" s="1" t="d">
        <v>2020-01-17</v>
      </c>
      <c r="Z170" t="s">
        <v>39</v>
      </c>
      <c r="AA170" t="s">
        <v>46</v>
      </c>
      <c r="AB170">
        <v>5</v>
      </c>
      <c r="AC170">
        <v>2</v>
      </c>
      <c r="AD170" t="s">
        <v>32</v>
      </c>
      <c r="AE170" t="s">
        <v>60</v>
      </c>
      <c r="AF170" t="s">
        <v>43</v>
      </c>
    </row>
    <row r="171" spans="1:32" x14ac:dyDescent="0.25">
      <c r="A171">
        <v>39</v>
      </c>
      <c r="B171" t="s">
        <v>32</v>
      </c>
      <c r="C171" t="s">
        <v>68</v>
      </c>
      <c r="D171" t="s">
        <v>34</v>
      </c>
      <c r="E171">
        <v>2</v>
      </c>
      <c r="F171" t="s">
        <v>58</v>
      </c>
      <c r="G171">
        <v>2</v>
      </c>
      <c r="H171">
        <v>1</v>
      </c>
      <c r="I171" t="s">
        <v>36</v>
      </c>
      <c r="J171">
        <v>1</v>
      </c>
      <c r="K171" t="s">
        <v>37</v>
      </c>
      <c r="L171">
        <v>3646</v>
      </c>
      <c r="M171">
        <v>2</v>
      </c>
      <c r="N171" t="s">
        <v>32</v>
      </c>
      <c r="O171">
        <v>23</v>
      </c>
      <c r="P171">
        <v>4</v>
      </c>
      <c r="Q171">
        <v>0</v>
      </c>
      <c r="R171">
        <v>11</v>
      </c>
      <c r="S171">
        <v>2</v>
      </c>
      <c r="T171">
        <v>1</v>
      </c>
      <c r="U171">
        <v>0</v>
      </c>
      <c r="V171">
        <v>0</v>
      </c>
      <c r="W171" t="s">
        <v>56</v>
      </c>
      <c r="X171" s="1" t="d">
        <v>2020-04-18</v>
      </c>
      <c r="Z171" t="s">
        <v>45</v>
      </c>
      <c r="AA171" t="s">
        <v>46</v>
      </c>
      <c r="AB171">
        <v>4</v>
      </c>
      <c r="AC171">
        <v>3</v>
      </c>
      <c r="AD171" t="s">
        <v>32</v>
      </c>
      <c r="AE171" t="s">
        <v>62</v>
      </c>
      <c r="AF171" t="s">
        <v>43</v>
      </c>
    </row>
    <row r="172" spans="1:32" x14ac:dyDescent="0.25">
      <c r="A172">
        <v>44</v>
      </c>
      <c r="B172" t="s">
        <v>41</v>
      </c>
      <c r="C172" t="s">
        <v>61</v>
      </c>
      <c r="D172" t="s">
        <v>53</v>
      </c>
      <c r="E172">
        <v>1</v>
      </c>
      <c r="F172" t="s">
        <v>58</v>
      </c>
      <c r="G172">
        <v>3</v>
      </c>
      <c r="H172">
        <v>2</v>
      </c>
      <c r="I172" t="s">
        <v>64</v>
      </c>
      <c r="J172">
        <v>3</v>
      </c>
      <c r="K172" t="s">
        <v>50</v>
      </c>
      <c r="L172">
        <v>4768</v>
      </c>
      <c r="M172">
        <v>7</v>
      </c>
      <c r="N172" t="s">
        <v>41</v>
      </c>
      <c r="O172">
        <v>12</v>
      </c>
      <c r="P172">
        <v>3</v>
      </c>
      <c r="Q172">
        <v>1</v>
      </c>
      <c r="R172">
        <v>11</v>
      </c>
      <c r="S172">
        <v>4</v>
      </c>
      <c r="T172">
        <v>1</v>
      </c>
      <c r="U172">
        <v>0</v>
      </c>
      <c r="V172">
        <v>0</v>
      </c>
      <c r="W172" t="s">
        <v>38</v>
      </c>
      <c r="X172" s="1" t="d">
        <v>2020-04-24</v>
      </c>
      <c r="Z172" t="s">
        <v>45</v>
      </c>
      <c r="AA172" t="s">
        <v>40</v>
      </c>
      <c r="AB172">
        <v>0</v>
      </c>
      <c r="AC172">
        <v>2</v>
      </c>
      <c r="AD172" t="s">
        <v>41</v>
      </c>
      <c r="AE172" t="s">
        <v>60</v>
      </c>
      <c r="AF172" t="s">
        <v>43</v>
      </c>
    </row>
    <row r="173" spans="1:32" x14ac:dyDescent="0.25">
      <c r="A173">
        <v>30</v>
      </c>
      <c r="B173" t="s">
        <v>41</v>
      </c>
      <c r="C173" t="s">
        <v>68</v>
      </c>
      <c r="D173" t="s">
        <v>34</v>
      </c>
      <c r="E173">
        <v>7</v>
      </c>
      <c r="F173" t="s">
        <v>35</v>
      </c>
      <c r="G173">
        <v>3</v>
      </c>
      <c r="H173">
        <v>1</v>
      </c>
      <c r="I173" t="s">
        <v>44</v>
      </c>
      <c r="J173">
        <v>3</v>
      </c>
      <c r="K173" t="s">
        <v>55</v>
      </c>
      <c r="L173">
        <v>1274</v>
      </c>
      <c r="M173">
        <v>1</v>
      </c>
      <c r="N173" t="s">
        <v>41</v>
      </c>
      <c r="O173">
        <v>13</v>
      </c>
      <c r="P173">
        <v>3</v>
      </c>
      <c r="Q173">
        <v>2</v>
      </c>
      <c r="R173">
        <v>1</v>
      </c>
      <c r="S173">
        <v>2</v>
      </c>
      <c r="T173">
        <v>1</v>
      </c>
      <c r="U173">
        <v>0</v>
      </c>
      <c r="V173">
        <v>0</v>
      </c>
      <c r="W173" t="s">
        <v>51</v>
      </c>
      <c r="X173" s="1" t="d">
        <v>2020-01-31</v>
      </c>
      <c r="Z173" t="s">
        <v>59</v>
      </c>
      <c r="AA173" t="s">
        <v>46</v>
      </c>
      <c r="AB173">
        <v>4</v>
      </c>
      <c r="AC173">
        <v>1</v>
      </c>
      <c r="AD173" t="s">
        <v>41</v>
      </c>
      <c r="AE173" t="s">
        <v>47</v>
      </c>
      <c r="AF173" t="s">
        <v>43</v>
      </c>
    </row>
    <row r="174" spans="1:32" x14ac:dyDescent="0.25">
      <c r="A174">
        <v>35</v>
      </c>
      <c r="B174" t="s">
        <v>41</v>
      </c>
      <c r="C174" t="s">
        <v>33</v>
      </c>
      <c r="D174" t="s">
        <v>53</v>
      </c>
      <c r="E174">
        <v>7</v>
      </c>
      <c r="F174" t="s">
        <v>35</v>
      </c>
      <c r="G174">
        <v>3</v>
      </c>
      <c r="H174">
        <v>1</v>
      </c>
      <c r="I174" t="s">
        <v>54</v>
      </c>
      <c r="J174">
        <v>3</v>
      </c>
      <c r="K174" t="s">
        <v>50</v>
      </c>
      <c r="L174">
        <v>2404</v>
      </c>
      <c r="M174">
        <v>1</v>
      </c>
      <c r="N174" t="s">
        <v>41</v>
      </c>
      <c r="O174">
        <v>13</v>
      </c>
      <c r="P174">
        <v>3</v>
      </c>
      <c r="Q174">
        <v>1</v>
      </c>
      <c r="R174">
        <v>1</v>
      </c>
      <c r="S174">
        <v>3</v>
      </c>
      <c r="T174">
        <v>1</v>
      </c>
      <c r="U174">
        <v>0</v>
      </c>
      <c r="V174">
        <v>0</v>
      </c>
      <c r="W174" t="s">
        <v>56</v>
      </c>
      <c r="X174" s="1" t="d">
        <v>2020-04-05</v>
      </c>
      <c r="Z174" t="s">
        <v>52</v>
      </c>
      <c r="AA174" t="s">
        <v>40</v>
      </c>
      <c r="AB174">
        <v>4</v>
      </c>
      <c r="AC174">
        <v>3</v>
      </c>
      <c r="AD174" t="s">
        <v>32</v>
      </c>
      <c r="AE174" t="s">
        <v>42</v>
      </c>
      <c r="AF174" t="s">
        <v>43</v>
      </c>
    </row>
    <row r="175" spans="1:32" x14ac:dyDescent="0.25">
      <c r="A175">
        <v>24</v>
      </c>
      <c r="B175" t="s">
        <v>41</v>
      </c>
      <c r="C175" t="s">
        <v>68</v>
      </c>
      <c r="D175" t="s">
        <v>53</v>
      </c>
      <c r="E175">
        <v>13</v>
      </c>
      <c r="F175" t="s">
        <v>58</v>
      </c>
      <c r="G175">
        <v>3</v>
      </c>
      <c r="H175">
        <v>1</v>
      </c>
      <c r="I175" t="s">
        <v>54</v>
      </c>
      <c r="J175">
        <v>2</v>
      </c>
      <c r="K175" t="s">
        <v>50</v>
      </c>
      <c r="L175">
        <v>2033</v>
      </c>
      <c r="M175">
        <v>1</v>
      </c>
      <c r="N175" t="s">
        <v>41</v>
      </c>
      <c r="O175">
        <v>13</v>
      </c>
      <c r="P175">
        <v>3</v>
      </c>
      <c r="Q175">
        <v>1</v>
      </c>
      <c r="R175">
        <v>1</v>
      </c>
      <c r="S175">
        <v>2</v>
      </c>
      <c r="T175">
        <v>1</v>
      </c>
      <c r="U175">
        <v>0</v>
      </c>
      <c r="V175">
        <v>0</v>
      </c>
      <c r="W175" t="s">
        <v>56</v>
      </c>
      <c r="X175" s="1" t="d">
        <v>2020-03-27</v>
      </c>
      <c r="Z175" t="s">
        <v>52</v>
      </c>
      <c r="AA175" t="s">
        <v>40</v>
      </c>
      <c r="AB175">
        <v>4</v>
      </c>
      <c r="AC175">
        <v>1</v>
      </c>
      <c r="AD175" t="s">
        <v>32</v>
      </c>
      <c r="AE175" t="s">
        <v>47</v>
      </c>
      <c r="AF175" t="s">
        <v>57</v>
      </c>
    </row>
    <row r="176" spans="1:32" x14ac:dyDescent="0.25">
      <c r="A176">
        <v>28</v>
      </c>
      <c r="B176" t="s">
        <v>41</v>
      </c>
      <c r="C176" t="s">
        <v>33</v>
      </c>
      <c r="D176" t="s">
        <v>34</v>
      </c>
      <c r="E176">
        <v>1</v>
      </c>
      <c r="F176" t="s">
        <v>35</v>
      </c>
      <c r="G176">
        <v>2</v>
      </c>
      <c r="H176">
        <v>1</v>
      </c>
      <c r="I176" t="s">
        <v>44</v>
      </c>
      <c r="J176">
        <v>3</v>
      </c>
      <c r="K176" t="s">
        <v>55</v>
      </c>
      <c r="L176">
        <v>1563</v>
      </c>
      <c r="M176">
        <v>1</v>
      </c>
      <c r="N176" t="s">
        <v>41</v>
      </c>
      <c r="O176">
        <v>14</v>
      </c>
      <c r="P176">
        <v>3</v>
      </c>
      <c r="Q176">
        <v>1</v>
      </c>
      <c r="R176">
        <v>1</v>
      </c>
      <c r="S176">
        <v>2</v>
      </c>
      <c r="T176">
        <v>1</v>
      </c>
      <c r="U176">
        <v>0</v>
      </c>
      <c r="V176">
        <v>0</v>
      </c>
      <c r="W176" t="s">
        <v>65</v>
      </c>
      <c r="X176" s="1" t="d">
        <v>2020-03-26</v>
      </c>
      <c r="Z176" t="s">
        <v>59</v>
      </c>
      <c r="AA176" t="s">
        <v>40</v>
      </c>
      <c r="AB176">
        <v>4</v>
      </c>
      <c r="AC176">
        <v>3</v>
      </c>
      <c r="AD176" t="s">
        <v>41</v>
      </c>
      <c r="AE176" t="s">
        <v>60</v>
      </c>
      <c r="AF176" t="s">
        <v>43</v>
      </c>
    </row>
    <row r="177" spans="1:32" x14ac:dyDescent="0.25">
      <c r="A177">
        <v>42</v>
      </c>
      <c r="B177" t="s">
        <v>41</v>
      </c>
      <c r="C177" t="s">
        <v>33</v>
      </c>
      <c r="D177" t="s">
        <v>34</v>
      </c>
      <c r="E177">
        <v>2</v>
      </c>
      <c r="F177" t="s">
        <v>35</v>
      </c>
      <c r="G177">
        <v>2</v>
      </c>
      <c r="H177">
        <v>1</v>
      </c>
      <c r="I177" t="s">
        <v>36</v>
      </c>
      <c r="J177">
        <v>2</v>
      </c>
      <c r="K177" t="s">
        <v>50</v>
      </c>
      <c r="L177">
        <v>4841</v>
      </c>
      <c r="M177">
        <v>4</v>
      </c>
      <c r="N177" t="s">
        <v>41</v>
      </c>
      <c r="O177">
        <v>14</v>
      </c>
      <c r="P177">
        <v>3</v>
      </c>
      <c r="Q177">
        <v>1</v>
      </c>
      <c r="R177">
        <v>4</v>
      </c>
      <c r="S177">
        <v>3</v>
      </c>
      <c r="T177">
        <v>1</v>
      </c>
      <c r="U177">
        <v>0</v>
      </c>
      <c r="V177">
        <v>0</v>
      </c>
      <c r="W177" t="s">
        <v>51</v>
      </c>
      <c r="X177" s="1" t="d">
        <v>2020-02-19</v>
      </c>
      <c r="Z177" t="s">
        <v>45</v>
      </c>
      <c r="AA177" t="s">
        <v>46</v>
      </c>
      <c r="AB177">
        <v>5</v>
      </c>
      <c r="AC177">
        <v>1</v>
      </c>
      <c r="AD177" t="s">
        <v>32</v>
      </c>
      <c r="AE177" t="s">
        <v>62</v>
      </c>
      <c r="AF177" t="s">
        <v>43</v>
      </c>
    </row>
    <row r="178" spans="1:32" x14ac:dyDescent="0.25">
      <c r="A178">
        <v>24</v>
      </c>
      <c r="B178" t="s">
        <v>41</v>
      </c>
      <c r="C178" t="s">
        <v>33</v>
      </c>
      <c r="D178" t="s">
        <v>34</v>
      </c>
      <c r="E178">
        <v>21</v>
      </c>
      <c r="F178" t="s">
        <v>35</v>
      </c>
      <c r="G178">
        <v>2</v>
      </c>
      <c r="H178">
        <v>1</v>
      </c>
      <c r="I178" t="s">
        <v>36</v>
      </c>
      <c r="J178">
        <v>1</v>
      </c>
      <c r="K178" t="s">
        <v>55</v>
      </c>
      <c r="L178">
        <v>2296</v>
      </c>
      <c r="M178">
        <v>0</v>
      </c>
      <c r="N178" t="s">
        <v>41</v>
      </c>
      <c r="O178">
        <v>14</v>
      </c>
      <c r="P178">
        <v>3</v>
      </c>
      <c r="Q178">
        <v>3</v>
      </c>
      <c r="R178">
        <v>2</v>
      </c>
      <c r="S178">
        <v>3</v>
      </c>
      <c r="T178">
        <v>1</v>
      </c>
      <c r="U178">
        <v>0</v>
      </c>
      <c r="V178">
        <v>0</v>
      </c>
      <c r="W178" t="s">
        <v>51</v>
      </c>
      <c r="X178" s="1" t="d">
        <v>2020-03-05</v>
      </c>
      <c r="Z178" t="s">
        <v>59</v>
      </c>
      <c r="AA178" t="s">
        <v>46</v>
      </c>
      <c r="AB178">
        <v>4</v>
      </c>
      <c r="AC178">
        <v>3</v>
      </c>
      <c r="AD178" t="s">
        <v>41</v>
      </c>
      <c r="AE178" t="s">
        <v>42</v>
      </c>
      <c r="AF178" t="s">
        <v>57</v>
      </c>
    </row>
    <row r="179" spans="1:32" x14ac:dyDescent="0.25">
      <c r="A179">
        <v>29</v>
      </c>
      <c r="B179" t="s">
        <v>41</v>
      </c>
      <c r="C179" t="s">
        <v>33</v>
      </c>
      <c r="D179" t="s">
        <v>34</v>
      </c>
      <c r="E179">
        <v>9</v>
      </c>
      <c r="F179" t="s">
        <v>35</v>
      </c>
      <c r="G179">
        <v>4</v>
      </c>
      <c r="H179">
        <v>1</v>
      </c>
      <c r="I179" t="s">
        <v>44</v>
      </c>
      <c r="J179">
        <v>3</v>
      </c>
      <c r="K179" t="s">
        <v>50</v>
      </c>
      <c r="L179">
        <v>2451</v>
      </c>
      <c r="M179">
        <v>6</v>
      </c>
      <c r="N179" t="s">
        <v>41</v>
      </c>
      <c r="O179">
        <v>18</v>
      </c>
      <c r="P179">
        <v>3</v>
      </c>
      <c r="Q179">
        <v>2</v>
      </c>
      <c r="R179">
        <v>5</v>
      </c>
      <c r="S179">
        <v>2</v>
      </c>
      <c r="T179">
        <v>1</v>
      </c>
      <c r="U179">
        <v>0</v>
      </c>
      <c r="V179">
        <v>0</v>
      </c>
      <c r="W179" t="s">
        <v>38</v>
      </c>
      <c r="X179" s="1" t="d">
        <v>2020-03-14</v>
      </c>
      <c r="Z179" t="s">
        <v>63</v>
      </c>
      <c r="AA179" t="s">
        <v>40</v>
      </c>
      <c r="AB179">
        <v>3</v>
      </c>
      <c r="AC179">
        <v>1</v>
      </c>
      <c r="AD179" t="s">
        <v>32</v>
      </c>
      <c r="AE179" t="s">
        <v>60</v>
      </c>
      <c r="AF179" t="s">
        <v>43</v>
      </c>
    </row>
    <row r="180" spans="1:32" x14ac:dyDescent="0.25">
      <c r="A180">
        <v>35</v>
      </c>
      <c r="B180" t="s">
        <v>32</v>
      </c>
      <c r="C180" t="s">
        <v>33</v>
      </c>
      <c r="D180" t="s">
        <v>34</v>
      </c>
      <c r="E180">
        <v>2</v>
      </c>
      <c r="F180" t="s">
        <v>58</v>
      </c>
      <c r="G180">
        <v>3</v>
      </c>
      <c r="H180">
        <v>1</v>
      </c>
      <c r="I180" t="s">
        <v>36</v>
      </c>
      <c r="J180">
        <v>1</v>
      </c>
      <c r="K180" t="s">
        <v>55</v>
      </c>
      <c r="L180">
        <v>2074</v>
      </c>
      <c r="M180">
        <v>1</v>
      </c>
      <c r="N180" t="s">
        <v>32</v>
      </c>
      <c r="O180">
        <v>12</v>
      </c>
      <c r="P180">
        <v>3</v>
      </c>
      <c r="Q180">
        <v>1</v>
      </c>
      <c r="R180">
        <v>1</v>
      </c>
      <c r="S180">
        <v>2</v>
      </c>
      <c r="T180">
        <v>1</v>
      </c>
      <c r="U180">
        <v>0</v>
      </c>
      <c r="V180">
        <v>0</v>
      </c>
      <c r="W180" t="s">
        <v>56</v>
      </c>
      <c r="X180" s="1" t="d">
        <v>2020-03-15</v>
      </c>
      <c r="Z180" t="s">
        <v>63</v>
      </c>
      <c r="AA180" t="s">
        <v>40</v>
      </c>
      <c r="AB180">
        <v>3</v>
      </c>
      <c r="AC180">
        <v>3</v>
      </c>
      <c r="AD180" t="s">
        <v>41</v>
      </c>
      <c r="AE180" t="s">
        <v>60</v>
      </c>
      <c r="AF180" t="s">
        <v>57</v>
      </c>
    </row>
    <row r="181" spans="1:32" x14ac:dyDescent="0.25">
      <c r="A181">
        <v>34</v>
      </c>
      <c r="B181" t="s">
        <v>41</v>
      </c>
      <c r="C181" t="s">
        <v>33</v>
      </c>
      <c r="D181" t="s">
        <v>34</v>
      </c>
      <c r="E181">
        <v>7</v>
      </c>
      <c r="F181" t="s">
        <v>35</v>
      </c>
      <c r="G181">
        <v>3</v>
      </c>
      <c r="H181">
        <v>1</v>
      </c>
      <c r="I181" t="s">
        <v>44</v>
      </c>
      <c r="J181">
        <v>4</v>
      </c>
      <c r="K181" t="s">
        <v>37</v>
      </c>
      <c r="L181">
        <v>2972</v>
      </c>
      <c r="M181">
        <v>1</v>
      </c>
      <c r="N181" t="s">
        <v>41</v>
      </c>
      <c r="O181">
        <v>13</v>
      </c>
      <c r="P181">
        <v>3</v>
      </c>
      <c r="Q181">
        <v>0</v>
      </c>
      <c r="R181">
        <v>1</v>
      </c>
      <c r="S181">
        <v>4</v>
      </c>
      <c r="T181">
        <v>1</v>
      </c>
      <c r="U181">
        <v>0</v>
      </c>
      <c r="V181">
        <v>0</v>
      </c>
      <c r="W181" t="s">
        <v>51</v>
      </c>
      <c r="X181" s="1" t="d">
        <v>2020-05-28</v>
      </c>
      <c r="Z181" t="s">
        <v>39</v>
      </c>
      <c r="AA181" t="s">
        <v>40</v>
      </c>
      <c r="AB181">
        <v>2</v>
      </c>
      <c r="AC181">
        <v>0</v>
      </c>
      <c r="AD181" t="s">
        <v>41</v>
      </c>
      <c r="AE181" t="s">
        <v>60</v>
      </c>
      <c r="AF181" t="s">
        <v>57</v>
      </c>
    </row>
    <row r="182" spans="1:32" x14ac:dyDescent="0.25">
      <c r="A182">
        <v>26</v>
      </c>
      <c r="B182" t="s">
        <v>41</v>
      </c>
      <c r="C182" t="s">
        <v>33</v>
      </c>
      <c r="D182" t="s">
        <v>34</v>
      </c>
      <c r="E182">
        <v>3</v>
      </c>
      <c r="F182" t="s">
        <v>58</v>
      </c>
      <c r="G182">
        <v>3</v>
      </c>
      <c r="H182">
        <v>1</v>
      </c>
      <c r="I182" t="s">
        <v>44</v>
      </c>
      <c r="J182">
        <v>4</v>
      </c>
      <c r="K182" t="s">
        <v>50</v>
      </c>
      <c r="L182">
        <v>2061</v>
      </c>
      <c r="M182">
        <v>1</v>
      </c>
      <c r="N182" t="s">
        <v>41</v>
      </c>
      <c r="O182">
        <v>21</v>
      </c>
      <c r="P182">
        <v>4</v>
      </c>
      <c r="Q182">
        <v>0</v>
      </c>
      <c r="R182">
        <v>1</v>
      </c>
      <c r="S182">
        <v>5</v>
      </c>
      <c r="T182">
        <v>1</v>
      </c>
      <c r="U182">
        <v>0</v>
      </c>
      <c r="V182">
        <v>0</v>
      </c>
      <c r="W182" t="s">
        <v>38</v>
      </c>
      <c r="X182" s="1" t="d">
        <v>2020-01-21</v>
      </c>
      <c r="Z182" t="s">
        <v>59</v>
      </c>
      <c r="AA182" t="s">
        <v>46</v>
      </c>
      <c r="AB182">
        <v>2</v>
      </c>
      <c r="AC182">
        <v>2</v>
      </c>
      <c r="AD182" t="s">
        <v>41</v>
      </c>
      <c r="AE182" t="s">
        <v>62</v>
      </c>
      <c r="AF182" t="s">
        <v>43</v>
      </c>
    </row>
    <row r="183" spans="1:32" x14ac:dyDescent="0.25">
      <c r="A183">
        <v>36</v>
      </c>
      <c r="B183" t="s">
        <v>41</v>
      </c>
      <c r="C183" t="s">
        <v>33</v>
      </c>
      <c r="D183" t="s">
        <v>53</v>
      </c>
      <c r="E183">
        <v>1</v>
      </c>
      <c r="F183" t="s">
        <v>58</v>
      </c>
      <c r="G183">
        <v>3</v>
      </c>
      <c r="H183">
        <v>2</v>
      </c>
      <c r="I183" t="s">
        <v>64</v>
      </c>
      <c r="J183">
        <v>3</v>
      </c>
      <c r="K183" t="s">
        <v>37</v>
      </c>
      <c r="L183">
        <v>6815</v>
      </c>
      <c r="M183">
        <v>6</v>
      </c>
      <c r="N183" t="s">
        <v>41</v>
      </c>
      <c r="O183">
        <v>13</v>
      </c>
      <c r="P183">
        <v>3</v>
      </c>
      <c r="Q183">
        <v>0</v>
      </c>
      <c r="R183">
        <v>15</v>
      </c>
      <c r="S183">
        <v>5</v>
      </c>
      <c r="T183">
        <v>1</v>
      </c>
      <c r="U183">
        <v>0</v>
      </c>
      <c r="V183">
        <v>0</v>
      </c>
      <c r="W183" t="s">
        <v>51</v>
      </c>
      <c r="X183" s="1" t="d">
        <v>2020-02-01</v>
      </c>
      <c r="Z183" t="s">
        <v>59</v>
      </c>
      <c r="AA183" t="s">
        <v>46</v>
      </c>
      <c r="AB183">
        <v>5</v>
      </c>
      <c r="AC183">
        <v>0</v>
      </c>
      <c r="AD183" t="s">
        <v>41</v>
      </c>
      <c r="AE183" t="s">
        <v>62</v>
      </c>
      <c r="AF183" t="s">
        <v>48</v>
      </c>
    </row>
    <row r="184" spans="1:32" x14ac:dyDescent="0.25">
      <c r="A184">
        <v>50</v>
      </c>
      <c r="B184" t="s">
        <v>41</v>
      </c>
      <c r="C184" t="s">
        <v>33</v>
      </c>
      <c r="D184" t="s">
        <v>53</v>
      </c>
      <c r="E184">
        <v>9</v>
      </c>
      <c r="F184" t="s">
        <v>35</v>
      </c>
      <c r="G184">
        <v>3</v>
      </c>
      <c r="H184">
        <v>5</v>
      </c>
      <c r="I184" t="s">
        <v>66</v>
      </c>
      <c r="J184">
        <v>3</v>
      </c>
      <c r="K184" t="s">
        <v>50</v>
      </c>
      <c r="L184">
        <v>19331</v>
      </c>
      <c r="M184">
        <v>4</v>
      </c>
      <c r="N184" t="s">
        <v>32</v>
      </c>
      <c r="O184">
        <v>16</v>
      </c>
      <c r="P184">
        <v>3</v>
      </c>
      <c r="Q184">
        <v>1</v>
      </c>
      <c r="R184">
        <v>27</v>
      </c>
      <c r="S184">
        <v>2</v>
      </c>
      <c r="T184">
        <v>1</v>
      </c>
      <c r="U184">
        <v>0</v>
      </c>
      <c r="V184">
        <v>0</v>
      </c>
      <c r="W184" t="s">
        <v>56</v>
      </c>
      <c r="X184" s="1" t="d">
        <v>2020-06-23</v>
      </c>
      <c r="Z184" t="s">
        <v>39</v>
      </c>
      <c r="AA184" t="s">
        <v>40</v>
      </c>
      <c r="AB184">
        <v>4</v>
      </c>
      <c r="AC184">
        <v>1</v>
      </c>
      <c r="AD184" t="s">
        <v>32</v>
      </c>
      <c r="AE184" t="s">
        <v>47</v>
      </c>
      <c r="AF184" t="s">
        <v>57</v>
      </c>
    </row>
    <row r="185" spans="1:32" x14ac:dyDescent="0.25">
      <c r="A185">
        <v>42</v>
      </c>
      <c r="B185" t="s">
        <v>41</v>
      </c>
      <c r="C185" t="s">
        <v>33</v>
      </c>
      <c r="D185" t="s">
        <v>34</v>
      </c>
      <c r="E185">
        <v>9</v>
      </c>
      <c r="F185" t="s">
        <v>35</v>
      </c>
      <c r="G185">
        <v>2</v>
      </c>
      <c r="H185">
        <v>5</v>
      </c>
      <c r="I185" t="s">
        <v>66</v>
      </c>
      <c r="J185">
        <v>4</v>
      </c>
      <c r="K185" t="s">
        <v>37</v>
      </c>
      <c r="L185">
        <v>19613</v>
      </c>
      <c r="M185">
        <v>8</v>
      </c>
      <c r="N185" t="s">
        <v>41</v>
      </c>
      <c r="O185">
        <v>22</v>
      </c>
      <c r="P185">
        <v>4</v>
      </c>
      <c r="Q185">
        <v>0</v>
      </c>
      <c r="R185">
        <v>24</v>
      </c>
      <c r="S185">
        <v>2</v>
      </c>
      <c r="T185">
        <v>1</v>
      </c>
      <c r="U185">
        <v>0</v>
      </c>
      <c r="V185">
        <v>1</v>
      </c>
      <c r="W185" t="s">
        <v>65</v>
      </c>
      <c r="X185" s="1" t="d">
        <v>2020-05-17</v>
      </c>
      <c r="Z185" t="s">
        <v>59</v>
      </c>
      <c r="AA185" t="s">
        <v>40</v>
      </c>
      <c r="AB185">
        <v>1</v>
      </c>
      <c r="AC185">
        <v>1</v>
      </c>
      <c r="AD185" t="s">
        <v>32</v>
      </c>
      <c r="AE185" t="s">
        <v>42</v>
      </c>
      <c r="AF185" t="s">
        <v>43</v>
      </c>
    </row>
    <row r="186" spans="1:32" x14ac:dyDescent="0.25">
      <c r="A186">
        <v>35</v>
      </c>
      <c r="B186" t="s">
        <v>41</v>
      </c>
      <c r="C186" t="s">
        <v>33</v>
      </c>
      <c r="D186" t="s">
        <v>34</v>
      </c>
      <c r="E186">
        <v>7</v>
      </c>
      <c r="F186" t="s">
        <v>35</v>
      </c>
      <c r="G186">
        <v>2</v>
      </c>
      <c r="H186">
        <v>1</v>
      </c>
      <c r="I186" t="s">
        <v>36</v>
      </c>
      <c r="J186">
        <v>4</v>
      </c>
      <c r="K186" t="s">
        <v>50</v>
      </c>
      <c r="L186">
        <v>2690</v>
      </c>
      <c r="M186">
        <v>1</v>
      </c>
      <c r="N186" t="s">
        <v>41</v>
      </c>
      <c r="O186">
        <v>18</v>
      </c>
      <c r="P186">
        <v>3</v>
      </c>
      <c r="Q186">
        <v>1</v>
      </c>
      <c r="R186">
        <v>1</v>
      </c>
      <c r="S186">
        <v>5</v>
      </c>
      <c r="T186">
        <v>1</v>
      </c>
      <c r="U186">
        <v>0</v>
      </c>
      <c r="V186">
        <v>1</v>
      </c>
      <c r="W186" t="s">
        <v>65</v>
      </c>
      <c r="X186" s="1" t="d">
        <v>2020-02-17</v>
      </c>
      <c r="Z186" t="s">
        <v>45</v>
      </c>
      <c r="AA186" t="s">
        <v>46</v>
      </c>
      <c r="AB186">
        <v>1</v>
      </c>
      <c r="AC186">
        <v>0</v>
      </c>
      <c r="AD186" t="s">
        <v>41</v>
      </c>
      <c r="AE186" t="s">
        <v>47</v>
      </c>
      <c r="AF186" t="s">
        <v>43</v>
      </c>
    </row>
    <row r="187" spans="1:32" x14ac:dyDescent="0.25">
      <c r="A187">
        <v>28</v>
      </c>
      <c r="B187" t="s">
        <v>32</v>
      </c>
      <c r="C187" t="s">
        <v>33</v>
      </c>
      <c r="D187" t="s">
        <v>34</v>
      </c>
      <c r="E187">
        <v>24</v>
      </c>
      <c r="F187" t="s">
        <v>35</v>
      </c>
      <c r="G187">
        <v>3</v>
      </c>
      <c r="H187">
        <v>1</v>
      </c>
      <c r="I187" t="s">
        <v>36</v>
      </c>
      <c r="J187">
        <v>2</v>
      </c>
      <c r="K187" t="s">
        <v>50</v>
      </c>
      <c r="L187">
        <v>2408</v>
      </c>
      <c r="M187">
        <v>1</v>
      </c>
      <c r="N187" t="s">
        <v>32</v>
      </c>
      <c r="O187">
        <v>17</v>
      </c>
      <c r="P187">
        <v>3</v>
      </c>
      <c r="Q187">
        <v>3</v>
      </c>
      <c r="R187">
        <v>1</v>
      </c>
      <c r="S187">
        <v>3</v>
      </c>
      <c r="T187">
        <v>1</v>
      </c>
      <c r="U187">
        <v>0</v>
      </c>
      <c r="V187">
        <v>0</v>
      </c>
      <c r="W187" t="s">
        <v>65</v>
      </c>
      <c r="X187" s="1" t="d">
        <v>2020-04-08</v>
      </c>
      <c r="Z187" t="s">
        <v>52</v>
      </c>
      <c r="AA187" t="s">
        <v>46</v>
      </c>
      <c r="AB187">
        <v>1</v>
      </c>
      <c r="AC187">
        <v>1</v>
      </c>
      <c r="AD187" t="s">
        <v>32</v>
      </c>
      <c r="AE187" t="s">
        <v>47</v>
      </c>
      <c r="AF187" t="s">
        <v>57</v>
      </c>
    </row>
    <row r="188" spans="1:32" x14ac:dyDescent="0.25">
      <c r="A188">
        <v>32</v>
      </c>
      <c r="B188" t="s">
        <v>32</v>
      </c>
      <c r="C188" t="s">
        <v>33</v>
      </c>
      <c r="D188" t="s">
        <v>34</v>
      </c>
      <c r="E188">
        <v>2</v>
      </c>
      <c r="F188" t="s">
        <v>35</v>
      </c>
      <c r="G188">
        <v>3</v>
      </c>
      <c r="H188">
        <v>1</v>
      </c>
      <c r="I188" t="s">
        <v>36</v>
      </c>
      <c r="J188">
        <v>2</v>
      </c>
      <c r="K188" t="s">
        <v>37</v>
      </c>
      <c r="L188">
        <v>1393</v>
      </c>
      <c r="M188">
        <v>1</v>
      </c>
      <c r="N188" t="s">
        <v>41</v>
      </c>
      <c r="O188">
        <v>12</v>
      </c>
      <c r="P188">
        <v>3</v>
      </c>
      <c r="Q188">
        <v>0</v>
      </c>
      <c r="R188">
        <v>1</v>
      </c>
      <c r="S188">
        <v>2</v>
      </c>
      <c r="T188">
        <v>1</v>
      </c>
      <c r="U188">
        <v>0</v>
      </c>
      <c r="V188">
        <v>0</v>
      </c>
      <c r="W188" t="s">
        <v>38</v>
      </c>
      <c r="X188" s="1" t="d">
        <v>2020-02-08</v>
      </c>
      <c r="Z188" t="s">
        <v>39</v>
      </c>
      <c r="AA188" t="s">
        <v>40</v>
      </c>
      <c r="AB188">
        <v>4</v>
      </c>
      <c r="AC188">
        <v>0</v>
      </c>
      <c r="AD188" t="s">
        <v>32</v>
      </c>
      <c r="AE188" t="s">
        <v>62</v>
      </c>
      <c r="AF188" t="s">
        <v>57</v>
      </c>
    </row>
    <row r="189" spans="1:32" x14ac:dyDescent="0.25">
      <c r="A189">
        <v>60</v>
      </c>
      <c r="B189" t="s">
        <v>41</v>
      </c>
      <c r="C189" t="s">
        <v>33</v>
      </c>
      <c r="D189" t="s">
        <v>34</v>
      </c>
      <c r="E189">
        <v>1</v>
      </c>
      <c r="F189" t="s">
        <v>35</v>
      </c>
      <c r="G189">
        <v>1</v>
      </c>
      <c r="H189">
        <v>3</v>
      </c>
      <c r="I189" t="s">
        <v>69</v>
      </c>
      <c r="J189">
        <v>4</v>
      </c>
      <c r="K189" t="s">
        <v>55</v>
      </c>
      <c r="L189">
        <v>10883</v>
      </c>
      <c r="M189">
        <v>3</v>
      </c>
      <c r="N189" t="s">
        <v>41</v>
      </c>
      <c r="O189">
        <v>20</v>
      </c>
      <c r="P189">
        <v>4</v>
      </c>
      <c r="Q189">
        <v>1</v>
      </c>
      <c r="R189">
        <v>19</v>
      </c>
      <c r="S189">
        <v>2</v>
      </c>
      <c r="T189">
        <v>1</v>
      </c>
      <c r="U189">
        <v>0</v>
      </c>
      <c r="V189">
        <v>0</v>
      </c>
      <c r="W189" t="s">
        <v>65</v>
      </c>
      <c r="X189" s="1" t="d">
        <v>2020-05-20</v>
      </c>
      <c r="Z189" t="s">
        <v>39</v>
      </c>
      <c r="AA189" t="s">
        <v>40</v>
      </c>
      <c r="AB189">
        <v>1</v>
      </c>
      <c r="AC189">
        <v>1</v>
      </c>
      <c r="AD189" t="s">
        <v>41</v>
      </c>
      <c r="AE189" t="s">
        <v>47</v>
      </c>
      <c r="AF189" t="s">
        <v>43</v>
      </c>
    </row>
    <row r="190" spans="1:32" x14ac:dyDescent="0.25">
      <c r="A190">
        <v>24</v>
      </c>
      <c r="B190" t="s">
        <v>32</v>
      </c>
      <c r="C190" t="s">
        <v>33</v>
      </c>
      <c r="D190" t="s">
        <v>70</v>
      </c>
      <c r="E190">
        <v>22</v>
      </c>
      <c r="F190" t="s">
        <v>35</v>
      </c>
      <c r="G190">
        <v>1</v>
      </c>
      <c r="H190">
        <v>1</v>
      </c>
      <c r="I190" t="s">
        <v>70</v>
      </c>
      <c r="J190">
        <v>3</v>
      </c>
      <c r="K190" t="s">
        <v>50</v>
      </c>
      <c r="L190">
        <v>1555</v>
      </c>
      <c r="M190">
        <v>1</v>
      </c>
      <c r="N190" t="s">
        <v>41</v>
      </c>
      <c r="O190">
        <v>11</v>
      </c>
      <c r="P190">
        <v>3</v>
      </c>
      <c r="Q190">
        <v>1</v>
      </c>
      <c r="R190">
        <v>1</v>
      </c>
      <c r="S190">
        <v>2</v>
      </c>
      <c r="T190">
        <v>1</v>
      </c>
      <c r="U190">
        <v>0</v>
      </c>
      <c r="V190">
        <v>0</v>
      </c>
      <c r="W190" t="s">
        <v>56</v>
      </c>
      <c r="X190" s="1" t="d">
        <v>2020-02-07</v>
      </c>
      <c r="Z190" t="s">
        <v>59</v>
      </c>
      <c r="AA190" t="s">
        <v>40</v>
      </c>
      <c r="AB190">
        <v>1</v>
      </c>
      <c r="AC190">
        <v>2</v>
      </c>
      <c r="AD190" t="s">
        <v>41</v>
      </c>
      <c r="AE190" t="s">
        <v>62</v>
      </c>
      <c r="AF190" t="s">
        <v>57</v>
      </c>
    </row>
    <row r="191" spans="1:32" x14ac:dyDescent="0.25">
      <c r="A191">
        <v>40</v>
      </c>
      <c r="B191" t="s">
        <v>41</v>
      </c>
      <c r="C191" t="s">
        <v>33</v>
      </c>
      <c r="D191" t="s">
        <v>34</v>
      </c>
      <c r="E191">
        <v>8</v>
      </c>
      <c r="F191" t="s">
        <v>58</v>
      </c>
      <c r="G191">
        <v>3</v>
      </c>
      <c r="H191">
        <v>2</v>
      </c>
      <c r="I191" t="s">
        <v>67</v>
      </c>
      <c r="J191">
        <v>1</v>
      </c>
      <c r="K191" t="s">
        <v>50</v>
      </c>
      <c r="L191">
        <v>6516</v>
      </c>
      <c r="M191">
        <v>2</v>
      </c>
      <c r="N191" t="s">
        <v>32</v>
      </c>
      <c r="O191">
        <v>16</v>
      </c>
      <c r="P191">
        <v>3</v>
      </c>
      <c r="Q191">
        <v>1</v>
      </c>
      <c r="R191">
        <v>18</v>
      </c>
      <c r="S191">
        <v>3</v>
      </c>
      <c r="T191">
        <v>1</v>
      </c>
      <c r="U191">
        <v>0</v>
      </c>
      <c r="V191">
        <v>0</v>
      </c>
      <c r="W191" t="s">
        <v>51</v>
      </c>
      <c r="X191" s="1" t="d">
        <v>2020-02-19</v>
      </c>
      <c r="Z191" t="s">
        <v>52</v>
      </c>
      <c r="AA191" t="s">
        <v>40</v>
      </c>
      <c r="AB191">
        <v>0</v>
      </c>
      <c r="AC191">
        <v>1</v>
      </c>
      <c r="AD191" t="s">
        <v>32</v>
      </c>
      <c r="AE191" t="s">
        <v>47</v>
      </c>
      <c r="AF191" t="s">
        <v>43</v>
      </c>
    </row>
    <row r="192" spans="1:32" x14ac:dyDescent="0.25">
      <c r="A192">
        <v>47</v>
      </c>
      <c r="B192" t="s">
        <v>41</v>
      </c>
      <c r="C192" t="s">
        <v>68</v>
      </c>
      <c r="D192" t="s">
        <v>53</v>
      </c>
      <c r="E192">
        <v>2</v>
      </c>
      <c r="F192" t="s">
        <v>35</v>
      </c>
      <c r="G192">
        <v>3</v>
      </c>
      <c r="H192">
        <v>2</v>
      </c>
      <c r="I192" t="s">
        <v>64</v>
      </c>
      <c r="J192">
        <v>2</v>
      </c>
      <c r="K192" t="s">
        <v>50</v>
      </c>
      <c r="L192">
        <v>4978</v>
      </c>
      <c r="M192">
        <v>7</v>
      </c>
      <c r="N192" t="s">
        <v>41</v>
      </c>
      <c r="O192">
        <v>11</v>
      </c>
      <c r="P192">
        <v>3</v>
      </c>
      <c r="Q192">
        <v>1</v>
      </c>
      <c r="R192">
        <v>4</v>
      </c>
      <c r="S192">
        <v>3</v>
      </c>
      <c r="T192">
        <v>1</v>
      </c>
      <c r="U192">
        <v>0</v>
      </c>
      <c r="V192">
        <v>0</v>
      </c>
      <c r="W192" t="s">
        <v>65</v>
      </c>
      <c r="X192" s="1" t="d">
        <v>2020-03-10</v>
      </c>
      <c r="Z192" t="s">
        <v>52</v>
      </c>
      <c r="AA192" t="s">
        <v>40</v>
      </c>
      <c r="AB192">
        <v>0</v>
      </c>
      <c r="AC192">
        <v>0</v>
      </c>
      <c r="AD192" t="s">
        <v>41</v>
      </c>
      <c r="AE192" t="s">
        <v>60</v>
      </c>
      <c r="AF192" t="s">
        <v>48</v>
      </c>
    </row>
    <row r="193" spans="1:32" x14ac:dyDescent="0.25">
      <c r="A193">
        <v>31</v>
      </c>
      <c r="B193" t="s">
        <v>32</v>
      </c>
      <c r="C193" t="s">
        <v>33</v>
      </c>
      <c r="D193" t="s">
        <v>53</v>
      </c>
      <c r="E193">
        <v>16</v>
      </c>
      <c r="F193" t="s">
        <v>35</v>
      </c>
      <c r="G193">
        <v>3</v>
      </c>
      <c r="H193">
        <v>3</v>
      </c>
      <c r="I193" t="s">
        <v>64</v>
      </c>
      <c r="J193">
        <v>3</v>
      </c>
      <c r="K193" t="s">
        <v>50</v>
      </c>
      <c r="L193">
        <v>8161</v>
      </c>
      <c r="M193">
        <v>2</v>
      </c>
      <c r="N193" t="s">
        <v>41</v>
      </c>
      <c r="O193">
        <v>13</v>
      </c>
      <c r="P193">
        <v>3</v>
      </c>
      <c r="Q193">
        <v>3</v>
      </c>
      <c r="R193">
        <v>10</v>
      </c>
      <c r="S193">
        <v>2</v>
      </c>
      <c r="T193">
        <v>1</v>
      </c>
      <c r="U193">
        <v>0</v>
      </c>
      <c r="V193">
        <v>0</v>
      </c>
      <c r="W193" t="s">
        <v>51</v>
      </c>
      <c r="X193" s="1" t="d">
        <v>2020-01-13</v>
      </c>
      <c r="Z193" t="s">
        <v>45</v>
      </c>
      <c r="AA193" t="s">
        <v>40</v>
      </c>
      <c r="AB193">
        <v>4</v>
      </c>
      <c r="AC193">
        <v>3</v>
      </c>
      <c r="AD193" t="s">
        <v>32</v>
      </c>
      <c r="AE193" t="s">
        <v>42</v>
      </c>
      <c r="AF193" t="s">
        <v>48</v>
      </c>
    </row>
    <row r="194" spans="1:32" x14ac:dyDescent="0.25">
      <c r="A194">
        <v>29</v>
      </c>
      <c r="B194" t="s">
        <v>41</v>
      </c>
      <c r="C194" t="s">
        <v>33</v>
      </c>
      <c r="D194" t="s">
        <v>34</v>
      </c>
      <c r="E194">
        <v>4</v>
      </c>
      <c r="F194" t="s">
        <v>58</v>
      </c>
      <c r="G194">
        <v>2</v>
      </c>
      <c r="H194">
        <v>1</v>
      </c>
      <c r="I194" t="s">
        <v>44</v>
      </c>
      <c r="J194">
        <v>1</v>
      </c>
      <c r="K194" t="s">
        <v>55</v>
      </c>
      <c r="L194">
        <v>2109</v>
      </c>
      <c r="M194">
        <v>1</v>
      </c>
      <c r="N194" t="s">
        <v>41</v>
      </c>
      <c r="O194">
        <v>13</v>
      </c>
      <c r="P194">
        <v>3</v>
      </c>
      <c r="Q194">
        <v>1</v>
      </c>
      <c r="R194">
        <v>1</v>
      </c>
      <c r="S194">
        <v>2</v>
      </c>
      <c r="T194">
        <v>1</v>
      </c>
      <c r="U194">
        <v>0</v>
      </c>
      <c r="V194">
        <v>0</v>
      </c>
      <c r="W194" t="s">
        <v>38</v>
      </c>
      <c r="X194" s="1" t="d">
        <v>2020-05-24</v>
      </c>
      <c r="Z194" t="s">
        <v>63</v>
      </c>
      <c r="AA194" t="s">
        <v>40</v>
      </c>
      <c r="AB194">
        <v>3</v>
      </c>
      <c r="AC194">
        <v>3</v>
      </c>
      <c r="AD194" t="s">
        <v>41</v>
      </c>
      <c r="AE194" t="s">
        <v>62</v>
      </c>
      <c r="AF194" t="s">
        <v>57</v>
      </c>
    </row>
    <row r="195" spans="1:32" x14ac:dyDescent="0.25">
      <c r="A195">
        <v>38</v>
      </c>
      <c r="B195" t="s">
        <v>41</v>
      </c>
      <c r="C195" t="s">
        <v>33</v>
      </c>
      <c r="D195" t="s">
        <v>34</v>
      </c>
      <c r="E195">
        <v>18</v>
      </c>
      <c r="F195" t="s">
        <v>35</v>
      </c>
      <c r="G195">
        <v>1</v>
      </c>
      <c r="H195">
        <v>2</v>
      </c>
      <c r="I195" t="s">
        <v>69</v>
      </c>
      <c r="J195">
        <v>4</v>
      </c>
      <c r="K195" t="s">
        <v>50</v>
      </c>
      <c r="L195">
        <v>5811</v>
      </c>
      <c r="M195">
        <v>3</v>
      </c>
      <c r="N195" t="s">
        <v>32</v>
      </c>
      <c r="O195">
        <v>16</v>
      </c>
      <c r="P195">
        <v>3</v>
      </c>
      <c r="Q195">
        <v>1</v>
      </c>
      <c r="R195">
        <v>15</v>
      </c>
      <c r="S195">
        <v>2</v>
      </c>
      <c r="T195">
        <v>1</v>
      </c>
      <c r="U195">
        <v>1</v>
      </c>
      <c r="V195">
        <v>0</v>
      </c>
      <c r="W195" t="s">
        <v>51</v>
      </c>
      <c r="X195" s="1" t="d">
        <v>2020-02-21</v>
      </c>
      <c r="Z195" t="s">
        <v>45</v>
      </c>
      <c r="AA195" t="s">
        <v>46</v>
      </c>
      <c r="AB195">
        <v>2</v>
      </c>
      <c r="AC195">
        <v>1</v>
      </c>
      <c r="AD195" t="s">
        <v>32</v>
      </c>
      <c r="AE195" t="s">
        <v>42</v>
      </c>
      <c r="AF195" t="s">
        <v>48</v>
      </c>
    </row>
    <row r="196" spans="1:32" x14ac:dyDescent="0.25">
      <c r="A196">
        <v>43</v>
      </c>
      <c r="B196" t="s">
        <v>32</v>
      </c>
      <c r="C196" t="s">
        <v>61</v>
      </c>
      <c r="D196" t="s">
        <v>34</v>
      </c>
      <c r="E196">
        <v>17</v>
      </c>
      <c r="F196" t="s">
        <v>35</v>
      </c>
      <c r="G196">
        <v>2</v>
      </c>
      <c r="H196">
        <v>1</v>
      </c>
      <c r="I196" t="s">
        <v>44</v>
      </c>
      <c r="J196">
        <v>3</v>
      </c>
      <c r="K196" t="s">
        <v>50</v>
      </c>
      <c r="L196">
        <v>2437</v>
      </c>
      <c r="M196">
        <v>9</v>
      </c>
      <c r="N196" t="s">
        <v>32</v>
      </c>
      <c r="O196">
        <v>16</v>
      </c>
      <c r="P196">
        <v>3</v>
      </c>
      <c r="Q196">
        <v>1</v>
      </c>
      <c r="R196">
        <v>6</v>
      </c>
      <c r="S196">
        <v>4</v>
      </c>
      <c r="T196">
        <v>1</v>
      </c>
      <c r="U196">
        <v>0</v>
      </c>
      <c r="V196">
        <v>0</v>
      </c>
      <c r="W196" t="s">
        <v>56</v>
      </c>
      <c r="X196" s="1" t="d">
        <v>2020-05-04</v>
      </c>
      <c r="Z196" t="s">
        <v>52</v>
      </c>
      <c r="AA196" t="s">
        <v>40</v>
      </c>
      <c r="AB196">
        <v>3</v>
      </c>
      <c r="AC196">
        <v>1</v>
      </c>
      <c r="AD196" t="s">
        <v>41</v>
      </c>
      <c r="AE196" t="s">
        <v>62</v>
      </c>
      <c r="AF196" t="s">
        <v>43</v>
      </c>
    </row>
    <row r="197" spans="1:32" x14ac:dyDescent="0.25">
      <c r="A197">
        <v>55</v>
      </c>
      <c r="B197" t="s">
        <v>41</v>
      </c>
      <c r="C197" t="s">
        <v>33</v>
      </c>
      <c r="D197" t="s">
        <v>34</v>
      </c>
      <c r="E197">
        <v>2</v>
      </c>
      <c r="F197" t="s">
        <v>35</v>
      </c>
      <c r="G197">
        <v>2</v>
      </c>
      <c r="H197">
        <v>5</v>
      </c>
      <c r="I197" t="s">
        <v>49</v>
      </c>
      <c r="J197">
        <v>1</v>
      </c>
      <c r="K197" t="s">
        <v>50</v>
      </c>
      <c r="L197">
        <v>19038</v>
      </c>
      <c r="M197">
        <v>8</v>
      </c>
      <c r="N197" t="s">
        <v>41</v>
      </c>
      <c r="O197">
        <v>12</v>
      </c>
      <c r="P197">
        <v>3</v>
      </c>
      <c r="Q197">
        <v>3</v>
      </c>
      <c r="R197">
        <v>34</v>
      </c>
      <c r="S197">
        <v>2</v>
      </c>
      <c r="T197">
        <v>1</v>
      </c>
      <c r="U197">
        <v>0</v>
      </c>
      <c r="V197">
        <v>0</v>
      </c>
      <c r="W197" t="s">
        <v>56</v>
      </c>
      <c r="X197" s="1" t="d">
        <v>2020-03-16</v>
      </c>
      <c r="Z197" t="s">
        <v>59</v>
      </c>
      <c r="AA197" t="s">
        <v>46</v>
      </c>
      <c r="AB197">
        <v>4</v>
      </c>
      <c r="AC197">
        <v>1</v>
      </c>
      <c r="AD197" t="s">
        <v>32</v>
      </c>
      <c r="AE197" t="s">
        <v>47</v>
      </c>
      <c r="AF197" t="s">
        <v>43</v>
      </c>
    </row>
    <row r="198" spans="1:32" x14ac:dyDescent="0.25">
      <c r="A198">
        <v>21</v>
      </c>
      <c r="B198" t="s">
        <v>32</v>
      </c>
      <c r="C198" t="s">
        <v>33</v>
      </c>
      <c r="D198" t="s">
        <v>53</v>
      </c>
      <c r="E198">
        <v>7</v>
      </c>
      <c r="F198" t="s">
        <v>35</v>
      </c>
      <c r="G198">
        <v>3</v>
      </c>
      <c r="H198">
        <v>1</v>
      </c>
      <c r="I198" t="s">
        <v>54</v>
      </c>
      <c r="J198">
        <v>2</v>
      </c>
      <c r="K198" t="s">
        <v>37</v>
      </c>
      <c r="L198">
        <v>2679</v>
      </c>
      <c r="M198">
        <v>1</v>
      </c>
      <c r="N198" t="s">
        <v>41</v>
      </c>
      <c r="O198">
        <v>13</v>
      </c>
      <c r="P198">
        <v>3</v>
      </c>
      <c r="Q198">
        <v>0</v>
      </c>
      <c r="R198">
        <v>1</v>
      </c>
      <c r="S198">
        <v>3</v>
      </c>
      <c r="T198">
        <v>1</v>
      </c>
      <c r="U198">
        <v>1</v>
      </c>
      <c r="V198">
        <v>0</v>
      </c>
      <c r="W198" t="s">
        <v>56</v>
      </c>
      <c r="X198" s="1" t="d">
        <v>2020-05-26</v>
      </c>
      <c r="Z198" t="s">
        <v>45</v>
      </c>
      <c r="AA198" t="s">
        <v>46</v>
      </c>
      <c r="AB198">
        <v>5</v>
      </c>
      <c r="AC198">
        <v>2</v>
      </c>
      <c r="AD198" t="s">
        <v>32</v>
      </c>
      <c r="AE198" t="s">
        <v>42</v>
      </c>
      <c r="AF198" t="s">
        <v>48</v>
      </c>
    </row>
    <row r="199" spans="1:32" x14ac:dyDescent="0.25">
      <c r="A199">
        <v>22</v>
      </c>
      <c r="B199" t="s">
        <v>32</v>
      </c>
      <c r="C199" t="s">
        <v>33</v>
      </c>
      <c r="D199" t="s">
        <v>34</v>
      </c>
      <c r="E199">
        <v>8</v>
      </c>
      <c r="F199" t="s">
        <v>58</v>
      </c>
      <c r="G199">
        <v>3</v>
      </c>
      <c r="H199">
        <v>1</v>
      </c>
      <c r="I199" t="s">
        <v>36</v>
      </c>
      <c r="J199">
        <v>1</v>
      </c>
      <c r="K199" t="s">
        <v>50</v>
      </c>
      <c r="L199">
        <v>2398</v>
      </c>
      <c r="M199">
        <v>1</v>
      </c>
      <c r="N199" t="s">
        <v>32</v>
      </c>
      <c r="O199">
        <v>17</v>
      </c>
      <c r="P199">
        <v>3</v>
      </c>
      <c r="Q199">
        <v>0</v>
      </c>
      <c r="R199">
        <v>1</v>
      </c>
      <c r="S199">
        <v>6</v>
      </c>
      <c r="T199">
        <v>1</v>
      </c>
      <c r="U199">
        <v>0</v>
      </c>
      <c r="V199">
        <v>0</v>
      </c>
      <c r="W199" t="s">
        <v>65</v>
      </c>
      <c r="X199" s="1" t="d">
        <v>2020-03-05</v>
      </c>
      <c r="Z199" t="s">
        <v>39</v>
      </c>
      <c r="AA199" t="s">
        <v>46</v>
      </c>
      <c r="AB199">
        <v>5</v>
      </c>
      <c r="AC199">
        <v>3</v>
      </c>
      <c r="AD199" t="s">
        <v>32</v>
      </c>
      <c r="AE199" t="s">
        <v>42</v>
      </c>
      <c r="AF199" t="s">
        <v>57</v>
      </c>
    </row>
    <row r="200" spans="1:32" x14ac:dyDescent="0.25">
      <c r="A200">
        <v>31</v>
      </c>
      <c r="B200" t="s">
        <v>32</v>
      </c>
      <c r="C200" t="s">
        <v>33</v>
      </c>
      <c r="D200" t="s">
        <v>70</v>
      </c>
      <c r="E200">
        <v>18</v>
      </c>
      <c r="F200" t="s">
        <v>35</v>
      </c>
      <c r="G200">
        <v>4</v>
      </c>
      <c r="H200">
        <v>1</v>
      </c>
      <c r="I200" t="s">
        <v>70</v>
      </c>
      <c r="J200">
        <v>1</v>
      </c>
      <c r="K200" t="s">
        <v>50</v>
      </c>
      <c r="L200">
        <v>2956</v>
      </c>
      <c r="M200">
        <v>0</v>
      </c>
      <c r="N200" t="s">
        <v>41</v>
      </c>
      <c r="O200">
        <v>17</v>
      </c>
      <c r="P200">
        <v>3</v>
      </c>
      <c r="Q200">
        <v>0</v>
      </c>
      <c r="R200">
        <v>2</v>
      </c>
      <c r="S200">
        <v>4</v>
      </c>
      <c r="T200">
        <v>1</v>
      </c>
      <c r="U200">
        <v>0</v>
      </c>
      <c r="V200">
        <v>0</v>
      </c>
      <c r="W200" t="s">
        <v>51</v>
      </c>
      <c r="X200" s="1" t="d">
        <v>2020-06-15</v>
      </c>
      <c r="Z200" t="s">
        <v>45</v>
      </c>
      <c r="AA200" t="s">
        <v>46</v>
      </c>
      <c r="AB200">
        <v>4</v>
      </c>
      <c r="AC200">
        <v>1</v>
      </c>
      <c r="AD200" t="s">
        <v>32</v>
      </c>
      <c r="AE200" t="s">
        <v>62</v>
      </c>
      <c r="AF200" t="s">
        <v>43</v>
      </c>
    </row>
    <row r="201" spans="1:32" x14ac:dyDescent="0.25">
      <c r="A201">
        <v>36</v>
      </c>
      <c r="B201" t="s">
        <v>41</v>
      </c>
      <c r="C201" t="s">
        <v>33</v>
      </c>
      <c r="D201" t="s">
        <v>34</v>
      </c>
      <c r="E201">
        <v>2</v>
      </c>
      <c r="F201" t="s">
        <v>58</v>
      </c>
      <c r="G201">
        <v>3</v>
      </c>
      <c r="H201">
        <v>2</v>
      </c>
      <c r="I201" t="s">
        <v>44</v>
      </c>
      <c r="J201">
        <v>2</v>
      </c>
      <c r="K201" t="s">
        <v>50</v>
      </c>
      <c r="L201">
        <v>6962</v>
      </c>
      <c r="M201">
        <v>4</v>
      </c>
      <c r="N201" t="s">
        <v>32</v>
      </c>
      <c r="O201">
        <v>22</v>
      </c>
      <c r="P201">
        <v>4</v>
      </c>
      <c r="Q201">
        <v>1</v>
      </c>
      <c r="R201">
        <v>15</v>
      </c>
      <c r="S201">
        <v>2</v>
      </c>
      <c r="T201">
        <v>1</v>
      </c>
      <c r="U201">
        <v>0</v>
      </c>
      <c r="V201">
        <v>0</v>
      </c>
      <c r="W201" t="s">
        <v>38</v>
      </c>
      <c r="X201" s="1" t="d">
        <v>2020-05-01</v>
      </c>
      <c r="Z201" t="s">
        <v>63</v>
      </c>
      <c r="AA201" t="s">
        <v>46</v>
      </c>
      <c r="AB201">
        <v>4</v>
      </c>
      <c r="AC201">
        <v>0</v>
      </c>
      <c r="AD201" t="s">
        <v>32</v>
      </c>
      <c r="AE201" t="s">
        <v>47</v>
      </c>
      <c r="AF201" t="s">
        <v>48</v>
      </c>
    </row>
    <row r="202" spans="1:32" x14ac:dyDescent="0.25">
      <c r="A202">
        <v>29</v>
      </c>
      <c r="B202" t="s">
        <v>41</v>
      </c>
      <c r="C202" t="s">
        <v>33</v>
      </c>
      <c r="D202" t="s">
        <v>70</v>
      </c>
      <c r="E202">
        <v>6</v>
      </c>
      <c r="F202" t="s">
        <v>35</v>
      </c>
      <c r="G202">
        <v>2</v>
      </c>
      <c r="H202">
        <v>1</v>
      </c>
      <c r="I202" t="s">
        <v>70</v>
      </c>
      <c r="J202">
        <v>2</v>
      </c>
      <c r="K202" t="s">
        <v>50</v>
      </c>
      <c r="L202">
        <v>2804</v>
      </c>
      <c r="M202">
        <v>1</v>
      </c>
      <c r="N202" t="s">
        <v>41</v>
      </c>
      <c r="O202">
        <v>11</v>
      </c>
      <c r="P202">
        <v>3</v>
      </c>
      <c r="Q202">
        <v>0</v>
      </c>
      <c r="R202">
        <v>1</v>
      </c>
      <c r="S202">
        <v>3</v>
      </c>
      <c r="T202">
        <v>1</v>
      </c>
      <c r="U202">
        <v>0</v>
      </c>
      <c r="V202">
        <v>0</v>
      </c>
      <c r="W202" t="s">
        <v>51</v>
      </c>
      <c r="X202" s="1" t="d">
        <v>2020-02-14</v>
      </c>
      <c r="Z202" t="s">
        <v>52</v>
      </c>
      <c r="AA202" t="s">
        <v>46</v>
      </c>
      <c r="AB202">
        <v>1</v>
      </c>
      <c r="AC202">
        <v>3</v>
      </c>
      <c r="AD202" t="s">
        <v>32</v>
      </c>
      <c r="AE202" t="s">
        <v>60</v>
      </c>
      <c r="AF202" t="s">
        <v>48</v>
      </c>
    </row>
    <row r="203" spans="1:32" x14ac:dyDescent="0.25">
      <c r="A203">
        <v>29</v>
      </c>
      <c r="B203" t="s">
        <v>32</v>
      </c>
      <c r="C203" t="s">
        <v>61</v>
      </c>
      <c r="D203" t="s">
        <v>34</v>
      </c>
      <c r="E203">
        <v>24</v>
      </c>
      <c r="F203" t="s">
        <v>35</v>
      </c>
      <c r="G203">
        <v>2</v>
      </c>
      <c r="H203">
        <v>1</v>
      </c>
      <c r="I203" t="s">
        <v>44</v>
      </c>
      <c r="J203">
        <v>4</v>
      </c>
      <c r="K203" t="s">
        <v>37</v>
      </c>
      <c r="L203">
        <v>2439</v>
      </c>
      <c r="M203">
        <v>1</v>
      </c>
      <c r="N203" t="s">
        <v>32</v>
      </c>
      <c r="O203">
        <v>24</v>
      </c>
      <c r="P203">
        <v>4</v>
      </c>
      <c r="Q203">
        <v>0</v>
      </c>
      <c r="R203">
        <v>1</v>
      </c>
      <c r="S203">
        <v>3</v>
      </c>
      <c r="T203">
        <v>1</v>
      </c>
      <c r="U203">
        <v>1</v>
      </c>
      <c r="V203">
        <v>0</v>
      </c>
      <c r="W203" t="s">
        <v>38</v>
      </c>
      <c r="X203" s="1" t="d">
        <v>2020-06-30</v>
      </c>
      <c r="Z203" t="s">
        <v>39</v>
      </c>
      <c r="AA203" t="s">
        <v>40</v>
      </c>
      <c r="AB203">
        <v>3</v>
      </c>
      <c r="AC203">
        <v>1</v>
      </c>
      <c r="AD203" t="s">
        <v>32</v>
      </c>
      <c r="AE203" t="s">
        <v>60</v>
      </c>
      <c r="AF203" t="s">
        <v>48</v>
      </c>
    </row>
    <row r="204" spans="1:32" x14ac:dyDescent="0.25">
      <c r="A204">
        <v>28</v>
      </c>
      <c r="B204" t="s">
        <v>41</v>
      </c>
      <c r="C204" t="s">
        <v>33</v>
      </c>
      <c r="D204" t="s">
        <v>53</v>
      </c>
      <c r="E204">
        <v>3</v>
      </c>
      <c r="F204" t="s">
        <v>58</v>
      </c>
      <c r="G204">
        <v>3</v>
      </c>
      <c r="H204">
        <v>1</v>
      </c>
      <c r="I204" t="s">
        <v>54</v>
      </c>
      <c r="J204">
        <v>2</v>
      </c>
      <c r="K204" t="s">
        <v>50</v>
      </c>
      <c r="L204">
        <v>2856</v>
      </c>
      <c r="M204">
        <v>1</v>
      </c>
      <c r="N204" t="s">
        <v>41</v>
      </c>
      <c r="O204">
        <v>19</v>
      </c>
      <c r="P204">
        <v>3</v>
      </c>
      <c r="Q204">
        <v>1</v>
      </c>
      <c r="R204">
        <v>1</v>
      </c>
      <c r="S204">
        <v>3</v>
      </c>
      <c r="T204">
        <v>1</v>
      </c>
      <c r="U204">
        <v>0</v>
      </c>
      <c r="V204">
        <v>0</v>
      </c>
      <c r="W204" t="s">
        <v>65</v>
      </c>
      <c r="X204" s="1" t="d">
        <v>2020-02-04</v>
      </c>
      <c r="Z204" t="s">
        <v>59</v>
      </c>
      <c r="AA204" t="s">
        <v>40</v>
      </c>
      <c r="AB204">
        <v>3</v>
      </c>
      <c r="AC204">
        <v>2</v>
      </c>
      <c r="AD204" t="s">
        <v>32</v>
      </c>
      <c r="AE204" t="s">
        <v>42</v>
      </c>
      <c r="AF204" t="s">
        <v>43</v>
      </c>
    </row>
    <row r="205" spans="1:32" x14ac:dyDescent="0.25">
      <c r="A205">
        <v>30</v>
      </c>
      <c r="B205" t="s">
        <v>32</v>
      </c>
      <c r="C205" t="s">
        <v>33</v>
      </c>
      <c r="D205" t="s">
        <v>53</v>
      </c>
      <c r="E205">
        <v>9</v>
      </c>
      <c r="F205" t="s">
        <v>35</v>
      </c>
      <c r="G205">
        <v>3</v>
      </c>
      <c r="H205">
        <v>1</v>
      </c>
      <c r="I205" t="s">
        <v>54</v>
      </c>
      <c r="J205">
        <v>4</v>
      </c>
      <c r="K205" t="s">
        <v>37</v>
      </c>
      <c r="L205">
        <v>1081</v>
      </c>
      <c r="M205">
        <v>1</v>
      </c>
      <c r="N205" t="s">
        <v>41</v>
      </c>
      <c r="O205">
        <v>13</v>
      </c>
      <c r="P205">
        <v>3</v>
      </c>
      <c r="Q205">
        <v>0</v>
      </c>
      <c r="R205">
        <v>1</v>
      </c>
      <c r="S205">
        <v>3</v>
      </c>
      <c r="T205">
        <v>1</v>
      </c>
      <c r="U205">
        <v>0</v>
      </c>
      <c r="V205">
        <v>0</v>
      </c>
      <c r="W205" t="s">
        <v>51</v>
      </c>
      <c r="X205" s="1" t="d">
        <v>2020-06-13</v>
      </c>
      <c r="Z205" t="s">
        <v>59</v>
      </c>
      <c r="AA205" t="s">
        <v>46</v>
      </c>
      <c r="AB205">
        <v>0</v>
      </c>
      <c r="AC205">
        <v>0</v>
      </c>
      <c r="AD205" t="s">
        <v>41</v>
      </c>
      <c r="AE205" t="s">
        <v>42</v>
      </c>
      <c r="AF205" t="s">
        <v>57</v>
      </c>
    </row>
    <row r="206" spans="1:32" x14ac:dyDescent="0.25">
      <c r="A206">
        <v>22</v>
      </c>
      <c r="B206" t="s">
        <v>32</v>
      </c>
      <c r="C206" t="s">
        <v>33</v>
      </c>
      <c r="D206" t="s">
        <v>34</v>
      </c>
      <c r="E206">
        <v>7</v>
      </c>
      <c r="F206" t="s">
        <v>35</v>
      </c>
      <c r="G206">
        <v>3</v>
      </c>
      <c r="H206">
        <v>1</v>
      </c>
      <c r="I206" t="s">
        <v>44</v>
      </c>
      <c r="J206">
        <v>2</v>
      </c>
      <c r="K206" t="s">
        <v>37</v>
      </c>
      <c r="L206">
        <v>2472</v>
      </c>
      <c r="M206">
        <v>1</v>
      </c>
      <c r="N206" t="s">
        <v>32</v>
      </c>
      <c r="O206">
        <v>23</v>
      </c>
      <c r="P206">
        <v>4</v>
      </c>
      <c r="Q206">
        <v>0</v>
      </c>
      <c r="R206">
        <v>1</v>
      </c>
      <c r="S206">
        <v>2</v>
      </c>
      <c r="T206">
        <v>1</v>
      </c>
      <c r="U206">
        <v>0</v>
      </c>
      <c r="V206">
        <v>0</v>
      </c>
      <c r="W206" t="s">
        <v>51</v>
      </c>
      <c r="X206" s="1" t="d">
        <v>2020-05-13</v>
      </c>
      <c r="Z206" t="s">
        <v>63</v>
      </c>
      <c r="AA206" t="s">
        <v>40</v>
      </c>
      <c r="AB206">
        <v>0</v>
      </c>
      <c r="AC206">
        <v>1</v>
      </c>
      <c r="AD206" t="s">
        <v>41</v>
      </c>
      <c r="AE206" t="s">
        <v>60</v>
      </c>
      <c r="AF206" t="s">
        <v>57</v>
      </c>
    </row>
    <row r="207" spans="1:32" x14ac:dyDescent="0.25">
      <c r="A207">
        <v>26</v>
      </c>
      <c r="B207" t="s">
        <v>41</v>
      </c>
      <c r="C207" t="s">
        <v>33</v>
      </c>
      <c r="D207" t="s">
        <v>34</v>
      </c>
      <c r="E207">
        <v>1</v>
      </c>
      <c r="F207" t="s">
        <v>58</v>
      </c>
      <c r="G207">
        <v>2</v>
      </c>
      <c r="H207">
        <v>1</v>
      </c>
      <c r="I207" t="s">
        <v>44</v>
      </c>
      <c r="J207">
        <v>3</v>
      </c>
      <c r="K207" t="s">
        <v>50</v>
      </c>
      <c r="L207">
        <v>2933</v>
      </c>
      <c r="M207">
        <v>1</v>
      </c>
      <c r="N207" t="s">
        <v>32</v>
      </c>
      <c r="O207">
        <v>13</v>
      </c>
      <c r="P207">
        <v>3</v>
      </c>
      <c r="Q207">
        <v>1</v>
      </c>
      <c r="R207">
        <v>1</v>
      </c>
      <c r="S207">
        <v>3</v>
      </c>
      <c r="T207">
        <v>1</v>
      </c>
      <c r="U207">
        <v>1</v>
      </c>
      <c r="V207">
        <v>0</v>
      </c>
      <c r="W207" t="s">
        <v>56</v>
      </c>
      <c r="X207" s="1" t="d">
        <v>2020-05-29</v>
      </c>
      <c r="Z207" t="s">
        <v>39</v>
      </c>
      <c r="AA207" t="s">
        <v>40</v>
      </c>
      <c r="AB207">
        <v>1</v>
      </c>
      <c r="AC207">
        <v>0</v>
      </c>
      <c r="AD207" t="s">
        <v>32</v>
      </c>
      <c r="AE207" t="s">
        <v>60</v>
      </c>
      <c r="AF207" t="s">
        <v>48</v>
      </c>
    </row>
    <row r="208" spans="1:32" x14ac:dyDescent="0.25">
      <c r="A208">
        <v>29</v>
      </c>
      <c r="B208" t="s">
        <v>32</v>
      </c>
      <c r="C208" t="s">
        <v>61</v>
      </c>
      <c r="D208" t="s">
        <v>53</v>
      </c>
      <c r="E208">
        <v>24</v>
      </c>
      <c r="F208" t="s">
        <v>35</v>
      </c>
      <c r="G208">
        <v>4</v>
      </c>
      <c r="H208">
        <v>1</v>
      </c>
      <c r="I208" t="s">
        <v>54</v>
      </c>
      <c r="J208">
        <v>1</v>
      </c>
      <c r="K208" t="s">
        <v>37</v>
      </c>
      <c r="L208">
        <v>1091</v>
      </c>
      <c r="M208">
        <v>1</v>
      </c>
      <c r="N208" t="s">
        <v>41</v>
      </c>
      <c r="O208">
        <v>17</v>
      </c>
      <c r="P208">
        <v>3</v>
      </c>
      <c r="Q208">
        <v>0</v>
      </c>
      <c r="R208">
        <v>1</v>
      </c>
      <c r="S208">
        <v>3</v>
      </c>
      <c r="T208">
        <v>1</v>
      </c>
      <c r="U208">
        <v>0</v>
      </c>
      <c r="V208">
        <v>0</v>
      </c>
      <c r="W208" t="s">
        <v>51</v>
      </c>
      <c r="X208" s="1" t="d">
        <v>2020-03-02</v>
      </c>
      <c r="Z208" t="s">
        <v>52</v>
      </c>
      <c r="AA208" t="s">
        <v>46</v>
      </c>
      <c r="AB208">
        <v>5</v>
      </c>
      <c r="AC208">
        <v>0</v>
      </c>
      <c r="AD208" t="s">
        <v>41</v>
      </c>
      <c r="AE208" t="s">
        <v>60</v>
      </c>
      <c r="AF208" t="s">
        <v>48</v>
      </c>
    </row>
    <row r="209" spans="1:32" x14ac:dyDescent="0.25">
      <c r="A209">
        <v>58</v>
      </c>
      <c r="B209" t="s">
        <v>41</v>
      </c>
      <c r="C209" t="s">
        <v>33</v>
      </c>
      <c r="D209" t="s">
        <v>53</v>
      </c>
      <c r="E209">
        <v>21</v>
      </c>
      <c r="F209" t="s">
        <v>58</v>
      </c>
      <c r="G209">
        <v>3</v>
      </c>
      <c r="H209">
        <v>4</v>
      </c>
      <c r="I209" t="s">
        <v>66</v>
      </c>
      <c r="J209">
        <v>4</v>
      </c>
      <c r="K209" t="s">
        <v>50</v>
      </c>
      <c r="L209">
        <v>17875</v>
      </c>
      <c r="M209">
        <v>4</v>
      </c>
      <c r="N209" t="s">
        <v>32</v>
      </c>
      <c r="O209">
        <v>13</v>
      </c>
      <c r="P209">
        <v>3</v>
      </c>
      <c r="Q209">
        <v>1</v>
      </c>
      <c r="R209">
        <v>29</v>
      </c>
      <c r="S209">
        <v>2</v>
      </c>
      <c r="T209">
        <v>1</v>
      </c>
      <c r="U209">
        <v>0</v>
      </c>
      <c r="V209">
        <v>0</v>
      </c>
      <c r="W209" t="s">
        <v>65</v>
      </c>
      <c r="X209" s="1" t="d">
        <v>2020-03-31</v>
      </c>
      <c r="Z209" t="s">
        <v>39</v>
      </c>
      <c r="AA209" t="s">
        <v>46</v>
      </c>
      <c r="AB209">
        <v>2</v>
      </c>
      <c r="AC209">
        <v>1</v>
      </c>
      <c r="AD209" t="s">
        <v>41</v>
      </c>
      <c r="AE209" t="s">
        <v>47</v>
      </c>
      <c r="AF209" t="s">
        <v>48</v>
      </c>
    </row>
    <row r="210" spans="1:32" x14ac:dyDescent="0.25">
      <c r="A210">
        <v>27</v>
      </c>
      <c r="B210" t="s">
        <v>32</v>
      </c>
      <c r="C210" t="s">
        <v>61</v>
      </c>
      <c r="D210" t="s">
        <v>70</v>
      </c>
      <c r="E210">
        <v>22</v>
      </c>
      <c r="F210" t="s">
        <v>58</v>
      </c>
      <c r="G210">
        <v>2</v>
      </c>
      <c r="H210">
        <v>1</v>
      </c>
      <c r="I210" t="s">
        <v>70</v>
      </c>
      <c r="J210">
        <v>2</v>
      </c>
      <c r="K210" t="s">
        <v>50</v>
      </c>
      <c r="L210">
        <v>2863</v>
      </c>
      <c r="M210">
        <v>1</v>
      </c>
      <c r="N210" t="s">
        <v>41</v>
      </c>
      <c r="O210">
        <v>12</v>
      </c>
      <c r="P210">
        <v>3</v>
      </c>
      <c r="Q210">
        <v>0</v>
      </c>
      <c r="R210">
        <v>1</v>
      </c>
      <c r="S210">
        <v>2</v>
      </c>
      <c r="T210">
        <v>1</v>
      </c>
      <c r="U210">
        <v>0</v>
      </c>
      <c r="V210">
        <v>0</v>
      </c>
      <c r="W210" t="s">
        <v>56</v>
      </c>
      <c r="X210" s="1" t="d">
        <v>2020-06-18</v>
      </c>
      <c r="Z210" t="s">
        <v>39</v>
      </c>
      <c r="AA210" t="s">
        <v>40</v>
      </c>
      <c r="AB210">
        <v>3</v>
      </c>
      <c r="AC210">
        <v>3</v>
      </c>
      <c r="AD210" t="s">
        <v>41</v>
      </c>
      <c r="AE210" t="s">
        <v>47</v>
      </c>
      <c r="AF210" t="s">
        <v>48</v>
      </c>
    </row>
    <row r="211" spans="1:32" x14ac:dyDescent="0.25">
      <c r="A211">
        <v>38</v>
      </c>
      <c r="B211" t="s">
        <v>41</v>
      </c>
      <c r="C211" t="s">
        <v>33</v>
      </c>
      <c r="D211" t="s">
        <v>53</v>
      </c>
      <c r="E211">
        <v>1</v>
      </c>
      <c r="F211" t="s">
        <v>35</v>
      </c>
      <c r="G211">
        <v>2</v>
      </c>
      <c r="H211">
        <v>1</v>
      </c>
      <c r="I211" t="s">
        <v>54</v>
      </c>
      <c r="J211">
        <v>1</v>
      </c>
      <c r="K211" t="s">
        <v>37</v>
      </c>
      <c r="L211">
        <v>2858</v>
      </c>
      <c r="M211">
        <v>4</v>
      </c>
      <c r="N211" t="s">
        <v>41</v>
      </c>
      <c r="O211">
        <v>14</v>
      </c>
      <c r="P211">
        <v>3</v>
      </c>
      <c r="Q211">
        <v>0</v>
      </c>
      <c r="R211">
        <v>20</v>
      </c>
      <c r="S211">
        <v>3</v>
      </c>
      <c r="T211">
        <v>1</v>
      </c>
      <c r="U211">
        <v>0</v>
      </c>
      <c r="V211">
        <v>0</v>
      </c>
      <c r="W211" t="s">
        <v>51</v>
      </c>
      <c r="X211" s="1" t="d">
        <v>2020-01-08</v>
      </c>
      <c r="Z211" t="s">
        <v>63</v>
      </c>
      <c r="AA211" t="s">
        <v>46</v>
      </c>
      <c r="AB211">
        <v>3</v>
      </c>
      <c r="AC211">
        <v>1</v>
      </c>
      <c r="AD211" t="s">
        <v>41</v>
      </c>
      <c r="AE211" t="s">
        <v>60</v>
      </c>
      <c r="AF211" t="s">
        <v>57</v>
      </c>
    </row>
    <row r="212" spans="1:32" x14ac:dyDescent="0.25">
      <c r="A212">
        <v>32</v>
      </c>
      <c r="B212" t="s">
        <v>41</v>
      </c>
      <c r="C212" t="s">
        <v>33</v>
      </c>
      <c r="D212" t="s">
        <v>34</v>
      </c>
      <c r="E212">
        <v>5</v>
      </c>
      <c r="F212" t="s">
        <v>35</v>
      </c>
      <c r="G212">
        <v>2</v>
      </c>
      <c r="H212">
        <v>2</v>
      </c>
      <c r="I212" t="s">
        <v>67</v>
      </c>
      <c r="J212">
        <v>4</v>
      </c>
      <c r="K212" t="s">
        <v>37</v>
      </c>
      <c r="L212">
        <v>9679</v>
      </c>
      <c r="M212">
        <v>8</v>
      </c>
      <c r="N212" t="s">
        <v>41</v>
      </c>
      <c r="O212">
        <v>24</v>
      </c>
      <c r="P212">
        <v>4</v>
      </c>
      <c r="Q212">
        <v>0</v>
      </c>
      <c r="R212">
        <v>8</v>
      </c>
      <c r="S212">
        <v>1</v>
      </c>
      <c r="T212">
        <v>1</v>
      </c>
      <c r="U212">
        <v>0</v>
      </c>
      <c r="V212">
        <v>0</v>
      </c>
      <c r="W212" t="s">
        <v>65</v>
      </c>
      <c r="X212" s="1" t="d">
        <v>2020-06-08</v>
      </c>
      <c r="Z212" t="s">
        <v>59</v>
      </c>
      <c r="AA212" t="s">
        <v>46</v>
      </c>
      <c r="AB212">
        <v>3</v>
      </c>
      <c r="AC212">
        <v>2</v>
      </c>
      <c r="AD212" t="s">
        <v>41</v>
      </c>
      <c r="AE212" t="s">
        <v>60</v>
      </c>
      <c r="AF212" t="s">
        <v>43</v>
      </c>
    </row>
    <row r="213" spans="1:32" x14ac:dyDescent="0.25">
      <c r="A213">
        <v>31</v>
      </c>
      <c r="B213" t="s">
        <v>41</v>
      </c>
      <c r="C213" t="s">
        <v>33</v>
      </c>
      <c r="D213" t="s">
        <v>34</v>
      </c>
      <c r="E213">
        <v>2</v>
      </c>
      <c r="F213" t="s">
        <v>58</v>
      </c>
      <c r="G213">
        <v>1</v>
      </c>
      <c r="H213">
        <v>1</v>
      </c>
      <c r="I213" t="s">
        <v>36</v>
      </c>
      <c r="J213">
        <v>4</v>
      </c>
      <c r="K213" t="s">
        <v>55</v>
      </c>
      <c r="L213">
        <v>1129</v>
      </c>
      <c r="M213">
        <v>1</v>
      </c>
      <c r="N213" t="s">
        <v>32</v>
      </c>
      <c r="O213">
        <v>11</v>
      </c>
      <c r="P213">
        <v>3</v>
      </c>
      <c r="Q213">
        <v>3</v>
      </c>
      <c r="R213">
        <v>1</v>
      </c>
      <c r="S213">
        <v>4</v>
      </c>
      <c r="T213">
        <v>1</v>
      </c>
      <c r="U213">
        <v>0</v>
      </c>
      <c r="V213">
        <v>0</v>
      </c>
      <c r="W213" t="s">
        <v>56</v>
      </c>
      <c r="X213" s="1" t="d">
        <v>2020-03-30</v>
      </c>
      <c r="Z213" t="s">
        <v>52</v>
      </c>
      <c r="AA213" t="s">
        <v>40</v>
      </c>
      <c r="AB213">
        <v>4</v>
      </c>
      <c r="AC213">
        <v>3</v>
      </c>
      <c r="AD213" t="s">
        <v>41</v>
      </c>
      <c r="AE213" t="s">
        <v>47</v>
      </c>
      <c r="AF213" t="s">
        <v>43</v>
      </c>
    </row>
    <row r="214" spans="1:32" x14ac:dyDescent="0.25">
      <c r="A214">
        <v>33</v>
      </c>
      <c r="B214" t="s">
        <v>41</v>
      </c>
      <c r="C214" t="s">
        <v>68</v>
      </c>
      <c r="D214" t="s">
        <v>34</v>
      </c>
      <c r="E214">
        <v>1</v>
      </c>
      <c r="F214" t="s">
        <v>35</v>
      </c>
      <c r="G214">
        <v>2</v>
      </c>
      <c r="H214">
        <v>1</v>
      </c>
      <c r="I214" t="s">
        <v>36</v>
      </c>
      <c r="J214">
        <v>3</v>
      </c>
      <c r="K214" t="s">
        <v>55</v>
      </c>
      <c r="L214">
        <v>2008</v>
      </c>
      <c r="M214">
        <v>1</v>
      </c>
      <c r="N214" t="s">
        <v>41</v>
      </c>
      <c r="O214">
        <v>12</v>
      </c>
      <c r="P214">
        <v>3</v>
      </c>
      <c r="Q214">
        <v>3</v>
      </c>
      <c r="R214">
        <v>1</v>
      </c>
      <c r="S214">
        <v>2</v>
      </c>
      <c r="T214">
        <v>1</v>
      </c>
      <c r="U214">
        <v>0</v>
      </c>
      <c r="V214">
        <v>0</v>
      </c>
      <c r="W214" t="s">
        <v>56</v>
      </c>
      <c r="X214" s="1" t="d">
        <v>2020-05-26</v>
      </c>
      <c r="Z214" t="s">
        <v>59</v>
      </c>
      <c r="AA214" t="s">
        <v>46</v>
      </c>
      <c r="AB214">
        <v>0</v>
      </c>
      <c r="AC214">
        <v>1</v>
      </c>
      <c r="AD214" t="s">
        <v>32</v>
      </c>
      <c r="AE214" t="s">
        <v>62</v>
      </c>
      <c r="AF214" t="s">
        <v>43</v>
      </c>
    </row>
    <row r="215" spans="1:32" x14ac:dyDescent="0.25">
      <c r="A215">
        <v>40</v>
      </c>
      <c r="B215" t="s">
        <v>41</v>
      </c>
      <c r="C215" t="s">
        <v>33</v>
      </c>
      <c r="D215" t="s">
        <v>34</v>
      </c>
      <c r="E215">
        <v>1</v>
      </c>
      <c r="F215" t="s">
        <v>35</v>
      </c>
      <c r="G215">
        <v>3</v>
      </c>
      <c r="H215">
        <v>1</v>
      </c>
      <c r="I215" t="s">
        <v>36</v>
      </c>
      <c r="J215">
        <v>4</v>
      </c>
      <c r="K215" t="s">
        <v>50</v>
      </c>
      <c r="L215">
        <v>2406</v>
      </c>
      <c r="M215">
        <v>8</v>
      </c>
      <c r="N215" t="s">
        <v>41</v>
      </c>
      <c r="O215">
        <v>19</v>
      </c>
      <c r="P215">
        <v>3</v>
      </c>
      <c r="Q215">
        <v>2</v>
      </c>
      <c r="R215">
        <v>8</v>
      </c>
      <c r="S215">
        <v>3</v>
      </c>
      <c r="T215">
        <v>1</v>
      </c>
      <c r="U215">
        <v>0</v>
      </c>
      <c r="V215">
        <v>0</v>
      </c>
      <c r="W215" t="s">
        <v>51</v>
      </c>
      <c r="X215" s="1" t="d">
        <v>2020-03-15</v>
      </c>
      <c r="Z215" t="s">
        <v>39</v>
      </c>
      <c r="AA215" t="s">
        <v>46</v>
      </c>
      <c r="AB215">
        <v>1</v>
      </c>
      <c r="AC215">
        <v>2</v>
      </c>
      <c r="AD215" t="s">
        <v>32</v>
      </c>
      <c r="AE215" t="s">
        <v>47</v>
      </c>
      <c r="AF215" t="s">
        <v>57</v>
      </c>
    </row>
    <row r="216" spans="1:32" x14ac:dyDescent="0.25">
      <c r="A216">
        <v>23</v>
      </c>
      <c r="B216" t="s">
        <v>32</v>
      </c>
      <c r="C216" t="s">
        <v>61</v>
      </c>
      <c r="D216" t="s">
        <v>53</v>
      </c>
      <c r="E216">
        <v>9</v>
      </c>
      <c r="F216" t="s">
        <v>35</v>
      </c>
      <c r="G216">
        <v>3</v>
      </c>
      <c r="H216">
        <v>1</v>
      </c>
      <c r="I216" t="s">
        <v>54</v>
      </c>
      <c r="J216">
        <v>1</v>
      </c>
      <c r="K216" t="s">
        <v>50</v>
      </c>
      <c r="L216">
        <v>1790</v>
      </c>
      <c r="M216">
        <v>1</v>
      </c>
      <c r="N216" t="s">
        <v>41</v>
      </c>
      <c r="O216">
        <v>19</v>
      </c>
      <c r="P216">
        <v>3</v>
      </c>
      <c r="Q216">
        <v>1</v>
      </c>
      <c r="R216">
        <v>1</v>
      </c>
      <c r="S216">
        <v>3</v>
      </c>
      <c r="T216">
        <v>1</v>
      </c>
      <c r="U216">
        <v>1</v>
      </c>
      <c r="V216">
        <v>0</v>
      </c>
      <c r="W216" t="s">
        <v>51</v>
      </c>
      <c r="X216" s="1" t="d">
        <v>2020-04-02</v>
      </c>
      <c r="Z216" t="s">
        <v>45</v>
      </c>
      <c r="AA216" t="s">
        <v>40</v>
      </c>
      <c r="AB216">
        <v>2</v>
      </c>
      <c r="AC216">
        <v>3</v>
      </c>
      <c r="AD216" t="s">
        <v>41</v>
      </c>
      <c r="AE216" t="s">
        <v>42</v>
      </c>
      <c r="AF216" t="s">
        <v>57</v>
      </c>
    </row>
    <row r="217" spans="1:32" x14ac:dyDescent="0.25">
      <c r="A217">
        <v>27</v>
      </c>
      <c r="B217" t="s">
        <v>41</v>
      </c>
      <c r="C217" t="s">
        <v>33</v>
      </c>
      <c r="D217" t="s">
        <v>34</v>
      </c>
      <c r="E217">
        <v>2</v>
      </c>
      <c r="F217" t="s">
        <v>35</v>
      </c>
      <c r="G217">
        <v>3</v>
      </c>
      <c r="H217">
        <v>1</v>
      </c>
      <c r="I217" t="s">
        <v>36</v>
      </c>
      <c r="J217">
        <v>2</v>
      </c>
      <c r="K217" t="s">
        <v>50</v>
      </c>
      <c r="L217">
        <v>3468</v>
      </c>
      <c r="M217">
        <v>9</v>
      </c>
      <c r="N217" t="s">
        <v>41</v>
      </c>
      <c r="O217">
        <v>12</v>
      </c>
      <c r="P217">
        <v>3</v>
      </c>
      <c r="Q217">
        <v>1</v>
      </c>
      <c r="R217">
        <v>6</v>
      </c>
      <c r="S217">
        <v>3</v>
      </c>
      <c r="T217">
        <v>2</v>
      </c>
      <c r="U217">
        <v>2</v>
      </c>
      <c r="V217">
        <v>2</v>
      </c>
      <c r="W217" t="s">
        <v>38</v>
      </c>
      <c r="X217" s="1" t="d">
        <v>2019-02-19</v>
      </c>
      <c r="Z217" t="s">
        <v>52</v>
      </c>
      <c r="AA217" t="s">
        <v>46</v>
      </c>
      <c r="AB217">
        <v>0</v>
      </c>
      <c r="AC217">
        <v>2</v>
      </c>
      <c r="AD217" t="s">
        <v>32</v>
      </c>
      <c r="AE217" t="s">
        <v>60</v>
      </c>
      <c r="AF217" t="s">
        <v>43</v>
      </c>
    </row>
    <row r="218" spans="1:32" x14ac:dyDescent="0.25">
      <c r="A218">
        <v>34</v>
      </c>
      <c r="B218" t="s">
        <v>41</v>
      </c>
      <c r="C218" t="s">
        <v>33</v>
      </c>
      <c r="D218" t="s">
        <v>34</v>
      </c>
      <c r="E218">
        <v>19</v>
      </c>
      <c r="F218" t="s">
        <v>35</v>
      </c>
      <c r="G218">
        <v>3</v>
      </c>
      <c r="H218">
        <v>1</v>
      </c>
      <c r="I218" t="s">
        <v>36</v>
      </c>
      <c r="J218">
        <v>4</v>
      </c>
      <c r="K218" t="s">
        <v>55</v>
      </c>
      <c r="L218">
        <v>2661</v>
      </c>
      <c r="M218">
        <v>0</v>
      </c>
      <c r="N218" t="s">
        <v>41</v>
      </c>
      <c r="O218">
        <v>11</v>
      </c>
      <c r="P218">
        <v>3</v>
      </c>
      <c r="Q218">
        <v>1</v>
      </c>
      <c r="R218">
        <v>3</v>
      </c>
      <c r="S218">
        <v>2</v>
      </c>
      <c r="T218">
        <v>2</v>
      </c>
      <c r="U218">
        <v>1</v>
      </c>
      <c r="V218">
        <v>2</v>
      </c>
      <c r="W218" t="s">
        <v>56</v>
      </c>
      <c r="X218" s="1" t="d">
        <v>2019-05-01</v>
      </c>
      <c r="Z218" t="s">
        <v>63</v>
      </c>
      <c r="AA218" t="s">
        <v>40</v>
      </c>
      <c r="AB218">
        <v>2</v>
      </c>
      <c r="AC218">
        <v>2</v>
      </c>
      <c r="AD218" t="s">
        <v>32</v>
      </c>
      <c r="AE218" t="s">
        <v>42</v>
      </c>
      <c r="AF218" t="s">
        <v>57</v>
      </c>
    </row>
    <row r="219" spans="1:32" x14ac:dyDescent="0.25">
      <c r="A219">
        <v>46</v>
      </c>
      <c r="B219" t="s">
        <v>41</v>
      </c>
      <c r="C219" t="s">
        <v>33</v>
      </c>
      <c r="D219" t="s">
        <v>53</v>
      </c>
      <c r="E219">
        <v>2</v>
      </c>
      <c r="F219" t="s">
        <v>58</v>
      </c>
      <c r="G219">
        <v>3</v>
      </c>
      <c r="H219">
        <v>5</v>
      </c>
      <c r="I219" t="s">
        <v>66</v>
      </c>
      <c r="J219">
        <v>1</v>
      </c>
      <c r="K219" t="s">
        <v>37</v>
      </c>
      <c r="L219">
        <v>18947</v>
      </c>
      <c r="M219">
        <v>3</v>
      </c>
      <c r="N219" t="s">
        <v>41</v>
      </c>
      <c r="O219">
        <v>12</v>
      </c>
      <c r="P219">
        <v>3</v>
      </c>
      <c r="Q219">
        <v>0</v>
      </c>
      <c r="R219">
        <v>22</v>
      </c>
      <c r="S219">
        <v>2</v>
      </c>
      <c r="T219">
        <v>2</v>
      </c>
      <c r="U219">
        <v>2</v>
      </c>
      <c r="V219">
        <v>1</v>
      </c>
      <c r="W219" t="s">
        <v>51</v>
      </c>
      <c r="X219" s="1" t="d">
        <v>2019-03-16</v>
      </c>
      <c r="Z219" t="s">
        <v>45</v>
      </c>
      <c r="AA219" t="s">
        <v>46</v>
      </c>
      <c r="AB219">
        <v>2</v>
      </c>
      <c r="AC219">
        <v>2</v>
      </c>
      <c r="AD219" t="s">
        <v>41</v>
      </c>
      <c r="AE219" t="s">
        <v>47</v>
      </c>
      <c r="AF219" t="s">
        <v>48</v>
      </c>
    </row>
    <row r="220" spans="1:32" x14ac:dyDescent="0.25">
      <c r="A220">
        <v>24</v>
      </c>
      <c r="B220" t="s">
        <v>32</v>
      </c>
      <c r="C220" t="s">
        <v>33</v>
      </c>
      <c r="D220" t="s">
        <v>34</v>
      </c>
      <c r="E220">
        <v>1</v>
      </c>
      <c r="F220" t="s">
        <v>35</v>
      </c>
      <c r="G220">
        <v>3</v>
      </c>
      <c r="H220">
        <v>1</v>
      </c>
      <c r="I220" t="s">
        <v>44</v>
      </c>
      <c r="J220">
        <v>4</v>
      </c>
      <c r="K220" t="s">
        <v>50</v>
      </c>
      <c r="L220">
        <v>2293</v>
      </c>
      <c r="M220">
        <v>2</v>
      </c>
      <c r="N220" t="s">
        <v>32</v>
      </c>
      <c r="O220">
        <v>16</v>
      </c>
      <c r="P220">
        <v>3</v>
      </c>
      <c r="Q220">
        <v>1</v>
      </c>
      <c r="R220">
        <v>6</v>
      </c>
      <c r="S220">
        <v>2</v>
      </c>
      <c r="T220">
        <v>2</v>
      </c>
      <c r="U220">
        <v>2</v>
      </c>
      <c r="V220">
        <v>0</v>
      </c>
      <c r="W220" t="s">
        <v>38</v>
      </c>
      <c r="X220" s="1" t="d">
        <v>2019-01-26</v>
      </c>
      <c r="Z220" t="s">
        <v>63</v>
      </c>
      <c r="AA220" t="s">
        <v>46</v>
      </c>
      <c r="AB220">
        <v>1</v>
      </c>
      <c r="AC220">
        <v>3</v>
      </c>
      <c r="AD220" t="s">
        <v>32</v>
      </c>
      <c r="AE220" t="s">
        <v>42</v>
      </c>
      <c r="AF220" t="s">
        <v>48</v>
      </c>
    </row>
    <row r="221" spans="1:32" x14ac:dyDescent="0.25">
      <c r="A221">
        <v>35</v>
      </c>
      <c r="B221" t="s">
        <v>41</v>
      </c>
      <c r="C221" t="s">
        <v>33</v>
      </c>
      <c r="D221" t="s">
        <v>53</v>
      </c>
      <c r="E221">
        <v>2</v>
      </c>
      <c r="F221" t="s">
        <v>58</v>
      </c>
      <c r="G221">
        <v>3</v>
      </c>
      <c r="H221">
        <v>1</v>
      </c>
      <c r="I221" t="s">
        <v>54</v>
      </c>
      <c r="J221">
        <v>4</v>
      </c>
      <c r="K221" t="s">
        <v>50</v>
      </c>
      <c r="L221">
        <v>2014</v>
      </c>
      <c r="M221">
        <v>1</v>
      </c>
      <c r="N221" t="s">
        <v>41</v>
      </c>
      <c r="O221">
        <v>13</v>
      </c>
      <c r="P221">
        <v>3</v>
      </c>
      <c r="Q221">
        <v>0</v>
      </c>
      <c r="R221">
        <v>2</v>
      </c>
      <c r="S221">
        <v>3</v>
      </c>
      <c r="T221">
        <v>2</v>
      </c>
      <c r="U221">
        <v>2</v>
      </c>
      <c r="V221">
        <v>2</v>
      </c>
      <c r="W221" t="s">
        <v>65</v>
      </c>
      <c r="X221" s="1" t="d">
        <v>2019-04-16</v>
      </c>
      <c r="Z221" t="s">
        <v>39</v>
      </c>
      <c r="AA221" t="s">
        <v>40</v>
      </c>
      <c r="AB221">
        <v>1</v>
      </c>
      <c r="AC221">
        <v>1</v>
      </c>
      <c r="AD221" t="s">
        <v>41</v>
      </c>
      <c r="AE221" t="s">
        <v>42</v>
      </c>
      <c r="AF221" t="s">
        <v>57</v>
      </c>
    </row>
    <row r="222" spans="1:32" x14ac:dyDescent="0.25">
      <c r="A222">
        <v>28</v>
      </c>
      <c r="B222" t="s">
        <v>32</v>
      </c>
      <c r="C222" t="s">
        <v>33</v>
      </c>
      <c r="D222" t="s">
        <v>34</v>
      </c>
      <c r="E222">
        <v>5</v>
      </c>
      <c r="F222" t="s">
        <v>35</v>
      </c>
      <c r="G222">
        <v>3</v>
      </c>
      <c r="H222">
        <v>1</v>
      </c>
      <c r="I222" t="s">
        <v>36</v>
      </c>
      <c r="J222">
        <v>3</v>
      </c>
      <c r="K222" t="s">
        <v>37</v>
      </c>
      <c r="L222">
        <v>3441</v>
      </c>
      <c r="M222">
        <v>1</v>
      </c>
      <c r="N222" t="s">
        <v>32</v>
      </c>
      <c r="O222">
        <v>13</v>
      </c>
      <c r="P222">
        <v>3</v>
      </c>
      <c r="Q222">
        <v>0</v>
      </c>
      <c r="R222">
        <v>2</v>
      </c>
      <c r="S222">
        <v>3</v>
      </c>
      <c r="T222">
        <v>2</v>
      </c>
      <c r="U222">
        <v>2</v>
      </c>
      <c r="V222">
        <v>2</v>
      </c>
      <c r="W222" t="s">
        <v>56</v>
      </c>
      <c r="X222" s="1" t="d">
        <v>2019-05-03</v>
      </c>
      <c r="Z222" t="s">
        <v>39</v>
      </c>
      <c r="AA222" t="s">
        <v>40</v>
      </c>
      <c r="AB222">
        <v>2</v>
      </c>
      <c r="AC222">
        <v>2</v>
      </c>
      <c r="AD222" t="s">
        <v>32</v>
      </c>
      <c r="AE222" t="s">
        <v>42</v>
      </c>
      <c r="AF222" t="s">
        <v>43</v>
      </c>
    </row>
    <row r="223" spans="1:32" x14ac:dyDescent="0.25">
      <c r="A223">
        <v>26</v>
      </c>
      <c r="B223" t="s">
        <v>41</v>
      </c>
      <c r="C223" t="s">
        <v>33</v>
      </c>
      <c r="D223" t="s">
        <v>53</v>
      </c>
      <c r="E223">
        <v>23</v>
      </c>
      <c r="F223" t="s">
        <v>58</v>
      </c>
      <c r="G223">
        <v>2</v>
      </c>
      <c r="H223">
        <v>2</v>
      </c>
      <c r="I223" t="s">
        <v>64</v>
      </c>
      <c r="J223">
        <v>4</v>
      </c>
      <c r="K223" t="s">
        <v>50</v>
      </c>
      <c r="L223">
        <v>4157</v>
      </c>
      <c r="M223">
        <v>7</v>
      </c>
      <c r="N223" t="s">
        <v>32</v>
      </c>
      <c r="O223">
        <v>19</v>
      </c>
      <c r="P223">
        <v>3</v>
      </c>
      <c r="Q223">
        <v>1</v>
      </c>
      <c r="R223">
        <v>5</v>
      </c>
      <c r="S223">
        <v>2</v>
      </c>
      <c r="T223">
        <v>2</v>
      </c>
      <c r="U223">
        <v>0</v>
      </c>
      <c r="V223">
        <v>0</v>
      </c>
      <c r="W223" t="s">
        <v>51</v>
      </c>
      <c r="X223" s="1" t="d">
        <v>2019-05-17</v>
      </c>
      <c r="Z223" t="s">
        <v>45</v>
      </c>
      <c r="AA223" t="s">
        <v>46</v>
      </c>
      <c r="AB223">
        <v>4</v>
      </c>
      <c r="AC223">
        <v>3</v>
      </c>
      <c r="AD223" t="s">
        <v>32</v>
      </c>
      <c r="AE223" t="s">
        <v>47</v>
      </c>
      <c r="AF223" t="s">
        <v>57</v>
      </c>
    </row>
    <row r="224" spans="1:32" x14ac:dyDescent="0.25">
      <c r="A224">
        <v>35</v>
      </c>
      <c r="B224" t="s">
        <v>41</v>
      </c>
      <c r="C224" t="s">
        <v>33</v>
      </c>
      <c r="D224" t="s">
        <v>34</v>
      </c>
      <c r="E224">
        <v>23</v>
      </c>
      <c r="F224" t="s">
        <v>58</v>
      </c>
      <c r="G224">
        <v>3</v>
      </c>
      <c r="H224">
        <v>1</v>
      </c>
      <c r="I224" t="s">
        <v>36</v>
      </c>
      <c r="J224">
        <v>1</v>
      </c>
      <c r="K224" t="s">
        <v>50</v>
      </c>
      <c r="L224">
        <v>4014</v>
      </c>
      <c r="M224">
        <v>3</v>
      </c>
      <c r="N224" t="s">
        <v>32</v>
      </c>
      <c r="O224">
        <v>15</v>
      </c>
      <c r="P224">
        <v>3</v>
      </c>
      <c r="Q224">
        <v>1</v>
      </c>
      <c r="R224">
        <v>4</v>
      </c>
      <c r="S224">
        <v>3</v>
      </c>
      <c r="T224">
        <v>2</v>
      </c>
      <c r="U224">
        <v>2</v>
      </c>
      <c r="V224">
        <v>2</v>
      </c>
      <c r="W224" t="s">
        <v>56</v>
      </c>
      <c r="X224" s="1" t="d">
        <v>2019-02-04</v>
      </c>
      <c r="Z224" t="s">
        <v>63</v>
      </c>
      <c r="AA224" t="s">
        <v>46</v>
      </c>
      <c r="AB224">
        <v>3</v>
      </c>
      <c r="AC224">
        <v>0</v>
      </c>
      <c r="AD224" t="s">
        <v>41</v>
      </c>
      <c r="AE224" t="s">
        <v>60</v>
      </c>
      <c r="AF224" t="s">
        <v>48</v>
      </c>
    </row>
    <row r="225" spans="1:32" x14ac:dyDescent="0.25">
      <c r="A225">
        <v>25</v>
      </c>
      <c r="B225" t="s">
        <v>41</v>
      </c>
      <c r="C225" t="s">
        <v>33</v>
      </c>
      <c r="D225" t="s">
        <v>34</v>
      </c>
      <c r="E225">
        <v>7</v>
      </c>
      <c r="F225" t="s">
        <v>35</v>
      </c>
      <c r="G225">
        <v>2</v>
      </c>
      <c r="H225">
        <v>1</v>
      </c>
      <c r="I225" t="s">
        <v>44</v>
      </c>
      <c r="J225">
        <v>4</v>
      </c>
      <c r="K225" t="s">
        <v>50</v>
      </c>
      <c r="L225">
        <v>2889</v>
      </c>
      <c r="M225">
        <v>1</v>
      </c>
      <c r="N225" t="s">
        <v>41</v>
      </c>
      <c r="O225">
        <v>11</v>
      </c>
      <c r="P225">
        <v>3</v>
      </c>
      <c r="Q225">
        <v>2</v>
      </c>
      <c r="R225">
        <v>2</v>
      </c>
      <c r="S225">
        <v>2</v>
      </c>
      <c r="T225">
        <v>2</v>
      </c>
      <c r="U225">
        <v>2</v>
      </c>
      <c r="V225">
        <v>1</v>
      </c>
      <c r="W225" t="s">
        <v>65</v>
      </c>
      <c r="X225" s="1" t="d">
        <v>2019-05-27</v>
      </c>
      <c r="Z225" t="s">
        <v>52</v>
      </c>
      <c r="AA225" t="s">
        <v>46</v>
      </c>
      <c r="AB225">
        <v>4</v>
      </c>
      <c r="AC225">
        <v>0</v>
      </c>
      <c r="AD225" t="s">
        <v>41</v>
      </c>
      <c r="AE225" t="s">
        <v>60</v>
      </c>
      <c r="AF225" t="s">
        <v>43</v>
      </c>
    </row>
    <row r="226" spans="1:32" x14ac:dyDescent="0.25">
      <c r="A226">
        <v>22</v>
      </c>
      <c r="B226" t="s">
        <v>41</v>
      </c>
      <c r="C226" t="s">
        <v>33</v>
      </c>
      <c r="D226" t="s">
        <v>34</v>
      </c>
      <c r="E226">
        <v>2</v>
      </c>
      <c r="F226" t="s">
        <v>35</v>
      </c>
      <c r="G226">
        <v>3</v>
      </c>
      <c r="H226">
        <v>1</v>
      </c>
      <c r="I226" t="s">
        <v>36</v>
      </c>
      <c r="J226">
        <v>4</v>
      </c>
      <c r="K226" t="s">
        <v>50</v>
      </c>
      <c r="L226">
        <v>2523</v>
      </c>
      <c r="M226">
        <v>0</v>
      </c>
      <c r="N226" t="s">
        <v>41</v>
      </c>
      <c r="O226">
        <v>14</v>
      </c>
      <c r="P226">
        <v>3</v>
      </c>
      <c r="Q226">
        <v>1</v>
      </c>
      <c r="R226">
        <v>3</v>
      </c>
      <c r="S226">
        <v>2</v>
      </c>
      <c r="T226">
        <v>2</v>
      </c>
      <c r="U226">
        <v>2</v>
      </c>
      <c r="V226">
        <v>1</v>
      </c>
      <c r="W226" t="s">
        <v>38</v>
      </c>
      <c r="X226" s="1" t="d">
        <v>2019-06-30</v>
      </c>
      <c r="Z226" t="s">
        <v>52</v>
      </c>
      <c r="AA226" t="s">
        <v>40</v>
      </c>
      <c r="AB226">
        <v>4</v>
      </c>
      <c r="AC226">
        <v>0</v>
      </c>
      <c r="AD226" t="s">
        <v>32</v>
      </c>
      <c r="AE226" t="s">
        <v>62</v>
      </c>
      <c r="AF226" t="s">
        <v>57</v>
      </c>
    </row>
    <row r="227" spans="1:32" x14ac:dyDescent="0.25">
      <c r="A227">
        <v>50</v>
      </c>
      <c r="B227" t="s">
        <v>41</v>
      </c>
      <c r="C227" t="s">
        <v>61</v>
      </c>
      <c r="D227" t="s">
        <v>53</v>
      </c>
      <c r="E227">
        <v>12</v>
      </c>
      <c r="F227" t="s">
        <v>58</v>
      </c>
      <c r="G227">
        <v>3</v>
      </c>
      <c r="H227">
        <v>3</v>
      </c>
      <c r="I227" t="s">
        <v>64</v>
      </c>
      <c r="J227">
        <v>4</v>
      </c>
      <c r="K227" t="s">
        <v>37</v>
      </c>
      <c r="L227">
        <v>9208</v>
      </c>
      <c r="M227">
        <v>4</v>
      </c>
      <c r="N227" t="s">
        <v>41</v>
      </c>
      <c r="O227">
        <v>11</v>
      </c>
      <c r="P227">
        <v>3</v>
      </c>
      <c r="Q227">
        <v>0</v>
      </c>
      <c r="R227">
        <v>16</v>
      </c>
      <c r="S227">
        <v>3</v>
      </c>
      <c r="T227">
        <v>2</v>
      </c>
      <c r="U227">
        <v>2</v>
      </c>
      <c r="V227">
        <v>1</v>
      </c>
      <c r="W227" t="s">
        <v>65</v>
      </c>
      <c r="X227" s="1" t="d">
        <v>2019-04-16</v>
      </c>
      <c r="Z227" t="s">
        <v>39</v>
      </c>
      <c r="AA227" t="s">
        <v>40</v>
      </c>
      <c r="AB227">
        <v>5</v>
      </c>
      <c r="AC227">
        <v>0</v>
      </c>
      <c r="AD227" t="s">
        <v>41</v>
      </c>
      <c r="AE227" t="s">
        <v>60</v>
      </c>
      <c r="AF227" t="s">
        <v>43</v>
      </c>
    </row>
    <row r="228" spans="1:32" x14ac:dyDescent="0.25">
      <c r="A228">
        <v>31</v>
      </c>
      <c r="B228" t="s">
        <v>32</v>
      </c>
      <c r="C228" t="s">
        <v>33</v>
      </c>
      <c r="D228" t="s">
        <v>53</v>
      </c>
      <c r="E228">
        <v>20</v>
      </c>
      <c r="F228" t="s">
        <v>58</v>
      </c>
      <c r="G228">
        <v>1</v>
      </c>
      <c r="H228">
        <v>2</v>
      </c>
      <c r="I228" t="s">
        <v>64</v>
      </c>
      <c r="J228">
        <v>3</v>
      </c>
      <c r="K228" t="s">
        <v>50</v>
      </c>
      <c r="L228">
        <v>4559</v>
      </c>
      <c r="M228">
        <v>3</v>
      </c>
      <c r="N228" t="s">
        <v>32</v>
      </c>
      <c r="O228">
        <v>11</v>
      </c>
      <c r="P228">
        <v>3</v>
      </c>
      <c r="Q228">
        <v>1</v>
      </c>
      <c r="R228">
        <v>4</v>
      </c>
      <c r="S228">
        <v>2</v>
      </c>
      <c r="T228">
        <v>2</v>
      </c>
      <c r="U228">
        <v>2</v>
      </c>
      <c r="V228">
        <v>2</v>
      </c>
      <c r="W228" t="s">
        <v>38</v>
      </c>
      <c r="X228" s="1" t="d">
        <v>2019-06-07</v>
      </c>
      <c r="Z228" t="s">
        <v>39</v>
      </c>
      <c r="AA228" t="s">
        <v>40</v>
      </c>
      <c r="AB228">
        <v>0</v>
      </c>
      <c r="AC228">
        <v>3</v>
      </c>
      <c r="AD228" t="s">
        <v>41</v>
      </c>
      <c r="AE228" t="s">
        <v>62</v>
      </c>
      <c r="AF228" t="s">
        <v>48</v>
      </c>
    </row>
    <row r="229" spans="1:32" x14ac:dyDescent="0.25">
      <c r="A229">
        <v>25</v>
      </c>
      <c r="B229" t="s">
        <v>41</v>
      </c>
      <c r="C229" t="s">
        <v>33</v>
      </c>
      <c r="D229" t="s">
        <v>53</v>
      </c>
      <c r="E229">
        <v>28</v>
      </c>
      <c r="F229" t="s">
        <v>35</v>
      </c>
      <c r="G229">
        <v>2</v>
      </c>
      <c r="H229">
        <v>2</v>
      </c>
      <c r="I229" t="s">
        <v>64</v>
      </c>
      <c r="J229">
        <v>3</v>
      </c>
      <c r="K229" t="s">
        <v>50</v>
      </c>
      <c r="L229">
        <v>8639</v>
      </c>
      <c r="M229">
        <v>2</v>
      </c>
      <c r="N229" t="s">
        <v>41</v>
      </c>
      <c r="O229">
        <v>18</v>
      </c>
      <c r="P229">
        <v>3</v>
      </c>
      <c r="Q229">
        <v>0</v>
      </c>
      <c r="R229">
        <v>6</v>
      </c>
      <c r="S229">
        <v>3</v>
      </c>
      <c r="T229">
        <v>2</v>
      </c>
      <c r="U229">
        <v>2</v>
      </c>
      <c r="V229">
        <v>2</v>
      </c>
      <c r="W229" t="s">
        <v>51</v>
      </c>
      <c r="X229" s="1" t="d">
        <v>2019-02-11</v>
      </c>
      <c r="Z229" t="s">
        <v>63</v>
      </c>
      <c r="AA229" t="s">
        <v>40</v>
      </c>
      <c r="AB229">
        <v>1</v>
      </c>
      <c r="AC229">
        <v>2</v>
      </c>
      <c r="AD229" t="s">
        <v>32</v>
      </c>
      <c r="AE229" t="s">
        <v>60</v>
      </c>
      <c r="AF229" t="s">
        <v>43</v>
      </c>
    </row>
    <row r="230" spans="1:32" x14ac:dyDescent="0.25">
      <c r="A230">
        <v>22</v>
      </c>
      <c r="B230" t="s">
        <v>41</v>
      </c>
      <c r="C230" t="s">
        <v>33</v>
      </c>
      <c r="D230" t="s">
        <v>34</v>
      </c>
      <c r="E230">
        <v>19</v>
      </c>
      <c r="F230" t="s">
        <v>35</v>
      </c>
      <c r="G230">
        <v>3</v>
      </c>
      <c r="H230">
        <v>1</v>
      </c>
      <c r="I230" t="s">
        <v>44</v>
      </c>
      <c r="J230">
        <v>4</v>
      </c>
      <c r="K230" t="s">
        <v>50</v>
      </c>
      <c r="L230">
        <v>2323</v>
      </c>
      <c r="M230">
        <v>1</v>
      </c>
      <c r="N230" t="s">
        <v>41</v>
      </c>
      <c r="O230">
        <v>24</v>
      </c>
      <c r="P230">
        <v>4</v>
      </c>
      <c r="Q230">
        <v>2</v>
      </c>
      <c r="R230">
        <v>2</v>
      </c>
      <c r="S230">
        <v>6</v>
      </c>
      <c r="T230">
        <v>2</v>
      </c>
      <c r="U230">
        <v>2</v>
      </c>
      <c r="V230">
        <v>2</v>
      </c>
      <c r="W230" t="s">
        <v>65</v>
      </c>
      <c r="X230" s="1" t="d">
        <v>2019-04-13</v>
      </c>
      <c r="Z230" t="s">
        <v>63</v>
      </c>
      <c r="AA230" t="s">
        <v>46</v>
      </c>
      <c r="AB230">
        <v>5</v>
      </c>
      <c r="AC230">
        <v>0</v>
      </c>
      <c r="AD230" t="s">
        <v>32</v>
      </c>
      <c r="AE230" t="s">
        <v>62</v>
      </c>
      <c r="AF230" t="s">
        <v>48</v>
      </c>
    </row>
    <row r="231" spans="1:32" x14ac:dyDescent="0.25">
      <c r="A231">
        <v>27</v>
      </c>
      <c r="B231" t="s">
        <v>41</v>
      </c>
      <c r="C231" t="s">
        <v>68</v>
      </c>
      <c r="D231" t="s">
        <v>34</v>
      </c>
      <c r="E231">
        <v>9</v>
      </c>
      <c r="F231" t="s">
        <v>35</v>
      </c>
      <c r="G231">
        <v>3</v>
      </c>
      <c r="H231">
        <v>1</v>
      </c>
      <c r="I231" t="s">
        <v>44</v>
      </c>
      <c r="J231">
        <v>2</v>
      </c>
      <c r="K231" t="s">
        <v>55</v>
      </c>
      <c r="L231">
        <v>2024</v>
      </c>
      <c r="M231">
        <v>6</v>
      </c>
      <c r="N231" t="s">
        <v>41</v>
      </c>
      <c r="O231">
        <v>18</v>
      </c>
      <c r="P231">
        <v>3</v>
      </c>
      <c r="Q231">
        <v>1</v>
      </c>
      <c r="R231">
        <v>6</v>
      </c>
      <c r="S231">
        <v>1</v>
      </c>
      <c r="T231">
        <v>2</v>
      </c>
      <c r="U231">
        <v>2</v>
      </c>
      <c r="V231">
        <v>2</v>
      </c>
      <c r="W231" t="s">
        <v>51</v>
      </c>
      <c r="X231" s="1" t="d">
        <v>2019-03-19</v>
      </c>
      <c r="Z231" t="s">
        <v>52</v>
      </c>
      <c r="AA231" t="s">
        <v>40</v>
      </c>
      <c r="AB231">
        <v>4</v>
      </c>
      <c r="AC231">
        <v>1</v>
      </c>
      <c r="AD231" t="s">
        <v>41</v>
      </c>
      <c r="AE231" t="s">
        <v>60</v>
      </c>
      <c r="AF231" t="s">
        <v>43</v>
      </c>
    </row>
    <row r="232" spans="1:32" x14ac:dyDescent="0.25">
      <c r="A232">
        <v>56</v>
      </c>
      <c r="B232" t="s">
        <v>41</v>
      </c>
      <c r="C232" t="s">
        <v>33</v>
      </c>
      <c r="D232" t="s">
        <v>34</v>
      </c>
      <c r="E232">
        <v>8</v>
      </c>
      <c r="F232" t="s">
        <v>58</v>
      </c>
      <c r="G232">
        <v>3</v>
      </c>
      <c r="H232">
        <v>1</v>
      </c>
      <c r="I232" t="s">
        <v>44</v>
      </c>
      <c r="J232">
        <v>1</v>
      </c>
      <c r="K232" t="s">
        <v>55</v>
      </c>
      <c r="L232">
        <v>4257</v>
      </c>
      <c r="M232">
        <v>4</v>
      </c>
      <c r="N232" t="s">
        <v>32</v>
      </c>
      <c r="O232">
        <v>18</v>
      </c>
      <c r="P232">
        <v>3</v>
      </c>
      <c r="Q232">
        <v>1</v>
      </c>
      <c r="R232">
        <v>19</v>
      </c>
      <c r="S232">
        <v>3</v>
      </c>
      <c r="T232">
        <v>2</v>
      </c>
      <c r="U232">
        <v>2</v>
      </c>
      <c r="V232">
        <v>2</v>
      </c>
      <c r="W232" t="s">
        <v>38</v>
      </c>
      <c r="X232" s="1" t="d">
        <v>2019-04-27</v>
      </c>
      <c r="Z232" t="s">
        <v>52</v>
      </c>
      <c r="AA232" t="s">
        <v>40</v>
      </c>
      <c r="AB232">
        <v>1</v>
      </c>
      <c r="AC232">
        <v>1</v>
      </c>
      <c r="AD232" t="s">
        <v>41</v>
      </c>
      <c r="AE232" t="s">
        <v>47</v>
      </c>
      <c r="AF232" t="s">
        <v>48</v>
      </c>
    </row>
    <row r="233" spans="1:32" x14ac:dyDescent="0.25">
      <c r="A233">
        <v>38</v>
      </c>
      <c r="B233" t="s">
        <v>41</v>
      </c>
      <c r="C233" t="s">
        <v>33</v>
      </c>
      <c r="D233" t="s">
        <v>34</v>
      </c>
      <c r="E233">
        <v>9</v>
      </c>
      <c r="F233" t="s">
        <v>58</v>
      </c>
      <c r="G233">
        <v>3</v>
      </c>
      <c r="H233">
        <v>1</v>
      </c>
      <c r="I233" t="s">
        <v>36</v>
      </c>
      <c r="J233">
        <v>4</v>
      </c>
      <c r="K233" t="s">
        <v>37</v>
      </c>
      <c r="L233">
        <v>2288</v>
      </c>
      <c r="M233">
        <v>1</v>
      </c>
      <c r="N233" t="s">
        <v>41</v>
      </c>
      <c r="O233">
        <v>12</v>
      </c>
      <c r="P233">
        <v>3</v>
      </c>
      <c r="Q233">
        <v>0</v>
      </c>
      <c r="R233">
        <v>2</v>
      </c>
      <c r="S233">
        <v>3</v>
      </c>
      <c r="T233">
        <v>2</v>
      </c>
      <c r="U233">
        <v>2</v>
      </c>
      <c r="V233">
        <v>1</v>
      </c>
      <c r="W233" t="s">
        <v>51</v>
      </c>
      <c r="X233" s="1" t="d">
        <v>2019-06-28</v>
      </c>
      <c r="Z233" t="s">
        <v>63</v>
      </c>
      <c r="AA233" t="s">
        <v>46</v>
      </c>
      <c r="AB233">
        <v>5</v>
      </c>
      <c r="AC233">
        <v>1</v>
      </c>
      <c r="AD233" t="s">
        <v>32</v>
      </c>
      <c r="AE233" t="s">
        <v>47</v>
      </c>
      <c r="AF233" t="s">
        <v>57</v>
      </c>
    </row>
    <row r="234" spans="1:32" x14ac:dyDescent="0.25">
      <c r="A234">
        <v>27</v>
      </c>
      <c r="B234" t="s">
        <v>41</v>
      </c>
      <c r="C234" t="s">
        <v>61</v>
      </c>
      <c r="D234" t="s">
        <v>34</v>
      </c>
      <c r="E234">
        <v>1</v>
      </c>
      <c r="F234" t="s">
        <v>35</v>
      </c>
      <c r="G234">
        <v>2</v>
      </c>
      <c r="H234">
        <v>2</v>
      </c>
      <c r="I234" t="s">
        <v>67</v>
      </c>
      <c r="J234">
        <v>1</v>
      </c>
      <c r="K234" t="s">
        <v>50</v>
      </c>
      <c r="L234">
        <v>4298</v>
      </c>
      <c r="M234">
        <v>5</v>
      </c>
      <c r="N234" t="s">
        <v>41</v>
      </c>
      <c r="O234">
        <v>19</v>
      </c>
      <c r="P234">
        <v>3</v>
      </c>
      <c r="Q234">
        <v>1</v>
      </c>
      <c r="R234">
        <v>6</v>
      </c>
      <c r="S234">
        <v>1</v>
      </c>
      <c r="T234">
        <v>2</v>
      </c>
      <c r="U234">
        <v>2</v>
      </c>
      <c r="V234">
        <v>0</v>
      </c>
      <c r="W234" t="s">
        <v>51</v>
      </c>
      <c r="X234" s="1" t="d">
        <v>2019-05-05</v>
      </c>
      <c r="Z234" t="s">
        <v>45</v>
      </c>
      <c r="AA234" t="s">
        <v>46</v>
      </c>
      <c r="AB234">
        <v>4</v>
      </c>
      <c r="AC234">
        <v>3</v>
      </c>
      <c r="AD234" t="s">
        <v>32</v>
      </c>
      <c r="AE234" t="s">
        <v>62</v>
      </c>
      <c r="AF234" t="s">
        <v>43</v>
      </c>
    </row>
    <row r="235" spans="1:32" x14ac:dyDescent="0.25">
      <c r="A235">
        <v>52</v>
      </c>
      <c r="B235" t="s">
        <v>41</v>
      </c>
      <c r="C235" t="s">
        <v>33</v>
      </c>
      <c r="D235" t="s">
        <v>34</v>
      </c>
      <c r="E235">
        <v>2</v>
      </c>
      <c r="F235" t="s">
        <v>58</v>
      </c>
      <c r="G235">
        <v>2</v>
      </c>
      <c r="H235">
        <v>1</v>
      </c>
      <c r="I235" t="s">
        <v>36</v>
      </c>
      <c r="J235">
        <v>4</v>
      </c>
      <c r="K235" t="s">
        <v>37</v>
      </c>
      <c r="L235">
        <v>3212</v>
      </c>
      <c r="M235">
        <v>7</v>
      </c>
      <c r="N235" t="s">
        <v>41</v>
      </c>
      <c r="O235">
        <v>15</v>
      </c>
      <c r="P235">
        <v>3</v>
      </c>
      <c r="Q235">
        <v>0</v>
      </c>
      <c r="R235">
        <v>6</v>
      </c>
      <c r="S235">
        <v>3</v>
      </c>
      <c r="T235">
        <v>2</v>
      </c>
      <c r="U235">
        <v>2</v>
      </c>
      <c r="V235">
        <v>2</v>
      </c>
      <c r="W235" t="s">
        <v>51</v>
      </c>
      <c r="X235" s="1" t="d">
        <v>2019-03-02</v>
      </c>
      <c r="Z235" t="s">
        <v>52</v>
      </c>
      <c r="AA235" t="s">
        <v>46</v>
      </c>
      <c r="AB235">
        <v>2</v>
      </c>
      <c r="AC235">
        <v>3</v>
      </c>
      <c r="AD235" t="s">
        <v>32</v>
      </c>
      <c r="AE235" t="s">
        <v>60</v>
      </c>
      <c r="AF235" t="s">
        <v>43</v>
      </c>
    </row>
    <row r="236" spans="1:32" x14ac:dyDescent="0.25">
      <c r="A236">
        <v>59</v>
      </c>
      <c r="B236" t="s">
        <v>41</v>
      </c>
      <c r="C236" t="s">
        <v>33</v>
      </c>
      <c r="D236" t="s">
        <v>70</v>
      </c>
      <c r="E236">
        <v>6</v>
      </c>
      <c r="F236" t="s">
        <v>35</v>
      </c>
      <c r="G236">
        <v>3</v>
      </c>
      <c r="H236">
        <v>1</v>
      </c>
      <c r="I236" t="s">
        <v>70</v>
      </c>
      <c r="J236">
        <v>3</v>
      </c>
      <c r="K236" t="s">
        <v>50</v>
      </c>
      <c r="L236">
        <v>2267</v>
      </c>
      <c r="M236">
        <v>8</v>
      </c>
      <c r="N236" t="s">
        <v>41</v>
      </c>
      <c r="O236">
        <v>17</v>
      </c>
      <c r="P236">
        <v>3</v>
      </c>
      <c r="Q236">
        <v>0</v>
      </c>
      <c r="R236">
        <v>7</v>
      </c>
      <c r="S236">
        <v>2</v>
      </c>
      <c r="T236">
        <v>2</v>
      </c>
      <c r="U236">
        <v>2</v>
      </c>
      <c r="V236">
        <v>2</v>
      </c>
      <c r="W236" t="s">
        <v>65</v>
      </c>
      <c r="X236" s="1" t="d">
        <v>2019-01-11</v>
      </c>
      <c r="Z236" t="s">
        <v>45</v>
      </c>
      <c r="AA236" t="s">
        <v>40</v>
      </c>
      <c r="AB236">
        <v>2</v>
      </c>
      <c r="AC236">
        <v>3</v>
      </c>
      <c r="AD236" t="s">
        <v>32</v>
      </c>
      <c r="AE236" t="s">
        <v>62</v>
      </c>
      <c r="AF236" t="s">
        <v>43</v>
      </c>
    </row>
    <row r="237" spans="1:32" x14ac:dyDescent="0.25">
      <c r="A237">
        <v>31</v>
      </c>
      <c r="B237" t="s">
        <v>41</v>
      </c>
      <c r="C237" t="s">
        <v>61</v>
      </c>
      <c r="D237" t="s">
        <v>34</v>
      </c>
      <c r="E237">
        <v>3</v>
      </c>
      <c r="F237" t="s">
        <v>35</v>
      </c>
      <c r="G237">
        <v>3</v>
      </c>
      <c r="H237">
        <v>3</v>
      </c>
      <c r="I237" t="s">
        <v>49</v>
      </c>
      <c r="J237">
        <v>3</v>
      </c>
      <c r="K237" t="s">
        <v>55</v>
      </c>
      <c r="L237">
        <v>13675</v>
      </c>
      <c r="M237">
        <v>9</v>
      </c>
      <c r="N237" t="s">
        <v>41</v>
      </c>
      <c r="O237">
        <v>12</v>
      </c>
      <c r="P237">
        <v>3</v>
      </c>
      <c r="Q237">
        <v>1</v>
      </c>
      <c r="R237">
        <v>9</v>
      </c>
      <c r="S237">
        <v>3</v>
      </c>
      <c r="T237">
        <v>2</v>
      </c>
      <c r="U237">
        <v>2</v>
      </c>
      <c r="V237">
        <v>2</v>
      </c>
      <c r="W237" t="s">
        <v>65</v>
      </c>
      <c r="X237" s="1" t="d">
        <v>2019-04-22</v>
      </c>
      <c r="Z237" t="s">
        <v>52</v>
      </c>
      <c r="AA237" t="s">
        <v>46</v>
      </c>
      <c r="AB237">
        <v>1</v>
      </c>
      <c r="AC237">
        <v>3</v>
      </c>
      <c r="AD237" t="s">
        <v>41</v>
      </c>
      <c r="AE237" t="s">
        <v>60</v>
      </c>
      <c r="AF237" t="s">
        <v>43</v>
      </c>
    </row>
    <row r="238" spans="1:32" x14ac:dyDescent="0.25">
      <c r="A238">
        <v>33</v>
      </c>
      <c r="B238" t="s">
        <v>41</v>
      </c>
      <c r="C238" t="s">
        <v>33</v>
      </c>
      <c r="D238" t="s">
        <v>34</v>
      </c>
      <c r="E238">
        <v>5</v>
      </c>
      <c r="F238" t="s">
        <v>58</v>
      </c>
      <c r="G238">
        <v>2</v>
      </c>
      <c r="H238">
        <v>1</v>
      </c>
      <c r="I238" t="s">
        <v>44</v>
      </c>
      <c r="J238">
        <v>4</v>
      </c>
      <c r="K238" t="s">
        <v>50</v>
      </c>
      <c r="L238">
        <v>2911</v>
      </c>
      <c r="M238">
        <v>1</v>
      </c>
      <c r="N238" t="s">
        <v>41</v>
      </c>
      <c r="O238">
        <v>13</v>
      </c>
      <c r="P238">
        <v>3</v>
      </c>
      <c r="Q238">
        <v>1</v>
      </c>
      <c r="R238">
        <v>2</v>
      </c>
      <c r="S238">
        <v>2</v>
      </c>
      <c r="T238">
        <v>2</v>
      </c>
      <c r="U238">
        <v>0</v>
      </c>
      <c r="V238">
        <v>2</v>
      </c>
      <c r="W238" t="s">
        <v>51</v>
      </c>
      <c r="X238" s="1" t="d">
        <v>2019-06-07</v>
      </c>
      <c r="Z238" t="s">
        <v>59</v>
      </c>
      <c r="AA238" t="s">
        <v>46</v>
      </c>
      <c r="AB238">
        <v>4</v>
      </c>
      <c r="AC238">
        <v>2</v>
      </c>
      <c r="AD238" t="s">
        <v>32</v>
      </c>
      <c r="AE238" t="s">
        <v>47</v>
      </c>
      <c r="AF238" t="s">
        <v>48</v>
      </c>
    </row>
    <row r="239" spans="1:32" x14ac:dyDescent="0.25">
      <c r="A239">
        <v>38</v>
      </c>
      <c r="B239" t="s">
        <v>41</v>
      </c>
      <c r="C239" t="s">
        <v>33</v>
      </c>
      <c r="D239" t="s">
        <v>34</v>
      </c>
      <c r="E239">
        <v>23</v>
      </c>
      <c r="F239" t="s">
        <v>35</v>
      </c>
      <c r="G239">
        <v>3</v>
      </c>
      <c r="H239">
        <v>2</v>
      </c>
      <c r="I239" t="s">
        <v>69</v>
      </c>
      <c r="J239">
        <v>4</v>
      </c>
      <c r="K239" t="s">
        <v>55</v>
      </c>
      <c r="L239">
        <v>5745</v>
      </c>
      <c r="M239">
        <v>9</v>
      </c>
      <c r="N239" t="s">
        <v>41</v>
      </c>
      <c r="O239">
        <v>14</v>
      </c>
      <c r="P239">
        <v>3</v>
      </c>
      <c r="Q239">
        <v>1</v>
      </c>
      <c r="R239">
        <v>10</v>
      </c>
      <c r="S239">
        <v>2</v>
      </c>
      <c r="T239">
        <v>2</v>
      </c>
      <c r="U239">
        <v>1</v>
      </c>
      <c r="V239">
        <v>2</v>
      </c>
      <c r="W239" t="s">
        <v>65</v>
      </c>
      <c r="X239" s="1" t="d">
        <v>2019-01-24</v>
      </c>
      <c r="Z239" t="s">
        <v>59</v>
      </c>
      <c r="AA239" t="s">
        <v>40</v>
      </c>
      <c r="AB239">
        <v>5</v>
      </c>
      <c r="AC239">
        <v>2</v>
      </c>
      <c r="AD239" t="s">
        <v>32</v>
      </c>
      <c r="AE239" t="s">
        <v>62</v>
      </c>
      <c r="AF239" t="s">
        <v>57</v>
      </c>
    </row>
    <row r="240" spans="1:32" x14ac:dyDescent="0.25">
      <c r="A240">
        <v>31</v>
      </c>
      <c r="B240" t="s">
        <v>41</v>
      </c>
      <c r="C240" t="s">
        <v>61</v>
      </c>
      <c r="D240" t="s">
        <v>53</v>
      </c>
      <c r="E240">
        <v>5</v>
      </c>
      <c r="F240" t="s">
        <v>58</v>
      </c>
      <c r="G240">
        <v>3</v>
      </c>
      <c r="H240">
        <v>1</v>
      </c>
      <c r="I240" t="s">
        <v>54</v>
      </c>
      <c r="J240">
        <v>2</v>
      </c>
      <c r="K240" t="s">
        <v>55</v>
      </c>
      <c r="L240">
        <v>2789</v>
      </c>
      <c r="M240">
        <v>1</v>
      </c>
      <c r="N240" t="s">
        <v>41</v>
      </c>
      <c r="O240">
        <v>11</v>
      </c>
      <c r="P240">
        <v>3</v>
      </c>
      <c r="Q240">
        <v>1</v>
      </c>
      <c r="R240">
        <v>2</v>
      </c>
      <c r="S240">
        <v>5</v>
      </c>
      <c r="T240">
        <v>2</v>
      </c>
      <c r="U240">
        <v>2</v>
      </c>
      <c r="V240">
        <v>2</v>
      </c>
      <c r="W240" t="s">
        <v>65</v>
      </c>
      <c r="X240" s="1" t="d">
        <v>2019-01-01</v>
      </c>
      <c r="Z240" t="s">
        <v>45</v>
      </c>
      <c r="AA240" t="s">
        <v>46</v>
      </c>
      <c r="AB240">
        <v>0</v>
      </c>
      <c r="AC240">
        <v>2</v>
      </c>
      <c r="AD240" t="s">
        <v>41</v>
      </c>
      <c r="AE240" t="s">
        <v>47</v>
      </c>
      <c r="AF240" t="s">
        <v>57</v>
      </c>
    </row>
    <row r="241" spans="1:32" x14ac:dyDescent="0.25">
      <c r="A241">
        <v>31</v>
      </c>
      <c r="B241" t="s">
        <v>41</v>
      </c>
      <c r="C241" t="s">
        <v>33</v>
      </c>
      <c r="D241" t="s">
        <v>70</v>
      </c>
      <c r="E241">
        <v>2</v>
      </c>
      <c r="F241" t="s">
        <v>35</v>
      </c>
      <c r="G241">
        <v>2</v>
      </c>
      <c r="H241">
        <v>2</v>
      </c>
      <c r="I241" t="s">
        <v>70</v>
      </c>
      <c r="J241">
        <v>1</v>
      </c>
      <c r="K241" t="s">
        <v>50</v>
      </c>
      <c r="L241">
        <v>6410</v>
      </c>
      <c r="M241">
        <v>3</v>
      </c>
      <c r="N241" t="s">
        <v>41</v>
      </c>
      <c r="O241">
        <v>12</v>
      </c>
      <c r="P241">
        <v>3</v>
      </c>
      <c r="Q241">
        <v>0</v>
      </c>
      <c r="R241">
        <v>9</v>
      </c>
      <c r="S241">
        <v>1</v>
      </c>
      <c r="T241">
        <v>2</v>
      </c>
      <c r="U241">
        <v>1</v>
      </c>
      <c r="V241">
        <v>0</v>
      </c>
      <c r="W241" t="s">
        <v>38</v>
      </c>
      <c r="X241" s="1" t="d">
        <v>2019-02-19</v>
      </c>
      <c r="Z241" t="s">
        <v>39</v>
      </c>
      <c r="AA241" t="s">
        <v>40</v>
      </c>
      <c r="AB241">
        <v>1</v>
      </c>
      <c r="AC241">
        <v>1</v>
      </c>
      <c r="AD241" t="s">
        <v>32</v>
      </c>
      <c r="AE241" t="s">
        <v>60</v>
      </c>
      <c r="AF241" t="s">
        <v>43</v>
      </c>
    </row>
    <row r="242" spans="1:32" x14ac:dyDescent="0.25">
      <c r="A242">
        <v>31</v>
      </c>
      <c r="B242" t="s">
        <v>41</v>
      </c>
      <c r="C242" t="s">
        <v>33</v>
      </c>
      <c r="D242" t="s">
        <v>34</v>
      </c>
      <c r="E242">
        <v>2</v>
      </c>
      <c r="F242" t="s">
        <v>35</v>
      </c>
      <c r="G242">
        <v>3</v>
      </c>
      <c r="H242">
        <v>1</v>
      </c>
      <c r="I242" t="s">
        <v>44</v>
      </c>
      <c r="J242">
        <v>4</v>
      </c>
      <c r="K242" t="s">
        <v>55</v>
      </c>
      <c r="L242">
        <v>2695</v>
      </c>
      <c r="M242">
        <v>0</v>
      </c>
      <c r="N242" t="s">
        <v>32</v>
      </c>
      <c r="O242">
        <v>18</v>
      </c>
      <c r="P242">
        <v>3</v>
      </c>
      <c r="Q242">
        <v>1</v>
      </c>
      <c r="R242">
        <v>3</v>
      </c>
      <c r="S242">
        <v>2</v>
      </c>
      <c r="T242">
        <v>2</v>
      </c>
      <c r="U242">
        <v>2</v>
      </c>
      <c r="V242">
        <v>2</v>
      </c>
      <c r="W242" t="s">
        <v>38</v>
      </c>
      <c r="X242" s="1" t="d">
        <v>2019-03-08</v>
      </c>
      <c r="Z242" t="s">
        <v>59</v>
      </c>
      <c r="AA242" t="s">
        <v>46</v>
      </c>
      <c r="AB242">
        <v>2</v>
      </c>
      <c r="AC242">
        <v>3</v>
      </c>
      <c r="AD242" t="s">
        <v>32</v>
      </c>
      <c r="AE242" t="s">
        <v>42</v>
      </c>
      <c r="AF242" t="s">
        <v>48</v>
      </c>
    </row>
    <row r="243" spans="1:32" x14ac:dyDescent="0.25">
      <c r="A243">
        <v>30</v>
      </c>
      <c r="B243" t="s">
        <v>41</v>
      </c>
      <c r="C243" t="s">
        <v>68</v>
      </c>
      <c r="D243" t="s">
        <v>53</v>
      </c>
      <c r="E243">
        <v>25</v>
      </c>
      <c r="F243" t="s">
        <v>58</v>
      </c>
      <c r="G243">
        <v>3</v>
      </c>
      <c r="H243">
        <v>2</v>
      </c>
      <c r="I243" t="s">
        <v>64</v>
      </c>
      <c r="J243">
        <v>3</v>
      </c>
      <c r="K243" t="s">
        <v>50</v>
      </c>
      <c r="L243">
        <v>4736</v>
      </c>
      <c r="M243">
        <v>7</v>
      </c>
      <c r="N243" t="s">
        <v>32</v>
      </c>
      <c r="O243">
        <v>12</v>
      </c>
      <c r="P243">
        <v>3</v>
      </c>
      <c r="Q243">
        <v>1</v>
      </c>
      <c r="R243">
        <v>4</v>
      </c>
      <c r="S243">
        <v>2</v>
      </c>
      <c r="T243">
        <v>2</v>
      </c>
      <c r="U243">
        <v>2</v>
      </c>
      <c r="V243">
        <v>2</v>
      </c>
      <c r="W243" t="s">
        <v>51</v>
      </c>
      <c r="X243" s="1" t="d">
        <v>2019-06-29</v>
      </c>
      <c r="Z243" t="s">
        <v>52</v>
      </c>
      <c r="AA243" t="s">
        <v>40</v>
      </c>
      <c r="AB243">
        <v>0</v>
      </c>
      <c r="AC243">
        <v>3</v>
      </c>
      <c r="AD243" t="s">
        <v>41</v>
      </c>
      <c r="AE243" t="s">
        <v>62</v>
      </c>
      <c r="AF243" t="s">
        <v>48</v>
      </c>
    </row>
    <row r="244" spans="1:32" x14ac:dyDescent="0.25">
      <c r="A244">
        <v>31</v>
      </c>
      <c r="B244" t="s">
        <v>41</v>
      </c>
      <c r="C244" t="s">
        <v>33</v>
      </c>
      <c r="D244" t="s">
        <v>34</v>
      </c>
      <c r="E244">
        <v>9</v>
      </c>
      <c r="F244" t="s">
        <v>35</v>
      </c>
      <c r="G244">
        <v>2</v>
      </c>
      <c r="H244">
        <v>1</v>
      </c>
      <c r="I244" t="s">
        <v>44</v>
      </c>
      <c r="J244">
        <v>2</v>
      </c>
      <c r="K244" t="s">
        <v>37</v>
      </c>
      <c r="L244">
        <v>2657</v>
      </c>
      <c r="M244">
        <v>0</v>
      </c>
      <c r="N244" t="s">
        <v>32</v>
      </c>
      <c r="O244">
        <v>16</v>
      </c>
      <c r="P244">
        <v>3</v>
      </c>
      <c r="Q244">
        <v>0</v>
      </c>
      <c r="R244">
        <v>3</v>
      </c>
      <c r="S244">
        <v>5</v>
      </c>
      <c r="T244">
        <v>2</v>
      </c>
      <c r="U244">
        <v>2</v>
      </c>
      <c r="V244">
        <v>2</v>
      </c>
      <c r="W244" t="s">
        <v>51</v>
      </c>
      <c r="X244" s="1" t="d">
        <v>2019-03-16</v>
      </c>
      <c r="Z244" t="s">
        <v>39</v>
      </c>
      <c r="AA244" t="s">
        <v>46</v>
      </c>
      <c r="AB244">
        <v>5</v>
      </c>
      <c r="AC244">
        <v>2</v>
      </c>
      <c r="AD244" t="s">
        <v>32</v>
      </c>
      <c r="AE244" t="s">
        <v>47</v>
      </c>
      <c r="AF244" t="s">
        <v>48</v>
      </c>
    </row>
    <row r="245" spans="1:32" x14ac:dyDescent="0.25">
      <c r="A245">
        <v>36</v>
      </c>
      <c r="B245" t="s">
        <v>41</v>
      </c>
      <c r="C245" t="s">
        <v>33</v>
      </c>
      <c r="D245" t="s">
        <v>34</v>
      </c>
      <c r="E245">
        <v>2</v>
      </c>
      <c r="F245" t="s">
        <v>58</v>
      </c>
      <c r="G245">
        <v>3</v>
      </c>
      <c r="H245">
        <v>1</v>
      </c>
      <c r="I245" t="s">
        <v>44</v>
      </c>
      <c r="J245">
        <v>3</v>
      </c>
      <c r="K245" t="s">
        <v>50</v>
      </c>
      <c r="L245">
        <v>2543</v>
      </c>
      <c r="M245">
        <v>4</v>
      </c>
      <c r="N245" t="s">
        <v>41</v>
      </c>
      <c r="O245">
        <v>13</v>
      </c>
      <c r="P245">
        <v>3</v>
      </c>
      <c r="Q245">
        <v>1</v>
      </c>
      <c r="R245">
        <v>6</v>
      </c>
      <c r="S245">
        <v>3</v>
      </c>
      <c r="T245">
        <v>2</v>
      </c>
      <c r="U245">
        <v>2</v>
      </c>
      <c r="V245">
        <v>2</v>
      </c>
      <c r="W245" t="s">
        <v>51</v>
      </c>
      <c r="X245" s="1" t="d">
        <v>2019-05-21</v>
      </c>
      <c r="Z245" t="s">
        <v>59</v>
      </c>
      <c r="AA245" t="s">
        <v>40</v>
      </c>
      <c r="AB245">
        <v>4</v>
      </c>
      <c r="AC245">
        <v>3</v>
      </c>
      <c r="AD245" t="s">
        <v>32</v>
      </c>
      <c r="AE245" t="s">
        <v>47</v>
      </c>
      <c r="AF245" t="s">
        <v>43</v>
      </c>
    </row>
    <row r="246" spans="1:32" x14ac:dyDescent="0.25">
      <c r="A246">
        <v>22</v>
      </c>
      <c r="B246" t="s">
        <v>41</v>
      </c>
      <c r="C246" t="s">
        <v>33</v>
      </c>
      <c r="D246" t="s">
        <v>34</v>
      </c>
      <c r="E246">
        <v>11</v>
      </c>
      <c r="F246" t="s">
        <v>58</v>
      </c>
      <c r="G246">
        <v>3</v>
      </c>
      <c r="H246">
        <v>1</v>
      </c>
      <c r="I246" t="s">
        <v>44</v>
      </c>
      <c r="J246">
        <v>2</v>
      </c>
      <c r="K246" t="s">
        <v>50</v>
      </c>
      <c r="L246">
        <v>2244</v>
      </c>
      <c r="M246">
        <v>1</v>
      </c>
      <c r="N246" t="s">
        <v>41</v>
      </c>
      <c r="O246">
        <v>13</v>
      </c>
      <c r="P246">
        <v>3</v>
      </c>
      <c r="Q246">
        <v>1</v>
      </c>
      <c r="R246">
        <v>2</v>
      </c>
      <c r="S246">
        <v>1</v>
      </c>
      <c r="T246">
        <v>2</v>
      </c>
      <c r="U246">
        <v>1</v>
      </c>
      <c r="V246">
        <v>2</v>
      </c>
      <c r="W246" t="s">
        <v>56</v>
      </c>
      <c r="X246" s="1" t="d">
        <v>2019-06-03</v>
      </c>
      <c r="Z246" t="s">
        <v>39</v>
      </c>
      <c r="AA246" t="s">
        <v>40</v>
      </c>
      <c r="AB246">
        <v>4</v>
      </c>
      <c r="AC246">
        <v>2</v>
      </c>
      <c r="AD246" t="s">
        <v>32</v>
      </c>
      <c r="AE246" t="s">
        <v>42</v>
      </c>
      <c r="AF246" t="s">
        <v>43</v>
      </c>
    </row>
    <row r="247" spans="1:32" x14ac:dyDescent="0.25">
      <c r="A247">
        <v>25</v>
      </c>
      <c r="B247" t="s">
        <v>32</v>
      </c>
      <c r="C247" t="s">
        <v>33</v>
      </c>
      <c r="D247" t="s">
        <v>34</v>
      </c>
      <c r="E247">
        <v>3</v>
      </c>
      <c r="F247" t="s">
        <v>35</v>
      </c>
      <c r="G247">
        <v>3</v>
      </c>
      <c r="H247">
        <v>1</v>
      </c>
      <c r="I247" t="s">
        <v>36</v>
      </c>
      <c r="J247">
        <v>1</v>
      </c>
      <c r="K247" t="s">
        <v>50</v>
      </c>
      <c r="L247">
        <v>4031</v>
      </c>
      <c r="M247">
        <v>5</v>
      </c>
      <c r="N247" t="s">
        <v>41</v>
      </c>
      <c r="O247">
        <v>13</v>
      </c>
      <c r="P247">
        <v>3</v>
      </c>
      <c r="Q247">
        <v>1</v>
      </c>
      <c r="R247">
        <v>6</v>
      </c>
      <c r="S247">
        <v>5</v>
      </c>
      <c r="T247">
        <v>2</v>
      </c>
      <c r="U247">
        <v>0</v>
      </c>
      <c r="V247">
        <v>2</v>
      </c>
      <c r="W247" t="s">
        <v>56</v>
      </c>
      <c r="X247" s="1" t="d">
        <v>2019-01-29</v>
      </c>
      <c r="Z247" t="s">
        <v>45</v>
      </c>
      <c r="AA247" t="s">
        <v>40</v>
      </c>
      <c r="AB247">
        <v>2</v>
      </c>
      <c r="AC247">
        <v>1</v>
      </c>
      <c r="AD247" t="s">
        <v>41</v>
      </c>
      <c r="AE247" t="s">
        <v>47</v>
      </c>
      <c r="AF247" t="s">
        <v>43</v>
      </c>
    </row>
    <row r="248" spans="1:32" x14ac:dyDescent="0.25">
      <c r="A248">
        <v>45</v>
      </c>
      <c r="B248" t="s">
        <v>41</v>
      </c>
      <c r="C248" t="s">
        <v>33</v>
      </c>
      <c r="D248" t="s">
        <v>34</v>
      </c>
      <c r="E248">
        <v>10</v>
      </c>
      <c r="F248" t="s">
        <v>35</v>
      </c>
      <c r="G248">
        <v>3</v>
      </c>
      <c r="H248">
        <v>1</v>
      </c>
      <c r="I248" t="s">
        <v>44</v>
      </c>
      <c r="J248">
        <v>4</v>
      </c>
      <c r="K248" t="s">
        <v>50</v>
      </c>
      <c r="L248">
        <v>2654</v>
      </c>
      <c r="M248">
        <v>3</v>
      </c>
      <c r="N248" t="s">
        <v>41</v>
      </c>
      <c r="O248">
        <v>21</v>
      </c>
      <c r="P248">
        <v>4</v>
      </c>
      <c r="Q248">
        <v>2</v>
      </c>
      <c r="R248">
        <v>8</v>
      </c>
      <c r="S248">
        <v>3</v>
      </c>
      <c r="T248">
        <v>2</v>
      </c>
      <c r="U248">
        <v>0</v>
      </c>
      <c r="V248">
        <v>2</v>
      </c>
      <c r="W248" t="s">
        <v>51</v>
      </c>
      <c r="X248" s="1" t="d">
        <v>2019-03-10</v>
      </c>
      <c r="Z248" t="s">
        <v>63</v>
      </c>
      <c r="AA248" t="s">
        <v>46</v>
      </c>
      <c r="AB248">
        <v>2</v>
      </c>
      <c r="AC248">
        <v>2</v>
      </c>
      <c r="AD248" t="s">
        <v>32</v>
      </c>
      <c r="AE248" t="s">
        <v>62</v>
      </c>
      <c r="AF248" t="s">
        <v>57</v>
      </c>
    </row>
    <row r="249" spans="1:32" x14ac:dyDescent="0.25">
      <c r="A249">
        <v>34</v>
      </c>
      <c r="B249" t="s">
        <v>32</v>
      </c>
      <c r="C249" t="s">
        <v>61</v>
      </c>
      <c r="D249" t="s">
        <v>53</v>
      </c>
      <c r="E249">
        <v>6</v>
      </c>
      <c r="F249" t="s">
        <v>58</v>
      </c>
      <c r="G249">
        <v>1</v>
      </c>
      <c r="H249">
        <v>1</v>
      </c>
      <c r="I249" t="s">
        <v>54</v>
      </c>
      <c r="J249">
        <v>3</v>
      </c>
      <c r="K249" t="s">
        <v>55</v>
      </c>
      <c r="L249">
        <v>2351</v>
      </c>
      <c r="M249">
        <v>0</v>
      </c>
      <c r="N249" t="s">
        <v>41</v>
      </c>
      <c r="O249">
        <v>16</v>
      </c>
      <c r="P249">
        <v>3</v>
      </c>
      <c r="Q249">
        <v>1</v>
      </c>
      <c r="R249">
        <v>3</v>
      </c>
      <c r="S249">
        <v>3</v>
      </c>
      <c r="T249">
        <v>2</v>
      </c>
      <c r="U249">
        <v>1</v>
      </c>
      <c r="V249">
        <v>0</v>
      </c>
      <c r="W249" t="s">
        <v>56</v>
      </c>
      <c r="X249" s="1" t="d">
        <v>2019-05-25</v>
      </c>
      <c r="Z249" t="s">
        <v>45</v>
      </c>
      <c r="AA249" t="s">
        <v>46</v>
      </c>
      <c r="AB249">
        <v>1</v>
      </c>
      <c r="AC249">
        <v>2</v>
      </c>
      <c r="AD249" t="s">
        <v>41</v>
      </c>
      <c r="AE249" t="s">
        <v>47</v>
      </c>
      <c r="AF249" t="s">
        <v>57</v>
      </c>
    </row>
    <row r="250" spans="1:32" x14ac:dyDescent="0.25">
      <c r="A250">
        <v>29</v>
      </c>
      <c r="B250" t="s">
        <v>32</v>
      </c>
      <c r="C250" t="s">
        <v>33</v>
      </c>
      <c r="D250" t="s">
        <v>34</v>
      </c>
      <c r="E250">
        <v>25</v>
      </c>
      <c r="F250" t="s">
        <v>58</v>
      </c>
      <c r="G250">
        <v>2</v>
      </c>
      <c r="H250">
        <v>1</v>
      </c>
      <c r="I250" t="s">
        <v>44</v>
      </c>
      <c r="J250">
        <v>2</v>
      </c>
      <c r="K250" t="s">
        <v>50</v>
      </c>
      <c r="L250">
        <v>2546</v>
      </c>
      <c r="M250">
        <v>5</v>
      </c>
      <c r="N250" t="s">
        <v>41</v>
      </c>
      <c r="O250">
        <v>16</v>
      </c>
      <c r="P250">
        <v>3</v>
      </c>
      <c r="Q250">
        <v>0</v>
      </c>
      <c r="R250">
        <v>6</v>
      </c>
      <c r="S250">
        <v>2</v>
      </c>
      <c r="T250">
        <v>2</v>
      </c>
      <c r="U250">
        <v>1</v>
      </c>
      <c r="V250">
        <v>1</v>
      </c>
      <c r="W250" t="s">
        <v>38</v>
      </c>
      <c r="X250" s="1" t="d">
        <v>2019-01-26</v>
      </c>
      <c r="Z250" t="s">
        <v>52</v>
      </c>
      <c r="AA250" t="s">
        <v>46</v>
      </c>
      <c r="AB250">
        <v>4</v>
      </c>
      <c r="AC250">
        <v>3</v>
      </c>
      <c r="AD250" t="s">
        <v>32</v>
      </c>
      <c r="AE250" t="s">
        <v>60</v>
      </c>
      <c r="AF250" t="s">
        <v>57</v>
      </c>
    </row>
    <row r="251" spans="1:32" x14ac:dyDescent="0.25">
      <c r="A251">
        <v>42</v>
      </c>
      <c r="B251" t="s">
        <v>41</v>
      </c>
      <c r="C251" t="s">
        <v>61</v>
      </c>
      <c r="D251" t="s">
        <v>34</v>
      </c>
      <c r="E251">
        <v>5</v>
      </c>
      <c r="F251" t="s">
        <v>35</v>
      </c>
      <c r="G251">
        <v>3</v>
      </c>
      <c r="H251">
        <v>1</v>
      </c>
      <c r="I251" t="s">
        <v>36</v>
      </c>
      <c r="J251">
        <v>3</v>
      </c>
      <c r="K251" t="s">
        <v>50</v>
      </c>
      <c r="L251">
        <v>2093</v>
      </c>
      <c r="M251">
        <v>4</v>
      </c>
      <c r="N251" t="s">
        <v>41</v>
      </c>
      <c r="O251">
        <v>17</v>
      </c>
      <c r="P251">
        <v>3</v>
      </c>
      <c r="Q251">
        <v>1</v>
      </c>
      <c r="R251">
        <v>8</v>
      </c>
      <c r="S251">
        <v>4</v>
      </c>
      <c r="T251">
        <v>2</v>
      </c>
      <c r="U251">
        <v>2</v>
      </c>
      <c r="V251">
        <v>0</v>
      </c>
      <c r="W251" t="s">
        <v>51</v>
      </c>
      <c r="X251" s="1" t="d">
        <v>2019-01-19</v>
      </c>
      <c r="Z251" t="s">
        <v>63</v>
      </c>
      <c r="AA251" t="s">
        <v>46</v>
      </c>
      <c r="AB251">
        <v>2</v>
      </c>
      <c r="AC251">
        <v>1</v>
      </c>
      <c r="AD251" t="s">
        <v>32</v>
      </c>
      <c r="AE251" t="s">
        <v>42</v>
      </c>
      <c r="AF251" t="s">
        <v>43</v>
      </c>
    </row>
    <row r="252" spans="1:32" x14ac:dyDescent="0.25">
      <c r="A252">
        <v>22</v>
      </c>
      <c r="B252" t="s">
        <v>32</v>
      </c>
      <c r="C252" t="s">
        <v>61</v>
      </c>
      <c r="D252" t="s">
        <v>34</v>
      </c>
      <c r="E252">
        <v>4</v>
      </c>
      <c r="F252" t="s">
        <v>35</v>
      </c>
      <c r="G252">
        <v>2</v>
      </c>
      <c r="H252">
        <v>1</v>
      </c>
      <c r="I252" t="s">
        <v>36</v>
      </c>
      <c r="J252">
        <v>3</v>
      </c>
      <c r="K252" t="s">
        <v>37</v>
      </c>
      <c r="L252">
        <v>3894</v>
      </c>
      <c r="M252">
        <v>5</v>
      </c>
      <c r="N252" t="s">
        <v>41</v>
      </c>
      <c r="O252">
        <v>16</v>
      </c>
      <c r="P252">
        <v>3</v>
      </c>
      <c r="Q252">
        <v>0</v>
      </c>
      <c r="R252">
        <v>4</v>
      </c>
      <c r="S252">
        <v>3</v>
      </c>
      <c r="T252">
        <v>2</v>
      </c>
      <c r="U252">
        <v>1</v>
      </c>
      <c r="V252">
        <v>2</v>
      </c>
      <c r="W252" t="s">
        <v>51</v>
      </c>
      <c r="X252" s="1" t="d">
        <v>2019-03-04</v>
      </c>
      <c r="Z252" t="s">
        <v>52</v>
      </c>
      <c r="AA252" t="s">
        <v>40</v>
      </c>
      <c r="AB252">
        <v>2</v>
      </c>
      <c r="AC252">
        <v>1</v>
      </c>
      <c r="AD252" t="s">
        <v>41</v>
      </c>
      <c r="AE252" t="s">
        <v>42</v>
      </c>
      <c r="AF252" t="s">
        <v>43</v>
      </c>
    </row>
    <row r="253" spans="1:32" x14ac:dyDescent="0.25">
      <c r="A253">
        <v>46</v>
      </c>
      <c r="B253" t="s">
        <v>41</v>
      </c>
      <c r="C253" t="s">
        <v>61</v>
      </c>
      <c r="D253" t="s">
        <v>34</v>
      </c>
      <c r="E253">
        <v>18</v>
      </c>
      <c r="F253" t="s">
        <v>58</v>
      </c>
      <c r="G253">
        <v>3</v>
      </c>
      <c r="H253">
        <v>3</v>
      </c>
      <c r="I253" t="s">
        <v>69</v>
      </c>
      <c r="J253">
        <v>3</v>
      </c>
      <c r="K253" t="s">
        <v>50</v>
      </c>
      <c r="L253">
        <v>10527</v>
      </c>
      <c r="M253">
        <v>5</v>
      </c>
      <c r="N253" t="s">
        <v>41</v>
      </c>
      <c r="O253">
        <v>11</v>
      </c>
      <c r="P253">
        <v>3</v>
      </c>
      <c r="Q253">
        <v>0</v>
      </c>
      <c r="R253">
        <v>28</v>
      </c>
      <c r="S253">
        <v>3</v>
      </c>
      <c r="T253">
        <v>2</v>
      </c>
      <c r="U253">
        <v>1</v>
      </c>
      <c r="V253">
        <v>2</v>
      </c>
      <c r="W253" t="s">
        <v>51</v>
      </c>
      <c r="X253" s="1" t="d">
        <v>2019-04-27</v>
      </c>
      <c r="Z253" t="s">
        <v>59</v>
      </c>
      <c r="AA253" t="s">
        <v>46</v>
      </c>
      <c r="AB253">
        <v>1</v>
      </c>
      <c r="AC253">
        <v>0</v>
      </c>
      <c r="AD253" t="s">
        <v>32</v>
      </c>
      <c r="AE253" t="s">
        <v>60</v>
      </c>
      <c r="AF253" t="s">
        <v>43</v>
      </c>
    </row>
    <row r="254" spans="1:32" x14ac:dyDescent="0.25">
      <c r="A254">
        <v>24</v>
      </c>
      <c r="B254" t="s">
        <v>41</v>
      </c>
      <c r="C254" t="s">
        <v>61</v>
      </c>
      <c r="D254" t="s">
        <v>53</v>
      </c>
      <c r="E254">
        <v>24</v>
      </c>
      <c r="F254" t="s">
        <v>35</v>
      </c>
      <c r="G254">
        <v>3</v>
      </c>
      <c r="H254">
        <v>1</v>
      </c>
      <c r="I254" t="s">
        <v>54</v>
      </c>
      <c r="J254">
        <v>4</v>
      </c>
      <c r="K254" t="s">
        <v>50</v>
      </c>
      <c r="L254">
        <v>2400</v>
      </c>
      <c r="M254">
        <v>0</v>
      </c>
      <c r="N254" t="s">
        <v>41</v>
      </c>
      <c r="O254">
        <v>13</v>
      </c>
      <c r="P254">
        <v>3</v>
      </c>
      <c r="Q254">
        <v>2</v>
      </c>
      <c r="R254">
        <v>3</v>
      </c>
      <c r="S254">
        <v>3</v>
      </c>
      <c r="T254">
        <v>2</v>
      </c>
      <c r="U254">
        <v>2</v>
      </c>
      <c r="V254">
        <v>1</v>
      </c>
      <c r="W254" t="s">
        <v>56</v>
      </c>
      <c r="X254" s="1" t="d">
        <v>2019-02-04</v>
      </c>
      <c r="Z254" t="s">
        <v>59</v>
      </c>
      <c r="AA254" t="s">
        <v>40</v>
      </c>
      <c r="AB254">
        <v>2</v>
      </c>
      <c r="AC254">
        <v>3</v>
      </c>
      <c r="AD254" t="s">
        <v>41</v>
      </c>
      <c r="AE254" t="s">
        <v>62</v>
      </c>
      <c r="AF254" t="s">
        <v>57</v>
      </c>
    </row>
    <row r="255" spans="1:32" x14ac:dyDescent="0.25">
      <c r="A255">
        <v>44</v>
      </c>
      <c r="B255" t="s">
        <v>41</v>
      </c>
      <c r="C255" t="s">
        <v>33</v>
      </c>
      <c r="D255" t="s">
        <v>70</v>
      </c>
      <c r="E255">
        <v>1</v>
      </c>
      <c r="F255" t="s">
        <v>58</v>
      </c>
      <c r="G255">
        <v>2</v>
      </c>
      <c r="H255">
        <v>2</v>
      </c>
      <c r="I255" t="s">
        <v>70</v>
      </c>
      <c r="J255">
        <v>3</v>
      </c>
      <c r="K255" t="s">
        <v>37</v>
      </c>
      <c r="L255">
        <v>5985</v>
      </c>
      <c r="M255">
        <v>4</v>
      </c>
      <c r="N255" t="s">
        <v>41</v>
      </c>
      <c r="O255">
        <v>11</v>
      </c>
      <c r="P255">
        <v>3</v>
      </c>
      <c r="Q255">
        <v>0</v>
      </c>
      <c r="R255">
        <v>10</v>
      </c>
      <c r="S255">
        <v>1</v>
      </c>
      <c r="T255">
        <v>2</v>
      </c>
      <c r="U255">
        <v>0</v>
      </c>
      <c r="V255">
        <v>2</v>
      </c>
      <c r="W255" t="s">
        <v>65</v>
      </c>
      <c r="X255" s="1" t="d">
        <v>2019-04-12</v>
      </c>
      <c r="Z255" t="s">
        <v>63</v>
      </c>
      <c r="AA255" t="s">
        <v>40</v>
      </c>
      <c r="AB255">
        <v>0</v>
      </c>
      <c r="AC255">
        <v>0</v>
      </c>
      <c r="AD255" t="s">
        <v>41</v>
      </c>
      <c r="AE255" t="s">
        <v>42</v>
      </c>
      <c r="AF255" t="s">
        <v>48</v>
      </c>
    </row>
    <row r="256" spans="1:32" x14ac:dyDescent="0.25">
      <c r="A256">
        <v>44</v>
      </c>
      <c r="B256" t="s">
        <v>41</v>
      </c>
      <c r="C256" t="s">
        <v>33</v>
      </c>
      <c r="D256" t="s">
        <v>34</v>
      </c>
      <c r="E256">
        <v>3</v>
      </c>
      <c r="F256" t="s">
        <v>35</v>
      </c>
      <c r="G256">
        <v>3</v>
      </c>
      <c r="H256">
        <v>5</v>
      </c>
      <c r="I256" t="s">
        <v>66</v>
      </c>
      <c r="J256">
        <v>4</v>
      </c>
      <c r="K256" t="s">
        <v>50</v>
      </c>
      <c r="L256">
        <v>19513</v>
      </c>
      <c r="M256">
        <v>4</v>
      </c>
      <c r="N256" t="s">
        <v>32</v>
      </c>
      <c r="O256">
        <v>12</v>
      </c>
      <c r="P256">
        <v>3</v>
      </c>
      <c r="Q256">
        <v>1</v>
      </c>
      <c r="R256">
        <v>26</v>
      </c>
      <c r="S256">
        <v>2</v>
      </c>
      <c r="T256">
        <v>2</v>
      </c>
      <c r="U256">
        <v>0</v>
      </c>
      <c r="V256">
        <v>1</v>
      </c>
      <c r="W256" t="s">
        <v>51</v>
      </c>
      <c r="X256" s="1" t="d">
        <v>2019-01-01</v>
      </c>
      <c r="Z256" t="s">
        <v>63</v>
      </c>
      <c r="AA256" t="s">
        <v>40</v>
      </c>
      <c r="AB256">
        <v>2</v>
      </c>
      <c r="AC256">
        <v>2</v>
      </c>
      <c r="AD256" t="s">
        <v>41</v>
      </c>
      <c r="AE256" t="s">
        <v>47</v>
      </c>
      <c r="AF256" t="s">
        <v>57</v>
      </c>
    </row>
    <row r="257" spans="1:32" x14ac:dyDescent="0.25">
      <c r="A257">
        <v>22</v>
      </c>
      <c r="B257" t="s">
        <v>41</v>
      </c>
      <c r="C257" t="s">
        <v>33</v>
      </c>
      <c r="D257" t="s">
        <v>34</v>
      </c>
      <c r="E257">
        <v>6</v>
      </c>
      <c r="F257" t="s">
        <v>35</v>
      </c>
      <c r="G257">
        <v>3</v>
      </c>
      <c r="H257">
        <v>1</v>
      </c>
      <c r="I257" t="s">
        <v>44</v>
      </c>
      <c r="J257">
        <v>3</v>
      </c>
      <c r="K257" t="s">
        <v>50</v>
      </c>
      <c r="L257">
        <v>2773</v>
      </c>
      <c r="M257">
        <v>0</v>
      </c>
      <c r="N257" t="s">
        <v>41</v>
      </c>
      <c r="O257">
        <v>20</v>
      </c>
      <c r="P257">
        <v>4</v>
      </c>
      <c r="Q257">
        <v>0</v>
      </c>
      <c r="R257">
        <v>3</v>
      </c>
      <c r="S257">
        <v>3</v>
      </c>
      <c r="T257">
        <v>2</v>
      </c>
      <c r="U257">
        <v>2</v>
      </c>
      <c r="V257">
        <v>2</v>
      </c>
      <c r="W257" t="s">
        <v>65</v>
      </c>
      <c r="X257" s="1" t="d">
        <v>2019-06-30</v>
      </c>
      <c r="Z257" t="s">
        <v>52</v>
      </c>
      <c r="AA257" t="s">
        <v>40</v>
      </c>
      <c r="AB257">
        <v>1</v>
      </c>
      <c r="AC257">
        <v>1</v>
      </c>
      <c r="AD257" t="s">
        <v>32</v>
      </c>
      <c r="AE257" t="s">
        <v>62</v>
      </c>
      <c r="AF257" t="s">
        <v>57</v>
      </c>
    </row>
    <row r="258" spans="1:32" x14ac:dyDescent="0.25">
      <c r="A258">
        <v>48</v>
      </c>
      <c r="B258" t="s">
        <v>41</v>
      </c>
      <c r="C258" t="s">
        <v>33</v>
      </c>
      <c r="D258" t="s">
        <v>53</v>
      </c>
      <c r="E258">
        <v>2</v>
      </c>
      <c r="F258" t="s">
        <v>35</v>
      </c>
      <c r="G258">
        <v>4</v>
      </c>
      <c r="H258">
        <v>2</v>
      </c>
      <c r="I258" t="s">
        <v>64</v>
      </c>
      <c r="J258">
        <v>2</v>
      </c>
      <c r="K258" t="s">
        <v>50</v>
      </c>
      <c r="L258">
        <v>8120</v>
      </c>
      <c r="M258">
        <v>3</v>
      </c>
      <c r="N258" t="s">
        <v>41</v>
      </c>
      <c r="O258">
        <v>12</v>
      </c>
      <c r="P258">
        <v>3</v>
      </c>
      <c r="Q258">
        <v>0</v>
      </c>
      <c r="R258">
        <v>12</v>
      </c>
      <c r="S258">
        <v>3</v>
      </c>
      <c r="T258">
        <v>2</v>
      </c>
      <c r="U258">
        <v>2</v>
      </c>
      <c r="V258">
        <v>2</v>
      </c>
      <c r="W258" t="s">
        <v>51</v>
      </c>
      <c r="X258" s="1" t="d">
        <v>2019-05-15</v>
      </c>
      <c r="Z258" t="s">
        <v>39</v>
      </c>
      <c r="AA258" t="s">
        <v>40</v>
      </c>
      <c r="AB258">
        <v>4</v>
      </c>
      <c r="AC258">
        <v>1</v>
      </c>
      <c r="AD258" t="s">
        <v>41</v>
      </c>
      <c r="AE258" t="s">
        <v>62</v>
      </c>
      <c r="AF258" t="s">
        <v>48</v>
      </c>
    </row>
    <row r="259" spans="1:32" x14ac:dyDescent="0.25">
      <c r="A259">
        <v>24</v>
      </c>
      <c r="B259" t="s">
        <v>32</v>
      </c>
      <c r="C259" t="s">
        <v>33</v>
      </c>
      <c r="D259" t="s">
        <v>53</v>
      </c>
      <c r="E259">
        <v>3</v>
      </c>
      <c r="F259" t="s">
        <v>58</v>
      </c>
      <c r="G259">
        <v>3</v>
      </c>
      <c r="H259">
        <v>2</v>
      </c>
      <c r="I259" t="s">
        <v>64</v>
      </c>
      <c r="J259">
        <v>3</v>
      </c>
      <c r="K259" t="s">
        <v>37</v>
      </c>
      <c r="L259">
        <v>4577</v>
      </c>
      <c r="M259">
        <v>9</v>
      </c>
      <c r="N259" t="s">
        <v>41</v>
      </c>
      <c r="O259">
        <v>14</v>
      </c>
      <c r="P259">
        <v>3</v>
      </c>
      <c r="Q259">
        <v>0</v>
      </c>
      <c r="R259">
        <v>4</v>
      </c>
      <c r="S259">
        <v>3</v>
      </c>
      <c r="T259">
        <v>2</v>
      </c>
      <c r="U259">
        <v>2</v>
      </c>
      <c r="V259">
        <v>0</v>
      </c>
      <c r="W259" t="s">
        <v>65</v>
      </c>
      <c r="X259" s="1" t="d">
        <v>2019-03-01</v>
      </c>
      <c r="Z259" t="s">
        <v>39</v>
      </c>
      <c r="AA259" t="s">
        <v>40</v>
      </c>
      <c r="AB259">
        <v>3</v>
      </c>
      <c r="AC259">
        <v>0</v>
      </c>
      <c r="AD259" t="s">
        <v>41</v>
      </c>
      <c r="AE259" t="s">
        <v>42</v>
      </c>
      <c r="AF259" t="s">
        <v>43</v>
      </c>
    </row>
    <row r="260" spans="1:32" x14ac:dyDescent="0.25">
      <c r="A260">
        <v>60</v>
      </c>
      <c r="B260" t="s">
        <v>41</v>
      </c>
      <c r="C260" t="s">
        <v>33</v>
      </c>
      <c r="D260" t="s">
        <v>53</v>
      </c>
      <c r="E260">
        <v>16</v>
      </c>
      <c r="F260" t="s">
        <v>35</v>
      </c>
      <c r="G260">
        <v>3</v>
      </c>
      <c r="H260">
        <v>2</v>
      </c>
      <c r="I260" t="s">
        <v>64</v>
      </c>
      <c r="J260">
        <v>1</v>
      </c>
      <c r="K260" t="s">
        <v>37</v>
      </c>
      <c r="L260">
        <v>5405</v>
      </c>
      <c r="M260">
        <v>8</v>
      </c>
      <c r="N260" t="s">
        <v>41</v>
      </c>
      <c r="O260">
        <v>14</v>
      </c>
      <c r="P260">
        <v>3</v>
      </c>
      <c r="Q260">
        <v>0</v>
      </c>
      <c r="R260">
        <v>10</v>
      </c>
      <c r="S260">
        <v>1</v>
      </c>
      <c r="T260">
        <v>2</v>
      </c>
      <c r="U260">
        <v>2</v>
      </c>
      <c r="V260">
        <v>2</v>
      </c>
      <c r="W260" t="s">
        <v>56</v>
      </c>
      <c r="X260" s="1" t="d">
        <v>2019-01-09</v>
      </c>
      <c r="Z260" t="s">
        <v>45</v>
      </c>
      <c r="AA260" t="s">
        <v>46</v>
      </c>
      <c r="AB260">
        <v>1</v>
      </c>
      <c r="AC260">
        <v>1</v>
      </c>
      <c r="AD260" t="s">
        <v>32</v>
      </c>
      <c r="AE260" t="s">
        <v>60</v>
      </c>
      <c r="AF260" t="s">
        <v>57</v>
      </c>
    </row>
    <row r="261" spans="1:32" x14ac:dyDescent="0.25">
      <c r="A261">
        <v>50</v>
      </c>
      <c r="B261" t="s">
        <v>41</v>
      </c>
      <c r="C261" t="s">
        <v>33</v>
      </c>
      <c r="D261" t="s">
        <v>53</v>
      </c>
      <c r="E261">
        <v>8</v>
      </c>
      <c r="F261" t="s">
        <v>35</v>
      </c>
      <c r="G261">
        <v>3</v>
      </c>
      <c r="H261">
        <v>1</v>
      </c>
      <c r="I261" t="s">
        <v>54</v>
      </c>
      <c r="J261">
        <v>2</v>
      </c>
      <c r="K261" t="s">
        <v>50</v>
      </c>
      <c r="L261">
        <v>3875</v>
      </c>
      <c r="M261">
        <v>7</v>
      </c>
      <c r="N261" t="s">
        <v>41</v>
      </c>
      <c r="O261">
        <v>15</v>
      </c>
      <c r="P261">
        <v>3</v>
      </c>
      <c r="Q261">
        <v>1</v>
      </c>
      <c r="R261">
        <v>4</v>
      </c>
      <c r="S261">
        <v>2</v>
      </c>
      <c r="T261">
        <v>2</v>
      </c>
      <c r="U261">
        <v>2</v>
      </c>
      <c r="V261">
        <v>2</v>
      </c>
      <c r="W261" t="s">
        <v>38</v>
      </c>
      <c r="X261" s="1" t="d">
        <v>2019-04-27</v>
      </c>
      <c r="Z261" t="s">
        <v>63</v>
      </c>
      <c r="AA261" t="s">
        <v>46</v>
      </c>
      <c r="AB261">
        <v>3</v>
      </c>
      <c r="AC261">
        <v>1</v>
      </c>
      <c r="AD261" t="s">
        <v>41</v>
      </c>
      <c r="AE261" t="s">
        <v>60</v>
      </c>
      <c r="AF261" t="s">
        <v>48</v>
      </c>
    </row>
    <row r="262" spans="1:32" x14ac:dyDescent="0.25">
      <c r="A262">
        <v>42</v>
      </c>
      <c r="B262" t="s">
        <v>32</v>
      </c>
      <c r="C262" t="s">
        <v>61</v>
      </c>
      <c r="D262" t="s">
        <v>34</v>
      </c>
      <c r="E262">
        <v>19</v>
      </c>
      <c r="F262" t="s">
        <v>35</v>
      </c>
      <c r="G262">
        <v>4</v>
      </c>
      <c r="H262">
        <v>1</v>
      </c>
      <c r="I262" t="s">
        <v>44</v>
      </c>
      <c r="J262">
        <v>3</v>
      </c>
      <c r="K262" t="s">
        <v>55</v>
      </c>
      <c r="L262">
        <v>2759</v>
      </c>
      <c r="M262">
        <v>6</v>
      </c>
      <c r="N262" t="s">
        <v>32</v>
      </c>
      <c r="O262">
        <v>12</v>
      </c>
      <c r="P262">
        <v>3</v>
      </c>
      <c r="Q262">
        <v>0</v>
      </c>
      <c r="R262">
        <v>7</v>
      </c>
      <c r="S262">
        <v>2</v>
      </c>
      <c r="T262">
        <v>2</v>
      </c>
      <c r="U262">
        <v>2</v>
      </c>
      <c r="V262">
        <v>2</v>
      </c>
      <c r="W262" t="s">
        <v>51</v>
      </c>
      <c r="X262" s="1" t="d">
        <v>2019-02-08</v>
      </c>
      <c r="Z262" t="s">
        <v>63</v>
      </c>
      <c r="AA262" t="s">
        <v>40</v>
      </c>
      <c r="AB262">
        <v>4</v>
      </c>
      <c r="AC262">
        <v>0</v>
      </c>
      <c r="AD262" t="s">
        <v>32</v>
      </c>
      <c r="AE262" t="s">
        <v>60</v>
      </c>
      <c r="AF262" t="s">
        <v>57</v>
      </c>
    </row>
    <row r="263" spans="1:32" x14ac:dyDescent="0.25">
      <c r="A263">
        <v>43</v>
      </c>
      <c r="B263" t="s">
        <v>41</v>
      </c>
      <c r="C263" t="s">
        <v>61</v>
      </c>
      <c r="D263" t="s">
        <v>53</v>
      </c>
      <c r="E263">
        <v>15</v>
      </c>
      <c r="F263" t="s">
        <v>35</v>
      </c>
      <c r="G263">
        <v>2</v>
      </c>
      <c r="H263">
        <v>2</v>
      </c>
      <c r="I263" t="s">
        <v>64</v>
      </c>
      <c r="J263">
        <v>4</v>
      </c>
      <c r="K263" t="s">
        <v>50</v>
      </c>
      <c r="L263">
        <v>6804</v>
      </c>
      <c r="M263">
        <v>3</v>
      </c>
      <c r="N263" t="s">
        <v>41</v>
      </c>
      <c r="O263">
        <v>18</v>
      </c>
      <c r="P263">
        <v>3</v>
      </c>
      <c r="Q263">
        <v>1</v>
      </c>
      <c r="R263">
        <v>7</v>
      </c>
      <c r="S263">
        <v>5</v>
      </c>
      <c r="T263">
        <v>2</v>
      </c>
      <c r="U263">
        <v>2</v>
      </c>
      <c r="V263">
        <v>2</v>
      </c>
      <c r="W263" t="s">
        <v>65</v>
      </c>
      <c r="X263" s="1" t="d">
        <v>2019-03-04</v>
      </c>
      <c r="Z263" t="s">
        <v>39</v>
      </c>
      <c r="AA263" t="s">
        <v>46</v>
      </c>
      <c r="AB263">
        <v>5</v>
      </c>
      <c r="AC263">
        <v>2</v>
      </c>
      <c r="AD263" t="s">
        <v>32</v>
      </c>
      <c r="AE263" t="s">
        <v>62</v>
      </c>
      <c r="AF263" t="s">
        <v>57</v>
      </c>
    </row>
    <row r="264" spans="1:32" x14ac:dyDescent="0.25">
      <c r="A264">
        <v>29</v>
      </c>
      <c r="B264" t="s">
        <v>41</v>
      </c>
      <c r="C264" t="s">
        <v>33</v>
      </c>
      <c r="D264" t="s">
        <v>53</v>
      </c>
      <c r="E264">
        <v>10</v>
      </c>
      <c r="F264" t="s">
        <v>35</v>
      </c>
      <c r="G264">
        <v>3</v>
      </c>
      <c r="H264">
        <v>1</v>
      </c>
      <c r="I264" t="s">
        <v>54</v>
      </c>
      <c r="J264">
        <v>2</v>
      </c>
      <c r="K264" t="s">
        <v>55</v>
      </c>
      <c r="L264">
        <v>2297</v>
      </c>
      <c r="M264">
        <v>1</v>
      </c>
      <c r="N264" t="s">
        <v>41</v>
      </c>
      <c r="O264">
        <v>14</v>
      </c>
      <c r="P264">
        <v>3</v>
      </c>
      <c r="Q264">
        <v>2</v>
      </c>
      <c r="R264">
        <v>2</v>
      </c>
      <c r="S264">
        <v>2</v>
      </c>
      <c r="T264">
        <v>2</v>
      </c>
      <c r="U264">
        <v>2</v>
      </c>
      <c r="V264">
        <v>2</v>
      </c>
      <c r="W264" t="s">
        <v>38</v>
      </c>
      <c r="X264" s="1" t="d">
        <v>2019-01-13</v>
      </c>
      <c r="Z264" t="s">
        <v>63</v>
      </c>
      <c r="AA264" t="s">
        <v>46</v>
      </c>
      <c r="AB264">
        <v>5</v>
      </c>
      <c r="AC264">
        <v>2</v>
      </c>
      <c r="AD264" t="s">
        <v>41</v>
      </c>
      <c r="AE264" t="s">
        <v>62</v>
      </c>
      <c r="AF264" t="s">
        <v>57</v>
      </c>
    </row>
    <row r="265" spans="1:32" x14ac:dyDescent="0.25">
      <c r="A265">
        <v>53</v>
      </c>
      <c r="B265" t="s">
        <v>41</v>
      </c>
      <c r="C265" t="s">
        <v>33</v>
      </c>
      <c r="D265" t="s">
        <v>34</v>
      </c>
      <c r="E265">
        <v>6</v>
      </c>
      <c r="F265" t="s">
        <v>35</v>
      </c>
      <c r="G265">
        <v>3</v>
      </c>
      <c r="H265">
        <v>2</v>
      </c>
      <c r="I265" t="s">
        <v>36</v>
      </c>
      <c r="J265">
        <v>4</v>
      </c>
      <c r="K265" t="s">
        <v>37</v>
      </c>
      <c r="L265">
        <v>2450</v>
      </c>
      <c r="M265">
        <v>2</v>
      </c>
      <c r="N265" t="s">
        <v>41</v>
      </c>
      <c r="O265">
        <v>17</v>
      </c>
      <c r="P265">
        <v>3</v>
      </c>
      <c r="Q265">
        <v>0</v>
      </c>
      <c r="R265">
        <v>19</v>
      </c>
      <c r="S265">
        <v>4</v>
      </c>
      <c r="T265">
        <v>2</v>
      </c>
      <c r="U265">
        <v>2</v>
      </c>
      <c r="V265">
        <v>2</v>
      </c>
      <c r="W265" t="s">
        <v>56</v>
      </c>
      <c r="X265" s="1" t="d">
        <v>2019-05-26</v>
      </c>
      <c r="Z265" t="s">
        <v>52</v>
      </c>
      <c r="AA265" t="s">
        <v>40</v>
      </c>
      <c r="AB265">
        <v>5</v>
      </c>
      <c r="AC265">
        <v>3</v>
      </c>
      <c r="AD265" t="s">
        <v>32</v>
      </c>
      <c r="AE265" t="s">
        <v>62</v>
      </c>
      <c r="AF265" t="s">
        <v>57</v>
      </c>
    </row>
    <row r="266" spans="1:32" x14ac:dyDescent="0.25">
      <c r="A266">
        <v>23</v>
      </c>
      <c r="B266" t="s">
        <v>41</v>
      </c>
      <c r="C266" t="s">
        <v>33</v>
      </c>
      <c r="D266" t="s">
        <v>34</v>
      </c>
      <c r="E266">
        <v>10</v>
      </c>
      <c r="F266" t="s">
        <v>35</v>
      </c>
      <c r="G266">
        <v>4</v>
      </c>
      <c r="H266">
        <v>1</v>
      </c>
      <c r="I266" t="s">
        <v>44</v>
      </c>
      <c r="J266">
        <v>3</v>
      </c>
      <c r="K266" t="s">
        <v>37</v>
      </c>
      <c r="L266">
        <v>3505</v>
      </c>
      <c r="M266">
        <v>1</v>
      </c>
      <c r="N266" t="s">
        <v>41</v>
      </c>
      <c r="O266">
        <v>18</v>
      </c>
      <c r="P266">
        <v>3</v>
      </c>
      <c r="Q266">
        <v>0</v>
      </c>
      <c r="R266">
        <v>2</v>
      </c>
      <c r="S266">
        <v>3</v>
      </c>
      <c r="T266">
        <v>2</v>
      </c>
      <c r="U266">
        <v>0</v>
      </c>
      <c r="V266">
        <v>2</v>
      </c>
      <c r="W266" t="s">
        <v>51</v>
      </c>
      <c r="X266" s="1" t="d">
        <v>2019-04-19</v>
      </c>
      <c r="Z266" t="s">
        <v>59</v>
      </c>
      <c r="AA266" t="s">
        <v>40</v>
      </c>
      <c r="AB266">
        <v>2</v>
      </c>
      <c r="AC266">
        <v>0</v>
      </c>
      <c r="AD266" t="s">
        <v>41</v>
      </c>
      <c r="AE266" t="s">
        <v>47</v>
      </c>
      <c r="AF266" t="s">
        <v>43</v>
      </c>
    </row>
    <row r="267" spans="1:32" x14ac:dyDescent="0.25">
      <c r="A267">
        <v>26</v>
      </c>
      <c r="B267" t="s">
        <v>41</v>
      </c>
      <c r="C267" t="s">
        <v>61</v>
      </c>
      <c r="D267" t="s">
        <v>34</v>
      </c>
      <c r="E267">
        <v>1</v>
      </c>
      <c r="F267" t="s">
        <v>58</v>
      </c>
      <c r="G267">
        <v>1</v>
      </c>
      <c r="H267">
        <v>1</v>
      </c>
      <c r="I267" t="s">
        <v>36</v>
      </c>
      <c r="J267">
        <v>4</v>
      </c>
      <c r="K267" t="s">
        <v>55</v>
      </c>
      <c r="L267">
        <v>4364</v>
      </c>
      <c r="M267">
        <v>3</v>
      </c>
      <c r="N267" t="s">
        <v>41</v>
      </c>
      <c r="O267">
        <v>14</v>
      </c>
      <c r="P267">
        <v>3</v>
      </c>
      <c r="Q267">
        <v>1</v>
      </c>
      <c r="R267">
        <v>5</v>
      </c>
      <c r="S267">
        <v>2</v>
      </c>
      <c r="T267">
        <v>2</v>
      </c>
      <c r="U267">
        <v>2</v>
      </c>
      <c r="V267">
        <v>0</v>
      </c>
      <c r="W267" t="s">
        <v>56</v>
      </c>
      <c r="X267" s="1" t="d">
        <v>2019-04-23</v>
      </c>
      <c r="Z267" t="s">
        <v>52</v>
      </c>
      <c r="AA267" t="s">
        <v>46</v>
      </c>
      <c r="AB267">
        <v>5</v>
      </c>
      <c r="AC267">
        <v>2</v>
      </c>
      <c r="AD267" t="s">
        <v>32</v>
      </c>
      <c r="AE267" t="s">
        <v>60</v>
      </c>
      <c r="AF267" t="s">
        <v>43</v>
      </c>
    </row>
    <row r="268" spans="1:32" x14ac:dyDescent="0.25">
      <c r="A268">
        <v>30</v>
      </c>
      <c r="B268" t="s">
        <v>41</v>
      </c>
      <c r="C268" t="s">
        <v>33</v>
      </c>
      <c r="D268" t="s">
        <v>34</v>
      </c>
      <c r="E268">
        <v>1</v>
      </c>
      <c r="F268" t="s">
        <v>35</v>
      </c>
      <c r="G268">
        <v>1</v>
      </c>
      <c r="H268">
        <v>1</v>
      </c>
      <c r="I268" t="s">
        <v>36</v>
      </c>
      <c r="J268">
        <v>3</v>
      </c>
      <c r="K268" t="s">
        <v>50</v>
      </c>
      <c r="L268">
        <v>3833</v>
      </c>
      <c r="M268">
        <v>3</v>
      </c>
      <c r="N268" t="s">
        <v>41</v>
      </c>
      <c r="O268">
        <v>21</v>
      </c>
      <c r="P268">
        <v>4</v>
      </c>
      <c r="Q268">
        <v>2</v>
      </c>
      <c r="R268">
        <v>7</v>
      </c>
      <c r="S268">
        <v>2</v>
      </c>
      <c r="T268">
        <v>2</v>
      </c>
      <c r="U268">
        <v>0</v>
      </c>
      <c r="V268">
        <v>2</v>
      </c>
      <c r="W268" t="s">
        <v>65</v>
      </c>
      <c r="X268" s="1" t="d">
        <v>2019-02-27</v>
      </c>
      <c r="Z268" t="s">
        <v>63</v>
      </c>
      <c r="AA268" t="s">
        <v>40</v>
      </c>
      <c r="AB268">
        <v>0</v>
      </c>
      <c r="AC268">
        <v>2</v>
      </c>
      <c r="AD268" t="s">
        <v>32</v>
      </c>
      <c r="AE268" t="s">
        <v>47</v>
      </c>
      <c r="AF268" t="s">
        <v>57</v>
      </c>
    </row>
    <row r="269" spans="1:32" x14ac:dyDescent="0.25">
      <c r="A269">
        <v>35</v>
      </c>
      <c r="B269" t="s">
        <v>41</v>
      </c>
      <c r="C269" t="s">
        <v>33</v>
      </c>
      <c r="D269" t="s">
        <v>34</v>
      </c>
      <c r="E269">
        <v>1</v>
      </c>
      <c r="F269" t="s">
        <v>58</v>
      </c>
      <c r="G269">
        <v>4</v>
      </c>
      <c r="H269">
        <v>1</v>
      </c>
      <c r="I269" t="s">
        <v>44</v>
      </c>
      <c r="J269">
        <v>3</v>
      </c>
      <c r="K269" t="s">
        <v>37</v>
      </c>
      <c r="L269">
        <v>2506</v>
      </c>
      <c r="M269">
        <v>3</v>
      </c>
      <c r="N269" t="s">
        <v>41</v>
      </c>
      <c r="O269">
        <v>13</v>
      </c>
      <c r="P269">
        <v>3</v>
      </c>
      <c r="Q269">
        <v>0</v>
      </c>
      <c r="R269">
        <v>7</v>
      </c>
      <c r="S269">
        <v>0</v>
      </c>
      <c r="T269">
        <v>2</v>
      </c>
      <c r="U269">
        <v>2</v>
      </c>
      <c r="V269">
        <v>2</v>
      </c>
      <c r="W269" t="s">
        <v>56</v>
      </c>
      <c r="X269" s="1" t="d">
        <v>2019-01-12</v>
      </c>
      <c r="Z269" t="s">
        <v>45</v>
      </c>
      <c r="AA269" t="s">
        <v>40</v>
      </c>
      <c r="AB269">
        <v>3</v>
      </c>
      <c r="AC269">
        <v>3</v>
      </c>
      <c r="AD269" t="s">
        <v>32</v>
      </c>
      <c r="AE269" t="s">
        <v>47</v>
      </c>
      <c r="AF269" t="s">
        <v>48</v>
      </c>
    </row>
    <row r="270" spans="1:32" x14ac:dyDescent="0.25">
      <c r="A270">
        <v>28</v>
      </c>
      <c r="B270" t="s">
        <v>32</v>
      </c>
      <c r="C270" t="s">
        <v>33</v>
      </c>
      <c r="D270" t="s">
        <v>34</v>
      </c>
      <c r="E270">
        <v>2</v>
      </c>
      <c r="F270" t="s">
        <v>35</v>
      </c>
      <c r="G270">
        <v>3</v>
      </c>
      <c r="H270">
        <v>1</v>
      </c>
      <c r="I270" t="s">
        <v>44</v>
      </c>
      <c r="J270">
        <v>3</v>
      </c>
      <c r="K270" t="s">
        <v>37</v>
      </c>
      <c r="L270">
        <v>4382</v>
      </c>
      <c r="M270">
        <v>6</v>
      </c>
      <c r="N270" t="s">
        <v>41</v>
      </c>
      <c r="O270">
        <v>17</v>
      </c>
      <c r="P270">
        <v>3</v>
      </c>
      <c r="Q270">
        <v>0</v>
      </c>
      <c r="R270">
        <v>5</v>
      </c>
      <c r="S270">
        <v>3</v>
      </c>
      <c r="T270">
        <v>2</v>
      </c>
      <c r="U270">
        <v>2</v>
      </c>
      <c r="V270">
        <v>1</v>
      </c>
      <c r="W270" t="s">
        <v>56</v>
      </c>
      <c r="X270" s="1" t="d">
        <v>2019-06-22</v>
      </c>
      <c r="Z270" t="s">
        <v>59</v>
      </c>
      <c r="AA270" t="s">
        <v>46</v>
      </c>
      <c r="AB270">
        <v>0</v>
      </c>
      <c r="AC270">
        <v>2</v>
      </c>
      <c r="AD270" t="s">
        <v>41</v>
      </c>
      <c r="AE270" t="s">
        <v>62</v>
      </c>
      <c r="AF270" t="s">
        <v>43</v>
      </c>
    </row>
    <row r="271" spans="1:32" x14ac:dyDescent="0.25">
      <c r="A271">
        <v>22</v>
      </c>
      <c r="B271" t="s">
        <v>41</v>
      </c>
      <c r="C271" t="s">
        <v>33</v>
      </c>
      <c r="D271" t="s">
        <v>34</v>
      </c>
      <c r="E271">
        <v>1</v>
      </c>
      <c r="F271" t="s">
        <v>35</v>
      </c>
      <c r="G271">
        <v>2</v>
      </c>
      <c r="H271">
        <v>2</v>
      </c>
      <c r="I271" t="s">
        <v>67</v>
      </c>
      <c r="J271">
        <v>4</v>
      </c>
      <c r="K271" t="s">
        <v>50</v>
      </c>
      <c r="L271">
        <v>4775</v>
      </c>
      <c r="M271">
        <v>6</v>
      </c>
      <c r="N271" t="s">
        <v>41</v>
      </c>
      <c r="O271">
        <v>22</v>
      </c>
      <c r="P271">
        <v>4</v>
      </c>
      <c r="Q271">
        <v>2</v>
      </c>
      <c r="R271">
        <v>4</v>
      </c>
      <c r="S271">
        <v>2</v>
      </c>
      <c r="T271">
        <v>2</v>
      </c>
      <c r="U271">
        <v>2</v>
      </c>
      <c r="V271">
        <v>2</v>
      </c>
      <c r="W271" t="s">
        <v>38</v>
      </c>
      <c r="X271" s="1" t="d">
        <v>2019-03-22</v>
      </c>
      <c r="Z271" t="s">
        <v>59</v>
      </c>
      <c r="AA271" t="s">
        <v>40</v>
      </c>
      <c r="AB271">
        <v>3</v>
      </c>
      <c r="AC271">
        <v>2</v>
      </c>
      <c r="AD271" t="s">
        <v>32</v>
      </c>
      <c r="AE271" t="s">
        <v>60</v>
      </c>
      <c r="AF271" t="s">
        <v>43</v>
      </c>
    </row>
    <row r="272" spans="1:32" x14ac:dyDescent="0.25">
      <c r="A272">
        <v>42</v>
      </c>
      <c r="B272" t="s">
        <v>41</v>
      </c>
      <c r="C272" t="s">
        <v>61</v>
      </c>
      <c r="D272" t="s">
        <v>34</v>
      </c>
      <c r="E272">
        <v>2</v>
      </c>
      <c r="F272" t="s">
        <v>35</v>
      </c>
      <c r="G272">
        <v>3</v>
      </c>
      <c r="H272">
        <v>1</v>
      </c>
      <c r="I272" t="s">
        <v>44</v>
      </c>
      <c r="J272">
        <v>4</v>
      </c>
      <c r="K272" t="s">
        <v>37</v>
      </c>
      <c r="L272">
        <v>2515</v>
      </c>
      <c r="M272">
        <v>5</v>
      </c>
      <c r="N272" t="s">
        <v>32</v>
      </c>
      <c r="O272">
        <v>14</v>
      </c>
      <c r="P272">
        <v>3</v>
      </c>
      <c r="Q272">
        <v>0</v>
      </c>
      <c r="R272">
        <v>8</v>
      </c>
      <c r="S272">
        <v>2</v>
      </c>
      <c r="T272">
        <v>2</v>
      </c>
      <c r="U272">
        <v>2</v>
      </c>
      <c r="V272">
        <v>2</v>
      </c>
      <c r="W272" t="s">
        <v>65</v>
      </c>
      <c r="X272" s="1" t="d">
        <v>2019-01-12</v>
      </c>
      <c r="Z272" t="s">
        <v>39</v>
      </c>
      <c r="AA272" t="s">
        <v>46</v>
      </c>
      <c r="AB272">
        <v>1</v>
      </c>
      <c r="AC272">
        <v>3</v>
      </c>
      <c r="AD272" t="s">
        <v>41</v>
      </c>
      <c r="AE272" t="s">
        <v>47</v>
      </c>
      <c r="AF272" t="s">
        <v>43</v>
      </c>
    </row>
    <row r="273" spans="1:32" x14ac:dyDescent="0.25">
      <c r="A273">
        <v>38</v>
      </c>
      <c r="B273" t="s">
        <v>41</v>
      </c>
      <c r="C273" t="s">
        <v>33</v>
      </c>
      <c r="D273" t="s">
        <v>53</v>
      </c>
      <c r="E273">
        <v>9</v>
      </c>
      <c r="F273" t="s">
        <v>35</v>
      </c>
      <c r="G273">
        <v>2</v>
      </c>
      <c r="H273">
        <v>1</v>
      </c>
      <c r="I273" t="s">
        <v>54</v>
      </c>
      <c r="J273">
        <v>2</v>
      </c>
      <c r="K273" t="s">
        <v>50</v>
      </c>
      <c r="L273">
        <v>2899</v>
      </c>
      <c r="M273">
        <v>0</v>
      </c>
      <c r="N273" t="s">
        <v>41</v>
      </c>
      <c r="O273">
        <v>19</v>
      </c>
      <c r="P273">
        <v>3</v>
      </c>
      <c r="Q273">
        <v>1</v>
      </c>
      <c r="R273">
        <v>3</v>
      </c>
      <c r="S273">
        <v>3</v>
      </c>
      <c r="T273">
        <v>2</v>
      </c>
      <c r="U273">
        <v>1</v>
      </c>
      <c r="V273">
        <v>2</v>
      </c>
      <c r="W273" t="s">
        <v>38</v>
      </c>
      <c r="X273" s="1" t="d">
        <v>2019-02-24</v>
      </c>
      <c r="Z273" t="s">
        <v>45</v>
      </c>
      <c r="AA273" t="s">
        <v>46</v>
      </c>
      <c r="AB273">
        <v>4</v>
      </c>
      <c r="AC273">
        <v>0</v>
      </c>
      <c r="AD273" t="s">
        <v>32</v>
      </c>
      <c r="AE273" t="s">
        <v>62</v>
      </c>
      <c r="AF273" t="s">
        <v>48</v>
      </c>
    </row>
    <row r="274" spans="1:32" x14ac:dyDescent="0.25">
      <c r="A274">
        <v>53</v>
      </c>
      <c r="B274" t="s">
        <v>41</v>
      </c>
      <c r="C274" t="s">
        <v>33</v>
      </c>
      <c r="D274" t="s">
        <v>53</v>
      </c>
      <c r="E274">
        <v>8</v>
      </c>
      <c r="F274" t="s">
        <v>35</v>
      </c>
      <c r="G274">
        <v>3</v>
      </c>
      <c r="H274">
        <v>4</v>
      </c>
      <c r="I274" t="s">
        <v>64</v>
      </c>
      <c r="J274">
        <v>4</v>
      </c>
      <c r="K274" t="s">
        <v>50</v>
      </c>
      <c r="L274">
        <v>11836</v>
      </c>
      <c r="M274">
        <v>5</v>
      </c>
      <c r="N274" t="s">
        <v>41</v>
      </c>
      <c r="O274">
        <v>14</v>
      </c>
      <c r="P274">
        <v>3</v>
      </c>
      <c r="Q274">
        <v>1</v>
      </c>
      <c r="R274">
        <v>28</v>
      </c>
      <c r="S274">
        <v>3</v>
      </c>
      <c r="T274">
        <v>2</v>
      </c>
      <c r="U274">
        <v>2</v>
      </c>
      <c r="V274">
        <v>2</v>
      </c>
      <c r="W274" t="s">
        <v>38</v>
      </c>
      <c r="X274" s="1" t="d">
        <v>2019-03-03</v>
      </c>
      <c r="Z274" t="s">
        <v>63</v>
      </c>
      <c r="AA274" t="s">
        <v>46</v>
      </c>
      <c r="AB274">
        <v>3</v>
      </c>
      <c r="AC274">
        <v>0</v>
      </c>
      <c r="AD274" t="s">
        <v>32</v>
      </c>
      <c r="AE274" t="s">
        <v>47</v>
      </c>
      <c r="AF274" t="s">
        <v>57</v>
      </c>
    </row>
    <row r="275" spans="1:32" x14ac:dyDescent="0.25">
      <c r="A275">
        <v>20</v>
      </c>
      <c r="B275" t="s">
        <v>32</v>
      </c>
      <c r="C275" t="s">
        <v>33</v>
      </c>
      <c r="D275" t="s">
        <v>53</v>
      </c>
      <c r="E275">
        <v>2</v>
      </c>
      <c r="F275" t="s">
        <v>58</v>
      </c>
      <c r="G275">
        <v>2</v>
      </c>
      <c r="H275">
        <v>1</v>
      </c>
      <c r="I275" t="s">
        <v>54</v>
      </c>
      <c r="J275">
        <v>3</v>
      </c>
      <c r="K275" t="s">
        <v>37</v>
      </c>
      <c r="L275">
        <v>2044</v>
      </c>
      <c r="M275">
        <v>1</v>
      </c>
      <c r="N275" t="s">
        <v>41</v>
      </c>
      <c r="O275">
        <v>13</v>
      </c>
      <c r="P275">
        <v>3</v>
      </c>
      <c r="Q275">
        <v>0</v>
      </c>
      <c r="R275">
        <v>2</v>
      </c>
      <c r="S275">
        <v>3</v>
      </c>
      <c r="T275">
        <v>2</v>
      </c>
      <c r="U275">
        <v>0</v>
      </c>
      <c r="V275">
        <v>2</v>
      </c>
      <c r="W275" t="s">
        <v>65</v>
      </c>
      <c r="X275" s="1" t="d">
        <v>2019-06-18</v>
      </c>
      <c r="Z275" t="s">
        <v>39</v>
      </c>
      <c r="AA275" t="s">
        <v>46</v>
      </c>
      <c r="AB275">
        <v>5</v>
      </c>
      <c r="AC275">
        <v>3</v>
      </c>
      <c r="AD275" t="s">
        <v>32</v>
      </c>
      <c r="AE275" t="s">
        <v>62</v>
      </c>
      <c r="AF275" t="s">
        <v>57</v>
      </c>
    </row>
    <row r="276" spans="1:32" x14ac:dyDescent="0.25">
      <c r="A276">
        <v>28</v>
      </c>
      <c r="B276" t="s">
        <v>41</v>
      </c>
      <c r="C276" t="s">
        <v>33</v>
      </c>
      <c r="D276" t="s">
        <v>34</v>
      </c>
      <c r="E276">
        <v>9</v>
      </c>
      <c r="F276" t="s">
        <v>58</v>
      </c>
      <c r="G276">
        <v>3</v>
      </c>
      <c r="H276">
        <v>1</v>
      </c>
      <c r="I276" t="s">
        <v>44</v>
      </c>
      <c r="J276">
        <v>3</v>
      </c>
      <c r="K276" t="s">
        <v>55</v>
      </c>
      <c r="L276">
        <v>2377</v>
      </c>
      <c r="M276">
        <v>5</v>
      </c>
      <c r="N276" t="s">
        <v>41</v>
      </c>
      <c r="O276">
        <v>18</v>
      </c>
      <c r="P276">
        <v>3</v>
      </c>
      <c r="Q276">
        <v>1</v>
      </c>
      <c r="R276">
        <v>6</v>
      </c>
      <c r="S276">
        <v>2</v>
      </c>
      <c r="T276">
        <v>2</v>
      </c>
      <c r="U276">
        <v>2</v>
      </c>
      <c r="V276">
        <v>2</v>
      </c>
      <c r="W276" t="s">
        <v>38</v>
      </c>
      <c r="X276" s="1" t="d">
        <v>2019-04-20</v>
      </c>
      <c r="Z276" t="s">
        <v>52</v>
      </c>
      <c r="AA276" t="s">
        <v>46</v>
      </c>
      <c r="AB276">
        <v>1</v>
      </c>
      <c r="AC276">
        <v>0</v>
      </c>
      <c r="AD276" t="s">
        <v>41</v>
      </c>
      <c r="AE276" t="s">
        <v>62</v>
      </c>
      <c r="AF276" t="s">
        <v>57</v>
      </c>
    </row>
    <row r="277" spans="1:32" x14ac:dyDescent="0.25">
      <c r="A277">
        <v>39</v>
      </c>
      <c r="B277" t="s">
        <v>32</v>
      </c>
      <c r="C277" t="s">
        <v>33</v>
      </c>
      <c r="D277" t="s">
        <v>34</v>
      </c>
      <c r="E277">
        <v>6</v>
      </c>
      <c r="F277" t="s">
        <v>35</v>
      </c>
      <c r="G277">
        <v>3</v>
      </c>
      <c r="H277">
        <v>1</v>
      </c>
      <c r="I277" t="s">
        <v>36</v>
      </c>
      <c r="J277">
        <v>1</v>
      </c>
      <c r="K277" t="s">
        <v>50</v>
      </c>
      <c r="L277">
        <v>2404</v>
      </c>
      <c r="M277">
        <v>7</v>
      </c>
      <c r="N277" t="s">
        <v>32</v>
      </c>
      <c r="O277">
        <v>21</v>
      </c>
      <c r="P277">
        <v>4</v>
      </c>
      <c r="Q277">
        <v>0</v>
      </c>
      <c r="R277">
        <v>8</v>
      </c>
      <c r="S277">
        <v>2</v>
      </c>
      <c r="T277">
        <v>2</v>
      </c>
      <c r="U277">
        <v>2</v>
      </c>
      <c r="V277">
        <v>2</v>
      </c>
      <c r="W277" t="s">
        <v>51</v>
      </c>
      <c r="X277" s="1" t="d">
        <v>2019-03-24</v>
      </c>
      <c r="Z277" t="s">
        <v>39</v>
      </c>
      <c r="AA277" t="s">
        <v>46</v>
      </c>
      <c r="AB277">
        <v>0</v>
      </c>
      <c r="AC277">
        <v>3</v>
      </c>
      <c r="AD277" t="s">
        <v>32</v>
      </c>
      <c r="AE277" t="s">
        <v>62</v>
      </c>
      <c r="AF277" t="s">
        <v>57</v>
      </c>
    </row>
    <row r="278" spans="1:32" x14ac:dyDescent="0.25">
      <c r="A278">
        <v>27</v>
      </c>
      <c r="B278" t="s">
        <v>41</v>
      </c>
      <c r="C278" t="s">
        <v>33</v>
      </c>
      <c r="D278" t="s">
        <v>34</v>
      </c>
      <c r="E278">
        <v>16</v>
      </c>
      <c r="F278" t="s">
        <v>58</v>
      </c>
      <c r="G278">
        <v>3</v>
      </c>
      <c r="H278">
        <v>1</v>
      </c>
      <c r="I278" t="s">
        <v>36</v>
      </c>
      <c r="J278">
        <v>2</v>
      </c>
      <c r="K278" t="s">
        <v>50</v>
      </c>
      <c r="L278">
        <v>2811</v>
      </c>
      <c r="M278">
        <v>9</v>
      </c>
      <c r="N278" t="s">
        <v>41</v>
      </c>
      <c r="O278">
        <v>14</v>
      </c>
      <c r="P278">
        <v>3</v>
      </c>
      <c r="Q278">
        <v>1</v>
      </c>
      <c r="R278">
        <v>4</v>
      </c>
      <c r="S278">
        <v>2</v>
      </c>
      <c r="T278">
        <v>2</v>
      </c>
      <c r="U278">
        <v>2</v>
      </c>
      <c r="V278">
        <v>2</v>
      </c>
      <c r="W278" t="s">
        <v>38</v>
      </c>
      <c r="X278" s="1" t="d">
        <v>2019-06-24</v>
      </c>
      <c r="Z278" t="s">
        <v>63</v>
      </c>
      <c r="AA278" t="s">
        <v>46</v>
      </c>
      <c r="AB278">
        <v>5</v>
      </c>
      <c r="AC278">
        <v>2</v>
      </c>
      <c r="AD278" t="s">
        <v>32</v>
      </c>
      <c r="AE278" t="s">
        <v>60</v>
      </c>
      <c r="AF278" t="s">
        <v>48</v>
      </c>
    </row>
    <row r="279" spans="1:32" x14ac:dyDescent="0.25">
      <c r="A279">
        <v>38</v>
      </c>
      <c r="B279" t="s">
        <v>41</v>
      </c>
      <c r="C279" t="s">
        <v>61</v>
      </c>
      <c r="D279" t="s">
        <v>34</v>
      </c>
      <c r="E279">
        <v>10</v>
      </c>
      <c r="F279" t="s">
        <v>35</v>
      </c>
      <c r="G279">
        <v>3</v>
      </c>
      <c r="H279">
        <v>1</v>
      </c>
      <c r="I279" t="s">
        <v>44</v>
      </c>
      <c r="J279">
        <v>3</v>
      </c>
      <c r="K279" t="s">
        <v>50</v>
      </c>
      <c r="L279">
        <v>2684</v>
      </c>
      <c r="M279">
        <v>0</v>
      </c>
      <c r="N279" t="s">
        <v>41</v>
      </c>
      <c r="O279">
        <v>17</v>
      </c>
      <c r="P279">
        <v>3</v>
      </c>
      <c r="Q279">
        <v>1</v>
      </c>
      <c r="R279">
        <v>3</v>
      </c>
      <c r="S279">
        <v>0</v>
      </c>
      <c r="T279">
        <v>2</v>
      </c>
      <c r="U279">
        <v>0</v>
      </c>
      <c r="V279">
        <v>2</v>
      </c>
      <c r="W279" t="s">
        <v>56</v>
      </c>
      <c r="X279" s="1" t="d">
        <v>2019-03-02</v>
      </c>
      <c r="Z279" t="s">
        <v>39</v>
      </c>
      <c r="AA279" t="s">
        <v>46</v>
      </c>
      <c r="AB279">
        <v>3</v>
      </c>
      <c r="AC279">
        <v>1</v>
      </c>
      <c r="AD279" t="s">
        <v>41</v>
      </c>
      <c r="AE279" t="s">
        <v>60</v>
      </c>
      <c r="AF279" t="s">
        <v>48</v>
      </c>
    </row>
    <row r="280" spans="1:32" x14ac:dyDescent="0.25">
      <c r="A280">
        <v>48</v>
      </c>
      <c r="B280" t="s">
        <v>41</v>
      </c>
      <c r="C280" t="s">
        <v>33</v>
      </c>
      <c r="D280" t="s">
        <v>34</v>
      </c>
      <c r="E280">
        <v>6</v>
      </c>
      <c r="F280" t="s">
        <v>35</v>
      </c>
      <c r="G280">
        <v>2</v>
      </c>
      <c r="H280">
        <v>2</v>
      </c>
      <c r="I280" t="s">
        <v>69</v>
      </c>
      <c r="J280">
        <v>3</v>
      </c>
      <c r="K280" t="s">
        <v>37</v>
      </c>
      <c r="L280">
        <v>4240</v>
      </c>
      <c r="M280">
        <v>2</v>
      </c>
      <c r="N280" t="s">
        <v>41</v>
      </c>
      <c r="O280">
        <v>13</v>
      </c>
      <c r="P280">
        <v>3</v>
      </c>
      <c r="Q280">
        <v>0</v>
      </c>
      <c r="R280">
        <v>19</v>
      </c>
      <c r="S280">
        <v>0</v>
      </c>
      <c r="T280">
        <v>2</v>
      </c>
      <c r="U280">
        <v>2</v>
      </c>
      <c r="V280">
        <v>2</v>
      </c>
      <c r="W280" t="s">
        <v>65</v>
      </c>
      <c r="X280" s="1" t="d">
        <v>2019-06-20</v>
      </c>
      <c r="Z280" t="s">
        <v>39</v>
      </c>
      <c r="AA280" t="s">
        <v>46</v>
      </c>
      <c r="AB280">
        <v>2</v>
      </c>
      <c r="AC280">
        <v>3</v>
      </c>
      <c r="AD280" t="s">
        <v>41</v>
      </c>
      <c r="AE280" t="s">
        <v>62</v>
      </c>
      <c r="AF280" t="s">
        <v>57</v>
      </c>
    </row>
    <row r="281" spans="1:32" x14ac:dyDescent="0.25">
      <c r="A281">
        <v>41</v>
      </c>
      <c r="B281" t="s">
        <v>41</v>
      </c>
      <c r="C281" t="s">
        <v>33</v>
      </c>
      <c r="D281" t="s">
        <v>34</v>
      </c>
      <c r="E281">
        <v>7</v>
      </c>
      <c r="F281" t="s">
        <v>58</v>
      </c>
      <c r="G281">
        <v>3</v>
      </c>
      <c r="H281">
        <v>2</v>
      </c>
      <c r="I281" t="s">
        <v>67</v>
      </c>
      <c r="J281">
        <v>3</v>
      </c>
      <c r="K281" t="s">
        <v>37</v>
      </c>
      <c r="L281">
        <v>5003</v>
      </c>
      <c r="M281">
        <v>6</v>
      </c>
      <c r="N281" t="s">
        <v>41</v>
      </c>
      <c r="O281">
        <v>14</v>
      </c>
      <c r="P281">
        <v>3</v>
      </c>
      <c r="Q281">
        <v>0</v>
      </c>
      <c r="R281">
        <v>8</v>
      </c>
      <c r="S281">
        <v>6</v>
      </c>
      <c r="T281">
        <v>2</v>
      </c>
      <c r="U281">
        <v>2</v>
      </c>
      <c r="V281">
        <v>1</v>
      </c>
      <c r="W281" t="s">
        <v>38</v>
      </c>
      <c r="X281" s="1" t="d">
        <v>2019-04-09</v>
      </c>
      <c r="Z281" t="s">
        <v>52</v>
      </c>
      <c r="AA281" t="s">
        <v>46</v>
      </c>
      <c r="AB281">
        <v>4</v>
      </c>
      <c r="AC281">
        <v>2</v>
      </c>
      <c r="AD281" t="s">
        <v>41</v>
      </c>
      <c r="AE281" t="s">
        <v>42</v>
      </c>
      <c r="AF281" t="s">
        <v>48</v>
      </c>
    </row>
    <row r="282" spans="1:32" x14ac:dyDescent="0.25">
      <c r="A282">
        <v>26</v>
      </c>
      <c r="B282" t="s">
        <v>32</v>
      </c>
      <c r="C282" t="s">
        <v>68</v>
      </c>
      <c r="D282" t="s">
        <v>53</v>
      </c>
      <c r="E282">
        <v>29</v>
      </c>
      <c r="F282" t="s">
        <v>35</v>
      </c>
      <c r="G282">
        <v>1</v>
      </c>
      <c r="H282">
        <v>2</v>
      </c>
      <c r="I282" t="s">
        <v>64</v>
      </c>
      <c r="J282">
        <v>1</v>
      </c>
      <c r="K282" t="s">
        <v>37</v>
      </c>
      <c r="L282">
        <v>4969</v>
      </c>
      <c r="M282">
        <v>8</v>
      </c>
      <c r="N282" t="s">
        <v>41</v>
      </c>
      <c r="O282">
        <v>18</v>
      </c>
      <c r="P282">
        <v>3</v>
      </c>
      <c r="Q282">
        <v>0</v>
      </c>
      <c r="R282">
        <v>7</v>
      </c>
      <c r="S282">
        <v>6</v>
      </c>
      <c r="T282">
        <v>2</v>
      </c>
      <c r="U282">
        <v>2</v>
      </c>
      <c r="V282">
        <v>2</v>
      </c>
      <c r="W282" t="s">
        <v>38</v>
      </c>
      <c r="X282" s="1" t="d">
        <v>2019-01-11</v>
      </c>
      <c r="Z282" t="s">
        <v>52</v>
      </c>
      <c r="AA282" t="s">
        <v>40</v>
      </c>
      <c r="AB282">
        <v>5</v>
      </c>
      <c r="AC282">
        <v>0</v>
      </c>
      <c r="AD282" t="s">
        <v>32</v>
      </c>
      <c r="AE282" t="s">
        <v>60</v>
      </c>
      <c r="AF282" t="s">
        <v>43</v>
      </c>
    </row>
    <row r="283" spans="1:32" x14ac:dyDescent="0.25">
      <c r="A283">
        <v>33</v>
      </c>
      <c r="B283" t="s">
        <v>41</v>
      </c>
      <c r="C283" t="s">
        <v>68</v>
      </c>
      <c r="D283" t="s">
        <v>53</v>
      </c>
      <c r="E283">
        <v>8</v>
      </c>
      <c r="F283" t="s">
        <v>58</v>
      </c>
      <c r="G283">
        <v>2</v>
      </c>
      <c r="H283">
        <v>1</v>
      </c>
      <c r="I283" t="s">
        <v>54</v>
      </c>
      <c r="J283">
        <v>4</v>
      </c>
      <c r="K283" t="s">
        <v>37</v>
      </c>
      <c r="L283">
        <v>2342</v>
      </c>
      <c r="M283">
        <v>0</v>
      </c>
      <c r="N283" t="s">
        <v>41</v>
      </c>
      <c r="O283">
        <v>19</v>
      </c>
      <c r="P283">
        <v>3</v>
      </c>
      <c r="Q283">
        <v>0</v>
      </c>
      <c r="R283">
        <v>3</v>
      </c>
      <c r="S283">
        <v>2</v>
      </c>
      <c r="T283">
        <v>2</v>
      </c>
      <c r="U283">
        <v>2</v>
      </c>
      <c r="V283">
        <v>2</v>
      </c>
      <c r="W283" t="s">
        <v>51</v>
      </c>
      <c r="X283" s="1" t="d">
        <v>2019-06-19</v>
      </c>
      <c r="Z283" t="s">
        <v>63</v>
      </c>
      <c r="AA283" t="s">
        <v>40</v>
      </c>
      <c r="AB283">
        <v>5</v>
      </c>
      <c r="AC283">
        <v>3</v>
      </c>
      <c r="AD283" t="s">
        <v>32</v>
      </c>
      <c r="AE283" t="s">
        <v>47</v>
      </c>
      <c r="AF283" t="s">
        <v>48</v>
      </c>
    </row>
    <row r="284" spans="1:32" x14ac:dyDescent="0.25">
      <c r="A284">
        <v>38</v>
      </c>
      <c r="B284" t="s">
        <v>41</v>
      </c>
      <c r="C284" t="s">
        <v>61</v>
      </c>
      <c r="D284" t="s">
        <v>34</v>
      </c>
      <c r="E284">
        <v>3</v>
      </c>
      <c r="F284" t="s">
        <v>35</v>
      </c>
      <c r="G284">
        <v>3</v>
      </c>
      <c r="H284">
        <v>1</v>
      </c>
      <c r="I284" t="s">
        <v>44</v>
      </c>
      <c r="J284">
        <v>3</v>
      </c>
      <c r="K284" t="s">
        <v>50</v>
      </c>
      <c r="L284">
        <v>2821</v>
      </c>
      <c r="M284">
        <v>3</v>
      </c>
      <c r="N284" t="s">
        <v>41</v>
      </c>
      <c r="O284">
        <v>16</v>
      </c>
      <c r="P284">
        <v>3</v>
      </c>
      <c r="Q284">
        <v>1</v>
      </c>
      <c r="R284">
        <v>8</v>
      </c>
      <c r="S284">
        <v>2</v>
      </c>
      <c r="T284">
        <v>2</v>
      </c>
      <c r="U284">
        <v>2</v>
      </c>
      <c r="V284">
        <v>2</v>
      </c>
      <c r="W284" t="s">
        <v>65</v>
      </c>
      <c r="X284" s="1" t="d">
        <v>2019-03-19</v>
      </c>
      <c r="Z284" t="s">
        <v>63</v>
      </c>
      <c r="AA284" t="s">
        <v>46</v>
      </c>
      <c r="AB284">
        <v>4</v>
      </c>
      <c r="AC284">
        <v>1</v>
      </c>
      <c r="AD284" t="s">
        <v>41</v>
      </c>
      <c r="AE284" t="s">
        <v>47</v>
      </c>
      <c r="AF284" t="s">
        <v>57</v>
      </c>
    </row>
    <row r="285" spans="1:32" x14ac:dyDescent="0.25">
      <c r="A285">
        <v>46</v>
      </c>
      <c r="B285" t="s">
        <v>41</v>
      </c>
      <c r="C285" t="s">
        <v>33</v>
      </c>
      <c r="D285" t="s">
        <v>34</v>
      </c>
      <c r="E285">
        <v>1</v>
      </c>
      <c r="F285" t="s">
        <v>35</v>
      </c>
      <c r="G285">
        <v>3</v>
      </c>
      <c r="H285">
        <v>5</v>
      </c>
      <c r="I285" t="s">
        <v>49</v>
      </c>
      <c r="J285">
        <v>4</v>
      </c>
      <c r="K285" t="s">
        <v>55</v>
      </c>
      <c r="L285">
        <v>19627</v>
      </c>
      <c r="M285">
        <v>9</v>
      </c>
      <c r="N285" t="s">
        <v>41</v>
      </c>
      <c r="O285">
        <v>17</v>
      </c>
      <c r="P285">
        <v>3</v>
      </c>
      <c r="Q285">
        <v>2</v>
      </c>
      <c r="R285">
        <v>23</v>
      </c>
      <c r="S285">
        <v>0</v>
      </c>
      <c r="T285">
        <v>2</v>
      </c>
      <c r="U285">
        <v>2</v>
      </c>
      <c r="V285">
        <v>2</v>
      </c>
      <c r="W285" t="s">
        <v>65</v>
      </c>
      <c r="X285" s="1" t="d">
        <v>2019-05-29</v>
      </c>
      <c r="Z285" t="s">
        <v>45</v>
      </c>
      <c r="AA285" t="s">
        <v>46</v>
      </c>
      <c r="AB285">
        <v>0</v>
      </c>
      <c r="AC285">
        <v>1</v>
      </c>
      <c r="AD285" t="s">
        <v>41</v>
      </c>
      <c r="AE285" t="s">
        <v>42</v>
      </c>
      <c r="AF285" t="s">
        <v>57</v>
      </c>
    </row>
    <row r="286" spans="1:32" x14ac:dyDescent="0.25">
      <c r="A286">
        <v>20</v>
      </c>
      <c r="B286" t="s">
        <v>32</v>
      </c>
      <c r="C286" t="s">
        <v>61</v>
      </c>
      <c r="D286" t="s">
        <v>53</v>
      </c>
      <c r="E286">
        <v>9</v>
      </c>
      <c r="F286" t="s">
        <v>58</v>
      </c>
      <c r="G286">
        <v>3</v>
      </c>
      <c r="H286">
        <v>1</v>
      </c>
      <c r="I286" t="s">
        <v>54</v>
      </c>
      <c r="J286">
        <v>4</v>
      </c>
      <c r="K286" t="s">
        <v>37</v>
      </c>
      <c r="L286">
        <v>2323</v>
      </c>
      <c r="M286">
        <v>1</v>
      </c>
      <c r="N286" t="s">
        <v>32</v>
      </c>
      <c r="O286">
        <v>14</v>
      </c>
      <c r="P286">
        <v>3</v>
      </c>
      <c r="Q286">
        <v>0</v>
      </c>
      <c r="R286">
        <v>2</v>
      </c>
      <c r="S286">
        <v>3</v>
      </c>
      <c r="T286">
        <v>2</v>
      </c>
      <c r="U286">
        <v>0</v>
      </c>
      <c r="V286">
        <v>2</v>
      </c>
      <c r="W286" t="s">
        <v>56</v>
      </c>
      <c r="X286" s="1" t="d">
        <v>2019-01-22</v>
      </c>
      <c r="Z286" t="s">
        <v>63</v>
      </c>
      <c r="AA286" t="s">
        <v>46</v>
      </c>
      <c r="AB286">
        <v>1</v>
      </c>
      <c r="AC286">
        <v>2</v>
      </c>
      <c r="AD286" t="s">
        <v>41</v>
      </c>
      <c r="AE286" t="s">
        <v>47</v>
      </c>
      <c r="AF286" t="s">
        <v>48</v>
      </c>
    </row>
    <row r="287" spans="1:32" x14ac:dyDescent="0.25">
      <c r="A287">
        <v>33</v>
      </c>
      <c r="B287" t="s">
        <v>32</v>
      </c>
      <c r="C287" t="s">
        <v>33</v>
      </c>
      <c r="D287" t="s">
        <v>34</v>
      </c>
      <c r="E287">
        <v>25</v>
      </c>
      <c r="F287" t="s">
        <v>35</v>
      </c>
      <c r="G287">
        <v>2</v>
      </c>
      <c r="H287">
        <v>1</v>
      </c>
      <c r="I287" t="s">
        <v>44</v>
      </c>
      <c r="J287">
        <v>2</v>
      </c>
      <c r="K287" t="s">
        <v>37</v>
      </c>
      <c r="L287">
        <v>2313</v>
      </c>
      <c r="M287">
        <v>4</v>
      </c>
      <c r="N287" t="s">
        <v>32</v>
      </c>
      <c r="O287">
        <v>20</v>
      </c>
      <c r="P287">
        <v>4</v>
      </c>
      <c r="Q287">
        <v>0</v>
      </c>
      <c r="R287">
        <v>5</v>
      </c>
      <c r="S287">
        <v>0</v>
      </c>
      <c r="T287">
        <v>2</v>
      </c>
      <c r="U287">
        <v>2</v>
      </c>
      <c r="V287">
        <v>2</v>
      </c>
      <c r="W287" t="s">
        <v>38</v>
      </c>
      <c r="X287" s="1" t="d">
        <v>2019-01-05</v>
      </c>
      <c r="Z287" t="s">
        <v>52</v>
      </c>
      <c r="AA287" t="s">
        <v>46</v>
      </c>
      <c r="AB287">
        <v>2</v>
      </c>
      <c r="AC287">
        <v>1</v>
      </c>
      <c r="AD287" t="s">
        <v>41</v>
      </c>
      <c r="AE287" t="s">
        <v>42</v>
      </c>
      <c r="AF287" t="s">
        <v>43</v>
      </c>
    </row>
    <row r="288" spans="1:32" x14ac:dyDescent="0.25">
      <c r="A288">
        <v>21</v>
      </c>
      <c r="B288" t="s">
        <v>41</v>
      </c>
      <c r="C288" t="s">
        <v>33</v>
      </c>
      <c r="D288" t="s">
        <v>34</v>
      </c>
      <c r="E288">
        <v>1</v>
      </c>
      <c r="F288" t="s">
        <v>58</v>
      </c>
      <c r="G288">
        <v>2</v>
      </c>
      <c r="H288">
        <v>1</v>
      </c>
      <c r="I288" t="s">
        <v>44</v>
      </c>
      <c r="J288">
        <v>2</v>
      </c>
      <c r="K288" t="s">
        <v>37</v>
      </c>
      <c r="L288">
        <v>2070</v>
      </c>
      <c r="M288">
        <v>1</v>
      </c>
      <c r="N288" t="s">
        <v>32</v>
      </c>
      <c r="O288">
        <v>11</v>
      </c>
      <c r="P288">
        <v>3</v>
      </c>
      <c r="Q288">
        <v>0</v>
      </c>
      <c r="R288">
        <v>2</v>
      </c>
      <c r="S288">
        <v>6</v>
      </c>
      <c r="T288">
        <v>2</v>
      </c>
      <c r="U288">
        <v>2</v>
      </c>
      <c r="V288">
        <v>2</v>
      </c>
      <c r="W288" t="s">
        <v>65</v>
      </c>
      <c r="X288" s="1" t="d">
        <v>2019-05-06</v>
      </c>
      <c r="Z288" t="s">
        <v>39</v>
      </c>
      <c r="AA288" t="s">
        <v>46</v>
      </c>
      <c r="AB288">
        <v>4</v>
      </c>
      <c r="AC288">
        <v>2</v>
      </c>
      <c r="AD288" t="s">
        <v>32</v>
      </c>
      <c r="AE288" t="s">
        <v>47</v>
      </c>
      <c r="AF288" t="s">
        <v>43</v>
      </c>
    </row>
    <row r="289" spans="1:32" x14ac:dyDescent="0.25">
      <c r="A289">
        <v>31</v>
      </c>
      <c r="B289" t="s">
        <v>41</v>
      </c>
      <c r="C289" t="s">
        <v>61</v>
      </c>
      <c r="D289" t="s">
        <v>53</v>
      </c>
      <c r="E289">
        <v>20</v>
      </c>
      <c r="F289" t="s">
        <v>35</v>
      </c>
      <c r="G289">
        <v>4</v>
      </c>
      <c r="H289">
        <v>1</v>
      </c>
      <c r="I289" t="s">
        <v>54</v>
      </c>
      <c r="J289">
        <v>4</v>
      </c>
      <c r="K289" t="s">
        <v>50</v>
      </c>
      <c r="L289">
        <v>2791</v>
      </c>
      <c r="M289">
        <v>0</v>
      </c>
      <c r="N289" t="s">
        <v>41</v>
      </c>
      <c r="O289">
        <v>12</v>
      </c>
      <c r="P289">
        <v>3</v>
      </c>
      <c r="Q289">
        <v>1</v>
      </c>
      <c r="R289">
        <v>3</v>
      </c>
      <c r="S289">
        <v>4</v>
      </c>
      <c r="T289">
        <v>2</v>
      </c>
      <c r="U289">
        <v>2</v>
      </c>
      <c r="V289">
        <v>2</v>
      </c>
      <c r="W289" t="s">
        <v>65</v>
      </c>
      <c r="X289" s="1" t="d">
        <v>2019-02-21</v>
      </c>
      <c r="Z289" t="s">
        <v>45</v>
      </c>
      <c r="AA289" t="s">
        <v>46</v>
      </c>
      <c r="AB289">
        <v>5</v>
      </c>
      <c r="AC289">
        <v>2</v>
      </c>
      <c r="AD289" t="s">
        <v>41</v>
      </c>
      <c r="AE289" t="s">
        <v>42</v>
      </c>
      <c r="AF289" t="s">
        <v>57</v>
      </c>
    </row>
    <row r="290" spans="1:32" x14ac:dyDescent="0.25">
      <c r="A290">
        <v>31</v>
      </c>
      <c r="B290" t="s">
        <v>32</v>
      </c>
      <c r="C290" t="s">
        <v>61</v>
      </c>
      <c r="D290" t="s">
        <v>34</v>
      </c>
      <c r="E290">
        <v>15</v>
      </c>
      <c r="F290" t="s">
        <v>35</v>
      </c>
      <c r="G290">
        <v>3</v>
      </c>
      <c r="H290">
        <v>1</v>
      </c>
      <c r="I290" t="s">
        <v>36</v>
      </c>
      <c r="J290">
        <v>3</v>
      </c>
      <c r="K290" t="s">
        <v>50</v>
      </c>
      <c r="L290">
        <v>2610</v>
      </c>
      <c r="M290">
        <v>1</v>
      </c>
      <c r="N290" t="s">
        <v>41</v>
      </c>
      <c r="O290">
        <v>12</v>
      </c>
      <c r="P290">
        <v>3</v>
      </c>
      <c r="Q290">
        <v>1</v>
      </c>
      <c r="R290">
        <v>2</v>
      </c>
      <c r="S290">
        <v>5</v>
      </c>
      <c r="T290">
        <v>2</v>
      </c>
      <c r="U290">
        <v>2</v>
      </c>
      <c r="V290">
        <v>2</v>
      </c>
      <c r="W290" t="s">
        <v>38</v>
      </c>
      <c r="X290" s="1" t="d">
        <v>2019-05-13</v>
      </c>
      <c r="Z290" t="s">
        <v>52</v>
      </c>
      <c r="AA290" t="s">
        <v>46</v>
      </c>
      <c r="AB290">
        <v>3</v>
      </c>
      <c r="AC290">
        <v>3</v>
      </c>
      <c r="AD290" t="s">
        <v>41</v>
      </c>
      <c r="AE290" t="s">
        <v>60</v>
      </c>
      <c r="AF290" t="s">
        <v>57</v>
      </c>
    </row>
    <row r="291" spans="1:32" x14ac:dyDescent="0.25">
      <c r="A291">
        <v>35</v>
      </c>
      <c r="B291" t="s">
        <v>41</v>
      </c>
      <c r="C291" t="s">
        <v>61</v>
      </c>
      <c r="D291" t="s">
        <v>34</v>
      </c>
      <c r="E291">
        <v>4</v>
      </c>
      <c r="F291" t="s">
        <v>35</v>
      </c>
      <c r="G291">
        <v>2</v>
      </c>
      <c r="H291">
        <v>1</v>
      </c>
      <c r="I291" t="s">
        <v>36</v>
      </c>
      <c r="J291">
        <v>4</v>
      </c>
      <c r="K291" t="s">
        <v>50</v>
      </c>
      <c r="L291">
        <v>2376</v>
      </c>
      <c r="M291">
        <v>1</v>
      </c>
      <c r="N291" t="s">
        <v>41</v>
      </c>
      <c r="O291">
        <v>13</v>
      </c>
      <c r="P291">
        <v>3</v>
      </c>
      <c r="Q291">
        <v>1</v>
      </c>
      <c r="R291">
        <v>2</v>
      </c>
      <c r="S291">
        <v>2</v>
      </c>
      <c r="T291">
        <v>2</v>
      </c>
      <c r="U291">
        <v>2</v>
      </c>
      <c r="V291">
        <v>2</v>
      </c>
      <c r="W291" t="s">
        <v>65</v>
      </c>
      <c r="X291" s="1" t="d">
        <v>2019-03-11</v>
      </c>
      <c r="Z291" t="s">
        <v>52</v>
      </c>
      <c r="AA291" t="s">
        <v>46</v>
      </c>
      <c r="AB291">
        <v>5</v>
      </c>
      <c r="AC291">
        <v>2</v>
      </c>
      <c r="AD291" t="s">
        <v>41</v>
      </c>
      <c r="AE291" t="s">
        <v>47</v>
      </c>
      <c r="AF291" t="s">
        <v>57</v>
      </c>
    </row>
    <row r="292" spans="1:32" x14ac:dyDescent="0.25">
      <c r="A292">
        <v>20</v>
      </c>
      <c r="B292" t="s">
        <v>41</v>
      </c>
      <c r="C292" t="s">
        <v>33</v>
      </c>
      <c r="D292" t="s">
        <v>34</v>
      </c>
      <c r="E292">
        <v>3</v>
      </c>
      <c r="F292" t="s">
        <v>35</v>
      </c>
      <c r="G292">
        <v>2</v>
      </c>
      <c r="H292">
        <v>1</v>
      </c>
      <c r="I292" t="s">
        <v>36</v>
      </c>
      <c r="J292">
        <v>3</v>
      </c>
      <c r="K292" t="s">
        <v>37</v>
      </c>
      <c r="L292">
        <v>3033</v>
      </c>
      <c r="M292">
        <v>1</v>
      </c>
      <c r="N292" t="s">
        <v>41</v>
      </c>
      <c r="O292">
        <v>12</v>
      </c>
      <c r="P292">
        <v>3</v>
      </c>
      <c r="Q292">
        <v>0</v>
      </c>
      <c r="R292">
        <v>2</v>
      </c>
      <c r="S292">
        <v>2</v>
      </c>
      <c r="T292">
        <v>2</v>
      </c>
      <c r="U292">
        <v>1</v>
      </c>
      <c r="V292">
        <v>2</v>
      </c>
      <c r="W292" t="s">
        <v>38</v>
      </c>
      <c r="X292" s="1" t="d">
        <v>2019-03-31</v>
      </c>
      <c r="Z292" t="s">
        <v>39</v>
      </c>
      <c r="AA292" t="s">
        <v>46</v>
      </c>
      <c r="AB292">
        <v>1</v>
      </c>
      <c r="AC292">
        <v>0</v>
      </c>
      <c r="AD292" t="s">
        <v>41</v>
      </c>
      <c r="AE292" t="s">
        <v>62</v>
      </c>
      <c r="AF292" t="s">
        <v>43</v>
      </c>
    </row>
    <row r="293" spans="1:32" x14ac:dyDescent="0.25">
      <c r="A293">
        <v>50</v>
      </c>
      <c r="B293" t="s">
        <v>41</v>
      </c>
      <c r="C293" t="s">
        <v>61</v>
      </c>
      <c r="D293" t="s">
        <v>34</v>
      </c>
      <c r="E293">
        <v>2</v>
      </c>
      <c r="F293" t="s">
        <v>58</v>
      </c>
      <c r="G293">
        <v>3</v>
      </c>
      <c r="H293">
        <v>4</v>
      </c>
      <c r="I293" t="s">
        <v>66</v>
      </c>
      <c r="J293">
        <v>1</v>
      </c>
      <c r="K293" t="s">
        <v>50</v>
      </c>
      <c r="L293">
        <v>17856</v>
      </c>
      <c r="M293">
        <v>2</v>
      </c>
      <c r="N293" t="s">
        <v>41</v>
      </c>
      <c r="O293">
        <v>22</v>
      </c>
      <c r="P293">
        <v>4</v>
      </c>
      <c r="Q293">
        <v>1</v>
      </c>
      <c r="R293">
        <v>32</v>
      </c>
      <c r="S293">
        <v>3</v>
      </c>
      <c r="T293">
        <v>2</v>
      </c>
      <c r="U293">
        <v>2</v>
      </c>
      <c r="V293">
        <v>2</v>
      </c>
      <c r="W293" t="s">
        <v>56</v>
      </c>
      <c r="X293" s="1" t="d">
        <v>2019-06-18</v>
      </c>
      <c r="Z293" t="s">
        <v>39</v>
      </c>
      <c r="AA293" t="s">
        <v>46</v>
      </c>
      <c r="AB293">
        <v>4</v>
      </c>
      <c r="AC293">
        <v>0</v>
      </c>
      <c r="AD293" t="s">
        <v>41</v>
      </c>
      <c r="AE293" t="s">
        <v>60</v>
      </c>
      <c r="AF293" t="s">
        <v>48</v>
      </c>
    </row>
    <row r="294" spans="1:32" x14ac:dyDescent="0.25">
      <c r="A294">
        <v>20</v>
      </c>
      <c r="B294" t="s">
        <v>41</v>
      </c>
      <c r="C294" t="s">
        <v>33</v>
      </c>
      <c r="D294" t="s">
        <v>53</v>
      </c>
      <c r="E294">
        <v>21</v>
      </c>
      <c r="F294" t="s">
        <v>35</v>
      </c>
      <c r="G294">
        <v>4</v>
      </c>
      <c r="H294">
        <v>1</v>
      </c>
      <c r="I294" t="s">
        <v>54</v>
      </c>
      <c r="J294">
        <v>4</v>
      </c>
      <c r="K294" t="s">
        <v>37</v>
      </c>
      <c r="L294">
        <v>2678</v>
      </c>
      <c r="M294">
        <v>1</v>
      </c>
      <c r="N294" t="s">
        <v>41</v>
      </c>
      <c r="O294">
        <v>17</v>
      </c>
      <c r="P294">
        <v>3</v>
      </c>
      <c r="Q294">
        <v>0</v>
      </c>
      <c r="R294">
        <v>2</v>
      </c>
      <c r="S294">
        <v>2</v>
      </c>
      <c r="T294">
        <v>2</v>
      </c>
      <c r="U294">
        <v>2</v>
      </c>
      <c r="V294">
        <v>2</v>
      </c>
      <c r="W294" t="s">
        <v>38</v>
      </c>
      <c r="X294" s="1" t="d">
        <v>2019-02-12</v>
      </c>
      <c r="Z294" t="s">
        <v>39</v>
      </c>
      <c r="AA294" t="s">
        <v>46</v>
      </c>
      <c r="AB294">
        <v>1</v>
      </c>
      <c r="AC294">
        <v>1</v>
      </c>
      <c r="AD294" t="s">
        <v>32</v>
      </c>
      <c r="AE294" t="s">
        <v>47</v>
      </c>
      <c r="AF294" t="s">
        <v>43</v>
      </c>
    </row>
    <row r="295" spans="1:32" x14ac:dyDescent="0.25">
      <c r="A295">
        <v>32</v>
      </c>
      <c r="B295" t="s">
        <v>41</v>
      </c>
      <c r="C295" t="s">
        <v>61</v>
      </c>
      <c r="D295" t="s">
        <v>34</v>
      </c>
      <c r="E295">
        <v>13</v>
      </c>
      <c r="F295" t="s">
        <v>58</v>
      </c>
      <c r="G295">
        <v>2</v>
      </c>
      <c r="H295">
        <v>1</v>
      </c>
      <c r="I295" t="s">
        <v>36</v>
      </c>
      <c r="J295">
        <v>2</v>
      </c>
      <c r="K295" t="s">
        <v>50</v>
      </c>
      <c r="L295">
        <v>2743</v>
      </c>
      <c r="M295">
        <v>1</v>
      </c>
      <c r="N295" t="s">
        <v>41</v>
      </c>
      <c r="O295">
        <v>20</v>
      </c>
      <c r="P295">
        <v>4</v>
      </c>
      <c r="Q295">
        <v>1</v>
      </c>
      <c r="R295">
        <v>2</v>
      </c>
      <c r="S295">
        <v>2</v>
      </c>
      <c r="T295">
        <v>2</v>
      </c>
      <c r="U295">
        <v>2</v>
      </c>
      <c r="V295">
        <v>2</v>
      </c>
      <c r="W295" t="s">
        <v>56</v>
      </c>
      <c r="X295" s="1" t="d">
        <v>2019-01-12</v>
      </c>
      <c r="Z295" t="s">
        <v>45</v>
      </c>
      <c r="AA295" t="s">
        <v>46</v>
      </c>
      <c r="AB295">
        <v>4</v>
      </c>
      <c r="AC295">
        <v>3</v>
      </c>
      <c r="AD295" t="s">
        <v>41</v>
      </c>
      <c r="AE295" t="s">
        <v>47</v>
      </c>
      <c r="AF295" t="s">
        <v>57</v>
      </c>
    </row>
    <row r="296" spans="1:32" x14ac:dyDescent="0.25">
      <c r="A296">
        <v>21</v>
      </c>
      <c r="B296" t="s">
        <v>32</v>
      </c>
      <c r="C296" t="s">
        <v>61</v>
      </c>
      <c r="D296" t="s">
        <v>34</v>
      </c>
      <c r="E296">
        <v>10</v>
      </c>
      <c r="F296" t="s">
        <v>58</v>
      </c>
      <c r="G296">
        <v>2</v>
      </c>
      <c r="H296">
        <v>1</v>
      </c>
      <c r="I296" t="s">
        <v>36</v>
      </c>
      <c r="J296">
        <v>3</v>
      </c>
      <c r="K296" t="s">
        <v>37</v>
      </c>
      <c r="L296">
        <v>2625</v>
      </c>
      <c r="M296">
        <v>1</v>
      </c>
      <c r="N296" t="s">
        <v>41</v>
      </c>
      <c r="O296">
        <v>20</v>
      </c>
      <c r="P296">
        <v>4</v>
      </c>
      <c r="Q296">
        <v>0</v>
      </c>
      <c r="R296">
        <v>2</v>
      </c>
      <c r="S296">
        <v>2</v>
      </c>
      <c r="T296">
        <v>2</v>
      </c>
      <c r="U296">
        <v>2</v>
      </c>
      <c r="V296">
        <v>2</v>
      </c>
      <c r="W296" t="s">
        <v>56</v>
      </c>
      <c r="X296" s="1" t="d">
        <v>2019-04-12</v>
      </c>
      <c r="Z296" t="s">
        <v>59</v>
      </c>
      <c r="AA296" t="s">
        <v>40</v>
      </c>
      <c r="AB296">
        <v>1</v>
      </c>
      <c r="AC296">
        <v>0</v>
      </c>
      <c r="AD296" t="s">
        <v>41</v>
      </c>
      <c r="AE296" t="s">
        <v>62</v>
      </c>
      <c r="AF296" t="s">
        <v>57</v>
      </c>
    </row>
    <row r="297" spans="1:32" x14ac:dyDescent="0.25">
      <c r="A297">
        <v>28</v>
      </c>
      <c r="B297" t="s">
        <v>41</v>
      </c>
      <c r="C297" t="s">
        <v>61</v>
      </c>
      <c r="D297" t="s">
        <v>34</v>
      </c>
      <c r="E297">
        <v>2</v>
      </c>
      <c r="F297" t="s">
        <v>35</v>
      </c>
      <c r="G297">
        <v>2</v>
      </c>
      <c r="H297">
        <v>1</v>
      </c>
      <c r="I297" t="s">
        <v>36</v>
      </c>
      <c r="J297">
        <v>4</v>
      </c>
      <c r="K297" t="s">
        <v>50</v>
      </c>
      <c r="L297">
        <v>3867</v>
      </c>
      <c r="M297">
        <v>1</v>
      </c>
      <c r="N297" t="s">
        <v>32</v>
      </c>
      <c r="O297">
        <v>12</v>
      </c>
      <c r="P297">
        <v>3</v>
      </c>
      <c r="Q297">
        <v>1</v>
      </c>
      <c r="R297">
        <v>2</v>
      </c>
      <c r="S297">
        <v>2</v>
      </c>
      <c r="T297">
        <v>2</v>
      </c>
      <c r="U297">
        <v>2</v>
      </c>
      <c r="V297">
        <v>2</v>
      </c>
      <c r="W297" t="s">
        <v>38</v>
      </c>
      <c r="X297" s="1" t="d">
        <v>2019-04-20</v>
      </c>
      <c r="Z297" t="s">
        <v>45</v>
      </c>
      <c r="AA297" t="s">
        <v>40</v>
      </c>
      <c r="AB297">
        <v>3</v>
      </c>
      <c r="AC297">
        <v>0</v>
      </c>
      <c r="AD297" t="s">
        <v>41</v>
      </c>
      <c r="AE297" t="s">
        <v>42</v>
      </c>
      <c r="AF297" t="s">
        <v>43</v>
      </c>
    </row>
    <row r="298" spans="1:32" x14ac:dyDescent="0.25">
      <c r="A298">
        <v>25</v>
      </c>
      <c r="B298" t="s">
        <v>41</v>
      </c>
      <c r="C298" t="s">
        <v>33</v>
      </c>
      <c r="D298" t="s">
        <v>34</v>
      </c>
      <c r="E298">
        <v>1</v>
      </c>
      <c r="F298" t="s">
        <v>58</v>
      </c>
      <c r="G298">
        <v>3</v>
      </c>
      <c r="H298">
        <v>1</v>
      </c>
      <c r="I298" t="s">
        <v>44</v>
      </c>
      <c r="J298">
        <v>2</v>
      </c>
      <c r="K298" t="s">
        <v>37</v>
      </c>
      <c r="L298">
        <v>2096</v>
      </c>
      <c r="M298">
        <v>1</v>
      </c>
      <c r="N298" t="s">
        <v>41</v>
      </c>
      <c r="O298">
        <v>18</v>
      </c>
      <c r="P298">
        <v>3</v>
      </c>
      <c r="Q298">
        <v>0</v>
      </c>
      <c r="R298">
        <v>2</v>
      </c>
      <c r="S298">
        <v>3</v>
      </c>
      <c r="T298">
        <v>2</v>
      </c>
      <c r="U298">
        <v>2</v>
      </c>
      <c r="V298">
        <v>1</v>
      </c>
      <c r="W298" t="s">
        <v>56</v>
      </c>
      <c r="X298" s="1" t="d">
        <v>2019-05-14</v>
      </c>
      <c r="Z298" t="s">
        <v>45</v>
      </c>
      <c r="AA298" t="s">
        <v>46</v>
      </c>
      <c r="AB298">
        <v>2</v>
      </c>
      <c r="AC298">
        <v>2</v>
      </c>
      <c r="AD298" t="s">
        <v>32</v>
      </c>
      <c r="AE298" t="s">
        <v>47</v>
      </c>
      <c r="AF298" t="s">
        <v>57</v>
      </c>
    </row>
    <row r="299" spans="1:32" x14ac:dyDescent="0.25">
      <c r="A299">
        <v>58</v>
      </c>
      <c r="B299" t="s">
        <v>41</v>
      </c>
      <c r="C299" t="s">
        <v>33</v>
      </c>
      <c r="D299" t="s">
        <v>34</v>
      </c>
      <c r="E299">
        <v>23</v>
      </c>
      <c r="F299" t="s">
        <v>35</v>
      </c>
      <c r="G299">
        <v>3</v>
      </c>
      <c r="H299">
        <v>1</v>
      </c>
      <c r="I299" t="s">
        <v>44</v>
      </c>
      <c r="J299">
        <v>3</v>
      </c>
      <c r="K299" t="s">
        <v>55</v>
      </c>
      <c r="L299">
        <v>2372</v>
      </c>
      <c r="M299">
        <v>1</v>
      </c>
      <c r="N299" t="s">
        <v>41</v>
      </c>
      <c r="O299">
        <v>12</v>
      </c>
      <c r="P299">
        <v>3</v>
      </c>
      <c r="Q299">
        <v>2</v>
      </c>
      <c r="R299">
        <v>2</v>
      </c>
      <c r="S299">
        <v>3</v>
      </c>
      <c r="T299">
        <v>2</v>
      </c>
      <c r="U299">
        <v>2</v>
      </c>
      <c r="V299">
        <v>2</v>
      </c>
      <c r="W299" t="s">
        <v>38</v>
      </c>
      <c r="X299" s="1" t="d">
        <v>2019-06-25</v>
      </c>
      <c r="Z299" t="s">
        <v>59</v>
      </c>
      <c r="AA299" t="s">
        <v>40</v>
      </c>
      <c r="AB299">
        <v>3</v>
      </c>
      <c r="AC299">
        <v>1</v>
      </c>
      <c r="AD299" t="s">
        <v>32</v>
      </c>
      <c r="AE299" t="s">
        <v>47</v>
      </c>
      <c r="AF299" t="s">
        <v>57</v>
      </c>
    </row>
    <row r="300" spans="1:32" x14ac:dyDescent="0.25">
      <c r="A300">
        <v>35</v>
      </c>
      <c r="B300" t="s">
        <v>41</v>
      </c>
      <c r="C300" t="s">
        <v>61</v>
      </c>
      <c r="D300" t="s">
        <v>34</v>
      </c>
      <c r="E300">
        <v>18</v>
      </c>
      <c r="F300" t="s">
        <v>35</v>
      </c>
      <c r="G300">
        <v>3</v>
      </c>
      <c r="H300">
        <v>3</v>
      </c>
      <c r="I300" t="s">
        <v>67</v>
      </c>
      <c r="J300">
        <v>4</v>
      </c>
      <c r="K300" t="s">
        <v>37</v>
      </c>
      <c r="L300">
        <v>9362</v>
      </c>
      <c r="M300">
        <v>2</v>
      </c>
      <c r="N300" t="s">
        <v>41</v>
      </c>
      <c r="O300">
        <v>11</v>
      </c>
      <c r="P300">
        <v>3</v>
      </c>
      <c r="Q300">
        <v>0</v>
      </c>
      <c r="R300">
        <v>10</v>
      </c>
      <c r="S300">
        <v>2</v>
      </c>
      <c r="T300">
        <v>2</v>
      </c>
      <c r="U300">
        <v>2</v>
      </c>
      <c r="V300">
        <v>2</v>
      </c>
      <c r="W300" t="s">
        <v>51</v>
      </c>
      <c r="X300" s="1" t="d">
        <v>2019-06-25</v>
      </c>
      <c r="Z300" t="s">
        <v>45</v>
      </c>
      <c r="AA300" t="s">
        <v>46</v>
      </c>
      <c r="AB300">
        <v>3</v>
      </c>
      <c r="AC300">
        <v>3</v>
      </c>
      <c r="AD300" t="s">
        <v>32</v>
      </c>
      <c r="AE300" t="s">
        <v>47</v>
      </c>
      <c r="AF300" t="s">
        <v>48</v>
      </c>
    </row>
    <row r="301" spans="1:32" x14ac:dyDescent="0.25">
      <c r="A301">
        <v>31</v>
      </c>
      <c r="B301" t="s">
        <v>32</v>
      </c>
      <c r="C301" t="s">
        <v>61</v>
      </c>
      <c r="D301" t="s">
        <v>34</v>
      </c>
      <c r="E301">
        <v>2</v>
      </c>
      <c r="F301" t="s">
        <v>35</v>
      </c>
      <c r="G301">
        <v>3</v>
      </c>
      <c r="H301">
        <v>1</v>
      </c>
      <c r="I301" t="s">
        <v>36</v>
      </c>
      <c r="J301">
        <v>4</v>
      </c>
      <c r="K301" t="s">
        <v>50</v>
      </c>
      <c r="L301">
        <v>3722</v>
      </c>
      <c r="M301">
        <v>6</v>
      </c>
      <c r="N301" t="s">
        <v>32</v>
      </c>
      <c r="O301">
        <v>13</v>
      </c>
      <c r="P301">
        <v>3</v>
      </c>
      <c r="Q301">
        <v>1</v>
      </c>
      <c r="R301">
        <v>7</v>
      </c>
      <c r="S301">
        <v>2</v>
      </c>
      <c r="T301">
        <v>2</v>
      </c>
      <c r="U301">
        <v>2</v>
      </c>
      <c r="V301">
        <v>2</v>
      </c>
      <c r="W301" t="s">
        <v>65</v>
      </c>
      <c r="X301" s="1" t="d">
        <v>2019-03-31</v>
      </c>
      <c r="Z301" t="s">
        <v>39</v>
      </c>
      <c r="AA301" t="s">
        <v>46</v>
      </c>
      <c r="AB301">
        <v>0</v>
      </c>
      <c r="AC301">
        <v>0</v>
      </c>
      <c r="AD301" t="s">
        <v>32</v>
      </c>
      <c r="AE301" t="s">
        <v>60</v>
      </c>
      <c r="AF301" t="s">
        <v>57</v>
      </c>
    </row>
    <row r="302" spans="1:32" x14ac:dyDescent="0.25">
      <c r="A302">
        <v>48</v>
      </c>
      <c r="B302" t="s">
        <v>41</v>
      </c>
      <c r="C302" t="s">
        <v>33</v>
      </c>
      <c r="D302" t="s">
        <v>53</v>
      </c>
      <c r="E302">
        <v>7</v>
      </c>
      <c r="F302" t="s">
        <v>35</v>
      </c>
      <c r="G302">
        <v>3</v>
      </c>
      <c r="H302">
        <v>2</v>
      </c>
      <c r="I302" t="s">
        <v>64</v>
      </c>
      <c r="J302">
        <v>1</v>
      </c>
      <c r="K302" t="s">
        <v>55</v>
      </c>
      <c r="L302">
        <v>5486</v>
      </c>
      <c r="M302">
        <v>4</v>
      </c>
      <c r="N302" t="s">
        <v>41</v>
      </c>
      <c r="O302">
        <v>11</v>
      </c>
      <c r="P302">
        <v>3</v>
      </c>
      <c r="Q302">
        <v>3</v>
      </c>
      <c r="R302">
        <v>15</v>
      </c>
      <c r="S302">
        <v>3</v>
      </c>
      <c r="T302">
        <v>2</v>
      </c>
      <c r="U302">
        <v>2</v>
      </c>
      <c r="V302">
        <v>2</v>
      </c>
      <c r="W302" t="s">
        <v>38</v>
      </c>
      <c r="X302" s="1" t="d">
        <v>2019-04-30</v>
      </c>
      <c r="Z302" t="s">
        <v>63</v>
      </c>
      <c r="AA302" t="s">
        <v>40</v>
      </c>
      <c r="AB302">
        <v>4</v>
      </c>
      <c r="AC302">
        <v>3</v>
      </c>
      <c r="AD302" t="s">
        <v>32</v>
      </c>
      <c r="AE302" t="s">
        <v>62</v>
      </c>
      <c r="AF302" t="s">
        <v>57</v>
      </c>
    </row>
    <row r="303" spans="1:32" x14ac:dyDescent="0.25">
      <c r="A303">
        <v>34</v>
      </c>
      <c r="B303" t="s">
        <v>32</v>
      </c>
      <c r="C303" t="s">
        <v>33</v>
      </c>
      <c r="D303" t="s">
        <v>70</v>
      </c>
      <c r="E303">
        <v>9</v>
      </c>
      <c r="F303" t="s">
        <v>58</v>
      </c>
      <c r="G303">
        <v>3</v>
      </c>
      <c r="H303">
        <v>1</v>
      </c>
      <c r="I303" t="s">
        <v>70</v>
      </c>
      <c r="J303">
        <v>3</v>
      </c>
      <c r="K303" t="s">
        <v>50</v>
      </c>
      <c r="L303">
        <v>2742</v>
      </c>
      <c r="M303">
        <v>1</v>
      </c>
      <c r="N303" t="s">
        <v>41</v>
      </c>
      <c r="O303">
        <v>15</v>
      </c>
      <c r="P303">
        <v>3</v>
      </c>
      <c r="Q303">
        <v>0</v>
      </c>
      <c r="R303">
        <v>2</v>
      </c>
      <c r="S303">
        <v>0</v>
      </c>
      <c r="T303">
        <v>2</v>
      </c>
      <c r="U303">
        <v>2</v>
      </c>
      <c r="V303">
        <v>2</v>
      </c>
      <c r="W303" t="s">
        <v>56</v>
      </c>
      <c r="X303" s="1" t="d">
        <v>2019-02-06</v>
      </c>
      <c r="Z303" t="s">
        <v>63</v>
      </c>
      <c r="AA303" t="s">
        <v>40</v>
      </c>
      <c r="AB303">
        <v>0</v>
      </c>
      <c r="AC303">
        <v>0</v>
      </c>
      <c r="AD303" t="s">
        <v>41</v>
      </c>
      <c r="AE303" t="s">
        <v>42</v>
      </c>
      <c r="AF303" t="s">
        <v>43</v>
      </c>
    </row>
    <row r="304" spans="1:32" x14ac:dyDescent="0.25">
      <c r="A304">
        <v>30</v>
      </c>
      <c r="B304" t="s">
        <v>41</v>
      </c>
      <c r="C304" t="s">
        <v>33</v>
      </c>
      <c r="D304" t="s">
        <v>53</v>
      </c>
      <c r="E304">
        <v>16</v>
      </c>
      <c r="F304" t="s">
        <v>35</v>
      </c>
      <c r="G304">
        <v>3</v>
      </c>
      <c r="H304">
        <v>2</v>
      </c>
      <c r="I304" t="s">
        <v>64</v>
      </c>
      <c r="J304">
        <v>3</v>
      </c>
      <c r="K304" t="s">
        <v>50</v>
      </c>
      <c r="L304">
        <v>5301</v>
      </c>
      <c r="M304">
        <v>8</v>
      </c>
      <c r="N304" t="s">
        <v>41</v>
      </c>
      <c r="O304">
        <v>15</v>
      </c>
      <c r="P304">
        <v>3</v>
      </c>
      <c r="Q304">
        <v>2</v>
      </c>
      <c r="R304">
        <v>4</v>
      </c>
      <c r="S304">
        <v>2</v>
      </c>
      <c r="T304">
        <v>2</v>
      </c>
      <c r="U304">
        <v>2</v>
      </c>
      <c r="V304">
        <v>2</v>
      </c>
      <c r="W304" t="s">
        <v>38</v>
      </c>
      <c r="X304" s="1" t="d">
        <v>2019-06-12</v>
      </c>
      <c r="Z304" t="s">
        <v>52</v>
      </c>
      <c r="AA304" t="s">
        <v>40</v>
      </c>
      <c r="AB304">
        <v>2</v>
      </c>
      <c r="AC304">
        <v>3</v>
      </c>
      <c r="AD304" t="s">
        <v>32</v>
      </c>
      <c r="AE304" t="s">
        <v>60</v>
      </c>
      <c r="AF304" t="s">
        <v>57</v>
      </c>
    </row>
    <row r="305" spans="1:32" x14ac:dyDescent="0.25">
      <c r="A305">
        <v>44</v>
      </c>
      <c r="B305" t="s">
        <v>41</v>
      </c>
      <c r="C305" t="s">
        <v>61</v>
      </c>
      <c r="D305" t="s">
        <v>34</v>
      </c>
      <c r="E305">
        <v>2</v>
      </c>
      <c r="F305" t="s">
        <v>35</v>
      </c>
      <c r="G305">
        <v>3</v>
      </c>
      <c r="H305">
        <v>3</v>
      </c>
      <c r="I305" t="s">
        <v>67</v>
      </c>
      <c r="J305">
        <v>3</v>
      </c>
      <c r="K305" t="s">
        <v>37</v>
      </c>
      <c r="L305">
        <v>10209</v>
      </c>
      <c r="M305">
        <v>5</v>
      </c>
      <c r="N305" t="s">
        <v>32</v>
      </c>
      <c r="O305">
        <v>18</v>
      </c>
      <c r="P305">
        <v>3</v>
      </c>
      <c r="Q305">
        <v>0</v>
      </c>
      <c r="R305">
        <v>16</v>
      </c>
      <c r="S305">
        <v>2</v>
      </c>
      <c r="T305">
        <v>2</v>
      </c>
      <c r="U305">
        <v>2</v>
      </c>
      <c r="V305">
        <v>2</v>
      </c>
      <c r="W305" t="s">
        <v>38</v>
      </c>
      <c r="X305" s="1" t="d">
        <v>2019-04-30</v>
      </c>
      <c r="Z305" t="s">
        <v>39</v>
      </c>
      <c r="AA305" t="s">
        <v>40</v>
      </c>
      <c r="AB305">
        <v>5</v>
      </c>
      <c r="AC305">
        <v>2</v>
      </c>
      <c r="AD305" t="s">
        <v>32</v>
      </c>
      <c r="AE305" t="s">
        <v>47</v>
      </c>
      <c r="AF305" t="s">
        <v>43</v>
      </c>
    </row>
    <row r="306" spans="1:32" x14ac:dyDescent="0.25">
      <c r="A306">
        <v>39</v>
      </c>
      <c r="B306" t="s">
        <v>41</v>
      </c>
      <c r="C306" t="s">
        <v>33</v>
      </c>
      <c r="D306" t="s">
        <v>34</v>
      </c>
      <c r="E306">
        <v>6</v>
      </c>
      <c r="F306" t="s">
        <v>58</v>
      </c>
      <c r="G306">
        <v>3</v>
      </c>
      <c r="H306">
        <v>3</v>
      </c>
      <c r="I306" t="s">
        <v>67</v>
      </c>
      <c r="J306">
        <v>2</v>
      </c>
      <c r="K306" t="s">
        <v>37</v>
      </c>
      <c r="L306">
        <v>8376</v>
      </c>
      <c r="M306">
        <v>4</v>
      </c>
      <c r="N306" t="s">
        <v>41</v>
      </c>
      <c r="O306">
        <v>18</v>
      </c>
      <c r="P306">
        <v>3</v>
      </c>
      <c r="Q306">
        <v>0</v>
      </c>
      <c r="R306">
        <v>9</v>
      </c>
      <c r="S306">
        <v>3</v>
      </c>
      <c r="T306">
        <v>2</v>
      </c>
      <c r="U306">
        <v>2</v>
      </c>
      <c r="V306">
        <v>2</v>
      </c>
      <c r="W306" t="s">
        <v>65</v>
      </c>
      <c r="X306" s="1" t="d">
        <v>2019-02-21</v>
      </c>
      <c r="Z306" t="s">
        <v>59</v>
      </c>
      <c r="AA306" t="s">
        <v>40</v>
      </c>
      <c r="AB306">
        <v>0</v>
      </c>
      <c r="AC306">
        <v>3</v>
      </c>
      <c r="AD306" t="s">
        <v>32</v>
      </c>
      <c r="AE306" t="s">
        <v>42</v>
      </c>
      <c r="AF306" t="s">
        <v>57</v>
      </c>
    </row>
    <row r="307" spans="1:32" x14ac:dyDescent="0.25">
      <c r="A307">
        <v>40</v>
      </c>
      <c r="B307" t="s">
        <v>41</v>
      </c>
      <c r="C307" t="s">
        <v>68</v>
      </c>
      <c r="D307" t="s">
        <v>34</v>
      </c>
      <c r="E307">
        <v>8</v>
      </c>
      <c r="F307" t="s">
        <v>35</v>
      </c>
      <c r="G307">
        <v>3</v>
      </c>
      <c r="H307">
        <v>2</v>
      </c>
      <c r="I307" t="s">
        <v>69</v>
      </c>
      <c r="J307">
        <v>4</v>
      </c>
      <c r="K307" t="s">
        <v>55</v>
      </c>
      <c r="L307">
        <v>4069</v>
      </c>
      <c r="M307">
        <v>3</v>
      </c>
      <c r="N307" t="s">
        <v>32</v>
      </c>
      <c r="O307">
        <v>18</v>
      </c>
      <c r="P307">
        <v>3</v>
      </c>
      <c r="Q307">
        <v>0</v>
      </c>
      <c r="R307">
        <v>8</v>
      </c>
      <c r="S307">
        <v>2</v>
      </c>
      <c r="T307">
        <v>2</v>
      </c>
      <c r="U307">
        <v>2</v>
      </c>
      <c r="V307">
        <v>2</v>
      </c>
      <c r="W307" t="s">
        <v>51</v>
      </c>
      <c r="X307" s="1" t="d">
        <v>2019-03-06</v>
      </c>
      <c r="Z307" t="s">
        <v>45</v>
      </c>
      <c r="AA307" t="s">
        <v>40</v>
      </c>
      <c r="AB307">
        <v>4</v>
      </c>
      <c r="AC307">
        <v>1</v>
      </c>
      <c r="AD307" t="s">
        <v>41</v>
      </c>
      <c r="AE307" t="s">
        <v>42</v>
      </c>
      <c r="AF307" t="s">
        <v>57</v>
      </c>
    </row>
    <row r="308" spans="1:32" x14ac:dyDescent="0.25">
      <c r="A308">
        <v>33</v>
      </c>
      <c r="B308" t="s">
        <v>41</v>
      </c>
      <c r="C308" t="s">
        <v>33</v>
      </c>
      <c r="D308" t="s">
        <v>53</v>
      </c>
      <c r="E308">
        <v>8</v>
      </c>
      <c r="F308" t="s">
        <v>35</v>
      </c>
      <c r="G308">
        <v>3</v>
      </c>
      <c r="H308">
        <v>2</v>
      </c>
      <c r="I308" t="s">
        <v>64</v>
      </c>
      <c r="J308">
        <v>1</v>
      </c>
      <c r="K308" t="s">
        <v>50</v>
      </c>
      <c r="L308">
        <v>6392</v>
      </c>
      <c r="M308">
        <v>2</v>
      </c>
      <c r="N308" t="s">
        <v>41</v>
      </c>
      <c r="O308">
        <v>13</v>
      </c>
      <c r="P308">
        <v>3</v>
      </c>
      <c r="Q308">
        <v>1</v>
      </c>
      <c r="R308">
        <v>8</v>
      </c>
      <c r="S308">
        <v>6</v>
      </c>
      <c r="T308">
        <v>2</v>
      </c>
      <c r="U308">
        <v>2</v>
      </c>
      <c r="V308">
        <v>2</v>
      </c>
      <c r="W308" t="s">
        <v>65</v>
      </c>
      <c r="X308" s="1" t="d">
        <v>2019-04-28</v>
      </c>
      <c r="Z308" t="s">
        <v>52</v>
      </c>
      <c r="AA308" t="s">
        <v>40</v>
      </c>
      <c r="AB308">
        <v>4</v>
      </c>
      <c r="AC308">
        <v>1</v>
      </c>
      <c r="AD308" t="s">
        <v>41</v>
      </c>
      <c r="AE308" t="s">
        <v>62</v>
      </c>
      <c r="AF308" t="s">
        <v>57</v>
      </c>
    </row>
    <row r="309" spans="1:32" x14ac:dyDescent="0.25">
      <c r="A309">
        <v>34</v>
      </c>
      <c r="B309" t="s">
        <v>41</v>
      </c>
      <c r="C309" t="s">
        <v>33</v>
      </c>
      <c r="D309" t="s">
        <v>34</v>
      </c>
      <c r="E309">
        <v>1</v>
      </c>
      <c r="F309" t="s">
        <v>35</v>
      </c>
      <c r="G309">
        <v>3</v>
      </c>
      <c r="H309">
        <v>2</v>
      </c>
      <c r="I309" t="s">
        <v>44</v>
      </c>
      <c r="J309">
        <v>4</v>
      </c>
      <c r="K309" t="s">
        <v>50</v>
      </c>
      <c r="L309">
        <v>5484</v>
      </c>
      <c r="M309">
        <v>9</v>
      </c>
      <c r="N309" t="s">
        <v>41</v>
      </c>
      <c r="O309">
        <v>17</v>
      </c>
      <c r="P309">
        <v>3</v>
      </c>
      <c r="Q309">
        <v>1</v>
      </c>
      <c r="R309">
        <v>9</v>
      </c>
      <c r="S309">
        <v>3</v>
      </c>
      <c r="T309">
        <v>2</v>
      </c>
      <c r="U309">
        <v>2</v>
      </c>
      <c r="V309">
        <v>1</v>
      </c>
      <c r="W309" t="s">
        <v>38</v>
      </c>
      <c r="X309" s="1" t="d">
        <v>2019-03-15</v>
      </c>
      <c r="Z309" t="s">
        <v>39</v>
      </c>
      <c r="AA309" t="s">
        <v>40</v>
      </c>
      <c r="AB309">
        <v>0</v>
      </c>
      <c r="AC309">
        <v>2</v>
      </c>
      <c r="AD309" t="s">
        <v>32</v>
      </c>
      <c r="AE309" t="s">
        <v>42</v>
      </c>
      <c r="AF309" t="s">
        <v>57</v>
      </c>
    </row>
    <row r="310" spans="1:32" x14ac:dyDescent="0.25">
      <c r="A310">
        <v>23</v>
      </c>
      <c r="B310" t="s">
        <v>41</v>
      </c>
      <c r="C310" t="s">
        <v>33</v>
      </c>
      <c r="D310" t="s">
        <v>34</v>
      </c>
      <c r="E310">
        <v>10</v>
      </c>
      <c r="F310" t="s">
        <v>35</v>
      </c>
      <c r="G310">
        <v>4</v>
      </c>
      <c r="H310">
        <v>1</v>
      </c>
      <c r="I310" t="s">
        <v>44</v>
      </c>
      <c r="J310">
        <v>3</v>
      </c>
      <c r="K310" t="s">
        <v>50</v>
      </c>
      <c r="L310">
        <v>2073</v>
      </c>
      <c r="M310">
        <v>2</v>
      </c>
      <c r="N310" t="s">
        <v>41</v>
      </c>
      <c r="O310">
        <v>16</v>
      </c>
      <c r="P310">
        <v>3</v>
      </c>
      <c r="Q310">
        <v>1</v>
      </c>
      <c r="R310">
        <v>4</v>
      </c>
      <c r="S310">
        <v>2</v>
      </c>
      <c r="T310">
        <v>2</v>
      </c>
      <c r="U310">
        <v>2</v>
      </c>
      <c r="V310">
        <v>2</v>
      </c>
      <c r="W310" t="s">
        <v>38</v>
      </c>
      <c r="X310" s="1" t="d">
        <v>2019-05-16</v>
      </c>
      <c r="Z310" t="s">
        <v>59</v>
      </c>
      <c r="AA310" t="s">
        <v>40</v>
      </c>
      <c r="AB310">
        <v>0</v>
      </c>
      <c r="AC310">
        <v>2</v>
      </c>
      <c r="AD310" t="s">
        <v>41</v>
      </c>
      <c r="AE310" t="s">
        <v>47</v>
      </c>
      <c r="AF310" t="s">
        <v>57</v>
      </c>
    </row>
    <row r="311" spans="1:32" x14ac:dyDescent="0.25">
      <c r="A311">
        <v>21</v>
      </c>
      <c r="B311" t="s">
        <v>41</v>
      </c>
      <c r="C311" t="s">
        <v>33</v>
      </c>
      <c r="D311" t="s">
        <v>34</v>
      </c>
      <c r="E311">
        <v>5</v>
      </c>
      <c r="F311" t="s">
        <v>35</v>
      </c>
      <c r="G311">
        <v>3</v>
      </c>
      <c r="H311">
        <v>1</v>
      </c>
      <c r="I311" t="s">
        <v>44</v>
      </c>
      <c r="J311">
        <v>4</v>
      </c>
      <c r="K311" t="s">
        <v>37</v>
      </c>
      <c r="L311">
        <v>3117</v>
      </c>
      <c r="M311">
        <v>1</v>
      </c>
      <c r="N311" t="s">
        <v>41</v>
      </c>
      <c r="O311">
        <v>18</v>
      </c>
      <c r="P311">
        <v>3</v>
      </c>
      <c r="Q311">
        <v>0</v>
      </c>
      <c r="R311">
        <v>3</v>
      </c>
      <c r="S311">
        <v>2</v>
      </c>
      <c r="T311">
        <v>2</v>
      </c>
      <c r="U311">
        <v>2</v>
      </c>
      <c r="V311">
        <v>2</v>
      </c>
      <c r="W311" t="s">
        <v>38</v>
      </c>
      <c r="X311" s="1" t="d">
        <v>2019-01-08</v>
      </c>
      <c r="Z311" t="s">
        <v>59</v>
      </c>
      <c r="AA311" t="s">
        <v>40</v>
      </c>
      <c r="AB311">
        <v>4</v>
      </c>
      <c r="AC311">
        <v>0</v>
      </c>
      <c r="AD311" t="s">
        <v>41</v>
      </c>
      <c r="AE311" t="s">
        <v>47</v>
      </c>
      <c r="AF311" t="s">
        <v>57</v>
      </c>
    </row>
    <row r="312" spans="1:32" x14ac:dyDescent="0.25">
      <c r="A312">
        <v>48</v>
      </c>
      <c r="B312" t="s">
        <v>41</v>
      </c>
      <c r="C312" t="s">
        <v>61</v>
      </c>
      <c r="D312" t="s">
        <v>34</v>
      </c>
      <c r="E312">
        <v>4</v>
      </c>
      <c r="F312" t="s">
        <v>35</v>
      </c>
      <c r="G312">
        <v>2</v>
      </c>
      <c r="H312">
        <v>4</v>
      </c>
      <c r="I312" t="s">
        <v>66</v>
      </c>
      <c r="J312">
        <v>4</v>
      </c>
      <c r="K312" t="s">
        <v>50</v>
      </c>
      <c r="L312">
        <v>15202</v>
      </c>
      <c r="M312">
        <v>2</v>
      </c>
      <c r="N312" t="s">
        <v>41</v>
      </c>
      <c r="O312">
        <v>25</v>
      </c>
      <c r="P312">
        <v>4</v>
      </c>
      <c r="Q312">
        <v>1</v>
      </c>
      <c r="R312">
        <v>23</v>
      </c>
      <c r="S312">
        <v>3</v>
      </c>
      <c r="T312">
        <v>2</v>
      </c>
      <c r="U312">
        <v>2</v>
      </c>
      <c r="V312">
        <v>2</v>
      </c>
      <c r="W312" t="s">
        <v>51</v>
      </c>
      <c r="X312" s="1" t="d">
        <v>2019-04-08</v>
      </c>
      <c r="Z312" t="s">
        <v>59</v>
      </c>
      <c r="AA312" t="s">
        <v>46</v>
      </c>
      <c r="AB312">
        <v>0</v>
      </c>
      <c r="AC312">
        <v>1</v>
      </c>
      <c r="AD312" t="s">
        <v>41</v>
      </c>
      <c r="AE312" t="s">
        <v>62</v>
      </c>
      <c r="AF312" t="s">
        <v>57</v>
      </c>
    </row>
    <row r="313" spans="1:32" x14ac:dyDescent="0.25">
      <c r="A313">
        <v>35</v>
      </c>
      <c r="B313" t="s">
        <v>32</v>
      </c>
      <c r="C313" t="s">
        <v>33</v>
      </c>
      <c r="D313" t="s">
        <v>53</v>
      </c>
      <c r="E313">
        <v>15</v>
      </c>
      <c r="F313" t="s">
        <v>35</v>
      </c>
      <c r="G313">
        <v>1</v>
      </c>
      <c r="H313">
        <v>2</v>
      </c>
      <c r="I313" t="s">
        <v>64</v>
      </c>
      <c r="J313">
        <v>4</v>
      </c>
      <c r="K313" t="s">
        <v>55</v>
      </c>
      <c r="L313">
        <v>5440</v>
      </c>
      <c r="M313">
        <v>6</v>
      </c>
      <c r="N313" t="s">
        <v>32</v>
      </c>
      <c r="O313">
        <v>14</v>
      </c>
      <c r="P313">
        <v>3</v>
      </c>
      <c r="Q313">
        <v>2</v>
      </c>
      <c r="R313">
        <v>7</v>
      </c>
      <c r="S313">
        <v>2</v>
      </c>
      <c r="T313">
        <v>2</v>
      </c>
      <c r="U313">
        <v>2</v>
      </c>
      <c r="V313">
        <v>2</v>
      </c>
      <c r="W313" t="s">
        <v>38</v>
      </c>
      <c r="X313" s="1" t="d">
        <v>2019-05-22</v>
      </c>
      <c r="Z313" t="s">
        <v>59</v>
      </c>
      <c r="AA313" t="s">
        <v>40</v>
      </c>
      <c r="AB313">
        <v>1</v>
      </c>
      <c r="AC313">
        <v>2</v>
      </c>
      <c r="AD313" t="s">
        <v>41</v>
      </c>
      <c r="AE313" t="s">
        <v>42</v>
      </c>
      <c r="AF313" t="s">
        <v>48</v>
      </c>
    </row>
    <row r="314" spans="1:32" x14ac:dyDescent="0.25">
      <c r="A314">
        <v>20</v>
      </c>
      <c r="B314" t="s">
        <v>41</v>
      </c>
      <c r="C314" t="s">
        <v>33</v>
      </c>
      <c r="D314" t="s">
        <v>53</v>
      </c>
      <c r="E314">
        <v>2</v>
      </c>
      <c r="F314" t="s">
        <v>58</v>
      </c>
      <c r="G314">
        <v>3</v>
      </c>
      <c r="H314">
        <v>1</v>
      </c>
      <c r="I314" t="s">
        <v>54</v>
      </c>
      <c r="J314">
        <v>3</v>
      </c>
      <c r="K314" t="s">
        <v>37</v>
      </c>
      <c r="L314">
        <v>2783</v>
      </c>
      <c r="M314">
        <v>1</v>
      </c>
      <c r="N314" t="s">
        <v>41</v>
      </c>
      <c r="O314">
        <v>19</v>
      </c>
      <c r="P314">
        <v>3</v>
      </c>
      <c r="Q314">
        <v>0</v>
      </c>
      <c r="R314">
        <v>2</v>
      </c>
      <c r="S314">
        <v>3</v>
      </c>
      <c r="T314">
        <v>2</v>
      </c>
      <c r="U314">
        <v>2</v>
      </c>
      <c r="V314">
        <v>2</v>
      </c>
      <c r="W314" t="s">
        <v>65</v>
      </c>
      <c r="X314" s="1" t="d">
        <v>2019-02-08</v>
      </c>
      <c r="Z314" t="s">
        <v>52</v>
      </c>
      <c r="AA314" t="s">
        <v>40</v>
      </c>
      <c r="AB314">
        <v>1</v>
      </c>
      <c r="AC314">
        <v>1</v>
      </c>
      <c r="AD314" t="s">
        <v>41</v>
      </c>
      <c r="AE314" t="s">
        <v>60</v>
      </c>
      <c r="AF314" t="s">
        <v>48</v>
      </c>
    </row>
    <row r="315" spans="1:32" x14ac:dyDescent="0.25">
      <c r="A315">
        <v>49</v>
      </c>
      <c r="B315" t="s">
        <v>41</v>
      </c>
      <c r="C315" t="s">
        <v>33</v>
      </c>
      <c r="D315" t="s">
        <v>34</v>
      </c>
      <c r="E315">
        <v>16</v>
      </c>
      <c r="F315" t="s">
        <v>58</v>
      </c>
      <c r="G315">
        <v>3</v>
      </c>
      <c r="H315">
        <v>1</v>
      </c>
      <c r="I315" t="s">
        <v>36</v>
      </c>
      <c r="J315">
        <v>1</v>
      </c>
      <c r="K315" t="s">
        <v>55</v>
      </c>
      <c r="L315">
        <v>2587</v>
      </c>
      <c r="M315">
        <v>4</v>
      </c>
      <c r="N315" t="s">
        <v>32</v>
      </c>
      <c r="O315">
        <v>16</v>
      </c>
      <c r="P315">
        <v>3</v>
      </c>
      <c r="Q315">
        <v>1</v>
      </c>
      <c r="R315">
        <v>17</v>
      </c>
      <c r="S315">
        <v>2</v>
      </c>
      <c r="T315">
        <v>2</v>
      </c>
      <c r="U315">
        <v>2</v>
      </c>
      <c r="V315">
        <v>2</v>
      </c>
      <c r="W315" t="s">
        <v>51</v>
      </c>
      <c r="X315" s="1" t="d">
        <v>2019-05-07</v>
      </c>
      <c r="Z315" t="s">
        <v>45</v>
      </c>
      <c r="AA315" t="s">
        <v>46</v>
      </c>
      <c r="AB315">
        <v>5</v>
      </c>
      <c r="AC315">
        <v>1</v>
      </c>
      <c r="AD315" t="s">
        <v>41</v>
      </c>
      <c r="AE315" t="s">
        <v>47</v>
      </c>
      <c r="AF315" t="s">
        <v>48</v>
      </c>
    </row>
    <row r="316" spans="1:32" x14ac:dyDescent="0.25">
      <c r="A316">
        <v>41</v>
      </c>
      <c r="B316" t="s">
        <v>41</v>
      </c>
      <c r="C316" t="s">
        <v>33</v>
      </c>
      <c r="D316" t="s">
        <v>53</v>
      </c>
      <c r="E316">
        <v>23</v>
      </c>
      <c r="F316" t="s">
        <v>35</v>
      </c>
      <c r="G316">
        <v>3</v>
      </c>
      <c r="H316">
        <v>3</v>
      </c>
      <c r="I316" t="s">
        <v>64</v>
      </c>
      <c r="J316">
        <v>3</v>
      </c>
      <c r="K316" t="s">
        <v>37</v>
      </c>
      <c r="L316">
        <v>7082</v>
      </c>
      <c r="M316">
        <v>3</v>
      </c>
      <c r="N316" t="s">
        <v>32</v>
      </c>
      <c r="O316">
        <v>16</v>
      </c>
      <c r="P316">
        <v>3</v>
      </c>
      <c r="Q316">
        <v>0</v>
      </c>
      <c r="R316">
        <v>21</v>
      </c>
      <c r="S316">
        <v>2</v>
      </c>
      <c r="T316">
        <v>2</v>
      </c>
      <c r="U316">
        <v>0</v>
      </c>
      <c r="V316">
        <v>2</v>
      </c>
      <c r="W316" t="s">
        <v>65</v>
      </c>
      <c r="X316" s="1" t="d">
        <v>2019-06-24</v>
      </c>
      <c r="Z316" t="s">
        <v>45</v>
      </c>
      <c r="AA316" t="s">
        <v>46</v>
      </c>
      <c r="AB316">
        <v>0</v>
      </c>
      <c r="AC316">
        <v>2</v>
      </c>
      <c r="AD316" t="s">
        <v>32</v>
      </c>
      <c r="AE316" t="s">
        <v>60</v>
      </c>
      <c r="AF316" t="s">
        <v>43</v>
      </c>
    </row>
    <row r="317" spans="1:32" x14ac:dyDescent="0.25">
      <c r="A317">
        <v>20</v>
      </c>
      <c r="B317" t="s">
        <v>41</v>
      </c>
      <c r="C317" t="s">
        <v>33</v>
      </c>
      <c r="D317" t="s">
        <v>53</v>
      </c>
      <c r="E317">
        <v>9</v>
      </c>
      <c r="F317" t="s">
        <v>35</v>
      </c>
      <c r="G317">
        <v>3</v>
      </c>
      <c r="H317">
        <v>1</v>
      </c>
      <c r="I317" t="s">
        <v>54</v>
      </c>
      <c r="J317">
        <v>1</v>
      </c>
      <c r="K317" t="s">
        <v>37</v>
      </c>
      <c r="L317">
        <v>2728</v>
      </c>
      <c r="M317">
        <v>1</v>
      </c>
      <c r="N317" t="s">
        <v>41</v>
      </c>
      <c r="O317">
        <v>11</v>
      </c>
      <c r="P317">
        <v>3</v>
      </c>
      <c r="Q317">
        <v>0</v>
      </c>
      <c r="R317">
        <v>2</v>
      </c>
      <c r="S317">
        <v>3</v>
      </c>
      <c r="T317">
        <v>2</v>
      </c>
      <c r="U317">
        <v>0</v>
      </c>
      <c r="V317">
        <v>2</v>
      </c>
      <c r="W317" t="s">
        <v>38</v>
      </c>
      <c r="X317" s="1" t="d">
        <v>2019-06-25</v>
      </c>
      <c r="Z317" t="s">
        <v>39</v>
      </c>
      <c r="AA317" t="s">
        <v>40</v>
      </c>
      <c r="AB317">
        <v>0</v>
      </c>
      <c r="AC317">
        <v>0</v>
      </c>
      <c r="AD317" t="s">
        <v>41</v>
      </c>
      <c r="AE317" t="s">
        <v>62</v>
      </c>
      <c r="AF317" t="s">
        <v>43</v>
      </c>
    </row>
    <row r="318" spans="1:32" x14ac:dyDescent="0.25">
      <c r="A318">
        <v>44</v>
      </c>
      <c r="B318" t="s">
        <v>41</v>
      </c>
      <c r="C318" t="s">
        <v>33</v>
      </c>
      <c r="D318" t="s">
        <v>70</v>
      </c>
      <c r="E318">
        <v>1</v>
      </c>
      <c r="F318" t="s">
        <v>58</v>
      </c>
      <c r="G318">
        <v>3</v>
      </c>
      <c r="H318">
        <v>1</v>
      </c>
      <c r="I318" t="s">
        <v>70</v>
      </c>
      <c r="J318">
        <v>4</v>
      </c>
      <c r="K318" t="s">
        <v>55</v>
      </c>
      <c r="L318">
        <v>3195</v>
      </c>
      <c r="M318">
        <v>4</v>
      </c>
      <c r="N318" t="s">
        <v>32</v>
      </c>
      <c r="O318">
        <v>18</v>
      </c>
      <c r="P318">
        <v>3</v>
      </c>
      <c r="Q318">
        <v>3</v>
      </c>
      <c r="R318">
        <v>8</v>
      </c>
      <c r="S318">
        <v>2</v>
      </c>
      <c r="T318">
        <v>2</v>
      </c>
      <c r="U318">
        <v>2</v>
      </c>
      <c r="V318">
        <v>2</v>
      </c>
      <c r="W318" t="s">
        <v>65</v>
      </c>
      <c r="X318" s="1" t="d">
        <v>2019-04-12</v>
      </c>
      <c r="Z318" t="s">
        <v>45</v>
      </c>
      <c r="AA318" t="s">
        <v>46</v>
      </c>
      <c r="AB318">
        <v>4</v>
      </c>
      <c r="AC318">
        <v>3</v>
      </c>
      <c r="AD318" t="s">
        <v>32</v>
      </c>
      <c r="AE318" t="s">
        <v>47</v>
      </c>
      <c r="AF318" t="s">
        <v>57</v>
      </c>
    </row>
    <row r="319" spans="1:32" x14ac:dyDescent="0.25">
      <c r="A319">
        <v>36</v>
      </c>
      <c r="B319" t="s">
        <v>32</v>
      </c>
      <c r="C319" t="s">
        <v>33</v>
      </c>
      <c r="D319" t="s">
        <v>53</v>
      </c>
      <c r="E319">
        <v>13</v>
      </c>
      <c r="F319" t="s">
        <v>35</v>
      </c>
      <c r="G319">
        <v>2</v>
      </c>
      <c r="H319">
        <v>2</v>
      </c>
      <c r="I319" t="s">
        <v>64</v>
      </c>
      <c r="J319">
        <v>1</v>
      </c>
      <c r="K319" t="s">
        <v>55</v>
      </c>
      <c r="L319">
        <v>6134</v>
      </c>
      <c r="M319">
        <v>5</v>
      </c>
      <c r="N319" t="s">
        <v>32</v>
      </c>
      <c r="O319">
        <v>13</v>
      </c>
      <c r="P319">
        <v>3</v>
      </c>
      <c r="Q319">
        <v>3</v>
      </c>
      <c r="R319">
        <v>16</v>
      </c>
      <c r="S319">
        <v>3</v>
      </c>
      <c r="T319">
        <v>2</v>
      </c>
      <c r="U319">
        <v>2</v>
      </c>
      <c r="V319">
        <v>2</v>
      </c>
      <c r="W319" t="s">
        <v>56</v>
      </c>
      <c r="X319" s="1" t="d">
        <v>2019-03-12</v>
      </c>
      <c r="Z319" t="s">
        <v>45</v>
      </c>
      <c r="AA319" t="s">
        <v>46</v>
      </c>
      <c r="AB319">
        <v>4</v>
      </c>
      <c r="AC319">
        <v>0</v>
      </c>
      <c r="AD319" t="s">
        <v>41</v>
      </c>
      <c r="AE319" t="s">
        <v>47</v>
      </c>
      <c r="AF319" t="s">
        <v>48</v>
      </c>
    </row>
    <row r="320" spans="1:32" x14ac:dyDescent="0.25">
      <c r="A320">
        <v>24</v>
      </c>
      <c r="B320" t="s">
        <v>41</v>
      </c>
      <c r="C320" t="s">
        <v>61</v>
      </c>
      <c r="D320" t="s">
        <v>70</v>
      </c>
      <c r="E320">
        <v>10</v>
      </c>
      <c r="F320" t="s">
        <v>35</v>
      </c>
      <c r="G320">
        <v>3</v>
      </c>
      <c r="H320">
        <v>1</v>
      </c>
      <c r="I320" t="s">
        <v>70</v>
      </c>
      <c r="J320">
        <v>4</v>
      </c>
      <c r="K320" t="s">
        <v>50</v>
      </c>
      <c r="L320">
        <v>2145</v>
      </c>
      <c r="M320">
        <v>0</v>
      </c>
      <c r="N320" t="s">
        <v>41</v>
      </c>
      <c r="O320">
        <v>14</v>
      </c>
      <c r="P320">
        <v>3</v>
      </c>
      <c r="Q320">
        <v>1</v>
      </c>
      <c r="R320">
        <v>3</v>
      </c>
      <c r="S320">
        <v>2</v>
      </c>
      <c r="T320">
        <v>2</v>
      </c>
      <c r="U320">
        <v>2</v>
      </c>
      <c r="V320">
        <v>1</v>
      </c>
      <c r="W320" t="s">
        <v>38</v>
      </c>
      <c r="X320" s="1" t="d">
        <v>2019-03-17</v>
      </c>
      <c r="Z320" t="s">
        <v>59</v>
      </c>
      <c r="AA320" t="s">
        <v>40</v>
      </c>
      <c r="AB320">
        <v>2</v>
      </c>
      <c r="AC320">
        <v>3</v>
      </c>
      <c r="AD320" t="s">
        <v>41</v>
      </c>
      <c r="AE320" t="s">
        <v>62</v>
      </c>
      <c r="AF320" t="s">
        <v>57</v>
      </c>
    </row>
    <row r="321" spans="1:32" x14ac:dyDescent="0.25">
      <c r="A321">
        <v>29</v>
      </c>
      <c r="B321" t="s">
        <v>32</v>
      </c>
      <c r="C321" t="s">
        <v>33</v>
      </c>
      <c r="D321" t="s">
        <v>53</v>
      </c>
      <c r="E321">
        <v>9</v>
      </c>
      <c r="F321" t="s">
        <v>58</v>
      </c>
      <c r="G321">
        <v>1</v>
      </c>
      <c r="H321">
        <v>1</v>
      </c>
      <c r="I321" t="s">
        <v>54</v>
      </c>
      <c r="J321">
        <v>2</v>
      </c>
      <c r="K321" t="s">
        <v>37</v>
      </c>
      <c r="L321">
        <v>2760</v>
      </c>
      <c r="M321">
        <v>1</v>
      </c>
      <c r="N321" t="s">
        <v>41</v>
      </c>
      <c r="O321">
        <v>13</v>
      </c>
      <c r="P321">
        <v>3</v>
      </c>
      <c r="Q321">
        <v>0</v>
      </c>
      <c r="R321">
        <v>2</v>
      </c>
      <c r="S321">
        <v>3</v>
      </c>
      <c r="T321">
        <v>2</v>
      </c>
      <c r="U321">
        <v>2</v>
      </c>
      <c r="V321">
        <v>2</v>
      </c>
      <c r="W321" t="s">
        <v>65</v>
      </c>
      <c r="X321" s="1" t="d">
        <v>2019-04-14</v>
      </c>
      <c r="Z321" t="s">
        <v>52</v>
      </c>
      <c r="AA321" t="s">
        <v>46</v>
      </c>
      <c r="AB321">
        <v>5</v>
      </c>
      <c r="AC321">
        <v>1</v>
      </c>
      <c r="AD321" t="s">
        <v>32</v>
      </c>
      <c r="AE321" t="s">
        <v>62</v>
      </c>
      <c r="AF321" t="s">
        <v>48</v>
      </c>
    </row>
    <row r="322" spans="1:32" x14ac:dyDescent="0.25">
      <c r="A322">
        <v>34</v>
      </c>
      <c r="B322" t="s">
        <v>41</v>
      </c>
      <c r="C322" t="s">
        <v>33</v>
      </c>
      <c r="D322" t="s">
        <v>53</v>
      </c>
      <c r="E322">
        <v>3</v>
      </c>
      <c r="F322" t="s">
        <v>58</v>
      </c>
      <c r="G322">
        <v>1</v>
      </c>
      <c r="H322">
        <v>2</v>
      </c>
      <c r="I322" t="s">
        <v>64</v>
      </c>
      <c r="J322">
        <v>4</v>
      </c>
      <c r="K322" t="s">
        <v>37</v>
      </c>
      <c r="L322">
        <v>6029</v>
      </c>
      <c r="M322">
        <v>5</v>
      </c>
      <c r="N322" t="s">
        <v>41</v>
      </c>
      <c r="O322">
        <v>12</v>
      </c>
      <c r="P322">
        <v>3</v>
      </c>
      <c r="Q322">
        <v>0</v>
      </c>
      <c r="R322">
        <v>6</v>
      </c>
      <c r="S322">
        <v>3</v>
      </c>
      <c r="T322">
        <v>2</v>
      </c>
      <c r="U322">
        <v>2</v>
      </c>
      <c r="V322">
        <v>2</v>
      </c>
      <c r="W322" t="s">
        <v>51</v>
      </c>
      <c r="X322" s="1" t="d">
        <v>2019-06-02</v>
      </c>
      <c r="Z322" t="s">
        <v>52</v>
      </c>
      <c r="AA322" t="s">
        <v>46</v>
      </c>
      <c r="AB322">
        <v>1</v>
      </c>
      <c r="AC322">
        <v>1</v>
      </c>
      <c r="AD322" t="s">
        <v>41</v>
      </c>
      <c r="AE322" t="s">
        <v>47</v>
      </c>
      <c r="AF322" t="s">
        <v>57</v>
      </c>
    </row>
    <row r="323" spans="1:32" x14ac:dyDescent="0.25">
      <c r="A323">
        <v>51</v>
      </c>
      <c r="B323" t="s">
        <v>41</v>
      </c>
      <c r="C323" t="s">
        <v>33</v>
      </c>
      <c r="D323" t="s">
        <v>34</v>
      </c>
      <c r="E323">
        <v>3</v>
      </c>
      <c r="F323" t="s">
        <v>58</v>
      </c>
      <c r="G323">
        <v>3</v>
      </c>
      <c r="H323">
        <v>3</v>
      </c>
      <c r="I323" t="s">
        <v>66</v>
      </c>
      <c r="J323">
        <v>3</v>
      </c>
      <c r="K323" t="s">
        <v>50</v>
      </c>
      <c r="L323">
        <v>13116</v>
      </c>
      <c r="M323">
        <v>2</v>
      </c>
      <c r="N323" t="s">
        <v>41</v>
      </c>
      <c r="O323">
        <v>11</v>
      </c>
      <c r="P323">
        <v>3</v>
      </c>
      <c r="Q323">
        <v>0</v>
      </c>
      <c r="R323">
        <v>15</v>
      </c>
      <c r="S323">
        <v>2</v>
      </c>
      <c r="T323">
        <v>2</v>
      </c>
      <c r="U323">
        <v>2</v>
      </c>
      <c r="V323">
        <v>2</v>
      </c>
      <c r="W323" t="s">
        <v>51</v>
      </c>
      <c r="X323" s="1" t="d">
        <v>2019-01-02</v>
      </c>
      <c r="Z323" t="s">
        <v>59</v>
      </c>
      <c r="AA323" t="s">
        <v>40</v>
      </c>
      <c r="AB323">
        <v>1</v>
      </c>
      <c r="AC323">
        <v>2</v>
      </c>
      <c r="AD323" t="s">
        <v>32</v>
      </c>
      <c r="AE323" t="s">
        <v>42</v>
      </c>
      <c r="AF323" t="s">
        <v>57</v>
      </c>
    </row>
    <row r="324" spans="1:32" x14ac:dyDescent="0.25">
      <c r="A324">
        <v>46</v>
      </c>
      <c r="B324" t="s">
        <v>41</v>
      </c>
      <c r="C324" t="s">
        <v>33</v>
      </c>
      <c r="D324" t="s">
        <v>34</v>
      </c>
      <c r="E324">
        <v>2</v>
      </c>
      <c r="F324" t="s">
        <v>35</v>
      </c>
      <c r="G324">
        <v>3</v>
      </c>
      <c r="H324">
        <v>5</v>
      </c>
      <c r="I324" t="s">
        <v>49</v>
      </c>
      <c r="J324">
        <v>4</v>
      </c>
      <c r="K324" t="s">
        <v>55</v>
      </c>
      <c r="L324">
        <v>19328</v>
      </c>
      <c r="M324">
        <v>7</v>
      </c>
      <c r="N324" t="s">
        <v>32</v>
      </c>
      <c r="O324">
        <v>17</v>
      </c>
      <c r="P324">
        <v>3</v>
      </c>
      <c r="Q324">
        <v>1</v>
      </c>
      <c r="R324">
        <v>24</v>
      </c>
      <c r="S324">
        <v>3</v>
      </c>
      <c r="T324">
        <v>2</v>
      </c>
      <c r="U324">
        <v>2</v>
      </c>
      <c r="V324">
        <v>2</v>
      </c>
      <c r="W324" t="s">
        <v>56</v>
      </c>
      <c r="X324" s="1" t="d">
        <v>2019-02-19</v>
      </c>
      <c r="Z324" t="s">
        <v>63</v>
      </c>
      <c r="AA324" t="s">
        <v>46</v>
      </c>
      <c r="AB324">
        <v>3</v>
      </c>
      <c r="AC324">
        <v>0</v>
      </c>
      <c r="AD324" t="s">
        <v>41</v>
      </c>
      <c r="AE324" t="s">
        <v>47</v>
      </c>
      <c r="AF324" t="s">
        <v>43</v>
      </c>
    </row>
    <row r="325" spans="1:32" x14ac:dyDescent="0.25">
      <c r="A325">
        <v>46</v>
      </c>
      <c r="B325" t="s">
        <v>41</v>
      </c>
      <c r="C325" t="s">
        <v>68</v>
      </c>
      <c r="D325" t="s">
        <v>53</v>
      </c>
      <c r="E325">
        <v>26</v>
      </c>
      <c r="F325" t="s">
        <v>35</v>
      </c>
      <c r="G325">
        <v>2</v>
      </c>
      <c r="H325">
        <v>2</v>
      </c>
      <c r="I325" t="s">
        <v>64</v>
      </c>
      <c r="J325">
        <v>2</v>
      </c>
      <c r="K325" t="s">
        <v>37</v>
      </c>
      <c r="L325">
        <v>7991</v>
      </c>
      <c r="M325">
        <v>8</v>
      </c>
      <c r="N325" t="s">
        <v>41</v>
      </c>
      <c r="O325">
        <v>15</v>
      </c>
      <c r="P325">
        <v>3</v>
      </c>
      <c r="Q325">
        <v>0</v>
      </c>
      <c r="R325">
        <v>6</v>
      </c>
      <c r="S325">
        <v>3</v>
      </c>
      <c r="T325">
        <v>2</v>
      </c>
      <c r="U325">
        <v>2</v>
      </c>
      <c r="V325">
        <v>2</v>
      </c>
      <c r="W325" t="s">
        <v>38</v>
      </c>
      <c r="X325" s="1" t="d">
        <v>2019-04-19</v>
      </c>
      <c r="Z325" t="s">
        <v>52</v>
      </c>
      <c r="AA325" t="s">
        <v>40</v>
      </c>
      <c r="AB325">
        <v>5</v>
      </c>
      <c r="AC325">
        <v>0</v>
      </c>
      <c r="AD325" t="s">
        <v>41</v>
      </c>
      <c r="AE325" t="s">
        <v>60</v>
      </c>
      <c r="AF325" t="s">
        <v>43</v>
      </c>
    </row>
    <row r="326" spans="1:32" x14ac:dyDescent="0.25">
      <c r="A326">
        <v>39</v>
      </c>
      <c r="B326" t="s">
        <v>41</v>
      </c>
      <c r="C326" t="s">
        <v>61</v>
      </c>
      <c r="D326" t="s">
        <v>53</v>
      </c>
      <c r="E326">
        <v>20</v>
      </c>
      <c r="F326" t="s">
        <v>35</v>
      </c>
      <c r="G326">
        <v>3</v>
      </c>
      <c r="H326">
        <v>2</v>
      </c>
      <c r="I326" t="s">
        <v>64</v>
      </c>
      <c r="J326">
        <v>4</v>
      </c>
      <c r="K326" t="s">
        <v>55</v>
      </c>
      <c r="L326">
        <v>4127</v>
      </c>
      <c r="M326">
        <v>2</v>
      </c>
      <c r="N326" t="s">
        <v>41</v>
      </c>
      <c r="O326">
        <v>18</v>
      </c>
      <c r="P326">
        <v>3</v>
      </c>
      <c r="Q326">
        <v>1</v>
      </c>
      <c r="R326">
        <v>7</v>
      </c>
      <c r="S326">
        <v>6</v>
      </c>
      <c r="T326">
        <v>2</v>
      </c>
      <c r="U326">
        <v>2</v>
      </c>
      <c r="V326">
        <v>2</v>
      </c>
      <c r="W326" t="s">
        <v>56</v>
      </c>
      <c r="X326" s="1" t="d">
        <v>2019-03-10</v>
      </c>
      <c r="Z326" t="s">
        <v>52</v>
      </c>
      <c r="AA326" t="s">
        <v>46</v>
      </c>
      <c r="AB326">
        <v>2</v>
      </c>
      <c r="AC326">
        <v>1</v>
      </c>
      <c r="AD326" t="s">
        <v>41</v>
      </c>
      <c r="AE326" t="s">
        <v>60</v>
      </c>
      <c r="AF326" t="s">
        <v>43</v>
      </c>
    </row>
    <row r="327" spans="1:32" x14ac:dyDescent="0.25">
      <c r="A327">
        <v>58</v>
      </c>
      <c r="B327" t="s">
        <v>41</v>
      </c>
      <c r="C327" t="s">
        <v>61</v>
      </c>
      <c r="D327" t="s">
        <v>34</v>
      </c>
      <c r="E327">
        <v>15</v>
      </c>
      <c r="F327" t="s">
        <v>35</v>
      </c>
      <c r="G327">
        <v>3</v>
      </c>
      <c r="H327">
        <v>4</v>
      </c>
      <c r="I327" t="s">
        <v>49</v>
      </c>
      <c r="J327">
        <v>3</v>
      </c>
      <c r="K327" t="s">
        <v>50</v>
      </c>
      <c r="L327">
        <v>15787</v>
      </c>
      <c r="M327">
        <v>2</v>
      </c>
      <c r="N327" t="s">
        <v>32</v>
      </c>
      <c r="O327">
        <v>14</v>
      </c>
      <c r="P327">
        <v>3</v>
      </c>
      <c r="Q327">
        <v>0</v>
      </c>
      <c r="R327">
        <v>23</v>
      </c>
      <c r="S327">
        <v>3</v>
      </c>
      <c r="T327">
        <v>2</v>
      </c>
      <c r="U327">
        <v>2</v>
      </c>
      <c r="V327">
        <v>2</v>
      </c>
      <c r="W327" t="s">
        <v>65</v>
      </c>
      <c r="X327" s="1" t="d">
        <v>2019-05-29</v>
      </c>
      <c r="Z327" t="s">
        <v>52</v>
      </c>
      <c r="AA327" t="s">
        <v>46</v>
      </c>
      <c r="AB327">
        <v>0</v>
      </c>
      <c r="AC327">
        <v>2</v>
      </c>
      <c r="AD327" t="s">
        <v>41</v>
      </c>
      <c r="AE327" t="s">
        <v>62</v>
      </c>
      <c r="AF327" t="s">
        <v>57</v>
      </c>
    </row>
    <row r="328" spans="1:32" x14ac:dyDescent="0.25">
      <c r="A328">
        <v>29</v>
      </c>
      <c r="B328" t="s">
        <v>32</v>
      </c>
      <c r="C328" t="s">
        <v>33</v>
      </c>
      <c r="D328" t="s">
        <v>70</v>
      </c>
      <c r="E328">
        <v>13</v>
      </c>
      <c r="F328" t="s">
        <v>35</v>
      </c>
      <c r="G328">
        <v>2</v>
      </c>
      <c r="H328">
        <v>1</v>
      </c>
      <c r="I328" t="s">
        <v>70</v>
      </c>
      <c r="J328">
        <v>1</v>
      </c>
      <c r="K328" t="s">
        <v>55</v>
      </c>
      <c r="L328">
        <v>2335</v>
      </c>
      <c r="M328">
        <v>4</v>
      </c>
      <c r="N328" t="s">
        <v>32</v>
      </c>
      <c r="O328">
        <v>15</v>
      </c>
      <c r="P328">
        <v>3</v>
      </c>
      <c r="Q328">
        <v>3</v>
      </c>
      <c r="R328">
        <v>4</v>
      </c>
      <c r="S328">
        <v>3</v>
      </c>
      <c r="T328">
        <v>2</v>
      </c>
      <c r="U328">
        <v>2</v>
      </c>
      <c r="V328">
        <v>0</v>
      </c>
      <c r="W328" t="s">
        <v>65</v>
      </c>
      <c r="X328" s="1" t="d">
        <v>2019-04-06</v>
      </c>
      <c r="Z328" t="s">
        <v>45</v>
      </c>
      <c r="AA328" t="s">
        <v>46</v>
      </c>
      <c r="AB328">
        <v>3</v>
      </c>
      <c r="AC328">
        <v>0</v>
      </c>
      <c r="AD328" t="s">
        <v>32</v>
      </c>
      <c r="AE328" t="s">
        <v>60</v>
      </c>
      <c r="AF328" t="s">
        <v>57</v>
      </c>
    </row>
    <row r="329" spans="1:32" x14ac:dyDescent="0.25">
      <c r="A329">
        <v>47</v>
      </c>
      <c r="B329" t="s">
        <v>41</v>
      </c>
      <c r="C329" t="s">
        <v>33</v>
      </c>
      <c r="D329" t="s">
        <v>34</v>
      </c>
      <c r="E329">
        <v>9</v>
      </c>
      <c r="F329" t="s">
        <v>58</v>
      </c>
      <c r="G329">
        <v>3</v>
      </c>
      <c r="H329">
        <v>1</v>
      </c>
      <c r="I329" t="s">
        <v>36</v>
      </c>
      <c r="J329">
        <v>3</v>
      </c>
      <c r="K329" t="s">
        <v>37</v>
      </c>
      <c r="L329">
        <v>2105</v>
      </c>
      <c r="M329">
        <v>4</v>
      </c>
      <c r="N329" t="s">
        <v>41</v>
      </c>
      <c r="O329">
        <v>12</v>
      </c>
      <c r="P329">
        <v>3</v>
      </c>
      <c r="Q329">
        <v>0</v>
      </c>
      <c r="R329">
        <v>7</v>
      </c>
      <c r="S329">
        <v>2</v>
      </c>
      <c r="T329">
        <v>2</v>
      </c>
      <c r="U329">
        <v>2</v>
      </c>
      <c r="V329">
        <v>0</v>
      </c>
      <c r="W329" t="s">
        <v>65</v>
      </c>
      <c r="X329" s="1" t="d">
        <v>2019-01-05</v>
      </c>
      <c r="Z329" t="s">
        <v>59</v>
      </c>
      <c r="AA329" t="s">
        <v>46</v>
      </c>
      <c r="AB329">
        <v>1</v>
      </c>
      <c r="AC329">
        <v>1</v>
      </c>
      <c r="AD329" t="s">
        <v>32</v>
      </c>
      <c r="AE329" t="s">
        <v>47</v>
      </c>
      <c r="AF329" t="s">
        <v>43</v>
      </c>
    </row>
    <row r="330" spans="1:32" x14ac:dyDescent="0.25">
      <c r="A330">
        <v>32</v>
      </c>
      <c r="B330" t="s">
        <v>32</v>
      </c>
      <c r="C330" t="s">
        <v>33</v>
      </c>
      <c r="D330" t="s">
        <v>53</v>
      </c>
      <c r="E330">
        <v>2</v>
      </c>
      <c r="F330" t="s">
        <v>35</v>
      </c>
      <c r="G330">
        <v>2</v>
      </c>
      <c r="H330">
        <v>2</v>
      </c>
      <c r="I330" t="s">
        <v>64</v>
      </c>
      <c r="J330">
        <v>2</v>
      </c>
      <c r="K330" t="s">
        <v>37</v>
      </c>
      <c r="L330">
        <v>9907</v>
      </c>
      <c r="M330">
        <v>7</v>
      </c>
      <c r="N330" t="s">
        <v>32</v>
      </c>
      <c r="O330">
        <v>12</v>
      </c>
      <c r="P330">
        <v>3</v>
      </c>
      <c r="Q330">
        <v>0</v>
      </c>
      <c r="R330">
        <v>7</v>
      </c>
      <c r="S330">
        <v>3</v>
      </c>
      <c r="T330">
        <v>2</v>
      </c>
      <c r="U330">
        <v>2</v>
      </c>
      <c r="V330">
        <v>2</v>
      </c>
      <c r="W330" t="s">
        <v>51</v>
      </c>
      <c r="X330" s="1" t="d">
        <v>2019-03-21</v>
      </c>
      <c r="Z330" t="s">
        <v>59</v>
      </c>
      <c r="AA330" t="s">
        <v>40</v>
      </c>
      <c r="AB330">
        <v>5</v>
      </c>
      <c r="AC330">
        <v>3</v>
      </c>
      <c r="AD330" t="s">
        <v>41</v>
      </c>
      <c r="AE330" t="s">
        <v>47</v>
      </c>
      <c r="AF330" t="s">
        <v>48</v>
      </c>
    </row>
    <row r="331" spans="1:32" x14ac:dyDescent="0.25">
      <c r="A331">
        <v>39</v>
      </c>
      <c r="B331" t="s">
        <v>41</v>
      </c>
      <c r="C331" t="s">
        <v>33</v>
      </c>
      <c r="D331" t="s">
        <v>34</v>
      </c>
      <c r="E331">
        <v>19</v>
      </c>
      <c r="F331" t="s">
        <v>35</v>
      </c>
      <c r="G331">
        <v>3</v>
      </c>
      <c r="H331">
        <v>2</v>
      </c>
      <c r="I331" t="s">
        <v>44</v>
      </c>
      <c r="J331">
        <v>4</v>
      </c>
      <c r="K331" t="s">
        <v>55</v>
      </c>
      <c r="L331">
        <v>3902</v>
      </c>
      <c r="M331">
        <v>8</v>
      </c>
      <c r="N331" t="s">
        <v>41</v>
      </c>
      <c r="O331">
        <v>14</v>
      </c>
      <c r="P331">
        <v>3</v>
      </c>
      <c r="Q331">
        <v>3</v>
      </c>
      <c r="R331">
        <v>7</v>
      </c>
      <c r="S331">
        <v>2</v>
      </c>
      <c r="T331">
        <v>2</v>
      </c>
      <c r="U331">
        <v>2</v>
      </c>
      <c r="V331">
        <v>2</v>
      </c>
      <c r="W331" t="s">
        <v>38</v>
      </c>
      <c r="X331" s="1" t="d">
        <v>2019-03-11</v>
      </c>
      <c r="Z331" t="s">
        <v>39</v>
      </c>
      <c r="AA331" t="s">
        <v>40</v>
      </c>
      <c r="AB331">
        <v>1</v>
      </c>
      <c r="AC331">
        <v>2</v>
      </c>
      <c r="AD331" t="s">
        <v>32</v>
      </c>
      <c r="AE331" t="s">
        <v>60</v>
      </c>
      <c r="AF331" t="s">
        <v>48</v>
      </c>
    </row>
    <row r="332" spans="1:32" x14ac:dyDescent="0.25">
      <c r="A332">
        <v>44</v>
      </c>
      <c r="B332" t="s">
        <v>41</v>
      </c>
      <c r="C332" t="s">
        <v>33</v>
      </c>
      <c r="D332" t="s">
        <v>34</v>
      </c>
      <c r="E332">
        <v>1</v>
      </c>
      <c r="F332" t="s">
        <v>35</v>
      </c>
      <c r="G332">
        <v>4</v>
      </c>
      <c r="H332">
        <v>2</v>
      </c>
      <c r="I332" t="s">
        <v>69</v>
      </c>
      <c r="J332">
        <v>1</v>
      </c>
      <c r="K332" t="s">
        <v>50</v>
      </c>
      <c r="L332">
        <v>5033</v>
      </c>
      <c r="M332">
        <v>2</v>
      </c>
      <c r="N332" t="s">
        <v>41</v>
      </c>
      <c r="O332">
        <v>15</v>
      </c>
      <c r="P332">
        <v>3</v>
      </c>
      <c r="Q332">
        <v>1</v>
      </c>
      <c r="R332">
        <v>10</v>
      </c>
      <c r="S332">
        <v>5</v>
      </c>
      <c r="T332">
        <v>2</v>
      </c>
      <c r="U332">
        <v>2</v>
      </c>
      <c r="V332">
        <v>2</v>
      </c>
      <c r="W332" t="s">
        <v>56</v>
      </c>
      <c r="X332" s="1" t="d">
        <v>2019-06-30</v>
      </c>
      <c r="Z332" t="s">
        <v>45</v>
      </c>
      <c r="AA332" t="s">
        <v>46</v>
      </c>
      <c r="AB332">
        <v>0</v>
      </c>
      <c r="AC332">
        <v>2</v>
      </c>
      <c r="AD332" t="s">
        <v>41</v>
      </c>
      <c r="AE332" t="s">
        <v>62</v>
      </c>
      <c r="AF332" t="s">
        <v>57</v>
      </c>
    </row>
    <row r="333" spans="1:32" x14ac:dyDescent="0.25">
      <c r="A333">
        <v>31</v>
      </c>
      <c r="B333" t="s">
        <v>41</v>
      </c>
      <c r="C333" t="s">
        <v>33</v>
      </c>
      <c r="D333" t="s">
        <v>34</v>
      </c>
      <c r="E333">
        <v>4</v>
      </c>
      <c r="F333" t="s">
        <v>58</v>
      </c>
      <c r="G333">
        <v>4</v>
      </c>
      <c r="H333">
        <v>1</v>
      </c>
      <c r="I333" t="s">
        <v>36</v>
      </c>
      <c r="J333">
        <v>3</v>
      </c>
      <c r="K333" t="s">
        <v>55</v>
      </c>
      <c r="L333">
        <v>3978</v>
      </c>
      <c r="M333">
        <v>8</v>
      </c>
      <c r="N333" t="s">
        <v>41</v>
      </c>
      <c r="O333">
        <v>12</v>
      </c>
      <c r="P333">
        <v>3</v>
      </c>
      <c r="Q333">
        <v>1</v>
      </c>
      <c r="R333">
        <v>4</v>
      </c>
      <c r="S333">
        <v>0</v>
      </c>
      <c r="T333">
        <v>2</v>
      </c>
      <c r="U333">
        <v>2</v>
      </c>
      <c r="V333">
        <v>2</v>
      </c>
      <c r="W333" t="s">
        <v>51</v>
      </c>
      <c r="X333" s="1" t="d">
        <v>2019-03-06</v>
      </c>
      <c r="Z333" t="s">
        <v>52</v>
      </c>
      <c r="AA333" t="s">
        <v>40</v>
      </c>
      <c r="AB333">
        <v>4</v>
      </c>
      <c r="AC333">
        <v>2</v>
      </c>
      <c r="AD333" t="s">
        <v>32</v>
      </c>
      <c r="AE333" t="s">
        <v>47</v>
      </c>
      <c r="AF333" t="s">
        <v>57</v>
      </c>
    </row>
    <row r="334" spans="1:32" x14ac:dyDescent="0.25">
      <c r="A334">
        <v>28</v>
      </c>
      <c r="B334" t="s">
        <v>32</v>
      </c>
      <c r="C334" t="s">
        <v>33</v>
      </c>
      <c r="D334" t="s">
        <v>53</v>
      </c>
      <c r="E334">
        <v>13</v>
      </c>
      <c r="F334" t="s">
        <v>58</v>
      </c>
      <c r="G334">
        <v>3</v>
      </c>
      <c r="H334">
        <v>2</v>
      </c>
      <c r="I334" t="s">
        <v>64</v>
      </c>
      <c r="J334">
        <v>3</v>
      </c>
      <c r="K334" t="s">
        <v>37</v>
      </c>
      <c r="L334">
        <v>9854</v>
      </c>
      <c r="M334">
        <v>3</v>
      </c>
      <c r="N334" t="s">
        <v>32</v>
      </c>
      <c r="O334">
        <v>11</v>
      </c>
      <c r="P334">
        <v>3</v>
      </c>
      <c r="Q334">
        <v>0</v>
      </c>
      <c r="R334">
        <v>6</v>
      </c>
      <c r="S334">
        <v>0</v>
      </c>
      <c r="T334">
        <v>2</v>
      </c>
      <c r="U334">
        <v>2</v>
      </c>
      <c r="V334">
        <v>2</v>
      </c>
      <c r="W334" t="s">
        <v>65</v>
      </c>
      <c r="X334" s="1" t="d">
        <v>2019-06-27</v>
      </c>
      <c r="Z334" t="s">
        <v>45</v>
      </c>
      <c r="AA334" t="s">
        <v>40</v>
      </c>
      <c r="AB334">
        <v>4</v>
      </c>
      <c r="AC334">
        <v>2</v>
      </c>
      <c r="AD334" t="s">
        <v>32</v>
      </c>
      <c r="AE334" t="s">
        <v>62</v>
      </c>
      <c r="AF334" t="s">
        <v>48</v>
      </c>
    </row>
    <row r="335" spans="1:32" x14ac:dyDescent="0.25">
      <c r="A335">
        <v>53</v>
      </c>
      <c r="B335" t="s">
        <v>32</v>
      </c>
      <c r="C335" t="s">
        <v>33</v>
      </c>
      <c r="D335" t="s">
        <v>53</v>
      </c>
      <c r="E335">
        <v>24</v>
      </c>
      <c r="F335" t="s">
        <v>35</v>
      </c>
      <c r="G335">
        <v>3</v>
      </c>
      <c r="H335">
        <v>3</v>
      </c>
      <c r="I335" t="s">
        <v>64</v>
      </c>
      <c r="J335">
        <v>1</v>
      </c>
      <c r="K335" t="s">
        <v>37</v>
      </c>
      <c r="L335">
        <v>10448</v>
      </c>
      <c r="M335">
        <v>6</v>
      </c>
      <c r="N335" t="s">
        <v>32</v>
      </c>
      <c r="O335">
        <v>13</v>
      </c>
      <c r="P335">
        <v>3</v>
      </c>
      <c r="Q335">
        <v>0</v>
      </c>
      <c r="R335">
        <v>15</v>
      </c>
      <c r="S335">
        <v>2</v>
      </c>
      <c r="T335">
        <v>2</v>
      </c>
      <c r="U335">
        <v>2</v>
      </c>
      <c r="V335">
        <v>2</v>
      </c>
      <c r="W335" t="s">
        <v>65</v>
      </c>
      <c r="X335" s="1" t="d">
        <v>2019-05-09</v>
      </c>
      <c r="Z335" t="s">
        <v>63</v>
      </c>
      <c r="AA335" t="s">
        <v>40</v>
      </c>
      <c r="AB335">
        <v>5</v>
      </c>
      <c r="AC335">
        <v>0</v>
      </c>
      <c r="AD335" t="s">
        <v>32</v>
      </c>
      <c r="AE335" t="s">
        <v>60</v>
      </c>
      <c r="AF335" t="s">
        <v>43</v>
      </c>
    </row>
    <row r="336" spans="1:32" x14ac:dyDescent="0.25">
      <c r="A336">
        <v>25</v>
      </c>
      <c r="B336" t="s">
        <v>41</v>
      </c>
      <c r="C336" t="s">
        <v>33</v>
      </c>
      <c r="D336" t="s">
        <v>70</v>
      </c>
      <c r="E336">
        <v>2</v>
      </c>
      <c r="F336" t="s">
        <v>58</v>
      </c>
      <c r="G336">
        <v>3</v>
      </c>
      <c r="H336">
        <v>1</v>
      </c>
      <c r="I336" t="s">
        <v>70</v>
      </c>
      <c r="J336">
        <v>2</v>
      </c>
      <c r="K336" t="s">
        <v>50</v>
      </c>
      <c r="L336">
        <v>2187</v>
      </c>
      <c r="M336">
        <v>4</v>
      </c>
      <c r="N336" t="s">
        <v>41</v>
      </c>
      <c r="O336">
        <v>14</v>
      </c>
      <c r="P336">
        <v>3</v>
      </c>
      <c r="Q336">
        <v>0</v>
      </c>
      <c r="R336">
        <v>6</v>
      </c>
      <c r="S336">
        <v>3</v>
      </c>
      <c r="T336">
        <v>2</v>
      </c>
      <c r="U336">
        <v>1</v>
      </c>
      <c r="V336">
        <v>2</v>
      </c>
      <c r="W336" t="s">
        <v>38</v>
      </c>
      <c r="X336" s="1" t="d">
        <v>2019-05-24</v>
      </c>
      <c r="Z336" t="s">
        <v>39</v>
      </c>
      <c r="AA336" t="s">
        <v>40</v>
      </c>
      <c r="AB336">
        <v>3</v>
      </c>
      <c r="AC336">
        <v>0</v>
      </c>
      <c r="AD336" t="s">
        <v>41</v>
      </c>
      <c r="AE336" t="s">
        <v>62</v>
      </c>
      <c r="AF336" t="s">
        <v>48</v>
      </c>
    </row>
    <row r="337" spans="1:32" x14ac:dyDescent="0.25">
      <c r="A337">
        <v>25</v>
      </c>
      <c r="B337" t="s">
        <v>41</v>
      </c>
      <c r="C337" t="s">
        <v>33</v>
      </c>
      <c r="D337" t="s">
        <v>34</v>
      </c>
      <c r="E337">
        <v>2</v>
      </c>
      <c r="F337" t="s">
        <v>35</v>
      </c>
      <c r="G337">
        <v>3</v>
      </c>
      <c r="H337">
        <v>1</v>
      </c>
      <c r="I337" t="s">
        <v>36</v>
      </c>
      <c r="J337">
        <v>3</v>
      </c>
      <c r="K337" t="s">
        <v>55</v>
      </c>
      <c r="L337">
        <v>3977</v>
      </c>
      <c r="M337">
        <v>6</v>
      </c>
      <c r="N337" t="s">
        <v>32</v>
      </c>
      <c r="O337">
        <v>19</v>
      </c>
      <c r="P337">
        <v>3</v>
      </c>
      <c r="Q337">
        <v>1</v>
      </c>
      <c r="R337">
        <v>7</v>
      </c>
      <c r="S337">
        <v>2</v>
      </c>
      <c r="T337">
        <v>2</v>
      </c>
      <c r="U337">
        <v>0</v>
      </c>
      <c r="V337">
        <v>2</v>
      </c>
      <c r="W337" t="s">
        <v>65</v>
      </c>
      <c r="X337" s="1" t="d">
        <v>2019-06-24</v>
      </c>
      <c r="Z337" t="s">
        <v>52</v>
      </c>
      <c r="AA337" t="s">
        <v>46</v>
      </c>
      <c r="AB337">
        <v>2</v>
      </c>
      <c r="AC337">
        <v>2</v>
      </c>
      <c r="AD337" t="s">
        <v>32</v>
      </c>
      <c r="AE337" t="s">
        <v>42</v>
      </c>
      <c r="AF337" t="s">
        <v>43</v>
      </c>
    </row>
    <row r="338" spans="1:32" x14ac:dyDescent="0.25">
      <c r="A338">
        <v>31</v>
      </c>
      <c r="B338" t="s">
        <v>41</v>
      </c>
      <c r="C338" t="s">
        <v>33</v>
      </c>
      <c r="D338" t="s">
        <v>53</v>
      </c>
      <c r="E338">
        <v>2</v>
      </c>
      <c r="F338" t="s">
        <v>35</v>
      </c>
      <c r="G338">
        <v>3</v>
      </c>
      <c r="H338">
        <v>1</v>
      </c>
      <c r="I338" t="s">
        <v>54</v>
      </c>
      <c r="J338">
        <v>3</v>
      </c>
      <c r="K338" t="s">
        <v>50</v>
      </c>
      <c r="L338">
        <v>3067</v>
      </c>
      <c r="M338">
        <v>0</v>
      </c>
      <c r="N338" t="s">
        <v>41</v>
      </c>
      <c r="O338">
        <v>19</v>
      </c>
      <c r="P338">
        <v>3</v>
      </c>
      <c r="Q338">
        <v>1</v>
      </c>
      <c r="R338">
        <v>3</v>
      </c>
      <c r="S338">
        <v>1</v>
      </c>
      <c r="T338">
        <v>2</v>
      </c>
      <c r="U338">
        <v>1</v>
      </c>
      <c r="V338">
        <v>2</v>
      </c>
      <c r="W338" t="s">
        <v>65</v>
      </c>
      <c r="X338" s="1" t="d">
        <v>2019-01-15</v>
      </c>
      <c r="Z338" t="s">
        <v>45</v>
      </c>
      <c r="AA338" t="s">
        <v>46</v>
      </c>
      <c r="AB338">
        <v>0</v>
      </c>
      <c r="AC338">
        <v>2</v>
      </c>
      <c r="AD338" t="s">
        <v>41</v>
      </c>
      <c r="AE338" t="s">
        <v>47</v>
      </c>
      <c r="AF338" t="s">
        <v>57</v>
      </c>
    </row>
    <row r="339" spans="1:32" x14ac:dyDescent="0.25">
      <c r="A339">
        <v>35</v>
      </c>
      <c r="B339" t="s">
        <v>41</v>
      </c>
      <c r="C339" t="s">
        <v>33</v>
      </c>
      <c r="D339" t="s">
        <v>34</v>
      </c>
      <c r="E339">
        <v>11</v>
      </c>
      <c r="F339" t="s">
        <v>35</v>
      </c>
      <c r="G339">
        <v>3</v>
      </c>
      <c r="H339">
        <v>1</v>
      </c>
      <c r="I339" t="s">
        <v>36</v>
      </c>
      <c r="J339">
        <v>3</v>
      </c>
      <c r="K339" t="s">
        <v>50</v>
      </c>
      <c r="L339">
        <v>2660</v>
      </c>
      <c r="M339">
        <v>7</v>
      </c>
      <c r="N339" t="s">
        <v>32</v>
      </c>
      <c r="O339">
        <v>11</v>
      </c>
      <c r="P339">
        <v>3</v>
      </c>
      <c r="Q339">
        <v>1</v>
      </c>
      <c r="R339">
        <v>5</v>
      </c>
      <c r="S339">
        <v>3</v>
      </c>
      <c r="T339">
        <v>2</v>
      </c>
      <c r="U339">
        <v>2</v>
      </c>
      <c r="V339">
        <v>2</v>
      </c>
      <c r="W339" t="s">
        <v>56</v>
      </c>
      <c r="X339" s="1" t="d">
        <v>2019-04-05</v>
      </c>
      <c r="Z339" t="s">
        <v>63</v>
      </c>
      <c r="AA339" t="s">
        <v>40</v>
      </c>
      <c r="AB339">
        <v>2</v>
      </c>
      <c r="AC339">
        <v>1</v>
      </c>
      <c r="AD339" t="s">
        <v>41</v>
      </c>
      <c r="AE339" t="s">
        <v>60</v>
      </c>
      <c r="AF339" t="s">
        <v>48</v>
      </c>
    </row>
    <row r="340" spans="1:32" x14ac:dyDescent="0.25">
      <c r="A340">
        <v>32</v>
      </c>
      <c r="B340" t="s">
        <v>41</v>
      </c>
      <c r="C340" t="s">
        <v>33</v>
      </c>
      <c r="D340" t="s">
        <v>53</v>
      </c>
      <c r="E340">
        <v>1</v>
      </c>
      <c r="F340" t="s">
        <v>35</v>
      </c>
      <c r="G340">
        <v>2</v>
      </c>
      <c r="H340">
        <v>1</v>
      </c>
      <c r="I340" t="s">
        <v>54</v>
      </c>
      <c r="J340">
        <v>2</v>
      </c>
      <c r="K340" t="s">
        <v>50</v>
      </c>
      <c r="L340">
        <v>2269</v>
      </c>
      <c r="M340">
        <v>0</v>
      </c>
      <c r="N340" t="s">
        <v>41</v>
      </c>
      <c r="O340">
        <v>14</v>
      </c>
      <c r="P340">
        <v>3</v>
      </c>
      <c r="Q340">
        <v>1</v>
      </c>
      <c r="R340">
        <v>3</v>
      </c>
      <c r="S340">
        <v>2</v>
      </c>
      <c r="T340">
        <v>2</v>
      </c>
      <c r="U340">
        <v>2</v>
      </c>
      <c r="V340">
        <v>2</v>
      </c>
      <c r="W340" t="s">
        <v>38</v>
      </c>
      <c r="X340" s="1" t="d">
        <v>2019-04-19</v>
      </c>
      <c r="Z340" t="s">
        <v>63</v>
      </c>
      <c r="AA340" t="s">
        <v>46</v>
      </c>
      <c r="AB340">
        <v>3</v>
      </c>
      <c r="AC340">
        <v>2</v>
      </c>
      <c r="AD340" t="s">
        <v>41</v>
      </c>
      <c r="AE340" t="s">
        <v>62</v>
      </c>
      <c r="AF340" t="s">
        <v>48</v>
      </c>
    </row>
    <row r="341" spans="1:32" x14ac:dyDescent="0.25">
      <c r="A341">
        <v>21</v>
      </c>
      <c r="B341" t="s">
        <v>41</v>
      </c>
      <c r="C341" t="s">
        <v>33</v>
      </c>
      <c r="D341" t="s">
        <v>53</v>
      </c>
      <c r="E341">
        <v>5</v>
      </c>
      <c r="F341" t="s">
        <v>35</v>
      </c>
      <c r="G341">
        <v>3</v>
      </c>
      <c r="H341">
        <v>1</v>
      </c>
      <c r="I341" t="s">
        <v>54</v>
      </c>
      <c r="J341">
        <v>1</v>
      </c>
      <c r="K341" t="s">
        <v>37</v>
      </c>
      <c r="L341">
        <v>2380</v>
      </c>
      <c r="M341">
        <v>1</v>
      </c>
      <c r="N341" t="s">
        <v>32</v>
      </c>
      <c r="O341">
        <v>11</v>
      </c>
      <c r="P341">
        <v>3</v>
      </c>
      <c r="Q341">
        <v>0</v>
      </c>
      <c r="R341">
        <v>2</v>
      </c>
      <c r="S341">
        <v>6</v>
      </c>
      <c r="T341">
        <v>2</v>
      </c>
      <c r="U341">
        <v>1</v>
      </c>
      <c r="V341">
        <v>2</v>
      </c>
      <c r="W341" t="s">
        <v>65</v>
      </c>
      <c r="X341" s="1" t="d">
        <v>2019-02-02</v>
      </c>
      <c r="Z341" t="s">
        <v>63</v>
      </c>
      <c r="AA341" t="s">
        <v>40</v>
      </c>
      <c r="AB341">
        <v>4</v>
      </c>
      <c r="AC341">
        <v>2</v>
      </c>
      <c r="AD341" t="s">
        <v>32</v>
      </c>
      <c r="AE341" t="s">
        <v>47</v>
      </c>
      <c r="AF341" t="s">
        <v>48</v>
      </c>
    </row>
    <row r="342" spans="1:32" x14ac:dyDescent="0.25">
      <c r="A342">
        <v>29</v>
      </c>
      <c r="B342" t="s">
        <v>32</v>
      </c>
      <c r="C342" t="s">
        <v>33</v>
      </c>
      <c r="D342" t="s">
        <v>34</v>
      </c>
      <c r="E342">
        <v>1</v>
      </c>
      <c r="F342" t="s">
        <v>35</v>
      </c>
      <c r="G342">
        <v>3</v>
      </c>
      <c r="H342">
        <v>1</v>
      </c>
      <c r="I342" t="s">
        <v>44</v>
      </c>
      <c r="J342">
        <v>4</v>
      </c>
      <c r="K342" t="s">
        <v>50</v>
      </c>
      <c r="L342">
        <v>4787</v>
      </c>
      <c r="M342">
        <v>9</v>
      </c>
      <c r="N342" t="s">
        <v>32</v>
      </c>
      <c r="O342">
        <v>14</v>
      </c>
      <c r="P342">
        <v>3</v>
      </c>
      <c r="Q342">
        <v>3</v>
      </c>
      <c r="R342">
        <v>4</v>
      </c>
      <c r="S342">
        <v>3</v>
      </c>
      <c r="T342">
        <v>2</v>
      </c>
      <c r="U342">
        <v>2</v>
      </c>
      <c r="V342">
        <v>2</v>
      </c>
      <c r="W342" t="s">
        <v>56</v>
      </c>
      <c r="X342" s="1" t="d">
        <v>2019-05-21</v>
      </c>
      <c r="Z342" t="s">
        <v>39</v>
      </c>
      <c r="AA342" t="s">
        <v>40</v>
      </c>
      <c r="AB342">
        <v>0</v>
      </c>
      <c r="AC342">
        <v>0</v>
      </c>
      <c r="AD342" t="s">
        <v>32</v>
      </c>
      <c r="AE342" t="s">
        <v>47</v>
      </c>
      <c r="AF342" t="s">
        <v>48</v>
      </c>
    </row>
    <row r="343" spans="1:32" x14ac:dyDescent="0.25">
      <c r="A343">
        <v>40</v>
      </c>
      <c r="B343" t="s">
        <v>41</v>
      </c>
      <c r="C343" t="s">
        <v>33</v>
      </c>
      <c r="D343" t="s">
        <v>34</v>
      </c>
      <c r="E343">
        <v>2</v>
      </c>
      <c r="F343" t="s">
        <v>35</v>
      </c>
      <c r="G343">
        <v>2</v>
      </c>
      <c r="H343">
        <v>1</v>
      </c>
      <c r="I343" t="s">
        <v>44</v>
      </c>
      <c r="J343">
        <v>3</v>
      </c>
      <c r="K343" t="s">
        <v>37</v>
      </c>
      <c r="L343">
        <v>2809</v>
      </c>
      <c r="M343">
        <v>2</v>
      </c>
      <c r="N343" t="s">
        <v>41</v>
      </c>
      <c r="O343">
        <v>14</v>
      </c>
      <c r="P343">
        <v>3</v>
      </c>
      <c r="Q343">
        <v>0</v>
      </c>
      <c r="R343">
        <v>8</v>
      </c>
      <c r="S343">
        <v>2</v>
      </c>
      <c r="T343">
        <v>2</v>
      </c>
      <c r="U343">
        <v>2</v>
      </c>
      <c r="V343">
        <v>2</v>
      </c>
      <c r="W343" t="s">
        <v>56</v>
      </c>
      <c r="X343" s="1" t="d">
        <v>2019-06-23</v>
      </c>
      <c r="Z343" t="s">
        <v>63</v>
      </c>
      <c r="AA343" t="s">
        <v>40</v>
      </c>
      <c r="AB343">
        <v>4</v>
      </c>
      <c r="AC343">
        <v>2</v>
      </c>
      <c r="AD343" t="s">
        <v>32</v>
      </c>
      <c r="AE343" t="s">
        <v>62</v>
      </c>
      <c r="AF343" t="s">
        <v>48</v>
      </c>
    </row>
    <row r="344" spans="1:32" x14ac:dyDescent="0.25">
      <c r="A344">
        <v>38</v>
      </c>
      <c r="B344" t="s">
        <v>41</v>
      </c>
      <c r="C344" t="s">
        <v>33</v>
      </c>
      <c r="D344" t="s">
        <v>34</v>
      </c>
      <c r="E344">
        <v>2</v>
      </c>
      <c r="F344" t="s">
        <v>35</v>
      </c>
      <c r="G344">
        <v>3</v>
      </c>
      <c r="H344">
        <v>1</v>
      </c>
      <c r="I344" t="s">
        <v>44</v>
      </c>
      <c r="J344">
        <v>4</v>
      </c>
      <c r="K344" t="s">
        <v>37</v>
      </c>
      <c r="L344">
        <v>3944</v>
      </c>
      <c r="M344">
        <v>5</v>
      </c>
      <c r="N344" t="s">
        <v>32</v>
      </c>
      <c r="O344">
        <v>11</v>
      </c>
      <c r="P344">
        <v>3</v>
      </c>
      <c r="Q344">
        <v>0</v>
      </c>
      <c r="R344">
        <v>6</v>
      </c>
      <c r="S344">
        <v>3</v>
      </c>
      <c r="T344">
        <v>3</v>
      </c>
      <c r="U344">
        <v>1</v>
      </c>
      <c r="V344">
        <v>2</v>
      </c>
      <c r="W344" t="s">
        <v>51</v>
      </c>
      <c r="X344" s="1" t="d">
        <v>2018-05-17</v>
      </c>
      <c r="Z344" t="s">
        <v>45</v>
      </c>
      <c r="AA344" t="s">
        <v>40</v>
      </c>
      <c r="AB344">
        <v>3</v>
      </c>
      <c r="AC344">
        <v>1</v>
      </c>
      <c r="AD344" t="s">
        <v>32</v>
      </c>
      <c r="AE344" t="s">
        <v>42</v>
      </c>
      <c r="AF344" t="s">
        <v>48</v>
      </c>
    </row>
    <row r="345" spans="1:32" x14ac:dyDescent="0.25">
      <c r="A345">
        <v>50</v>
      </c>
      <c r="B345" t="s">
        <v>32</v>
      </c>
      <c r="C345" t="s">
        <v>33</v>
      </c>
      <c r="D345" t="s">
        <v>53</v>
      </c>
      <c r="E345">
        <v>3</v>
      </c>
      <c r="F345" t="s">
        <v>35</v>
      </c>
      <c r="G345">
        <v>2</v>
      </c>
      <c r="H345">
        <v>1</v>
      </c>
      <c r="I345" t="s">
        <v>54</v>
      </c>
      <c r="J345">
        <v>3</v>
      </c>
      <c r="K345" t="s">
        <v>50</v>
      </c>
      <c r="L345">
        <v>2683</v>
      </c>
      <c r="M345">
        <v>1</v>
      </c>
      <c r="N345" t="s">
        <v>32</v>
      </c>
      <c r="O345">
        <v>14</v>
      </c>
      <c r="P345">
        <v>3</v>
      </c>
      <c r="Q345">
        <v>0</v>
      </c>
      <c r="R345">
        <v>3</v>
      </c>
      <c r="S345">
        <v>2</v>
      </c>
      <c r="T345">
        <v>3</v>
      </c>
      <c r="U345">
        <v>0</v>
      </c>
      <c r="V345">
        <v>2</v>
      </c>
      <c r="W345" t="s">
        <v>56</v>
      </c>
      <c r="X345" s="1" t="d">
        <v>2018-01-17</v>
      </c>
      <c r="Z345" t="s">
        <v>59</v>
      </c>
      <c r="AA345" t="s">
        <v>46</v>
      </c>
      <c r="AB345">
        <v>3</v>
      </c>
      <c r="AC345">
        <v>0</v>
      </c>
      <c r="AD345" t="s">
        <v>32</v>
      </c>
      <c r="AE345" t="s">
        <v>62</v>
      </c>
      <c r="AF345" t="s">
        <v>43</v>
      </c>
    </row>
    <row r="346" spans="1:32" x14ac:dyDescent="0.25">
      <c r="A346">
        <v>35</v>
      </c>
      <c r="B346" t="s">
        <v>41</v>
      </c>
      <c r="C346" t="s">
        <v>61</v>
      </c>
      <c r="D346" t="s">
        <v>34</v>
      </c>
      <c r="E346">
        <v>1</v>
      </c>
      <c r="F346" t="s">
        <v>35</v>
      </c>
      <c r="G346">
        <v>3</v>
      </c>
      <c r="H346">
        <v>1</v>
      </c>
      <c r="I346" t="s">
        <v>44</v>
      </c>
      <c r="J346">
        <v>1</v>
      </c>
      <c r="K346" t="s">
        <v>50</v>
      </c>
      <c r="L346">
        <v>2194</v>
      </c>
      <c r="M346">
        <v>4</v>
      </c>
      <c r="N346" t="s">
        <v>41</v>
      </c>
      <c r="O346">
        <v>13</v>
      </c>
      <c r="P346">
        <v>3</v>
      </c>
      <c r="Q346">
        <v>1</v>
      </c>
      <c r="R346">
        <v>5</v>
      </c>
      <c r="S346">
        <v>2</v>
      </c>
      <c r="T346">
        <v>3</v>
      </c>
      <c r="U346">
        <v>1</v>
      </c>
      <c r="V346">
        <v>2</v>
      </c>
      <c r="W346" t="s">
        <v>38</v>
      </c>
      <c r="X346" s="1" t="d">
        <v>2018-01-02</v>
      </c>
      <c r="Z346" t="s">
        <v>45</v>
      </c>
      <c r="AA346" t="s">
        <v>46</v>
      </c>
      <c r="AB346">
        <v>2</v>
      </c>
      <c r="AC346">
        <v>3</v>
      </c>
      <c r="AD346" t="s">
        <v>32</v>
      </c>
      <c r="AE346" t="s">
        <v>47</v>
      </c>
      <c r="AF346" t="s">
        <v>57</v>
      </c>
    </row>
    <row r="347" spans="1:32" x14ac:dyDescent="0.25">
      <c r="A347">
        <v>24</v>
      </c>
      <c r="B347" t="s">
        <v>41</v>
      </c>
      <c r="C347" t="s">
        <v>33</v>
      </c>
      <c r="D347" t="s">
        <v>53</v>
      </c>
      <c r="E347">
        <v>3</v>
      </c>
      <c r="F347" t="s">
        <v>58</v>
      </c>
      <c r="G347">
        <v>3</v>
      </c>
      <c r="H347">
        <v>2</v>
      </c>
      <c r="I347" t="s">
        <v>64</v>
      </c>
      <c r="J347">
        <v>3</v>
      </c>
      <c r="K347" t="s">
        <v>50</v>
      </c>
      <c r="L347">
        <v>4999</v>
      </c>
      <c r="M347">
        <v>0</v>
      </c>
      <c r="N347" t="s">
        <v>41</v>
      </c>
      <c r="O347">
        <v>21</v>
      </c>
      <c r="P347">
        <v>4</v>
      </c>
      <c r="Q347">
        <v>1</v>
      </c>
      <c r="R347">
        <v>4</v>
      </c>
      <c r="S347">
        <v>2</v>
      </c>
      <c r="T347">
        <v>3</v>
      </c>
      <c r="U347">
        <v>0</v>
      </c>
      <c r="V347">
        <v>2</v>
      </c>
      <c r="W347" t="s">
        <v>38</v>
      </c>
      <c r="X347" s="1" t="d">
        <v>2018-04-27</v>
      </c>
      <c r="Z347" t="s">
        <v>52</v>
      </c>
      <c r="AA347" t="s">
        <v>40</v>
      </c>
      <c r="AB347">
        <v>1</v>
      </c>
      <c r="AC347">
        <v>1</v>
      </c>
      <c r="AD347" t="s">
        <v>41</v>
      </c>
      <c r="AE347" t="s">
        <v>47</v>
      </c>
      <c r="AF347" t="s">
        <v>57</v>
      </c>
    </row>
    <row r="348" spans="1:32" x14ac:dyDescent="0.25">
      <c r="A348">
        <v>44</v>
      </c>
      <c r="B348" t="s">
        <v>41</v>
      </c>
      <c r="C348" t="s">
        <v>68</v>
      </c>
      <c r="D348" t="s">
        <v>34</v>
      </c>
      <c r="E348">
        <v>23</v>
      </c>
      <c r="F348" t="s">
        <v>35</v>
      </c>
      <c r="G348">
        <v>3</v>
      </c>
      <c r="H348">
        <v>2</v>
      </c>
      <c r="I348" t="s">
        <v>36</v>
      </c>
      <c r="J348">
        <v>2</v>
      </c>
      <c r="K348" t="s">
        <v>50</v>
      </c>
      <c r="L348">
        <v>2042</v>
      </c>
      <c r="M348">
        <v>4</v>
      </c>
      <c r="N348" t="s">
        <v>41</v>
      </c>
      <c r="O348">
        <v>12</v>
      </c>
      <c r="P348">
        <v>3</v>
      </c>
      <c r="Q348">
        <v>1</v>
      </c>
      <c r="R348">
        <v>17</v>
      </c>
      <c r="S348">
        <v>3</v>
      </c>
      <c r="T348">
        <v>3</v>
      </c>
      <c r="U348">
        <v>1</v>
      </c>
      <c r="V348">
        <v>2</v>
      </c>
      <c r="W348" t="s">
        <v>38</v>
      </c>
      <c r="X348" s="1" t="d">
        <v>2018-03-23</v>
      </c>
      <c r="Z348" t="s">
        <v>52</v>
      </c>
      <c r="AA348" t="s">
        <v>46</v>
      </c>
      <c r="AB348">
        <v>5</v>
      </c>
      <c r="AC348">
        <v>0</v>
      </c>
      <c r="AD348" t="s">
        <v>32</v>
      </c>
      <c r="AE348" t="s">
        <v>42</v>
      </c>
      <c r="AF348" t="s">
        <v>57</v>
      </c>
    </row>
    <row r="349" spans="1:32" x14ac:dyDescent="0.25">
      <c r="A349">
        <v>37</v>
      </c>
      <c r="B349" t="s">
        <v>32</v>
      </c>
      <c r="C349" t="s">
        <v>33</v>
      </c>
      <c r="D349" t="s">
        <v>70</v>
      </c>
      <c r="E349">
        <v>6</v>
      </c>
      <c r="F349" t="s">
        <v>35</v>
      </c>
      <c r="G349">
        <v>3</v>
      </c>
      <c r="H349">
        <v>1</v>
      </c>
      <c r="I349" t="s">
        <v>70</v>
      </c>
      <c r="J349">
        <v>1</v>
      </c>
      <c r="K349" t="s">
        <v>55</v>
      </c>
      <c r="L349">
        <v>2073</v>
      </c>
      <c r="M349">
        <v>4</v>
      </c>
      <c r="N349" t="s">
        <v>32</v>
      </c>
      <c r="O349">
        <v>22</v>
      </c>
      <c r="P349">
        <v>4</v>
      </c>
      <c r="Q349">
        <v>0</v>
      </c>
      <c r="R349">
        <v>7</v>
      </c>
      <c r="S349">
        <v>3</v>
      </c>
      <c r="T349">
        <v>3</v>
      </c>
      <c r="U349">
        <v>0</v>
      </c>
      <c r="V349">
        <v>2</v>
      </c>
      <c r="W349" t="s">
        <v>56</v>
      </c>
      <c r="X349" s="1" t="d">
        <v>2018-02-18</v>
      </c>
      <c r="Z349" t="s">
        <v>63</v>
      </c>
      <c r="AA349" t="s">
        <v>46</v>
      </c>
      <c r="AB349">
        <v>1</v>
      </c>
      <c r="AC349">
        <v>0</v>
      </c>
      <c r="AD349" t="s">
        <v>32</v>
      </c>
      <c r="AE349" t="s">
        <v>60</v>
      </c>
      <c r="AF349" t="s">
        <v>57</v>
      </c>
    </row>
    <row r="350" spans="1:32" x14ac:dyDescent="0.25">
      <c r="A350">
        <v>59</v>
      </c>
      <c r="B350" t="s">
        <v>41</v>
      </c>
      <c r="C350" t="s">
        <v>68</v>
      </c>
      <c r="D350" t="s">
        <v>70</v>
      </c>
      <c r="E350">
        <v>2</v>
      </c>
      <c r="F350" t="s">
        <v>58</v>
      </c>
      <c r="G350">
        <v>2</v>
      </c>
      <c r="H350">
        <v>5</v>
      </c>
      <c r="I350" t="s">
        <v>66</v>
      </c>
      <c r="J350">
        <v>4</v>
      </c>
      <c r="K350" t="s">
        <v>50</v>
      </c>
      <c r="L350">
        <v>18844</v>
      </c>
      <c r="M350">
        <v>9</v>
      </c>
      <c r="N350" t="s">
        <v>41</v>
      </c>
      <c r="O350">
        <v>21</v>
      </c>
      <c r="P350">
        <v>4</v>
      </c>
      <c r="Q350">
        <v>1</v>
      </c>
      <c r="R350">
        <v>30</v>
      </c>
      <c r="S350">
        <v>3</v>
      </c>
      <c r="T350">
        <v>3</v>
      </c>
      <c r="U350">
        <v>2</v>
      </c>
      <c r="V350">
        <v>2</v>
      </c>
      <c r="W350" t="s">
        <v>65</v>
      </c>
      <c r="X350" s="1" t="d">
        <v>2018-06-02</v>
      </c>
      <c r="Z350" t="s">
        <v>52</v>
      </c>
      <c r="AA350" t="s">
        <v>40</v>
      </c>
      <c r="AB350">
        <v>4</v>
      </c>
      <c r="AC350">
        <v>2</v>
      </c>
      <c r="AD350" t="s">
        <v>41</v>
      </c>
      <c r="AE350" t="s">
        <v>60</v>
      </c>
      <c r="AF350" t="s">
        <v>48</v>
      </c>
    </row>
    <row r="351" spans="1:32" x14ac:dyDescent="0.25">
      <c r="A351">
        <v>43</v>
      </c>
      <c r="B351" t="s">
        <v>41</v>
      </c>
      <c r="C351" t="s">
        <v>61</v>
      </c>
      <c r="D351" t="s">
        <v>34</v>
      </c>
      <c r="E351">
        <v>28</v>
      </c>
      <c r="F351" t="s">
        <v>58</v>
      </c>
      <c r="G351">
        <v>4</v>
      </c>
      <c r="H351">
        <v>1</v>
      </c>
      <c r="I351" t="s">
        <v>44</v>
      </c>
      <c r="J351">
        <v>3</v>
      </c>
      <c r="K351" t="s">
        <v>37</v>
      </c>
      <c r="L351">
        <v>4739</v>
      </c>
      <c r="M351">
        <v>4</v>
      </c>
      <c r="N351" t="s">
        <v>41</v>
      </c>
      <c r="O351">
        <v>12</v>
      </c>
      <c r="P351">
        <v>3</v>
      </c>
      <c r="Q351">
        <v>0</v>
      </c>
      <c r="R351">
        <v>18</v>
      </c>
      <c r="S351">
        <v>2</v>
      </c>
      <c r="T351">
        <v>3</v>
      </c>
      <c r="U351">
        <v>1</v>
      </c>
      <c r="V351">
        <v>2</v>
      </c>
      <c r="W351" t="s">
        <v>51</v>
      </c>
      <c r="X351" s="1" t="d">
        <v>2018-02-13</v>
      </c>
      <c r="Z351" t="s">
        <v>59</v>
      </c>
      <c r="AA351" t="s">
        <v>40</v>
      </c>
      <c r="AB351">
        <v>2</v>
      </c>
      <c r="AC351">
        <v>2</v>
      </c>
      <c r="AD351" t="s">
        <v>41</v>
      </c>
      <c r="AE351" t="s">
        <v>60</v>
      </c>
      <c r="AF351" t="s">
        <v>57</v>
      </c>
    </row>
    <row r="352" spans="1:32" x14ac:dyDescent="0.25">
      <c r="A352">
        <v>36</v>
      </c>
      <c r="B352" t="s">
        <v>41</v>
      </c>
      <c r="C352" t="s">
        <v>33</v>
      </c>
      <c r="D352" t="s">
        <v>34</v>
      </c>
      <c r="E352">
        <v>6</v>
      </c>
      <c r="F352" t="s">
        <v>35</v>
      </c>
      <c r="G352">
        <v>3</v>
      </c>
      <c r="H352">
        <v>2</v>
      </c>
      <c r="I352" t="s">
        <v>67</v>
      </c>
      <c r="J352">
        <v>2</v>
      </c>
      <c r="K352" t="s">
        <v>55</v>
      </c>
      <c r="L352">
        <v>4941</v>
      </c>
      <c r="M352">
        <v>6</v>
      </c>
      <c r="N352" t="s">
        <v>41</v>
      </c>
      <c r="O352">
        <v>20</v>
      </c>
      <c r="P352">
        <v>4</v>
      </c>
      <c r="Q352">
        <v>2</v>
      </c>
      <c r="R352">
        <v>7</v>
      </c>
      <c r="S352">
        <v>0</v>
      </c>
      <c r="T352">
        <v>3</v>
      </c>
      <c r="U352">
        <v>0</v>
      </c>
      <c r="V352">
        <v>1</v>
      </c>
      <c r="W352" t="s">
        <v>38</v>
      </c>
      <c r="X352" s="1" t="d">
        <v>2018-06-18</v>
      </c>
      <c r="Z352" t="s">
        <v>59</v>
      </c>
      <c r="AA352" t="s">
        <v>40</v>
      </c>
      <c r="AB352">
        <v>0</v>
      </c>
      <c r="AC352">
        <v>2</v>
      </c>
      <c r="AD352" t="s">
        <v>41</v>
      </c>
      <c r="AE352" t="s">
        <v>42</v>
      </c>
      <c r="AF352" t="s">
        <v>57</v>
      </c>
    </row>
    <row r="353" spans="1:32" x14ac:dyDescent="0.25">
      <c r="A353">
        <v>38</v>
      </c>
      <c r="B353" t="s">
        <v>41</v>
      </c>
      <c r="C353" t="s">
        <v>33</v>
      </c>
      <c r="D353" t="s">
        <v>34</v>
      </c>
      <c r="E353">
        <v>3</v>
      </c>
      <c r="F353" t="s">
        <v>58</v>
      </c>
      <c r="G353">
        <v>3</v>
      </c>
      <c r="H353">
        <v>2</v>
      </c>
      <c r="I353" t="s">
        <v>44</v>
      </c>
      <c r="J353">
        <v>3</v>
      </c>
      <c r="K353" t="s">
        <v>37</v>
      </c>
      <c r="L353">
        <v>4317</v>
      </c>
      <c r="M353">
        <v>3</v>
      </c>
      <c r="N353" t="s">
        <v>32</v>
      </c>
      <c r="O353">
        <v>20</v>
      </c>
      <c r="P353">
        <v>4</v>
      </c>
      <c r="Q353">
        <v>0</v>
      </c>
      <c r="R353">
        <v>19</v>
      </c>
      <c r="S353">
        <v>2</v>
      </c>
      <c r="T353">
        <v>3</v>
      </c>
      <c r="U353">
        <v>2</v>
      </c>
      <c r="V353">
        <v>2</v>
      </c>
      <c r="W353" t="s">
        <v>65</v>
      </c>
      <c r="X353" s="1" t="d">
        <v>2018-04-24</v>
      </c>
      <c r="Z353" t="s">
        <v>39</v>
      </c>
      <c r="AA353" t="s">
        <v>46</v>
      </c>
      <c r="AB353">
        <v>5</v>
      </c>
      <c r="AC353">
        <v>0</v>
      </c>
      <c r="AD353" t="s">
        <v>32</v>
      </c>
      <c r="AE353" t="s">
        <v>42</v>
      </c>
      <c r="AF353" t="s">
        <v>57</v>
      </c>
    </row>
    <row r="354" spans="1:32" x14ac:dyDescent="0.25">
      <c r="A354">
        <v>30</v>
      </c>
      <c r="B354" t="s">
        <v>41</v>
      </c>
      <c r="C354" t="s">
        <v>33</v>
      </c>
      <c r="D354" t="s">
        <v>34</v>
      </c>
      <c r="E354">
        <v>5</v>
      </c>
      <c r="F354" t="s">
        <v>58</v>
      </c>
      <c r="G354">
        <v>3</v>
      </c>
      <c r="H354">
        <v>1</v>
      </c>
      <c r="I354" t="s">
        <v>44</v>
      </c>
      <c r="J354">
        <v>1</v>
      </c>
      <c r="K354" t="s">
        <v>55</v>
      </c>
      <c r="L354">
        <v>3204</v>
      </c>
      <c r="M354">
        <v>5</v>
      </c>
      <c r="N354" t="s">
        <v>41</v>
      </c>
      <c r="O354">
        <v>14</v>
      </c>
      <c r="P354">
        <v>3</v>
      </c>
      <c r="Q354">
        <v>1</v>
      </c>
      <c r="R354">
        <v>8</v>
      </c>
      <c r="S354">
        <v>3</v>
      </c>
      <c r="T354">
        <v>3</v>
      </c>
      <c r="U354">
        <v>2</v>
      </c>
      <c r="V354">
        <v>2</v>
      </c>
      <c r="W354" t="s">
        <v>65</v>
      </c>
      <c r="X354" s="1" t="d">
        <v>2018-05-25</v>
      </c>
      <c r="Z354" t="s">
        <v>52</v>
      </c>
      <c r="AA354" t="s">
        <v>40</v>
      </c>
      <c r="AB354">
        <v>0</v>
      </c>
      <c r="AC354">
        <v>2</v>
      </c>
      <c r="AD354" t="s">
        <v>41</v>
      </c>
      <c r="AE354" t="s">
        <v>62</v>
      </c>
      <c r="AF354" t="s">
        <v>57</v>
      </c>
    </row>
    <row r="355" spans="1:32" x14ac:dyDescent="0.25">
      <c r="A355">
        <v>33</v>
      </c>
      <c r="B355" t="s">
        <v>41</v>
      </c>
      <c r="C355" t="s">
        <v>33</v>
      </c>
      <c r="D355" t="s">
        <v>34</v>
      </c>
      <c r="E355">
        <v>2</v>
      </c>
      <c r="F355" t="s">
        <v>35</v>
      </c>
      <c r="G355">
        <v>3</v>
      </c>
      <c r="H355">
        <v>1</v>
      </c>
      <c r="I355" t="s">
        <v>44</v>
      </c>
      <c r="J355">
        <v>4</v>
      </c>
      <c r="K355" t="s">
        <v>37</v>
      </c>
      <c r="L355">
        <v>2500</v>
      </c>
      <c r="M355">
        <v>0</v>
      </c>
      <c r="N355" t="s">
        <v>41</v>
      </c>
      <c r="O355">
        <v>14</v>
      </c>
      <c r="P355">
        <v>3</v>
      </c>
      <c r="Q355">
        <v>0</v>
      </c>
      <c r="R355">
        <v>4</v>
      </c>
      <c r="S355">
        <v>2</v>
      </c>
      <c r="T355">
        <v>3</v>
      </c>
      <c r="U355">
        <v>0</v>
      </c>
      <c r="V355">
        <v>2</v>
      </c>
      <c r="W355" t="s">
        <v>38</v>
      </c>
      <c r="X355" s="1" t="d">
        <v>2018-01-04</v>
      </c>
      <c r="Z355" t="s">
        <v>45</v>
      </c>
      <c r="AA355" t="s">
        <v>40</v>
      </c>
      <c r="AB355">
        <v>0</v>
      </c>
      <c r="AC355">
        <v>0</v>
      </c>
      <c r="AD355" t="s">
        <v>41</v>
      </c>
      <c r="AE355" t="s">
        <v>47</v>
      </c>
      <c r="AF355" t="s">
        <v>43</v>
      </c>
    </row>
    <row r="356" spans="1:32" x14ac:dyDescent="0.25">
      <c r="A356">
        <v>34</v>
      </c>
      <c r="B356" t="s">
        <v>41</v>
      </c>
      <c r="C356" t="s">
        <v>33</v>
      </c>
      <c r="D356" t="s">
        <v>34</v>
      </c>
      <c r="E356">
        <v>27</v>
      </c>
      <c r="F356" t="s">
        <v>58</v>
      </c>
      <c r="G356">
        <v>3</v>
      </c>
      <c r="H356">
        <v>1</v>
      </c>
      <c r="I356" t="s">
        <v>44</v>
      </c>
      <c r="J356">
        <v>2</v>
      </c>
      <c r="K356" t="s">
        <v>37</v>
      </c>
      <c r="L356">
        <v>2311</v>
      </c>
      <c r="M356">
        <v>2</v>
      </c>
      <c r="N356" t="s">
        <v>41</v>
      </c>
      <c r="O356">
        <v>15</v>
      </c>
      <c r="P356">
        <v>3</v>
      </c>
      <c r="Q356">
        <v>0</v>
      </c>
      <c r="R356">
        <v>9</v>
      </c>
      <c r="S356">
        <v>3</v>
      </c>
      <c r="T356">
        <v>3</v>
      </c>
      <c r="U356">
        <v>1</v>
      </c>
      <c r="V356">
        <v>2</v>
      </c>
      <c r="W356" t="s">
        <v>56</v>
      </c>
      <c r="X356" s="1" t="d">
        <v>2018-01-24</v>
      </c>
      <c r="Z356" t="s">
        <v>39</v>
      </c>
      <c r="AA356" t="s">
        <v>40</v>
      </c>
      <c r="AB356">
        <v>5</v>
      </c>
      <c r="AC356">
        <v>3</v>
      </c>
      <c r="AD356" t="s">
        <v>41</v>
      </c>
      <c r="AE356" t="s">
        <v>60</v>
      </c>
      <c r="AF356" t="s">
        <v>57</v>
      </c>
    </row>
    <row r="357" spans="1:32" x14ac:dyDescent="0.25">
      <c r="A357">
        <v>50</v>
      </c>
      <c r="B357" t="s">
        <v>41</v>
      </c>
      <c r="C357" t="s">
        <v>33</v>
      </c>
      <c r="D357" t="s">
        <v>34</v>
      </c>
      <c r="E357">
        <v>1</v>
      </c>
      <c r="F357" t="s">
        <v>35</v>
      </c>
      <c r="G357">
        <v>2</v>
      </c>
      <c r="H357">
        <v>1</v>
      </c>
      <c r="I357" t="s">
        <v>36</v>
      </c>
      <c r="J357">
        <v>3</v>
      </c>
      <c r="K357" t="s">
        <v>50</v>
      </c>
      <c r="L357">
        <v>3690</v>
      </c>
      <c r="M357">
        <v>2</v>
      </c>
      <c r="N357" t="s">
        <v>41</v>
      </c>
      <c r="O357">
        <v>15</v>
      </c>
      <c r="P357">
        <v>3</v>
      </c>
      <c r="Q357">
        <v>1</v>
      </c>
      <c r="R357">
        <v>5</v>
      </c>
      <c r="S357">
        <v>2</v>
      </c>
      <c r="T357">
        <v>3</v>
      </c>
      <c r="U357">
        <v>0</v>
      </c>
      <c r="V357">
        <v>2</v>
      </c>
      <c r="W357" t="s">
        <v>65</v>
      </c>
      <c r="X357" s="1" t="d">
        <v>2018-02-08</v>
      </c>
      <c r="Z357" t="s">
        <v>52</v>
      </c>
      <c r="AA357" t="s">
        <v>46</v>
      </c>
      <c r="AB357">
        <v>5</v>
      </c>
      <c r="AC357">
        <v>2</v>
      </c>
      <c r="AD357" t="s">
        <v>32</v>
      </c>
      <c r="AE357" t="s">
        <v>47</v>
      </c>
      <c r="AF357" t="s">
        <v>48</v>
      </c>
    </row>
    <row r="358" spans="1:32" x14ac:dyDescent="0.25">
      <c r="A358">
        <v>40</v>
      </c>
      <c r="B358" t="s">
        <v>41</v>
      </c>
      <c r="C358" t="s">
        <v>68</v>
      </c>
      <c r="D358" t="s">
        <v>34</v>
      </c>
      <c r="E358">
        <v>9</v>
      </c>
      <c r="F358" t="s">
        <v>35</v>
      </c>
      <c r="G358">
        <v>2</v>
      </c>
      <c r="H358">
        <v>2</v>
      </c>
      <c r="I358" t="s">
        <v>69</v>
      </c>
      <c r="J358">
        <v>4</v>
      </c>
      <c r="K358" t="s">
        <v>50</v>
      </c>
      <c r="L358">
        <v>4876</v>
      </c>
      <c r="M358">
        <v>9</v>
      </c>
      <c r="N358" t="s">
        <v>41</v>
      </c>
      <c r="O358">
        <v>14</v>
      </c>
      <c r="P358">
        <v>3</v>
      </c>
      <c r="Q358">
        <v>1</v>
      </c>
      <c r="R358">
        <v>5</v>
      </c>
      <c r="S358">
        <v>5</v>
      </c>
      <c r="T358">
        <v>3</v>
      </c>
      <c r="U358">
        <v>0</v>
      </c>
      <c r="V358">
        <v>2</v>
      </c>
      <c r="W358" t="s">
        <v>65</v>
      </c>
      <c r="X358" s="1" t="d">
        <v>2018-03-07</v>
      </c>
      <c r="Z358" t="s">
        <v>39</v>
      </c>
      <c r="AA358" t="s">
        <v>40</v>
      </c>
      <c r="AB358">
        <v>3</v>
      </c>
      <c r="AC358">
        <v>1</v>
      </c>
      <c r="AD358" t="s">
        <v>32</v>
      </c>
      <c r="AE358" t="s">
        <v>42</v>
      </c>
      <c r="AF358" t="s">
        <v>57</v>
      </c>
    </row>
    <row r="359" spans="1:32" x14ac:dyDescent="0.25">
      <c r="A359">
        <v>33</v>
      </c>
      <c r="B359" t="s">
        <v>41</v>
      </c>
      <c r="C359" t="s">
        <v>33</v>
      </c>
      <c r="D359" t="s">
        <v>34</v>
      </c>
      <c r="E359">
        <v>4</v>
      </c>
      <c r="F359" t="s">
        <v>58</v>
      </c>
      <c r="G359">
        <v>2</v>
      </c>
      <c r="H359">
        <v>1</v>
      </c>
      <c r="I359" t="s">
        <v>44</v>
      </c>
      <c r="J359">
        <v>2</v>
      </c>
      <c r="K359" t="s">
        <v>50</v>
      </c>
      <c r="L359">
        <v>2622</v>
      </c>
      <c r="M359">
        <v>6</v>
      </c>
      <c r="N359" t="s">
        <v>41</v>
      </c>
      <c r="O359">
        <v>21</v>
      </c>
      <c r="P359">
        <v>4</v>
      </c>
      <c r="Q359">
        <v>0</v>
      </c>
      <c r="R359">
        <v>7</v>
      </c>
      <c r="S359">
        <v>3</v>
      </c>
      <c r="T359">
        <v>3</v>
      </c>
      <c r="U359">
        <v>1</v>
      </c>
      <c r="V359">
        <v>1</v>
      </c>
      <c r="W359" t="s">
        <v>51</v>
      </c>
      <c r="X359" s="1" t="d">
        <v>2018-04-05</v>
      </c>
      <c r="Z359" t="s">
        <v>52</v>
      </c>
      <c r="AA359" t="s">
        <v>46</v>
      </c>
      <c r="AB359">
        <v>1</v>
      </c>
      <c r="AC359">
        <v>1</v>
      </c>
      <c r="AD359" t="s">
        <v>32</v>
      </c>
      <c r="AE359" t="s">
        <v>47</v>
      </c>
      <c r="AF359" t="s">
        <v>43</v>
      </c>
    </row>
    <row r="360" spans="1:32" x14ac:dyDescent="0.25">
      <c r="A360">
        <v>32</v>
      </c>
      <c r="B360" t="s">
        <v>32</v>
      </c>
      <c r="C360" t="s">
        <v>33</v>
      </c>
      <c r="D360" t="s">
        <v>34</v>
      </c>
      <c r="E360">
        <v>1</v>
      </c>
      <c r="F360" t="s">
        <v>35</v>
      </c>
      <c r="G360">
        <v>2</v>
      </c>
      <c r="H360">
        <v>1</v>
      </c>
      <c r="I360" t="s">
        <v>36</v>
      </c>
      <c r="J360">
        <v>3</v>
      </c>
      <c r="K360" t="s">
        <v>37</v>
      </c>
      <c r="L360">
        <v>3730</v>
      </c>
      <c r="M360">
        <v>0</v>
      </c>
      <c r="N360" t="s">
        <v>32</v>
      </c>
      <c r="O360">
        <v>14</v>
      </c>
      <c r="P360">
        <v>3</v>
      </c>
      <c r="Q360">
        <v>0</v>
      </c>
      <c r="R360">
        <v>4</v>
      </c>
      <c r="S360">
        <v>2</v>
      </c>
      <c r="T360">
        <v>3</v>
      </c>
      <c r="U360">
        <v>1</v>
      </c>
      <c r="V360">
        <v>2</v>
      </c>
      <c r="W360" t="s">
        <v>56</v>
      </c>
      <c r="X360" s="1" t="d">
        <v>2018-02-21</v>
      </c>
      <c r="Z360" t="s">
        <v>63</v>
      </c>
      <c r="AA360" t="s">
        <v>40</v>
      </c>
      <c r="AB360">
        <v>0</v>
      </c>
      <c r="AC360">
        <v>1</v>
      </c>
      <c r="AD360" t="s">
        <v>32</v>
      </c>
      <c r="AE360" t="s">
        <v>42</v>
      </c>
      <c r="AF360" t="s">
        <v>57</v>
      </c>
    </row>
    <row r="361" spans="1:32" x14ac:dyDescent="0.25">
      <c r="A361">
        <v>39</v>
      </c>
      <c r="B361" t="s">
        <v>41</v>
      </c>
      <c r="C361" t="s">
        <v>33</v>
      </c>
      <c r="D361" t="s">
        <v>34</v>
      </c>
      <c r="E361">
        <v>1</v>
      </c>
      <c r="F361" t="s">
        <v>58</v>
      </c>
      <c r="G361">
        <v>3</v>
      </c>
      <c r="H361">
        <v>1</v>
      </c>
      <c r="I361" t="s">
        <v>36</v>
      </c>
      <c r="J361">
        <v>3</v>
      </c>
      <c r="K361" t="s">
        <v>55</v>
      </c>
      <c r="L361">
        <v>2232</v>
      </c>
      <c r="M361">
        <v>7</v>
      </c>
      <c r="N361" t="s">
        <v>41</v>
      </c>
      <c r="O361">
        <v>14</v>
      </c>
      <c r="P361">
        <v>3</v>
      </c>
      <c r="Q361">
        <v>3</v>
      </c>
      <c r="R361">
        <v>7</v>
      </c>
      <c r="S361">
        <v>1</v>
      </c>
      <c r="T361">
        <v>3</v>
      </c>
      <c r="U361">
        <v>1</v>
      </c>
      <c r="V361">
        <v>2</v>
      </c>
      <c r="W361" t="s">
        <v>56</v>
      </c>
      <c r="X361" s="1" t="d">
        <v>2018-03-25</v>
      </c>
      <c r="Z361" t="s">
        <v>63</v>
      </c>
      <c r="AA361" t="s">
        <v>40</v>
      </c>
      <c r="AB361">
        <v>5</v>
      </c>
      <c r="AC361">
        <v>2</v>
      </c>
      <c r="AD361" t="s">
        <v>32</v>
      </c>
      <c r="AE361" t="s">
        <v>47</v>
      </c>
      <c r="AF361" t="s">
        <v>43</v>
      </c>
    </row>
    <row r="362" spans="1:32" x14ac:dyDescent="0.25">
      <c r="A362">
        <v>32</v>
      </c>
      <c r="B362" t="s">
        <v>41</v>
      </c>
      <c r="C362" t="s">
        <v>68</v>
      </c>
      <c r="D362" t="s">
        <v>53</v>
      </c>
      <c r="E362">
        <v>26</v>
      </c>
      <c r="F362" t="s">
        <v>35</v>
      </c>
      <c r="G362">
        <v>3</v>
      </c>
      <c r="H362">
        <v>2</v>
      </c>
      <c r="I362" t="s">
        <v>64</v>
      </c>
      <c r="J362">
        <v>4</v>
      </c>
      <c r="K362" t="s">
        <v>50</v>
      </c>
      <c r="L362">
        <v>4465</v>
      </c>
      <c r="M362">
        <v>0</v>
      </c>
      <c r="N362" t="s">
        <v>41</v>
      </c>
      <c r="O362">
        <v>18</v>
      </c>
      <c r="P362">
        <v>3</v>
      </c>
      <c r="Q362">
        <v>0</v>
      </c>
      <c r="R362">
        <v>4</v>
      </c>
      <c r="S362">
        <v>2</v>
      </c>
      <c r="T362">
        <v>3</v>
      </c>
      <c r="U362">
        <v>2</v>
      </c>
      <c r="V362">
        <v>2</v>
      </c>
      <c r="W362" t="s">
        <v>51</v>
      </c>
      <c r="X362" s="1" t="d">
        <v>2018-04-12</v>
      </c>
      <c r="Z362" t="s">
        <v>39</v>
      </c>
      <c r="AA362" t="s">
        <v>40</v>
      </c>
      <c r="AB362">
        <v>3</v>
      </c>
      <c r="AC362">
        <v>1</v>
      </c>
      <c r="AD362" t="s">
        <v>41</v>
      </c>
      <c r="AE362" t="s">
        <v>60</v>
      </c>
      <c r="AF362" t="s">
        <v>48</v>
      </c>
    </row>
    <row r="363" spans="1:32" x14ac:dyDescent="0.25">
      <c r="A363">
        <v>37</v>
      </c>
      <c r="B363" t="s">
        <v>41</v>
      </c>
      <c r="C363" t="s">
        <v>33</v>
      </c>
      <c r="D363" t="s">
        <v>34</v>
      </c>
      <c r="E363">
        <v>1</v>
      </c>
      <c r="F363" t="s">
        <v>58</v>
      </c>
      <c r="G363">
        <v>2</v>
      </c>
      <c r="H363">
        <v>1</v>
      </c>
      <c r="I363" t="s">
        <v>44</v>
      </c>
      <c r="J363">
        <v>1</v>
      </c>
      <c r="K363" t="s">
        <v>50</v>
      </c>
      <c r="L363">
        <v>3920</v>
      </c>
      <c r="M363">
        <v>2</v>
      </c>
      <c r="N363" t="s">
        <v>41</v>
      </c>
      <c r="O363">
        <v>14</v>
      </c>
      <c r="P363">
        <v>3</v>
      </c>
      <c r="Q363">
        <v>1</v>
      </c>
      <c r="R363">
        <v>17</v>
      </c>
      <c r="S363">
        <v>2</v>
      </c>
      <c r="T363">
        <v>3</v>
      </c>
      <c r="U363">
        <v>0</v>
      </c>
      <c r="V363">
        <v>2</v>
      </c>
      <c r="W363" t="s">
        <v>56</v>
      </c>
      <c r="X363" s="1" t="d">
        <v>2018-06-26</v>
      </c>
      <c r="Z363" t="s">
        <v>63</v>
      </c>
      <c r="AA363" t="s">
        <v>46</v>
      </c>
      <c r="AB363">
        <v>5</v>
      </c>
      <c r="AC363">
        <v>1</v>
      </c>
      <c r="AD363" t="s">
        <v>32</v>
      </c>
      <c r="AE363" t="s">
        <v>47</v>
      </c>
      <c r="AF363" t="s">
        <v>48</v>
      </c>
    </row>
    <row r="364" spans="1:32" x14ac:dyDescent="0.25">
      <c r="A364">
        <v>45</v>
      </c>
      <c r="B364" t="s">
        <v>41</v>
      </c>
      <c r="C364" t="s">
        <v>61</v>
      </c>
      <c r="D364" t="s">
        <v>34</v>
      </c>
      <c r="E364">
        <v>7</v>
      </c>
      <c r="F364" t="s">
        <v>35</v>
      </c>
      <c r="G364">
        <v>4</v>
      </c>
      <c r="H364">
        <v>2</v>
      </c>
      <c r="I364" t="s">
        <v>67</v>
      </c>
      <c r="J364">
        <v>3</v>
      </c>
      <c r="K364" t="s">
        <v>50</v>
      </c>
      <c r="L364">
        <v>6434</v>
      </c>
      <c r="M364">
        <v>4</v>
      </c>
      <c r="N364" t="s">
        <v>41</v>
      </c>
      <c r="O364">
        <v>17</v>
      </c>
      <c r="P364">
        <v>3</v>
      </c>
      <c r="Q364">
        <v>1</v>
      </c>
      <c r="R364">
        <v>9</v>
      </c>
      <c r="S364">
        <v>1</v>
      </c>
      <c r="T364">
        <v>3</v>
      </c>
      <c r="U364">
        <v>0</v>
      </c>
      <c r="V364">
        <v>2</v>
      </c>
      <c r="W364" t="s">
        <v>51</v>
      </c>
      <c r="X364" s="1" t="d">
        <v>2018-04-17</v>
      </c>
      <c r="Z364" t="s">
        <v>52</v>
      </c>
      <c r="AA364" t="s">
        <v>40</v>
      </c>
      <c r="AB364">
        <v>1</v>
      </c>
      <c r="AC364">
        <v>3</v>
      </c>
      <c r="AD364" t="s">
        <v>41</v>
      </c>
      <c r="AE364" t="s">
        <v>42</v>
      </c>
      <c r="AF364" t="s">
        <v>57</v>
      </c>
    </row>
    <row r="365" spans="1:32" x14ac:dyDescent="0.25">
      <c r="A365">
        <v>42</v>
      </c>
      <c r="B365" t="s">
        <v>41</v>
      </c>
      <c r="C365" t="s">
        <v>33</v>
      </c>
      <c r="D365" t="s">
        <v>34</v>
      </c>
      <c r="E365">
        <v>17</v>
      </c>
      <c r="F365" t="s">
        <v>58</v>
      </c>
      <c r="G365">
        <v>4</v>
      </c>
      <c r="H365">
        <v>2</v>
      </c>
      <c r="I365" t="s">
        <v>44</v>
      </c>
      <c r="J365">
        <v>1</v>
      </c>
      <c r="K365" t="s">
        <v>37</v>
      </c>
      <c r="L365">
        <v>6545</v>
      </c>
      <c r="M365">
        <v>3</v>
      </c>
      <c r="N365" t="s">
        <v>32</v>
      </c>
      <c r="O365">
        <v>13</v>
      </c>
      <c r="P365">
        <v>3</v>
      </c>
      <c r="Q365">
        <v>0</v>
      </c>
      <c r="R365">
        <v>10</v>
      </c>
      <c r="S365">
        <v>1</v>
      </c>
      <c r="T365">
        <v>3</v>
      </c>
      <c r="U365">
        <v>0</v>
      </c>
      <c r="V365">
        <v>2</v>
      </c>
      <c r="W365" t="s">
        <v>51</v>
      </c>
      <c r="X365" s="1" t="d">
        <v>2018-04-15</v>
      </c>
      <c r="Z365" t="s">
        <v>63</v>
      </c>
      <c r="AA365" t="s">
        <v>40</v>
      </c>
      <c r="AB365">
        <v>3</v>
      </c>
      <c r="AC365">
        <v>1</v>
      </c>
      <c r="AD365" t="s">
        <v>41</v>
      </c>
      <c r="AE365" t="s">
        <v>47</v>
      </c>
      <c r="AF365" t="s">
        <v>43</v>
      </c>
    </row>
    <row r="366" spans="1:32" x14ac:dyDescent="0.25">
      <c r="A366">
        <v>29</v>
      </c>
      <c r="B366" t="s">
        <v>41</v>
      </c>
      <c r="C366" t="s">
        <v>33</v>
      </c>
      <c r="D366" t="s">
        <v>53</v>
      </c>
      <c r="E366">
        <v>20</v>
      </c>
      <c r="F366" t="s">
        <v>35</v>
      </c>
      <c r="G366">
        <v>3</v>
      </c>
      <c r="H366">
        <v>2</v>
      </c>
      <c r="I366" t="s">
        <v>64</v>
      </c>
      <c r="J366">
        <v>4</v>
      </c>
      <c r="K366" t="s">
        <v>55</v>
      </c>
      <c r="L366">
        <v>6931</v>
      </c>
      <c r="M366">
        <v>2</v>
      </c>
      <c r="N366" t="s">
        <v>41</v>
      </c>
      <c r="O366">
        <v>14</v>
      </c>
      <c r="P366">
        <v>3</v>
      </c>
      <c r="Q366">
        <v>1</v>
      </c>
      <c r="R366">
        <v>10</v>
      </c>
      <c r="S366">
        <v>2</v>
      </c>
      <c r="T366">
        <v>3</v>
      </c>
      <c r="U366">
        <v>0</v>
      </c>
      <c r="V366">
        <v>2</v>
      </c>
      <c r="W366" t="s">
        <v>38</v>
      </c>
      <c r="X366" s="1" t="d">
        <v>2018-04-27</v>
      </c>
      <c r="Z366" t="s">
        <v>63</v>
      </c>
      <c r="AA366" t="s">
        <v>40</v>
      </c>
      <c r="AB366">
        <v>4</v>
      </c>
      <c r="AC366">
        <v>2</v>
      </c>
      <c r="AD366" t="s">
        <v>32</v>
      </c>
      <c r="AE366" t="s">
        <v>47</v>
      </c>
      <c r="AF366" t="s">
        <v>43</v>
      </c>
    </row>
    <row r="367" spans="1:32" x14ac:dyDescent="0.25">
      <c r="A367">
        <v>21</v>
      </c>
      <c r="B367" t="s">
        <v>41</v>
      </c>
      <c r="C367" t="s">
        <v>33</v>
      </c>
      <c r="D367" t="s">
        <v>34</v>
      </c>
      <c r="E367">
        <v>3</v>
      </c>
      <c r="F367" t="s">
        <v>35</v>
      </c>
      <c r="G367">
        <v>2</v>
      </c>
      <c r="H367">
        <v>1</v>
      </c>
      <c r="I367" t="s">
        <v>44</v>
      </c>
      <c r="J367">
        <v>3</v>
      </c>
      <c r="K367" t="s">
        <v>37</v>
      </c>
      <c r="L367">
        <v>3230</v>
      </c>
      <c r="M367">
        <v>1</v>
      </c>
      <c r="N367" t="s">
        <v>41</v>
      </c>
      <c r="O367">
        <v>17</v>
      </c>
      <c r="P367">
        <v>3</v>
      </c>
      <c r="Q367">
        <v>0</v>
      </c>
      <c r="R367">
        <v>3</v>
      </c>
      <c r="S367">
        <v>4</v>
      </c>
      <c r="T367">
        <v>3</v>
      </c>
      <c r="U367">
        <v>1</v>
      </c>
      <c r="V367">
        <v>0</v>
      </c>
      <c r="W367" t="s">
        <v>38</v>
      </c>
      <c r="X367" s="1" t="d">
        <v>2018-03-20</v>
      </c>
      <c r="Z367" t="s">
        <v>52</v>
      </c>
      <c r="AA367" t="s">
        <v>46</v>
      </c>
      <c r="AB367">
        <v>2</v>
      </c>
      <c r="AC367">
        <v>0</v>
      </c>
      <c r="AD367" t="s">
        <v>41</v>
      </c>
      <c r="AE367" t="s">
        <v>60</v>
      </c>
      <c r="AF367" t="s">
        <v>48</v>
      </c>
    </row>
    <row r="368" spans="1:32" x14ac:dyDescent="0.25">
      <c r="A368">
        <v>26</v>
      </c>
      <c r="B368" t="s">
        <v>32</v>
      </c>
      <c r="C368" t="s">
        <v>33</v>
      </c>
      <c r="D368" t="s">
        <v>34</v>
      </c>
      <c r="E368">
        <v>16</v>
      </c>
      <c r="F368" t="s">
        <v>35</v>
      </c>
      <c r="G368">
        <v>3</v>
      </c>
      <c r="H368">
        <v>1</v>
      </c>
      <c r="I368" t="s">
        <v>36</v>
      </c>
      <c r="J368">
        <v>2</v>
      </c>
      <c r="K368" t="s">
        <v>55</v>
      </c>
      <c r="L368">
        <v>2373</v>
      </c>
      <c r="M368">
        <v>2</v>
      </c>
      <c r="N368" t="s">
        <v>32</v>
      </c>
      <c r="O368">
        <v>13</v>
      </c>
      <c r="P368">
        <v>3</v>
      </c>
      <c r="Q368">
        <v>1</v>
      </c>
      <c r="R368">
        <v>5</v>
      </c>
      <c r="S368">
        <v>2</v>
      </c>
      <c r="T368">
        <v>3</v>
      </c>
      <c r="U368">
        <v>0</v>
      </c>
      <c r="V368">
        <v>2</v>
      </c>
      <c r="W368" t="s">
        <v>65</v>
      </c>
      <c r="X368" s="1" t="d">
        <v>2018-05-10</v>
      </c>
      <c r="Z368" t="s">
        <v>39</v>
      </c>
      <c r="AA368" t="s">
        <v>40</v>
      </c>
      <c r="AB368">
        <v>2</v>
      </c>
      <c r="AC368">
        <v>2</v>
      </c>
      <c r="AD368" t="s">
        <v>32</v>
      </c>
      <c r="AE368" t="s">
        <v>62</v>
      </c>
      <c r="AF368" t="s">
        <v>43</v>
      </c>
    </row>
    <row r="369" spans="1:32" x14ac:dyDescent="0.25">
      <c r="A369">
        <v>49</v>
      </c>
      <c r="B369" t="s">
        <v>41</v>
      </c>
      <c r="C369" t="s">
        <v>61</v>
      </c>
      <c r="D369" t="s">
        <v>34</v>
      </c>
      <c r="E369">
        <v>10</v>
      </c>
      <c r="F369" t="s">
        <v>58</v>
      </c>
      <c r="G369">
        <v>3</v>
      </c>
      <c r="H369">
        <v>5</v>
      </c>
      <c r="I369" t="s">
        <v>49</v>
      </c>
      <c r="J369">
        <v>1</v>
      </c>
      <c r="K369" t="s">
        <v>37</v>
      </c>
      <c r="L369">
        <v>18665</v>
      </c>
      <c r="M369">
        <v>9</v>
      </c>
      <c r="N369" t="s">
        <v>32</v>
      </c>
      <c r="O369">
        <v>11</v>
      </c>
      <c r="P369">
        <v>3</v>
      </c>
      <c r="Q369">
        <v>0</v>
      </c>
      <c r="R369">
        <v>22</v>
      </c>
      <c r="S369">
        <v>4</v>
      </c>
      <c r="T369">
        <v>3</v>
      </c>
      <c r="U369">
        <v>1</v>
      </c>
      <c r="V369">
        <v>2</v>
      </c>
      <c r="W369" t="s">
        <v>38</v>
      </c>
      <c r="X369" s="1" t="d">
        <v>2018-02-24</v>
      </c>
      <c r="Z369" t="s">
        <v>52</v>
      </c>
      <c r="AA369" t="s">
        <v>46</v>
      </c>
      <c r="AB369">
        <v>3</v>
      </c>
      <c r="AC369">
        <v>2</v>
      </c>
      <c r="AD369" t="s">
        <v>41</v>
      </c>
      <c r="AE369" t="s">
        <v>62</v>
      </c>
      <c r="AF369" t="s">
        <v>57</v>
      </c>
    </row>
    <row r="370" spans="1:32" x14ac:dyDescent="0.25">
      <c r="A370">
        <v>28</v>
      </c>
      <c r="B370" t="s">
        <v>32</v>
      </c>
      <c r="C370" t="s">
        <v>33</v>
      </c>
      <c r="D370" t="s">
        <v>34</v>
      </c>
      <c r="E370">
        <v>2</v>
      </c>
      <c r="F370" t="s">
        <v>35</v>
      </c>
      <c r="G370">
        <v>1</v>
      </c>
      <c r="H370">
        <v>1</v>
      </c>
      <c r="I370" t="s">
        <v>44</v>
      </c>
      <c r="J370">
        <v>4</v>
      </c>
      <c r="K370" t="s">
        <v>50</v>
      </c>
      <c r="L370">
        <v>3464</v>
      </c>
      <c r="M370">
        <v>5</v>
      </c>
      <c r="N370" t="s">
        <v>32</v>
      </c>
      <c r="O370">
        <v>13</v>
      </c>
      <c r="P370">
        <v>3</v>
      </c>
      <c r="Q370">
        <v>0</v>
      </c>
      <c r="R370">
        <v>5</v>
      </c>
      <c r="S370">
        <v>4</v>
      </c>
      <c r="T370">
        <v>3</v>
      </c>
      <c r="U370">
        <v>2</v>
      </c>
      <c r="V370">
        <v>2</v>
      </c>
      <c r="W370" t="s">
        <v>65</v>
      </c>
      <c r="X370" s="1" t="d">
        <v>2018-05-20</v>
      </c>
      <c r="Z370" t="s">
        <v>39</v>
      </c>
      <c r="AA370" t="s">
        <v>40</v>
      </c>
      <c r="AB370">
        <v>2</v>
      </c>
      <c r="AC370">
        <v>3</v>
      </c>
      <c r="AD370" t="s">
        <v>32</v>
      </c>
      <c r="AE370" t="s">
        <v>47</v>
      </c>
      <c r="AF370" t="s">
        <v>57</v>
      </c>
    </row>
    <row r="371" spans="1:32" x14ac:dyDescent="0.25">
      <c r="A371">
        <v>47</v>
      </c>
      <c r="B371" t="s">
        <v>41</v>
      </c>
      <c r="C371" t="s">
        <v>33</v>
      </c>
      <c r="D371" t="s">
        <v>34</v>
      </c>
      <c r="E371">
        <v>5</v>
      </c>
      <c r="F371" t="s">
        <v>35</v>
      </c>
      <c r="G371">
        <v>3</v>
      </c>
      <c r="H371">
        <v>5</v>
      </c>
      <c r="I371" t="s">
        <v>49</v>
      </c>
      <c r="J371">
        <v>3</v>
      </c>
      <c r="K371" t="s">
        <v>50</v>
      </c>
      <c r="L371">
        <v>18300</v>
      </c>
      <c r="M371">
        <v>4</v>
      </c>
      <c r="N371" t="s">
        <v>41</v>
      </c>
      <c r="O371">
        <v>11</v>
      </c>
      <c r="P371">
        <v>3</v>
      </c>
      <c r="Q371">
        <v>1</v>
      </c>
      <c r="R371">
        <v>21</v>
      </c>
      <c r="S371">
        <v>2</v>
      </c>
      <c r="T371">
        <v>3</v>
      </c>
      <c r="U371">
        <v>1</v>
      </c>
      <c r="V371">
        <v>1</v>
      </c>
      <c r="W371" t="s">
        <v>65</v>
      </c>
      <c r="X371" s="1" t="d">
        <v>2018-06-23</v>
      </c>
      <c r="Z371" t="s">
        <v>45</v>
      </c>
      <c r="AA371" t="s">
        <v>46</v>
      </c>
      <c r="AB371">
        <v>1</v>
      </c>
      <c r="AC371">
        <v>2</v>
      </c>
      <c r="AD371" t="s">
        <v>41</v>
      </c>
      <c r="AE371" t="s">
        <v>62</v>
      </c>
      <c r="AF371" t="s">
        <v>57</v>
      </c>
    </row>
    <row r="372" spans="1:32" x14ac:dyDescent="0.25">
      <c r="A372">
        <v>29</v>
      </c>
      <c r="B372" t="s">
        <v>41</v>
      </c>
      <c r="C372" t="s">
        <v>33</v>
      </c>
      <c r="D372" t="s">
        <v>34</v>
      </c>
      <c r="E372">
        <v>9</v>
      </c>
      <c r="F372" t="s">
        <v>35</v>
      </c>
      <c r="G372">
        <v>2</v>
      </c>
      <c r="H372">
        <v>1</v>
      </c>
      <c r="I372" t="s">
        <v>36</v>
      </c>
      <c r="J372">
        <v>4</v>
      </c>
      <c r="K372" t="s">
        <v>37</v>
      </c>
      <c r="L372">
        <v>3983</v>
      </c>
      <c r="M372">
        <v>0</v>
      </c>
      <c r="N372" t="s">
        <v>41</v>
      </c>
      <c r="O372">
        <v>17</v>
      </c>
      <c r="P372">
        <v>3</v>
      </c>
      <c r="Q372">
        <v>0</v>
      </c>
      <c r="R372">
        <v>4</v>
      </c>
      <c r="S372">
        <v>2</v>
      </c>
      <c r="T372">
        <v>3</v>
      </c>
      <c r="U372">
        <v>2</v>
      </c>
      <c r="V372">
        <v>2</v>
      </c>
      <c r="W372" t="s">
        <v>56</v>
      </c>
      <c r="X372" s="1" t="d">
        <v>2018-06-23</v>
      </c>
      <c r="Z372" t="s">
        <v>52</v>
      </c>
      <c r="AA372" t="s">
        <v>46</v>
      </c>
      <c r="AB372">
        <v>1</v>
      </c>
      <c r="AC372">
        <v>0</v>
      </c>
      <c r="AD372" t="s">
        <v>32</v>
      </c>
      <c r="AE372" t="s">
        <v>42</v>
      </c>
      <c r="AF372" t="s">
        <v>48</v>
      </c>
    </row>
    <row r="373" spans="1:32" x14ac:dyDescent="0.25">
      <c r="A373">
        <v>42</v>
      </c>
      <c r="B373" t="s">
        <v>41</v>
      </c>
      <c r="C373" t="s">
        <v>33</v>
      </c>
      <c r="D373" t="s">
        <v>70</v>
      </c>
      <c r="E373">
        <v>2</v>
      </c>
      <c r="F373" t="s">
        <v>35</v>
      </c>
      <c r="G373">
        <v>3</v>
      </c>
      <c r="H373">
        <v>1</v>
      </c>
      <c r="I373" t="s">
        <v>70</v>
      </c>
      <c r="J373">
        <v>3</v>
      </c>
      <c r="K373" t="s">
        <v>55</v>
      </c>
      <c r="L373">
        <v>2696</v>
      </c>
      <c r="M373">
        <v>0</v>
      </c>
      <c r="N373" t="s">
        <v>32</v>
      </c>
      <c r="O373">
        <v>11</v>
      </c>
      <c r="P373">
        <v>3</v>
      </c>
      <c r="Q373">
        <v>1</v>
      </c>
      <c r="R373">
        <v>4</v>
      </c>
      <c r="S373">
        <v>5</v>
      </c>
      <c r="T373">
        <v>3</v>
      </c>
      <c r="U373">
        <v>1</v>
      </c>
      <c r="V373">
        <v>0</v>
      </c>
      <c r="W373" t="s">
        <v>38</v>
      </c>
      <c r="X373" s="1" t="d">
        <v>2018-01-09</v>
      </c>
      <c r="Z373" t="s">
        <v>45</v>
      </c>
      <c r="AA373" t="s">
        <v>40</v>
      </c>
      <c r="AB373">
        <v>4</v>
      </c>
      <c r="AC373">
        <v>2</v>
      </c>
      <c r="AD373" t="s">
        <v>41</v>
      </c>
      <c r="AE373" t="s">
        <v>42</v>
      </c>
      <c r="AF373" t="s">
        <v>43</v>
      </c>
    </row>
    <row r="374" spans="1:32" x14ac:dyDescent="0.25">
      <c r="A374">
        <v>21</v>
      </c>
      <c r="B374" t="s">
        <v>32</v>
      </c>
      <c r="C374" t="s">
        <v>61</v>
      </c>
      <c r="D374" t="s">
        <v>53</v>
      </c>
      <c r="E374">
        <v>1</v>
      </c>
      <c r="F374" t="s">
        <v>58</v>
      </c>
      <c r="G374">
        <v>2</v>
      </c>
      <c r="H374">
        <v>1</v>
      </c>
      <c r="I374" t="s">
        <v>54</v>
      </c>
      <c r="J374">
        <v>2</v>
      </c>
      <c r="K374" t="s">
        <v>37</v>
      </c>
      <c r="L374">
        <v>2174</v>
      </c>
      <c r="M374">
        <v>1</v>
      </c>
      <c r="N374" t="s">
        <v>32</v>
      </c>
      <c r="O374">
        <v>11</v>
      </c>
      <c r="P374">
        <v>3</v>
      </c>
      <c r="Q374">
        <v>0</v>
      </c>
      <c r="R374">
        <v>3</v>
      </c>
      <c r="S374">
        <v>3</v>
      </c>
      <c r="T374">
        <v>3</v>
      </c>
      <c r="U374">
        <v>1</v>
      </c>
      <c r="V374">
        <v>2</v>
      </c>
      <c r="W374" t="s">
        <v>56</v>
      </c>
      <c r="X374" s="1" t="d">
        <v>2018-03-26</v>
      </c>
      <c r="Z374" t="s">
        <v>63</v>
      </c>
      <c r="AA374" t="s">
        <v>46</v>
      </c>
      <c r="AB374">
        <v>3</v>
      </c>
      <c r="AC374">
        <v>1</v>
      </c>
      <c r="AD374" t="s">
        <v>41</v>
      </c>
      <c r="AE374" t="s">
        <v>42</v>
      </c>
      <c r="AF374" t="s">
        <v>48</v>
      </c>
    </row>
    <row r="375" spans="1:32" x14ac:dyDescent="0.25">
      <c r="A375">
        <v>57</v>
      </c>
      <c r="B375" t="s">
        <v>41</v>
      </c>
      <c r="C375" t="s">
        <v>33</v>
      </c>
      <c r="D375" t="s">
        <v>34</v>
      </c>
      <c r="E375">
        <v>1</v>
      </c>
      <c r="F375" t="s">
        <v>35</v>
      </c>
      <c r="G375">
        <v>3</v>
      </c>
      <c r="H375">
        <v>2</v>
      </c>
      <c r="I375" t="s">
        <v>69</v>
      </c>
      <c r="J375">
        <v>3</v>
      </c>
      <c r="K375" t="s">
        <v>50</v>
      </c>
      <c r="L375">
        <v>6755</v>
      </c>
      <c r="M375">
        <v>2</v>
      </c>
      <c r="N375" t="s">
        <v>41</v>
      </c>
      <c r="O375">
        <v>11</v>
      </c>
      <c r="P375">
        <v>3</v>
      </c>
      <c r="Q375">
        <v>0</v>
      </c>
      <c r="R375">
        <v>15</v>
      </c>
      <c r="S375">
        <v>2</v>
      </c>
      <c r="T375">
        <v>3</v>
      </c>
      <c r="U375">
        <v>1</v>
      </c>
      <c r="V375">
        <v>2</v>
      </c>
      <c r="W375" t="s">
        <v>38</v>
      </c>
      <c r="X375" s="1" t="d">
        <v>2018-02-04</v>
      </c>
      <c r="Z375" t="s">
        <v>45</v>
      </c>
      <c r="AA375" t="s">
        <v>46</v>
      </c>
      <c r="AB375">
        <v>4</v>
      </c>
      <c r="AC375">
        <v>1</v>
      </c>
      <c r="AD375" t="s">
        <v>32</v>
      </c>
      <c r="AE375" t="s">
        <v>42</v>
      </c>
      <c r="AF375" t="s">
        <v>43</v>
      </c>
    </row>
    <row r="376" spans="1:32" x14ac:dyDescent="0.25">
      <c r="A376">
        <v>21</v>
      </c>
      <c r="B376" t="s">
        <v>41</v>
      </c>
      <c r="C376" t="s">
        <v>68</v>
      </c>
      <c r="D376" t="s">
        <v>53</v>
      </c>
      <c r="E376">
        <v>9</v>
      </c>
      <c r="F376" t="s">
        <v>35</v>
      </c>
      <c r="G376">
        <v>3</v>
      </c>
      <c r="H376">
        <v>1</v>
      </c>
      <c r="I376" t="s">
        <v>54</v>
      </c>
      <c r="J376">
        <v>4</v>
      </c>
      <c r="K376" t="s">
        <v>37</v>
      </c>
      <c r="L376">
        <v>2610</v>
      </c>
      <c r="M376">
        <v>1</v>
      </c>
      <c r="N376" t="s">
        <v>41</v>
      </c>
      <c r="O376">
        <v>24</v>
      </c>
      <c r="P376">
        <v>4</v>
      </c>
      <c r="Q376">
        <v>0</v>
      </c>
      <c r="R376">
        <v>3</v>
      </c>
      <c r="S376">
        <v>3</v>
      </c>
      <c r="T376">
        <v>3</v>
      </c>
      <c r="U376">
        <v>2</v>
      </c>
      <c r="V376">
        <v>2</v>
      </c>
      <c r="W376" t="s">
        <v>38</v>
      </c>
      <c r="X376" s="1" t="d">
        <v>2018-05-01</v>
      </c>
      <c r="Z376" t="s">
        <v>52</v>
      </c>
      <c r="AA376" t="s">
        <v>40</v>
      </c>
      <c r="AB376">
        <v>3</v>
      </c>
      <c r="AC376">
        <v>2</v>
      </c>
      <c r="AD376" t="s">
        <v>41</v>
      </c>
      <c r="AE376" t="s">
        <v>60</v>
      </c>
      <c r="AF376" t="s">
        <v>43</v>
      </c>
    </row>
    <row r="377" spans="1:32" x14ac:dyDescent="0.25">
      <c r="A377">
        <v>29</v>
      </c>
      <c r="B377" t="s">
        <v>41</v>
      </c>
      <c r="C377" t="s">
        <v>33</v>
      </c>
      <c r="D377" t="s">
        <v>34</v>
      </c>
      <c r="E377">
        <v>23</v>
      </c>
      <c r="F377" t="s">
        <v>35</v>
      </c>
      <c r="G377">
        <v>3</v>
      </c>
      <c r="H377">
        <v>1</v>
      </c>
      <c r="I377" t="s">
        <v>44</v>
      </c>
      <c r="J377">
        <v>4</v>
      </c>
      <c r="K377" t="s">
        <v>37</v>
      </c>
      <c r="L377">
        <v>2201</v>
      </c>
      <c r="M377">
        <v>9</v>
      </c>
      <c r="N377" t="s">
        <v>41</v>
      </c>
      <c r="O377">
        <v>16</v>
      </c>
      <c r="P377">
        <v>3</v>
      </c>
      <c r="Q377">
        <v>0</v>
      </c>
      <c r="R377">
        <v>6</v>
      </c>
      <c r="S377">
        <v>4</v>
      </c>
      <c r="T377">
        <v>3</v>
      </c>
      <c r="U377">
        <v>1</v>
      </c>
      <c r="V377">
        <v>2</v>
      </c>
      <c r="W377" t="s">
        <v>51</v>
      </c>
      <c r="X377" s="1" t="d">
        <v>2018-02-13</v>
      </c>
      <c r="Z377" t="s">
        <v>52</v>
      </c>
      <c r="AA377" t="s">
        <v>46</v>
      </c>
      <c r="AB377">
        <v>3</v>
      </c>
      <c r="AC377">
        <v>0</v>
      </c>
      <c r="AD377" t="s">
        <v>32</v>
      </c>
      <c r="AE377" t="s">
        <v>47</v>
      </c>
      <c r="AF377" t="s">
        <v>57</v>
      </c>
    </row>
    <row r="378" spans="1:32" x14ac:dyDescent="0.25">
      <c r="A378">
        <v>34</v>
      </c>
      <c r="B378" t="s">
        <v>41</v>
      </c>
      <c r="C378" t="s">
        <v>68</v>
      </c>
      <c r="D378" t="s">
        <v>53</v>
      </c>
      <c r="E378">
        <v>4</v>
      </c>
      <c r="F378" t="s">
        <v>58</v>
      </c>
      <c r="G378">
        <v>3</v>
      </c>
      <c r="H378">
        <v>2</v>
      </c>
      <c r="I378" t="s">
        <v>64</v>
      </c>
      <c r="J378">
        <v>3</v>
      </c>
      <c r="K378" t="s">
        <v>50</v>
      </c>
      <c r="L378">
        <v>6538</v>
      </c>
      <c r="M378">
        <v>9</v>
      </c>
      <c r="N378" t="s">
        <v>41</v>
      </c>
      <c r="O378">
        <v>15</v>
      </c>
      <c r="P378">
        <v>3</v>
      </c>
      <c r="Q378">
        <v>1</v>
      </c>
      <c r="R378">
        <v>6</v>
      </c>
      <c r="S378">
        <v>3</v>
      </c>
      <c r="T378">
        <v>3</v>
      </c>
      <c r="U378">
        <v>1</v>
      </c>
      <c r="V378">
        <v>2</v>
      </c>
      <c r="W378" t="s">
        <v>56</v>
      </c>
      <c r="X378" s="1" t="d">
        <v>2018-05-03</v>
      </c>
      <c r="Z378" t="s">
        <v>45</v>
      </c>
      <c r="AA378" t="s">
        <v>40</v>
      </c>
      <c r="AB378">
        <v>4</v>
      </c>
      <c r="AC378">
        <v>2</v>
      </c>
      <c r="AD378" t="s">
        <v>32</v>
      </c>
      <c r="AE378" t="s">
        <v>42</v>
      </c>
      <c r="AF378" t="s">
        <v>43</v>
      </c>
    </row>
    <row r="379" spans="1:32" x14ac:dyDescent="0.25">
      <c r="A379">
        <v>43</v>
      </c>
      <c r="B379" t="s">
        <v>41</v>
      </c>
      <c r="C379" t="s">
        <v>61</v>
      </c>
      <c r="D379" t="s">
        <v>34</v>
      </c>
      <c r="E379">
        <v>21</v>
      </c>
      <c r="F379" t="s">
        <v>35</v>
      </c>
      <c r="G379">
        <v>3</v>
      </c>
      <c r="H379">
        <v>1</v>
      </c>
      <c r="I379" t="s">
        <v>36</v>
      </c>
      <c r="J379">
        <v>4</v>
      </c>
      <c r="K379" t="s">
        <v>50</v>
      </c>
      <c r="L379">
        <v>2258</v>
      </c>
      <c r="M379">
        <v>7</v>
      </c>
      <c r="N379" t="s">
        <v>41</v>
      </c>
      <c r="O379">
        <v>20</v>
      </c>
      <c r="P379">
        <v>4</v>
      </c>
      <c r="Q379">
        <v>1</v>
      </c>
      <c r="R379">
        <v>8</v>
      </c>
      <c r="S379">
        <v>1</v>
      </c>
      <c r="T379">
        <v>3</v>
      </c>
      <c r="U379">
        <v>1</v>
      </c>
      <c r="V379">
        <v>2</v>
      </c>
      <c r="W379" t="s">
        <v>51</v>
      </c>
      <c r="X379" s="1" t="d">
        <v>2018-04-20</v>
      </c>
      <c r="Z379" t="s">
        <v>52</v>
      </c>
      <c r="AA379" t="s">
        <v>46</v>
      </c>
      <c r="AB379">
        <v>3</v>
      </c>
      <c r="AC379">
        <v>1</v>
      </c>
      <c r="AD379" t="s">
        <v>41</v>
      </c>
      <c r="AE379" t="s">
        <v>60</v>
      </c>
      <c r="AF379" t="s">
        <v>43</v>
      </c>
    </row>
    <row r="380" spans="1:32" x14ac:dyDescent="0.25">
      <c r="A380">
        <v>26</v>
      </c>
      <c r="B380" t="s">
        <v>41</v>
      </c>
      <c r="C380" t="s">
        <v>33</v>
      </c>
      <c r="D380" t="s">
        <v>34</v>
      </c>
      <c r="E380">
        <v>23</v>
      </c>
      <c r="F380" t="s">
        <v>58</v>
      </c>
      <c r="G380">
        <v>3</v>
      </c>
      <c r="H380">
        <v>1</v>
      </c>
      <c r="I380" t="s">
        <v>44</v>
      </c>
      <c r="J380">
        <v>4</v>
      </c>
      <c r="K380" t="s">
        <v>55</v>
      </c>
      <c r="L380">
        <v>2886</v>
      </c>
      <c r="M380">
        <v>1</v>
      </c>
      <c r="N380" t="s">
        <v>41</v>
      </c>
      <c r="O380">
        <v>22</v>
      </c>
      <c r="P380">
        <v>4</v>
      </c>
      <c r="Q380">
        <v>2</v>
      </c>
      <c r="R380">
        <v>3</v>
      </c>
      <c r="S380">
        <v>3</v>
      </c>
      <c r="T380">
        <v>3</v>
      </c>
      <c r="U380">
        <v>0</v>
      </c>
      <c r="V380">
        <v>2</v>
      </c>
      <c r="W380" t="s">
        <v>56</v>
      </c>
      <c r="X380" s="1" t="d">
        <v>2018-06-07</v>
      </c>
      <c r="Z380" t="s">
        <v>39</v>
      </c>
      <c r="AA380" t="s">
        <v>40</v>
      </c>
      <c r="AB380">
        <v>2</v>
      </c>
      <c r="AC380">
        <v>2</v>
      </c>
      <c r="AD380" t="s">
        <v>41</v>
      </c>
      <c r="AE380" t="s">
        <v>47</v>
      </c>
      <c r="AF380" t="s">
        <v>43</v>
      </c>
    </row>
    <row r="381" spans="1:32" x14ac:dyDescent="0.25">
      <c r="A381">
        <v>46</v>
      </c>
      <c r="B381" t="s">
        <v>41</v>
      </c>
      <c r="C381" t="s">
        <v>33</v>
      </c>
      <c r="D381" t="s">
        <v>34</v>
      </c>
      <c r="E381">
        <v>2</v>
      </c>
      <c r="F381" t="s">
        <v>35</v>
      </c>
      <c r="G381">
        <v>3</v>
      </c>
      <c r="H381">
        <v>4</v>
      </c>
      <c r="I381" t="s">
        <v>49</v>
      </c>
      <c r="J381">
        <v>3</v>
      </c>
      <c r="K381" t="s">
        <v>50</v>
      </c>
      <c r="L381">
        <v>17861</v>
      </c>
      <c r="M381">
        <v>6</v>
      </c>
      <c r="N381" t="s">
        <v>41</v>
      </c>
      <c r="O381">
        <v>13</v>
      </c>
      <c r="P381">
        <v>3</v>
      </c>
      <c r="Q381">
        <v>0</v>
      </c>
      <c r="R381">
        <v>26</v>
      </c>
      <c r="S381">
        <v>2</v>
      </c>
      <c r="T381">
        <v>3</v>
      </c>
      <c r="U381">
        <v>0</v>
      </c>
      <c r="V381">
        <v>1</v>
      </c>
      <c r="W381" t="s">
        <v>51</v>
      </c>
      <c r="X381" s="1" t="d">
        <v>2018-03-23</v>
      </c>
      <c r="Z381" t="s">
        <v>59</v>
      </c>
      <c r="AA381" t="s">
        <v>46</v>
      </c>
      <c r="AB381">
        <v>2</v>
      </c>
      <c r="AC381">
        <v>0</v>
      </c>
      <c r="AD381" t="s">
        <v>41</v>
      </c>
      <c r="AE381" t="s">
        <v>47</v>
      </c>
      <c r="AF381" t="s">
        <v>43</v>
      </c>
    </row>
    <row r="382" spans="1:32" x14ac:dyDescent="0.25">
      <c r="A382">
        <v>46</v>
      </c>
      <c r="B382" t="s">
        <v>41</v>
      </c>
      <c r="C382" t="s">
        <v>33</v>
      </c>
      <c r="D382" t="s">
        <v>53</v>
      </c>
      <c r="E382">
        <v>10</v>
      </c>
      <c r="F382" t="s">
        <v>58</v>
      </c>
      <c r="G382">
        <v>2</v>
      </c>
      <c r="H382">
        <v>3</v>
      </c>
      <c r="I382" t="s">
        <v>64</v>
      </c>
      <c r="J382">
        <v>4</v>
      </c>
      <c r="K382" t="s">
        <v>50</v>
      </c>
      <c r="L382">
        <v>9071</v>
      </c>
      <c r="M382">
        <v>2</v>
      </c>
      <c r="N382" t="s">
        <v>32</v>
      </c>
      <c r="O382">
        <v>19</v>
      </c>
      <c r="P382">
        <v>3</v>
      </c>
      <c r="Q382">
        <v>1</v>
      </c>
      <c r="R382">
        <v>15</v>
      </c>
      <c r="S382">
        <v>3</v>
      </c>
      <c r="T382">
        <v>3</v>
      </c>
      <c r="U382">
        <v>1</v>
      </c>
      <c r="V382">
        <v>2</v>
      </c>
      <c r="W382" t="s">
        <v>65</v>
      </c>
      <c r="X382" s="1" t="d">
        <v>2018-03-10</v>
      </c>
      <c r="Z382" t="s">
        <v>45</v>
      </c>
      <c r="AA382" t="s">
        <v>46</v>
      </c>
      <c r="AB382">
        <v>0</v>
      </c>
      <c r="AC382">
        <v>1</v>
      </c>
      <c r="AD382" t="s">
        <v>32</v>
      </c>
      <c r="AE382" t="s">
        <v>62</v>
      </c>
      <c r="AF382" t="s">
        <v>43</v>
      </c>
    </row>
    <row r="383" spans="1:32" x14ac:dyDescent="0.25">
      <c r="A383">
        <v>30</v>
      </c>
      <c r="B383" t="s">
        <v>41</v>
      </c>
      <c r="C383" t="s">
        <v>33</v>
      </c>
      <c r="D383" t="s">
        <v>53</v>
      </c>
      <c r="E383">
        <v>7</v>
      </c>
      <c r="F383" t="s">
        <v>35</v>
      </c>
      <c r="G383">
        <v>3</v>
      </c>
      <c r="H383">
        <v>1</v>
      </c>
      <c r="I383" t="s">
        <v>54</v>
      </c>
      <c r="J383">
        <v>2</v>
      </c>
      <c r="K383" t="s">
        <v>37</v>
      </c>
      <c r="L383">
        <v>2983</v>
      </c>
      <c r="M383">
        <v>0</v>
      </c>
      <c r="N383" t="s">
        <v>41</v>
      </c>
      <c r="O383">
        <v>14</v>
      </c>
      <c r="P383">
        <v>3</v>
      </c>
      <c r="Q383">
        <v>0</v>
      </c>
      <c r="R383">
        <v>4</v>
      </c>
      <c r="S383">
        <v>3</v>
      </c>
      <c r="T383">
        <v>3</v>
      </c>
      <c r="U383">
        <v>1</v>
      </c>
      <c r="V383">
        <v>2</v>
      </c>
      <c r="W383" t="s">
        <v>51</v>
      </c>
      <c r="X383" s="1" t="d">
        <v>2018-06-01</v>
      </c>
      <c r="Z383" t="s">
        <v>52</v>
      </c>
      <c r="AA383" t="s">
        <v>40</v>
      </c>
      <c r="AB383">
        <v>2</v>
      </c>
      <c r="AC383">
        <v>0</v>
      </c>
      <c r="AD383" t="s">
        <v>41</v>
      </c>
      <c r="AE383" t="s">
        <v>62</v>
      </c>
      <c r="AF383" t="s">
        <v>43</v>
      </c>
    </row>
    <row r="384" spans="1:32" x14ac:dyDescent="0.25">
      <c r="A384">
        <v>34</v>
      </c>
      <c r="B384" t="s">
        <v>32</v>
      </c>
      <c r="C384" t="s">
        <v>61</v>
      </c>
      <c r="D384" t="s">
        <v>70</v>
      </c>
      <c r="E384">
        <v>23</v>
      </c>
      <c r="F384" t="s">
        <v>58</v>
      </c>
      <c r="G384">
        <v>3</v>
      </c>
      <c r="H384">
        <v>3</v>
      </c>
      <c r="I384" t="s">
        <v>70</v>
      </c>
      <c r="J384">
        <v>1</v>
      </c>
      <c r="K384" t="s">
        <v>55</v>
      </c>
      <c r="L384">
        <v>9950</v>
      </c>
      <c r="M384">
        <v>9</v>
      </c>
      <c r="N384" t="s">
        <v>32</v>
      </c>
      <c r="O384">
        <v>15</v>
      </c>
      <c r="P384">
        <v>3</v>
      </c>
      <c r="Q384">
        <v>3</v>
      </c>
      <c r="R384">
        <v>11</v>
      </c>
      <c r="S384">
        <v>2</v>
      </c>
      <c r="T384">
        <v>3</v>
      </c>
      <c r="U384">
        <v>0</v>
      </c>
      <c r="V384">
        <v>2</v>
      </c>
      <c r="W384" t="s">
        <v>56</v>
      </c>
      <c r="X384" s="1" t="d">
        <v>2018-02-08</v>
      </c>
      <c r="Z384" t="s">
        <v>45</v>
      </c>
      <c r="AA384" t="s">
        <v>46</v>
      </c>
      <c r="AB384">
        <v>0</v>
      </c>
      <c r="AC384">
        <v>2</v>
      </c>
      <c r="AD384" t="s">
        <v>41</v>
      </c>
      <c r="AE384" t="s">
        <v>60</v>
      </c>
      <c r="AF384" t="s">
        <v>57</v>
      </c>
    </row>
    <row r="385" spans="1:32" x14ac:dyDescent="0.25">
      <c r="A385">
        <v>29</v>
      </c>
      <c r="B385" t="s">
        <v>41</v>
      </c>
      <c r="C385" t="s">
        <v>33</v>
      </c>
      <c r="D385" t="s">
        <v>34</v>
      </c>
      <c r="E385">
        <v>19</v>
      </c>
      <c r="F385" t="s">
        <v>35</v>
      </c>
      <c r="G385">
        <v>3</v>
      </c>
      <c r="H385">
        <v>2</v>
      </c>
      <c r="I385" t="s">
        <v>67</v>
      </c>
      <c r="J385">
        <v>4</v>
      </c>
      <c r="K385" t="s">
        <v>55</v>
      </c>
      <c r="L385">
        <v>4262</v>
      </c>
      <c r="M385">
        <v>4</v>
      </c>
      <c r="N385" t="s">
        <v>41</v>
      </c>
      <c r="O385">
        <v>12</v>
      </c>
      <c r="P385">
        <v>3</v>
      </c>
      <c r="Q385">
        <v>2</v>
      </c>
      <c r="R385">
        <v>8</v>
      </c>
      <c r="S385">
        <v>2</v>
      </c>
      <c r="T385">
        <v>3</v>
      </c>
      <c r="U385">
        <v>1</v>
      </c>
      <c r="V385">
        <v>2</v>
      </c>
      <c r="W385" t="s">
        <v>38</v>
      </c>
      <c r="X385" s="1" t="d">
        <v>2018-05-04</v>
      </c>
      <c r="Z385" t="s">
        <v>52</v>
      </c>
      <c r="AA385" t="s">
        <v>40</v>
      </c>
      <c r="AB385">
        <v>2</v>
      </c>
      <c r="AC385">
        <v>3</v>
      </c>
      <c r="AD385" t="s">
        <v>41</v>
      </c>
      <c r="AE385" t="s">
        <v>42</v>
      </c>
      <c r="AF385" t="s">
        <v>43</v>
      </c>
    </row>
    <row r="386" spans="1:32" x14ac:dyDescent="0.25">
      <c r="A386">
        <v>31</v>
      </c>
      <c r="B386" t="s">
        <v>32</v>
      </c>
      <c r="C386" t="s">
        <v>33</v>
      </c>
      <c r="D386" t="s">
        <v>53</v>
      </c>
      <c r="E386">
        <v>13</v>
      </c>
      <c r="F386" t="s">
        <v>35</v>
      </c>
      <c r="G386">
        <v>3</v>
      </c>
      <c r="H386">
        <v>2</v>
      </c>
      <c r="I386" t="s">
        <v>64</v>
      </c>
      <c r="J386">
        <v>1</v>
      </c>
      <c r="K386" t="s">
        <v>55</v>
      </c>
      <c r="L386">
        <v>4233</v>
      </c>
      <c r="M386">
        <v>2</v>
      </c>
      <c r="N386" t="s">
        <v>41</v>
      </c>
      <c r="O386">
        <v>17</v>
      </c>
      <c r="P386">
        <v>3</v>
      </c>
      <c r="Q386">
        <v>0</v>
      </c>
      <c r="R386">
        <v>9</v>
      </c>
      <c r="S386">
        <v>2</v>
      </c>
      <c r="T386">
        <v>3</v>
      </c>
      <c r="U386">
        <v>1</v>
      </c>
      <c r="V386">
        <v>2</v>
      </c>
      <c r="W386" t="s">
        <v>65</v>
      </c>
      <c r="X386" s="1" t="d">
        <v>2018-05-16</v>
      </c>
      <c r="Z386" t="s">
        <v>52</v>
      </c>
      <c r="AA386" t="s">
        <v>46</v>
      </c>
      <c r="AB386">
        <v>4</v>
      </c>
      <c r="AC386">
        <v>2</v>
      </c>
      <c r="AD386" t="s">
        <v>41</v>
      </c>
      <c r="AE386" t="s">
        <v>47</v>
      </c>
      <c r="AF386" t="s">
        <v>43</v>
      </c>
    </row>
    <row r="387" spans="1:32" x14ac:dyDescent="0.25">
      <c r="A387">
        <v>35</v>
      </c>
      <c r="B387" t="s">
        <v>41</v>
      </c>
      <c r="C387" t="s">
        <v>33</v>
      </c>
      <c r="D387" t="s">
        <v>34</v>
      </c>
      <c r="E387">
        <v>25</v>
      </c>
      <c r="F387" t="s">
        <v>35</v>
      </c>
      <c r="G387">
        <v>2</v>
      </c>
      <c r="H387">
        <v>2</v>
      </c>
      <c r="I387" t="s">
        <v>36</v>
      </c>
      <c r="J387">
        <v>4</v>
      </c>
      <c r="K387" t="s">
        <v>37</v>
      </c>
      <c r="L387">
        <v>3681</v>
      </c>
      <c r="M387">
        <v>4</v>
      </c>
      <c r="N387" t="s">
        <v>41</v>
      </c>
      <c r="O387">
        <v>14</v>
      </c>
      <c r="P387">
        <v>3</v>
      </c>
      <c r="Q387">
        <v>0</v>
      </c>
      <c r="R387">
        <v>9</v>
      </c>
      <c r="S387">
        <v>3</v>
      </c>
      <c r="T387">
        <v>3</v>
      </c>
      <c r="U387">
        <v>0</v>
      </c>
      <c r="V387">
        <v>2</v>
      </c>
      <c r="W387" t="s">
        <v>51</v>
      </c>
      <c r="X387" s="1" t="d">
        <v>2018-01-06</v>
      </c>
      <c r="Z387" t="s">
        <v>52</v>
      </c>
      <c r="AA387" t="s">
        <v>40</v>
      </c>
      <c r="AB387">
        <v>2</v>
      </c>
      <c r="AC387">
        <v>1</v>
      </c>
      <c r="AD387" t="s">
        <v>41</v>
      </c>
      <c r="AE387" t="s">
        <v>42</v>
      </c>
      <c r="AF387" t="s">
        <v>48</v>
      </c>
    </row>
    <row r="388" spans="1:32" x14ac:dyDescent="0.25">
      <c r="A388">
        <v>37</v>
      </c>
      <c r="B388" t="s">
        <v>41</v>
      </c>
      <c r="C388" t="s">
        <v>33</v>
      </c>
      <c r="D388" t="s">
        <v>53</v>
      </c>
      <c r="E388">
        <v>2</v>
      </c>
      <c r="F388" t="s">
        <v>35</v>
      </c>
      <c r="G388">
        <v>3</v>
      </c>
      <c r="H388">
        <v>2</v>
      </c>
      <c r="I388" t="s">
        <v>64</v>
      </c>
      <c r="J388">
        <v>3</v>
      </c>
      <c r="K388" t="s">
        <v>50</v>
      </c>
      <c r="L388">
        <v>9602</v>
      </c>
      <c r="M388">
        <v>4</v>
      </c>
      <c r="N388" t="s">
        <v>32</v>
      </c>
      <c r="O388">
        <v>11</v>
      </c>
      <c r="P388">
        <v>3</v>
      </c>
      <c r="Q388">
        <v>1</v>
      </c>
      <c r="R388">
        <v>17</v>
      </c>
      <c r="S388">
        <v>3</v>
      </c>
      <c r="T388">
        <v>3</v>
      </c>
      <c r="U388">
        <v>1</v>
      </c>
      <c r="V388">
        <v>0</v>
      </c>
      <c r="W388" t="s">
        <v>65</v>
      </c>
      <c r="X388" s="1" t="d">
        <v>2018-04-02</v>
      </c>
      <c r="Z388" t="s">
        <v>63</v>
      </c>
      <c r="AA388" t="s">
        <v>40</v>
      </c>
      <c r="AB388">
        <v>4</v>
      </c>
      <c r="AC388">
        <v>0</v>
      </c>
      <c r="AD388" t="s">
        <v>32</v>
      </c>
      <c r="AE388" t="s">
        <v>60</v>
      </c>
      <c r="AF388" t="s">
        <v>57</v>
      </c>
    </row>
    <row r="389" spans="1:32" x14ac:dyDescent="0.25">
      <c r="A389">
        <v>48</v>
      </c>
      <c r="B389" t="s">
        <v>41</v>
      </c>
      <c r="C389" t="s">
        <v>33</v>
      </c>
      <c r="D389" t="s">
        <v>34</v>
      </c>
      <c r="E389">
        <v>1</v>
      </c>
      <c r="F389" t="s">
        <v>58</v>
      </c>
      <c r="G389">
        <v>2</v>
      </c>
      <c r="H389">
        <v>4</v>
      </c>
      <c r="I389" t="s">
        <v>66</v>
      </c>
      <c r="J389">
        <v>1</v>
      </c>
      <c r="K389" t="s">
        <v>50</v>
      </c>
      <c r="L389">
        <v>15402</v>
      </c>
      <c r="M389">
        <v>7</v>
      </c>
      <c r="N389" t="s">
        <v>41</v>
      </c>
      <c r="O389">
        <v>11</v>
      </c>
      <c r="P389">
        <v>3</v>
      </c>
      <c r="Q389">
        <v>1</v>
      </c>
      <c r="R389">
        <v>21</v>
      </c>
      <c r="S389">
        <v>3</v>
      </c>
      <c r="T389">
        <v>3</v>
      </c>
      <c r="U389">
        <v>0</v>
      </c>
      <c r="V389">
        <v>2</v>
      </c>
      <c r="W389" t="s">
        <v>65</v>
      </c>
      <c r="X389" s="1" t="d">
        <v>2018-02-22</v>
      </c>
      <c r="Z389" t="s">
        <v>45</v>
      </c>
      <c r="AA389" t="s">
        <v>46</v>
      </c>
      <c r="AB389">
        <v>4</v>
      </c>
      <c r="AC389">
        <v>1</v>
      </c>
      <c r="AD389" t="s">
        <v>32</v>
      </c>
      <c r="AE389" t="s">
        <v>47</v>
      </c>
      <c r="AF389" t="s">
        <v>48</v>
      </c>
    </row>
    <row r="390" spans="1:32" x14ac:dyDescent="0.25">
      <c r="A390">
        <v>21</v>
      </c>
      <c r="B390" t="s">
        <v>41</v>
      </c>
      <c r="C390" t="s">
        <v>33</v>
      </c>
      <c r="D390" t="s">
        <v>53</v>
      </c>
      <c r="E390">
        <v>22</v>
      </c>
      <c r="F390" t="s">
        <v>35</v>
      </c>
      <c r="G390">
        <v>3</v>
      </c>
      <c r="H390">
        <v>1</v>
      </c>
      <c r="I390" t="s">
        <v>54</v>
      </c>
      <c r="J390">
        <v>3</v>
      </c>
      <c r="K390" t="s">
        <v>37</v>
      </c>
      <c r="L390">
        <v>3447</v>
      </c>
      <c r="M390">
        <v>1</v>
      </c>
      <c r="N390" t="s">
        <v>41</v>
      </c>
      <c r="O390">
        <v>11</v>
      </c>
      <c r="P390">
        <v>3</v>
      </c>
      <c r="Q390">
        <v>0</v>
      </c>
      <c r="R390">
        <v>3</v>
      </c>
      <c r="S390">
        <v>2</v>
      </c>
      <c r="T390">
        <v>3</v>
      </c>
      <c r="U390">
        <v>1</v>
      </c>
      <c r="V390">
        <v>2</v>
      </c>
      <c r="W390" t="s">
        <v>65</v>
      </c>
      <c r="X390" s="1" t="d">
        <v>2018-03-27</v>
      </c>
      <c r="Z390" t="s">
        <v>63</v>
      </c>
      <c r="AA390" t="s">
        <v>46</v>
      </c>
      <c r="AB390">
        <v>4</v>
      </c>
      <c r="AC390">
        <v>0</v>
      </c>
      <c r="AD390" t="s">
        <v>32</v>
      </c>
      <c r="AE390" t="s">
        <v>47</v>
      </c>
      <c r="AF390" t="s">
        <v>43</v>
      </c>
    </row>
    <row r="391" spans="1:32" x14ac:dyDescent="0.25">
      <c r="A391">
        <v>26</v>
      </c>
      <c r="B391" t="s">
        <v>41</v>
      </c>
      <c r="C391" t="s">
        <v>33</v>
      </c>
      <c r="D391" t="s">
        <v>34</v>
      </c>
      <c r="E391">
        <v>6</v>
      </c>
      <c r="F391" t="s">
        <v>58</v>
      </c>
      <c r="G391">
        <v>3</v>
      </c>
      <c r="H391">
        <v>1</v>
      </c>
      <c r="I391" t="s">
        <v>36</v>
      </c>
      <c r="J391">
        <v>4</v>
      </c>
      <c r="K391" t="s">
        <v>50</v>
      </c>
      <c r="L391">
        <v>2659</v>
      </c>
      <c r="M391">
        <v>1</v>
      </c>
      <c r="N391" t="s">
        <v>32</v>
      </c>
      <c r="O391">
        <v>13</v>
      </c>
      <c r="P391">
        <v>3</v>
      </c>
      <c r="Q391">
        <v>1</v>
      </c>
      <c r="R391">
        <v>3</v>
      </c>
      <c r="S391">
        <v>2</v>
      </c>
      <c r="T391">
        <v>3</v>
      </c>
      <c r="U391">
        <v>0</v>
      </c>
      <c r="V391">
        <v>2</v>
      </c>
      <c r="W391" t="s">
        <v>56</v>
      </c>
      <c r="X391" s="1" t="d">
        <v>2018-03-06</v>
      </c>
      <c r="Z391" t="s">
        <v>59</v>
      </c>
      <c r="AA391" t="s">
        <v>40</v>
      </c>
      <c r="AB391">
        <v>5</v>
      </c>
      <c r="AC391">
        <v>2</v>
      </c>
      <c r="AD391" t="s">
        <v>41</v>
      </c>
      <c r="AE391" t="s">
        <v>60</v>
      </c>
      <c r="AF391" t="s">
        <v>57</v>
      </c>
    </row>
    <row r="392" spans="1:32" x14ac:dyDescent="0.25">
      <c r="A392">
        <v>36</v>
      </c>
      <c r="B392" t="s">
        <v>41</v>
      </c>
      <c r="C392" t="s">
        <v>33</v>
      </c>
      <c r="D392" t="s">
        <v>34</v>
      </c>
      <c r="E392">
        <v>9</v>
      </c>
      <c r="F392" t="s">
        <v>35</v>
      </c>
      <c r="G392">
        <v>2</v>
      </c>
      <c r="H392">
        <v>2</v>
      </c>
      <c r="I392" t="s">
        <v>67</v>
      </c>
      <c r="J392">
        <v>2</v>
      </c>
      <c r="K392" t="s">
        <v>55</v>
      </c>
      <c r="L392">
        <v>8847</v>
      </c>
      <c r="M392">
        <v>2</v>
      </c>
      <c r="N392" t="s">
        <v>32</v>
      </c>
      <c r="O392">
        <v>11</v>
      </c>
      <c r="P392">
        <v>3</v>
      </c>
      <c r="Q392">
        <v>1</v>
      </c>
      <c r="R392">
        <v>13</v>
      </c>
      <c r="S392">
        <v>2</v>
      </c>
      <c r="T392">
        <v>3</v>
      </c>
      <c r="U392">
        <v>0</v>
      </c>
      <c r="V392">
        <v>2</v>
      </c>
      <c r="W392" t="s">
        <v>38</v>
      </c>
      <c r="X392" s="1" t="d">
        <v>2018-01-07</v>
      </c>
      <c r="Z392" t="s">
        <v>59</v>
      </c>
      <c r="AA392" t="s">
        <v>40</v>
      </c>
      <c r="AB392">
        <v>5</v>
      </c>
      <c r="AC392">
        <v>2</v>
      </c>
      <c r="AD392" t="s">
        <v>41</v>
      </c>
      <c r="AE392" t="s">
        <v>62</v>
      </c>
      <c r="AF392" t="s">
        <v>57</v>
      </c>
    </row>
    <row r="393" spans="1:32" x14ac:dyDescent="0.25">
      <c r="A393">
        <v>23</v>
      </c>
      <c r="B393" t="s">
        <v>41</v>
      </c>
      <c r="C393" t="s">
        <v>33</v>
      </c>
      <c r="D393" t="s">
        <v>34</v>
      </c>
      <c r="E393">
        <v>4</v>
      </c>
      <c r="F393" t="s">
        <v>35</v>
      </c>
      <c r="G393">
        <v>4</v>
      </c>
      <c r="H393">
        <v>1</v>
      </c>
      <c r="I393" t="s">
        <v>44</v>
      </c>
      <c r="J393">
        <v>1</v>
      </c>
      <c r="K393" t="s">
        <v>50</v>
      </c>
      <c r="L393">
        <v>2819</v>
      </c>
      <c r="M393">
        <v>2</v>
      </c>
      <c r="N393" t="s">
        <v>41</v>
      </c>
      <c r="O393">
        <v>16</v>
      </c>
      <c r="P393">
        <v>3</v>
      </c>
      <c r="Q393">
        <v>1</v>
      </c>
      <c r="R393">
        <v>5</v>
      </c>
      <c r="S393">
        <v>3</v>
      </c>
      <c r="T393">
        <v>3</v>
      </c>
      <c r="U393">
        <v>0</v>
      </c>
      <c r="V393">
        <v>2</v>
      </c>
      <c r="W393" t="s">
        <v>56</v>
      </c>
      <c r="X393" s="1" t="d">
        <v>2018-05-05</v>
      </c>
      <c r="Z393" t="s">
        <v>63</v>
      </c>
      <c r="AA393" t="s">
        <v>40</v>
      </c>
      <c r="AB393">
        <v>5</v>
      </c>
      <c r="AC393">
        <v>1</v>
      </c>
      <c r="AD393" t="s">
        <v>41</v>
      </c>
      <c r="AE393" t="s">
        <v>62</v>
      </c>
      <c r="AF393" t="s">
        <v>48</v>
      </c>
    </row>
    <row r="394" spans="1:32" x14ac:dyDescent="0.25">
      <c r="A394">
        <v>25</v>
      </c>
      <c r="B394" t="s">
        <v>41</v>
      </c>
      <c r="C394" t="s">
        <v>33</v>
      </c>
      <c r="D394" t="s">
        <v>53</v>
      </c>
      <c r="E394">
        <v>8</v>
      </c>
      <c r="F394" t="s">
        <v>35</v>
      </c>
      <c r="G394">
        <v>4</v>
      </c>
      <c r="H394">
        <v>2</v>
      </c>
      <c r="I394" t="s">
        <v>64</v>
      </c>
      <c r="J394">
        <v>2</v>
      </c>
      <c r="K394" t="s">
        <v>50</v>
      </c>
      <c r="L394">
        <v>4851</v>
      </c>
      <c r="M394">
        <v>0</v>
      </c>
      <c r="N394" t="s">
        <v>41</v>
      </c>
      <c r="O394">
        <v>22</v>
      </c>
      <c r="P394">
        <v>4</v>
      </c>
      <c r="Q394">
        <v>1</v>
      </c>
      <c r="R394">
        <v>4</v>
      </c>
      <c r="S394">
        <v>4</v>
      </c>
      <c r="T394">
        <v>3</v>
      </c>
      <c r="U394">
        <v>1</v>
      </c>
      <c r="V394">
        <v>2</v>
      </c>
      <c r="W394" t="s">
        <v>65</v>
      </c>
      <c r="X394" s="1" t="d">
        <v>2018-02-08</v>
      </c>
      <c r="Z394" t="s">
        <v>59</v>
      </c>
      <c r="AA394" t="s">
        <v>46</v>
      </c>
      <c r="AB394">
        <v>1</v>
      </c>
      <c r="AC394">
        <v>0</v>
      </c>
      <c r="AD394" t="s">
        <v>41</v>
      </c>
      <c r="AE394" t="s">
        <v>60</v>
      </c>
      <c r="AF394" t="s">
        <v>57</v>
      </c>
    </row>
    <row r="395" spans="1:32" x14ac:dyDescent="0.25">
      <c r="A395">
        <v>35</v>
      </c>
      <c r="B395" t="s">
        <v>41</v>
      </c>
      <c r="C395" t="s">
        <v>33</v>
      </c>
      <c r="D395" t="s">
        <v>53</v>
      </c>
      <c r="E395">
        <v>8</v>
      </c>
      <c r="F395" t="s">
        <v>58</v>
      </c>
      <c r="G395">
        <v>3</v>
      </c>
      <c r="H395">
        <v>1</v>
      </c>
      <c r="I395" t="s">
        <v>54</v>
      </c>
      <c r="J395">
        <v>4</v>
      </c>
      <c r="K395" t="s">
        <v>50</v>
      </c>
      <c r="L395">
        <v>2572</v>
      </c>
      <c r="M395">
        <v>1</v>
      </c>
      <c r="N395" t="s">
        <v>41</v>
      </c>
      <c r="O395">
        <v>16</v>
      </c>
      <c r="P395">
        <v>3</v>
      </c>
      <c r="Q395">
        <v>1</v>
      </c>
      <c r="R395">
        <v>3</v>
      </c>
      <c r="S395">
        <v>1</v>
      </c>
      <c r="T395">
        <v>3</v>
      </c>
      <c r="U395">
        <v>0</v>
      </c>
      <c r="V395">
        <v>2</v>
      </c>
      <c r="W395" t="s">
        <v>51</v>
      </c>
      <c r="X395" s="1" t="d">
        <v>2018-05-29</v>
      </c>
      <c r="Z395" t="s">
        <v>59</v>
      </c>
      <c r="AA395" t="s">
        <v>46</v>
      </c>
      <c r="AB395">
        <v>1</v>
      </c>
      <c r="AC395">
        <v>1</v>
      </c>
      <c r="AD395" t="s">
        <v>32</v>
      </c>
      <c r="AE395" t="s">
        <v>60</v>
      </c>
      <c r="AF395" t="s">
        <v>48</v>
      </c>
    </row>
    <row r="396" spans="1:32" x14ac:dyDescent="0.25">
      <c r="A396">
        <v>34</v>
      </c>
      <c r="B396" t="s">
        <v>41</v>
      </c>
      <c r="C396" t="s">
        <v>33</v>
      </c>
      <c r="D396" t="s">
        <v>53</v>
      </c>
      <c r="E396">
        <v>8</v>
      </c>
      <c r="F396" t="s">
        <v>58</v>
      </c>
      <c r="G396">
        <v>3</v>
      </c>
      <c r="H396">
        <v>2</v>
      </c>
      <c r="I396" t="s">
        <v>64</v>
      </c>
      <c r="J396">
        <v>1</v>
      </c>
      <c r="K396" t="s">
        <v>50</v>
      </c>
      <c r="L396">
        <v>6500</v>
      </c>
      <c r="M396">
        <v>5</v>
      </c>
      <c r="N396" t="s">
        <v>41</v>
      </c>
      <c r="O396">
        <v>17</v>
      </c>
      <c r="P396">
        <v>3</v>
      </c>
      <c r="Q396">
        <v>1</v>
      </c>
      <c r="R396">
        <v>6</v>
      </c>
      <c r="S396">
        <v>1</v>
      </c>
      <c r="T396">
        <v>3</v>
      </c>
      <c r="U396">
        <v>1</v>
      </c>
      <c r="V396">
        <v>2</v>
      </c>
      <c r="W396" t="s">
        <v>51</v>
      </c>
      <c r="X396" s="1" t="d">
        <v>2018-05-01</v>
      </c>
      <c r="Z396" t="s">
        <v>63</v>
      </c>
      <c r="AA396" t="s">
        <v>40</v>
      </c>
      <c r="AB396">
        <v>3</v>
      </c>
      <c r="AC396">
        <v>2</v>
      </c>
      <c r="AD396" t="s">
        <v>32</v>
      </c>
      <c r="AE396" t="s">
        <v>47</v>
      </c>
      <c r="AF396" t="s">
        <v>48</v>
      </c>
    </row>
    <row r="397" spans="1:32" x14ac:dyDescent="0.25">
      <c r="A397">
        <v>33</v>
      </c>
      <c r="B397" t="s">
        <v>32</v>
      </c>
      <c r="C397" t="s">
        <v>33</v>
      </c>
      <c r="D397" t="s">
        <v>53</v>
      </c>
      <c r="E397">
        <v>16</v>
      </c>
      <c r="F397" t="s">
        <v>58</v>
      </c>
      <c r="G397">
        <v>3</v>
      </c>
      <c r="H397">
        <v>2</v>
      </c>
      <c r="I397" t="s">
        <v>64</v>
      </c>
      <c r="J397">
        <v>1</v>
      </c>
      <c r="K397" t="s">
        <v>37</v>
      </c>
      <c r="L397">
        <v>5324</v>
      </c>
      <c r="M397">
        <v>5</v>
      </c>
      <c r="N397" t="s">
        <v>41</v>
      </c>
      <c r="O397">
        <v>15</v>
      </c>
      <c r="P397">
        <v>3</v>
      </c>
      <c r="Q397">
        <v>0</v>
      </c>
      <c r="R397">
        <v>6</v>
      </c>
      <c r="S397">
        <v>3</v>
      </c>
      <c r="T397">
        <v>3</v>
      </c>
      <c r="U397">
        <v>0</v>
      </c>
      <c r="V397">
        <v>2</v>
      </c>
      <c r="W397" t="s">
        <v>51</v>
      </c>
      <c r="X397" s="1" t="d">
        <v>2018-02-23</v>
      </c>
      <c r="Z397" t="s">
        <v>45</v>
      </c>
      <c r="AA397" t="s">
        <v>40</v>
      </c>
      <c r="AB397">
        <v>1</v>
      </c>
      <c r="AC397">
        <v>3</v>
      </c>
      <c r="AD397" t="s">
        <v>41</v>
      </c>
      <c r="AE397" t="s">
        <v>60</v>
      </c>
      <c r="AF397" t="s">
        <v>43</v>
      </c>
    </row>
    <row r="398" spans="1:32" x14ac:dyDescent="0.25">
      <c r="A398">
        <v>34</v>
      </c>
      <c r="B398" t="s">
        <v>41</v>
      </c>
      <c r="C398" t="s">
        <v>33</v>
      </c>
      <c r="D398" t="s">
        <v>70</v>
      </c>
      <c r="E398">
        <v>3</v>
      </c>
      <c r="F398" t="s">
        <v>35</v>
      </c>
      <c r="G398">
        <v>3</v>
      </c>
      <c r="H398">
        <v>1</v>
      </c>
      <c r="I398" t="s">
        <v>70</v>
      </c>
      <c r="J398">
        <v>4</v>
      </c>
      <c r="K398" t="s">
        <v>50</v>
      </c>
      <c r="L398">
        <v>3737</v>
      </c>
      <c r="M398">
        <v>0</v>
      </c>
      <c r="N398" t="s">
        <v>41</v>
      </c>
      <c r="O398">
        <v>19</v>
      </c>
      <c r="P398">
        <v>3</v>
      </c>
      <c r="Q398">
        <v>1</v>
      </c>
      <c r="R398">
        <v>4</v>
      </c>
      <c r="S398">
        <v>1</v>
      </c>
      <c r="T398">
        <v>3</v>
      </c>
      <c r="U398">
        <v>0</v>
      </c>
      <c r="V398">
        <v>2</v>
      </c>
      <c r="W398" t="s">
        <v>51</v>
      </c>
      <c r="X398" s="1" t="d">
        <v>2018-04-14</v>
      </c>
      <c r="Z398" t="s">
        <v>39</v>
      </c>
      <c r="AA398" t="s">
        <v>46</v>
      </c>
      <c r="AB398">
        <v>0</v>
      </c>
      <c r="AC398">
        <v>1</v>
      </c>
      <c r="AD398" t="s">
        <v>41</v>
      </c>
      <c r="AE398" t="s">
        <v>42</v>
      </c>
      <c r="AF398" t="s">
        <v>57</v>
      </c>
    </row>
    <row r="399" spans="1:32" x14ac:dyDescent="0.25">
      <c r="A399">
        <v>44</v>
      </c>
      <c r="B399" t="s">
        <v>41</v>
      </c>
      <c r="C399" t="s">
        <v>33</v>
      </c>
      <c r="D399" t="s">
        <v>34</v>
      </c>
      <c r="E399">
        <v>8</v>
      </c>
      <c r="F399" t="s">
        <v>35</v>
      </c>
      <c r="G399">
        <v>4</v>
      </c>
      <c r="H399">
        <v>1</v>
      </c>
      <c r="I399" t="s">
        <v>36</v>
      </c>
      <c r="J399">
        <v>4</v>
      </c>
      <c r="K399" t="s">
        <v>50</v>
      </c>
      <c r="L399">
        <v>2818</v>
      </c>
      <c r="M399">
        <v>2</v>
      </c>
      <c r="N399" t="s">
        <v>32</v>
      </c>
      <c r="O399">
        <v>24</v>
      </c>
      <c r="P399">
        <v>4</v>
      </c>
      <c r="Q399">
        <v>1</v>
      </c>
      <c r="R399">
        <v>10</v>
      </c>
      <c r="S399">
        <v>2</v>
      </c>
      <c r="T399">
        <v>3</v>
      </c>
      <c r="U399">
        <v>0</v>
      </c>
      <c r="V399">
        <v>2</v>
      </c>
      <c r="W399" t="s">
        <v>65</v>
      </c>
      <c r="X399" s="1" t="d">
        <v>2018-01-24</v>
      </c>
      <c r="Z399" t="s">
        <v>45</v>
      </c>
      <c r="AA399" t="s">
        <v>46</v>
      </c>
      <c r="AB399">
        <v>4</v>
      </c>
      <c r="AC399">
        <v>2</v>
      </c>
      <c r="AD399" t="s">
        <v>41</v>
      </c>
      <c r="AE399" t="s">
        <v>47</v>
      </c>
      <c r="AF399" t="s">
        <v>57</v>
      </c>
    </row>
    <row r="400" spans="1:32" x14ac:dyDescent="0.25">
      <c r="A400">
        <v>32</v>
      </c>
      <c r="B400" t="s">
        <v>41</v>
      </c>
      <c r="C400" t="s">
        <v>68</v>
      </c>
      <c r="D400" t="s">
        <v>34</v>
      </c>
      <c r="E400">
        <v>1</v>
      </c>
      <c r="F400" t="s">
        <v>35</v>
      </c>
      <c r="G400">
        <v>3</v>
      </c>
      <c r="H400">
        <v>1</v>
      </c>
      <c r="I400" t="s">
        <v>36</v>
      </c>
      <c r="J400">
        <v>4</v>
      </c>
      <c r="K400" t="s">
        <v>55</v>
      </c>
      <c r="L400">
        <v>2314</v>
      </c>
      <c r="M400">
        <v>0</v>
      </c>
      <c r="N400" t="s">
        <v>41</v>
      </c>
      <c r="O400">
        <v>12</v>
      </c>
      <c r="P400">
        <v>3</v>
      </c>
      <c r="Q400">
        <v>1</v>
      </c>
      <c r="R400">
        <v>4</v>
      </c>
      <c r="S400">
        <v>2</v>
      </c>
      <c r="T400">
        <v>3</v>
      </c>
      <c r="U400">
        <v>0</v>
      </c>
      <c r="V400">
        <v>2</v>
      </c>
      <c r="W400" t="s">
        <v>56</v>
      </c>
      <c r="X400" s="1" t="d">
        <v>2018-01-08</v>
      </c>
      <c r="Z400" t="s">
        <v>45</v>
      </c>
      <c r="AA400" t="s">
        <v>40</v>
      </c>
      <c r="AB400">
        <v>1</v>
      </c>
      <c r="AC400">
        <v>2</v>
      </c>
      <c r="AD400" t="s">
        <v>32</v>
      </c>
      <c r="AE400" t="s">
        <v>60</v>
      </c>
      <c r="AF400" t="s">
        <v>57</v>
      </c>
    </row>
    <row r="401" spans="1:32" x14ac:dyDescent="0.25">
      <c r="A401">
        <v>29</v>
      </c>
      <c r="B401" t="s">
        <v>32</v>
      </c>
      <c r="C401" t="s">
        <v>33</v>
      </c>
      <c r="D401" t="s">
        <v>53</v>
      </c>
      <c r="E401">
        <v>1</v>
      </c>
      <c r="F401" t="s">
        <v>58</v>
      </c>
      <c r="G401">
        <v>2</v>
      </c>
      <c r="H401">
        <v>1</v>
      </c>
      <c r="I401" t="s">
        <v>54</v>
      </c>
      <c r="J401">
        <v>3</v>
      </c>
      <c r="K401" t="s">
        <v>55</v>
      </c>
      <c r="L401">
        <v>2800</v>
      </c>
      <c r="M401">
        <v>6</v>
      </c>
      <c r="N401" t="s">
        <v>32</v>
      </c>
      <c r="O401">
        <v>19</v>
      </c>
      <c r="P401">
        <v>3</v>
      </c>
      <c r="Q401">
        <v>3</v>
      </c>
      <c r="R401">
        <v>5</v>
      </c>
      <c r="S401">
        <v>3</v>
      </c>
      <c r="T401">
        <v>3</v>
      </c>
      <c r="U401">
        <v>0</v>
      </c>
      <c r="V401">
        <v>2</v>
      </c>
      <c r="W401" t="s">
        <v>56</v>
      </c>
      <c r="X401" s="1" t="d">
        <v>2018-01-03</v>
      </c>
      <c r="Z401" t="s">
        <v>45</v>
      </c>
      <c r="AA401" t="s">
        <v>40</v>
      </c>
      <c r="AB401">
        <v>1</v>
      </c>
      <c r="AC401">
        <v>2</v>
      </c>
      <c r="AD401" t="s">
        <v>41</v>
      </c>
      <c r="AE401" t="s">
        <v>60</v>
      </c>
      <c r="AF401" t="s">
        <v>57</v>
      </c>
    </row>
    <row r="402" spans="1:32" x14ac:dyDescent="0.25">
      <c r="A402">
        <v>47</v>
      </c>
      <c r="B402" t="s">
        <v>41</v>
      </c>
      <c r="C402" t="s">
        <v>33</v>
      </c>
      <c r="D402" t="s">
        <v>53</v>
      </c>
      <c r="E402">
        <v>2</v>
      </c>
      <c r="F402" t="s">
        <v>58</v>
      </c>
      <c r="G402">
        <v>2</v>
      </c>
      <c r="H402">
        <v>1</v>
      </c>
      <c r="I402" t="s">
        <v>54</v>
      </c>
      <c r="J402">
        <v>4</v>
      </c>
      <c r="K402" t="s">
        <v>37</v>
      </c>
      <c r="L402">
        <v>3294</v>
      </c>
      <c r="M402">
        <v>1</v>
      </c>
      <c r="N402" t="s">
        <v>32</v>
      </c>
      <c r="O402">
        <v>18</v>
      </c>
      <c r="P402">
        <v>3</v>
      </c>
      <c r="Q402">
        <v>0</v>
      </c>
      <c r="R402">
        <v>3</v>
      </c>
      <c r="S402">
        <v>3</v>
      </c>
      <c r="T402">
        <v>3</v>
      </c>
      <c r="U402">
        <v>1</v>
      </c>
      <c r="V402">
        <v>2</v>
      </c>
      <c r="W402" t="s">
        <v>51</v>
      </c>
      <c r="X402" s="1" t="d">
        <v>2018-04-28</v>
      </c>
      <c r="Z402" t="s">
        <v>59</v>
      </c>
      <c r="AA402" t="s">
        <v>46</v>
      </c>
      <c r="AB402">
        <v>0</v>
      </c>
      <c r="AC402">
        <v>2</v>
      </c>
      <c r="AD402" t="s">
        <v>32</v>
      </c>
      <c r="AE402" t="s">
        <v>60</v>
      </c>
      <c r="AF402" t="s">
        <v>48</v>
      </c>
    </row>
    <row r="403" spans="1:32" x14ac:dyDescent="0.25">
      <c r="A403">
        <v>22</v>
      </c>
      <c r="B403" t="s">
        <v>32</v>
      </c>
      <c r="C403" t="s">
        <v>33</v>
      </c>
      <c r="D403" t="s">
        <v>34</v>
      </c>
      <c r="E403">
        <v>3</v>
      </c>
      <c r="F403" t="s">
        <v>58</v>
      </c>
      <c r="G403">
        <v>3</v>
      </c>
      <c r="H403">
        <v>2</v>
      </c>
      <c r="I403" t="s">
        <v>67</v>
      </c>
      <c r="J403">
        <v>3</v>
      </c>
      <c r="K403" t="s">
        <v>50</v>
      </c>
      <c r="L403">
        <v>4171</v>
      </c>
      <c r="M403">
        <v>0</v>
      </c>
      <c r="N403" t="s">
        <v>32</v>
      </c>
      <c r="O403">
        <v>19</v>
      </c>
      <c r="P403">
        <v>3</v>
      </c>
      <c r="Q403">
        <v>1</v>
      </c>
      <c r="R403">
        <v>4</v>
      </c>
      <c r="S403">
        <v>3</v>
      </c>
      <c r="T403">
        <v>3</v>
      </c>
      <c r="U403">
        <v>0</v>
      </c>
      <c r="V403">
        <v>2</v>
      </c>
      <c r="W403" t="s">
        <v>51</v>
      </c>
      <c r="X403" s="1" t="d">
        <v>2018-04-11</v>
      </c>
      <c r="Z403" t="s">
        <v>52</v>
      </c>
      <c r="AA403" t="s">
        <v>40</v>
      </c>
      <c r="AB403">
        <v>5</v>
      </c>
      <c r="AC403">
        <v>2</v>
      </c>
      <c r="AD403" t="s">
        <v>41</v>
      </c>
      <c r="AE403" t="s">
        <v>47</v>
      </c>
      <c r="AF403" t="s">
        <v>43</v>
      </c>
    </row>
    <row r="404" spans="1:32" x14ac:dyDescent="0.25">
      <c r="A404">
        <v>33</v>
      </c>
      <c r="B404" t="s">
        <v>41</v>
      </c>
      <c r="C404" t="s">
        <v>33</v>
      </c>
      <c r="D404" t="s">
        <v>34</v>
      </c>
      <c r="E404">
        <v>1</v>
      </c>
      <c r="F404" t="s">
        <v>35</v>
      </c>
      <c r="G404">
        <v>2</v>
      </c>
      <c r="H404">
        <v>1</v>
      </c>
      <c r="I404" t="s">
        <v>44</v>
      </c>
      <c r="J404">
        <v>1</v>
      </c>
      <c r="K404" t="s">
        <v>37</v>
      </c>
      <c r="L404">
        <v>2799</v>
      </c>
      <c r="M404">
        <v>3</v>
      </c>
      <c r="N404" t="s">
        <v>32</v>
      </c>
      <c r="O404">
        <v>11</v>
      </c>
      <c r="P404">
        <v>3</v>
      </c>
      <c r="Q404">
        <v>0</v>
      </c>
      <c r="R404">
        <v>6</v>
      </c>
      <c r="S404">
        <v>1</v>
      </c>
      <c r="T404">
        <v>3</v>
      </c>
      <c r="U404">
        <v>0</v>
      </c>
      <c r="V404">
        <v>2</v>
      </c>
      <c r="W404" t="s">
        <v>56</v>
      </c>
      <c r="X404" s="1" t="d">
        <v>2018-01-22</v>
      </c>
      <c r="Z404" t="s">
        <v>63</v>
      </c>
      <c r="AA404" t="s">
        <v>40</v>
      </c>
      <c r="AB404">
        <v>4</v>
      </c>
      <c r="AC404">
        <v>3</v>
      </c>
      <c r="AD404" t="s">
        <v>32</v>
      </c>
      <c r="AE404" t="s">
        <v>47</v>
      </c>
      <c r="AF404" t="s">
        <v>48</v>
      </c>
    </row>
    <row r="405" spans="1:32" x14ac:dyDescent="0.25">
      <c r="A405">
        <v>32</v>
      </c>
      <c r="B405" t="s">
        <v>41</v>
      </c>
      <c r="C405" t="s">
        <v>68</v>
      </c>
      <c r="D405" t="s">
        <v>34</v>
      </c>
      <c r="E405">
        <v>1</v>
      </c>
      <c r="F405" t="s">
        <v>58</v>
      </c>
      <c r="G405">
        <v>2</v>
      </c>
      <c r="H405">
        <v>1</v>
      </c>
      <c r="I405" t="s">
        <v>36</v>
      </c>
      <c r="J405">
        <v>2</v>
      </c>
      <c r="K405" t="s">
        <v>50</v>
      </c>
      <c r="L405">
        <v>2332</v>
      </c>
      <c r="M405">
        <v>6</v>
      </c>
      <c r="N405" t="s">
        <v>41</v>
      </c>
      <c r="O405">
        <v>20</v>
      </c>
      <c r="P405">
        <v>4</v>
      </c>
      <c r="Q405">
        <v>0</v>
      </c>
      <c r="R405">
        <v>5</v>
      </c>
      <c r="S405">
        <v>3</v>
      </c>
      <c r="T405">
        <v>3</v>
      </c>
      <c r="U405">
        <v>0</v>
      </c>
      <c r="V405">
        <v>2</v>
      </c>
      <c r="W405" t="s">
        <v>51</v>
      </c>
      <c r="X405" s="1" t="d">
        <v>2018-04-09</v>
      </c>
      <c r="Z405" t="s">
        <v>39</v>
      </c>
      <c r="AA405" t="s">
        <v>46</v>
      </c>
      <c r="AB405">
        <v>3</v>
      </c>
      <c r="AC405">
        <v>3</v>
      </c>
      <c r="AD405" t="s">
        <v>32</v>
      </c>
      <c r="AE405" t="s">
        <v>47</v>
      </c>
      <c r="AF405" t="s">
        <v>48</v>
      </c>
    </row>
    <row r="406" spans="1:32" x14ac:dyDescent="0.25">
      <c r="A406">
        <v>29</v>
      </c>
      <c r="B406" t="s">
        <v>41</v>
      </c>
      <c r="C406" t="s">
        <v>61</v>
      </c>
      <c r="D406" t="s">
        <v>53</v>
      </c>
      <c r="E406">
        <v>20</v>
      </c>
      <c r="F406" t="s">
        <v>58</v>
      </c>
      <c r="G406">
        <v>3</v>
      </c>
      <c r="H406">
        <v>1</v>
      </c>
      <c r="I406" t="s">
        <v>54</v>
      </c>
      <c r="J406">
        <v>4</v>
      </c>
      <c r="K406" t="s">
        <v>50</v>
      </c>
      <c r="L406">
        <v>2157</v>
      </c>
      <c r="M406">
        <v>1</v>
      </c>
      <c r="N406" t="s">
        <v>41</v>
      </c>
      <c r="O406">
        <v>15</v>
      </c>
      <c r="P406">
        <v>3</v>
      </c>
      <c r="Q406">
        <v>1</v>
      </c>
      <c r="R406">
        <v>3</v>
      </c>
      <c r="S406">
        <v>5</v>
      </c>
      <c r="T406">
        <v>3</v>
      </c>
      <c r="U406">
        <v>0</v>
      </c>
      <c r="V406">
        <v>2</v>
      </c>
      <c r="W406" t="s">
        <v>56</v>
      </c>
      <c r="X406" s="1" t="d">
        <v>2018-05-16</v>
      </c>
      <c r="Z406" t="s">
        <v>39</v>
      </c>
      <c r="AA406" t="s">
        <v>46</v>
      </c>
      <c r="AB406">
        <v>3</v>
      </c>
      <c r="AC406">
        <v>1</v>
      </c>
      <c r="AD406" t="s">
        <v>32</v>
      </c>
      <c r="AE406" t="s">
        <v>47</v>
      </c>
      <c r="AF406" t="s">
        <v>48</v>
      </c>
    </row>
    <row r="407" spans="1:32" x14ac:dyDescent="0.25">
      <c r="A407">
        <v>31</v>
      </c>
      <c r="B407" t="s">
        <v>32</v>
      </c>
      <c r="C407" t="s">
        <v>68</v>
      </c>
      <c r="D407" t="s">
        <v>34</v>
      </c>
      <c r="E407">
        <v>9</v>
      </c>
      <c r="F407" t="s">
        <v>35</v>
      </c>
      <c r="G407">
        <v>2</v>
      </c>
      <c r="H407">
        <v>1</v>
      </c>
      <c r="I407" t="s">
        <v>44</v>
      </c>
      <c r="J407">
        <v>1</v>
      </c>
      <c r="K407" t="s">
        <v>37</v>
      </c>
      <c r="L407">
        <v>2321</v>
      </c>
      <c r="M407">
        <v>0</v>
      </c>
      <c r="N407" t="s">
        <v>32</v>
      </c>
      <c r="O407">
        <v>22</v>
      </c>
      <c r="P407">
        <v>4</v>
      </c>
      <c r="Q407">
        <v>0</v>
      </c>
      <c r="R407">
        <v>4</v>
      </c>
      <c r="S407">
        <v>0</v>
      </c>
      <c r="T407">
        <v>3</v>
      </c>
      <c r="U407">
        <v>1</v>
      </c>
      <c r="V407">
        <v>2</v>
      </c>
      <c r="W407" t="s">
        <v>56</v>
      </c>
      <c r="X407" s="1" t="d">
        <v>2018-04-27</v>
      </c>
      <c r="Z407" t="s">
        <v>52</v>
      </c>
      <c r="AA407" t="s">
        <v>40</v>
      </c>
      <c r="AB407">
        <v>1</v>
      </c>
      <c r="AC407">
        <v>1</v>
      </c>
      <c r="AD407" t="s">
        <v>32</v>
      </c>
      <c r="AE407" t="s">
        <v>47</v>
      </c>
      <c r="AF407" t="s">
        <v>57</v>
      </c>
    </row>
    <row r="408" spans="1:32" x14ac:dyDescent="0.25">
      <c r="A408">
        <v>33</v>
      </c>
      <c r="B408" t="s">
        <v>41</v>
      </c>
      <c r="C408" t="s">
        <v>33</v>
      </c>
      <c r="D408" t="s">
        <v>34</v>
      </c>
      <c r="E408">
        <v>13</v>
      </c>
      <c r="F408" t="s">
        <v>58</v>
      </c>
      <c r="G408">
        <v>3</v>
      </c>
      <c r="H408">
        <v>1</v>
      </c>
      <c r="I408" t="s">
        <v>44</v>
      </c>
      <c r="J408">
        <v>4</v>
      </c>
      <c r="K408" t="s">
        <v>37</v>
      </c>
      <c r="L408">
        <v>3452</v>
      </c>
      <c r="M408">
        <v>3</v>
      </c>
      <c r="N408" t="s">
        <v>41</v>
      </c>
      <c r="O408">
        <v>18</v>
      </c>
      <c r="P408">
        <v>3</v>
      </c>
      <c r="Q408">
        <v>0</v>
      </c>
      <c r="R408">
        <v>5</v>
      </c>
      <c r="S408">
        <v>4</v>
      </c>
      <c r="T408">
        <v>3</v>
      </c>
      <c r="U408">
        <v>0</v>
      </c>
      <c r="V408">
        <v>2</v>
      </c>
      <c r="W408" t="s">
        <v>51</v>
      </c>
      <c r="X408" s="1" t="d">
        <v>2018-03-01</v>
      </c>
      <c r="Z408" t="s">
        <v>63</v>
      </c>
      <c r="AA408" t="s">
        <v>40</v>
      </c>
      <c r="AB408">
        <v>5</v>
      </c>
      <c r="AC408">
        <v>2</v>
      </c>
      <c r="AD408" t="s">
        <v>41</v>
      </c>
      <c r="AE408" t="s">
        <v>60</v>
      </c>
      <c r="AF408" t="s">
        <v>57</v>
      </c>
    </row>
    <row r="409" spans="1:32" x14ac:dyDescent="0.25">
      <c r="A409">
        <v>30</v>
      </c>
      <c r="B409" t="s">
        <v>32</v>
      </c>
      <c r="C409" t="s">
        <v>61</v>
      </c>
      <c r="D409" t="s">
        <v>34</v>
      </c>
      <c r="E409">
        <v>5</v>
      </c>
      <c r="F409" t="s">
        <v>58</v>
      </c>
      <c r="G409">
        <v>3</v>
      </c>
      <c r="H409">
        <v>1</v>
      </c>
      <c r="I409" t="s">
        <v>36</v>
      </c>
      <c r="J409">
        <v>2</v>
      </c>
      <c r="K409" t="s">
        <v>37</v>
      </c>
      <c r="L409">
        <v>2422</v>
      </c>
      <c r="M409">
        <v>0</v>
      </c>
      <c r="N409" t="s">
        <v>41</v>
      </c>
      <c r="O409">
        <v>17</v>
      </c>
      <c r="P409">
        <v>3</v>
      </c>
      <c r="Q409">
        <v>0</v>
      </c>
      <c r="R409">
        <v>4</v>
      </c>
      <c r="S409">
        <v>3</v>
      </c>
      <c r="T409">
        <v>3</v>
      </c>
      <c r="U409">
        <v>1</v>
      </c>
      <c r="V409">
        <v>2</v>
      </c>
      <c r="W409" t="s">
        <v>51</v>
      </c>
      <c r="X409" s="1" t="d">
        <v>2018-03-07</v>
      </c>
      <c r="Z409" t="s">
        <v>52</v>
      </c>
      <c r="AA409" t="s">
        <v>40</v>
      </c>
      <c r="AB409">
        <v>1</v>
      </c>
      <c r="AC409">
        <v>1</v>
      </c>
      <c r="AD409" t="s">
        <v>32</v>
      </c>
      <c r="AE409" t="s">
        <v>62</v>
      </c>
      <c r="AF409" t="s">
        <v>48</v>
      </c>
    </row>
    <row r="410" spans="1:32" x14ac:dyDescent="0.25">
      <c r="A410">
        <v>27</v>
      </c>
      <c r="B410" t="s">
        <v>41</v>
      </c>
      <c r="C410" t="s">
        <v>33</v>
      </c>
      <c r="D410" t="s">
        <v>34</v>
      </c>
      <c r="E410">
        <v>2</v>
      </c>
      <c r="F410" t="s">
        <v>58</v>
      </c>
      <c r="G410">
        <v>3</v>
      </c>
      <c r="H410">
        <v>2</v>
      </c>
      <c r="I410" t="s">
        <v>67</v>
      </c>
      <c r="J410">
        <v>4</v>
      </c>
      <c r="K410" t="s">
        <v>50</v>
      </c>
      <c r="L410">
        <v>4227</v>
      </c>
      <c r="M410">
        <v>0</v>
      </c>
      <c r="N410" t="s">
        <v>41</v>
      </c>
      <c r="O410">
        <v>18</v>
      </c>
      <c r="P410">
        <v>3</v>
      </c>
      <c r="Q410">
        <v>1</v>
      </c>
      <c r="R410">
        <v>4</v>
      </c>
      <c r="S410">
        <v>2</v>
      </c>
      <c r="T410">
        <v>3</v>
      </c>
      <c r="U410">
        <v>2</v>
      </c>
      <c r="V410">
        <v>2</v>
      </c>
      <c r="W410" t="s">
        <v>38</v>
      </c>
      <c r="X410" s="1" t="d">
        <v>2018-03-09</v>
      </c>
      <c r="Z410" t="s">
        <v>63</v>
      </c>
      <c r="AA410" t="s">
        <v>40</v>
      </c>
      <c r="AB410">
        <v>5</v>
      </c>
      <c r="AC410">
        <v>2</v>
      </c>
      <c r="AD410" t="s">
        <v>41</v>
      </c>
      <c r="AE410" t="s">
        <v>60</v>
      </c>
      <c r="AF410" t="s">
        <v>57</v>
      </c>
    </row>
    <row r="411" spans="1:32" x14ac:dyDescent="0.25">
      <c r="A411">
        <v>35</v>
      </c>
      <c r="B411" t="s">
        <v>41</v>
      </c>
      <c r="C411" t="s">
        <v>33</v>
      </c>
      <c r="D411" t="s">
        <v>34</v>
      </c>
      <c r="E411">
        <v>10</v>
      </c>
      <c r="F411" t="s">
        <v>35</v>
      </c>
      <c r="G411">
        <v>3</v>
      </c>
      <c r="H411">
        <v>1</v>
      </c>
      <c r="I411" t="s">
        <v>36</v>
      </c>
      <c r="J411">
        <v>4</v>
      </c>
      <c r="K411" t="s">
        <v>55</v>
      </c>
      <c r="L411">
        <v>3917</v>
      </c>
      <c r="M411">
        <v>1</v>
      </c>
      <c r="N411" t="s">
        <v>41</v>
      </c>
      <c r="O411">
        <v>20</v>
      </c>
      <c r="P411">
        <v>4</v>
      </c>
      <c r="Q411">
        <v>1</v>
      </c>
      <c r="R411">
        <v>3</v>
      </c>
      <c r="S411">
        <v>4</v>
      </c>
      <c r="T411">
        <v>3</v>
      </c>
      <c r="U411">
        <v>1</v>
      </c>
      <c r="V411">
        <v>2</v>
      </c>
      <c r="W411" t="s">
        <v>56</v>
      </c>
      <c r="X411" s="1" t="d">
        <v>2018-02-08</v>
      </c>
      <c r="Z411" t="s">
        <v>59</v>
      </c>
      <c r="AA411" t="s">
        <v>46</v>
      </c>
      <c r="AB411">
        <v>2</v>
      </c>
      <c r="AC411">
        <v>0</v>
      </c>
      <c r="AD411" t="s">
        <v>32</v>
      </c>
      <c r="AE411" t="s">
        <v>60</v>
      </c>
      <c r="AF411" t="s">
        <v>48</v>
      </c>
    </row>
    <row r="412" spans="1:32" x14ac:dyDescent="0.25">
      <c r="A412">
        <v>26</v>
      </c>
      <c r="B412" t="s">
        <v>32</v>
      </c>
      <c r="C412" t="s">
        <v>61</v>
      </c>
      <c r="D412" t="s">
        <v>34</v>
      </c>
      <c r="E412">
        <v>2</v>
      </c>
      <c r="F412" t="s">
        <v>35</v>
      </c>
      <c r="G412">
        <v>3</v>
      </c>
      <c r="H412">
        <v>1</v>
      </c>
      <c r="I412" t="s">
        <v>44</v>
      </c>
      <c r="J412">
        <v>1</v>
      </c>
      <c r="K412" t="s">
        <v>50</v>
      </c>
      <c r="L412">
        <v>2042</v>
      </c>
      <c r="M412">
        <v>6</v>
      </c>
      <c r="N412" t="s">
        <v>32</v>
      </c>
      <c r="O412">
        <v>14</v>
      </c>
      <c r="P412">
        <v>3</v>
      </c>
      <c r="Q412">
        <v>1</v>
      </c>
      <c r="R412">
        <v>6</v>
      </c>
      <c r="S412">
        <v>2</v>
      </c>
      <c r="T412">
        <v>3</v>
      </c>
      <c r="U412">
        <v>1</v>
      </c>
      <c r="V412">
        <v>2</v>
      </c>
      <c r="W412" t="s">
        <v>65</v>
      </c>
      <c r="X412" s="1" t="d">
        <v>2018-03-02</v>
      </c>
      <c r="Z412" t="s">
        <v>39</v>
      </c>
      <c r="AA412" t="s">
        <v>40</v>
      </c>
      <c r="AB412">
        <v>5</v>
      </c>
      <c r="AC412">
        <v>3</v>
      </c>
      <c r="AD412" t="s">
        <v>32</v>
      </c>
      <c r="AE412" t="s">
        <v>62</v>
      </c>
      <c r="AF412" t="s">
        <v>43</v>
      </c>
    </row>
    <row r="413" spans="1:32" x14ac:dyDescent="0.25">
      <c r="A413">
        <v>27</v>
      </c>
      <c r="B413" t="s">
        <v>41</v>
      </c>
      <c r="C413" t="s">
        <v>68</v>
      </c>
      <c r="D413" t="s">
        <v>34</v>
      </c>
      <c r="E413">
        <v>8</v>
      </c>
      <c r="F413" t="s">
        <v>35</v>
      </c>
      <c r="G413">
        <v>1</v>
      </c>
      <c r="H413">
        <v>1</v>
      </c>
      <c r="I413" t="s">
        <v>36</v>
      </c>
      <c r="J413">
        <v>3</v>
      </c>
      <c r="K413" t="s">
        <v>50</v>
      </c>
      <c r="L413">
        <v>4621</v>
      </c>
      <c r="M413">
        <v>1</v>
      </c>
      <c r="N413" t="s">
        <v>41</v>
      </c>
      <c r="O413">
        <v>19</v>
      </c>
      <c r="P413">
        <v>3</v>
      </c>
      <c r="Q413">
        <v>3</v>
      </c>
      <c r="R413">
        <v>3</v>
      </c>
      <c r="S413">
        <v>4</v>
      </c>
      <c r="T413">
        <v>3</v>
      </c>
      <c r="U413">
        <v>1</v>
      </c>
      <c r="V413">
        <v>2</v>
      </c>
      <c r="W413" t="s">
        <v>65</v>
      </c>
      <c r="X413" s="1" t="d">
        <v>2018-06-17</v>
      </c>
      <c r="Z413" t="s">
        <v>59</v>
      </c>
      <c r="AA413" t="s">
        <v>46</v>
      </c>
      <c r="AB413">
        <v>0</v>
      </c>
      <c r="AC413">
        <v>0</v>
      </c>
      <c r="AD413" t="s">
        <v>41</v>
      </c>
      <c r="AE413" t="s">
        <v>60</v>
      </c>
      <c r="AF413" t="s">
        <v>57</v>
      </c>
    </row>
    <row r="414" spans="1:32" x14ac:dyDescent="0.25">
      <c r="A414">
        <v>55</v>
      </c>
      <c r="B414" t="s">
        <v>41</v>
      </c>
      <c r="C414" t="s">
        <v>61</v>
      </c>
      <c r="D414" t="s">
        <v>34</v>
      </c>
      <c r="E414">
        <v>2</v>
      </c>
      <c r="F414" t="s">
        <v>35</v>
      </c>
      <c r="G414">
        <v>3</v>
      </c>
      <c r="H414">
        <v>3</v>
      </c>
      <c r="I414" t="s">
        <v>67</v>
      </c>
      <c r="J414">
        <v>2</v>
      </c>
      <c r="K414" t="s">
        <v>50</v>
      </c>
      <c r="L414">
        <v>10976</v>
      </c>
      <c r="M414">
        <v>3</v>
      </c>
      <c r="N414" t="s">
        <v>41</v>
      </c>
      <c r="O414">
        <v>18</v>
      </c>
      <c r="P414">
        <v>3</v>
      </c>
      <c r="Q414">
        <v>1</v>
      </c>
      <c r="R414">
        <v>23</v>
      </c>
      <c r="S414">
        <v>4</v>
      </c>
      <c r="T414">
        <v>3</v>
      </c>
      <c r="U414">
        <v>1</v>
      </c>
      <c r="V414">
        <v>2</v>
      </c>
      <c r="W414" t="s">
        <v>51</v>
      </c>
      <c r="X414" s="1" t="d">
        <v>2018-06-30</v>
      </c>
      <c r="Z414" t="s">
        <v>45</v>
      </c>
      <c r="AA414" t="s">
        <v>40</v>
      </c>
      <c r="AB414">
        <v>1</v>
      </c>
      <c r="AC414">
        <v>3</v>
      </c>
      <c r="AD414" t="s">
        <v>32</v>
      </c>
      <c r="AE414" t="s">
        <v>47</v>
      </c>
      <c r="AF414" t="s">
        <v>43</v>
      </c>
    </row>
    <row r="415" spans="1:32" x14ac:dyDescent="0.25">
      <c r="A415">
        <v>33</v>
      </c>
      <c r="B415" t="s">
        <v>41</v>
      </c>
      <c r="C415" t="s">
        <v>33</v>
      </c>
      <c r="D415" t="s">
        <v>34</v>
      </c>
      <c r="E415">
        <v>5</v>
      </c>
      <c r="F415" t="s">
        <v>35</v>
      </c>
      <c r="G415">
        <v>2</v>
      </c>
      <c r="H415">
        <v>3</v>
      </c>
      <c r="I415" t="s">
        <v>69</v>
      </c>
      <c r="J415">
        <v>4</v>
      </c>
      <c r="K415" t="s">
        <v>55</v>
      </c>
      <c r="L415">
        <v>7119</v>
      </c>
      <c r="M415">
        <v>4</v>
      </c>
      <c r="N415" t="s">
        <v>41</v>
      </c>
      <c r="O415">
        <v>15</v>
      </c>
      <c r="P415">
        <v>3</v>
      </c>
      <c r="Q415">
        <v>1</v>
      </c>
      <c r="R415">
        <v>9</v>
      </c>
      <c r="S415">
        <v>2</v>
      </c>
      <c r="T415">
        <v>3</v>
      </c>
      <c r="U415">
        <v>1</v>
      </c>
      <c r="V415">
        <v>2</v>
      </c>
      <c r="W415" t="s">
        <v>51</v>
      </c>
      <c r="X415" s="1" t="d">
        <v>2018-05-02</v>
      </c>
      <c r="Z415" t="s">
        <v>63</v>
      </c>
      <c r="AA415" t="s">
        <v>46</v>
      </c>
      <c r="AB415">
        <v>4</v>
      </c>
      <c r="AC415">
        <v>0</v>
      </c>
      <c r="AD415" t="s">
        <v>32</v>
      </c>
      <c r="AE415" t="s">
        <v>42</v>
      </c>
      <c r="AF415" t="s">
        <v>57</v>
      </c>
    </row>
    <row r="416" spans="1:32" x14ac:dyDescent="0.25">
      <c r="A416">
        <v>33</v>
      </c>
      <c r="B416" t="s">
        <v>41</v>
      </c>
      <c r="C416" t="s">
        <v>61</v>
      </c>
      <c r="D416" t="s">
        <v>53</v>
      </c>
      <c r="E416">
        <v>7</v>
      </c>
      <c r="F416" t="s">
        <v>58</v>
      </c>
      <c r="G416">
        <v>3</v>
      </c>
      <c r="H416">
        <v>2</v>
      </c>
      <c r="I416" t="s">
        <v>64</v>
      </c>
      <c r="J416">
        <v>2</v>
      </c>
      <c r="K416" t="s">
        <v>50</v>
      </c>
      <c r="L416">
        <v>4302</v>
      </c>
      <c r="M416">
        <v>0</v>
      </c>
      <c r="N416" t="s">
        <v>41</v>
      </c>
      <c r="O416">
        <v>17</v>
      </c>
      <c r="P416">
        <v>3</v>
      </c>
      <c r="Q416">
        <v>1</v>
      </c>
      <c r="R416">
        <v>4</v>
      </c>
      <c r="S416">
        <v>3</v>
      </c>
      <c r="T416">
        <v>3</v>
      </c>
      <c r="U416">
        <v>0</v>
      </c>
      <c r="V416">
        <v>2</v>
      </c>
      <c r="W416" t="s">
        <v>51</v>
      </c>
      <c r="X416" s="1" t="d">
        <v>2018-02-03</v>
      </c>
      <c r="Z416" t="s">
        <v>59</v>
      </c>
      <c r="AA416" t="s">
        <v>40</v>
      </c>
      <c r="AB416">
        <v>5</v>
      </c>
      <c r="AC416">
        <v>2</v>
      </c>
      <c r="AD416" t="s">
        <v>41</v>
      </c>
      <c r="AE416" t="s">
        <v>60</v>
      </c>
      <c r="AF416" t="s">
        <v>48</v>
      </c>
    </row>
    <row r="417" spans="1:32" x14ac:dyDescent="0.25">
      <c r="A417">
        <v>34</v>
      </c>
      <c r="B417" t="s">
        <v>41</v>
      </c>
      <c r="C417" t="s">
        <v>61</v>
      </c>
      <c r="D417" t="s">
        <v>34</v>
      </c>
      <c r="E417">
        <v>2</v>
      </c>
      <c r="F417" t="s">
        <v>35</v>
      </c>
      <c r="G417">
        <v>3</v>
      </c>
      <c r="H417">
        <v>2</v>
      </c>
      <c r="I417" t="s">
        <v>67</v>
      </c>
      <c r="J417">
        <v>3</v>
      </c>
      <c r="K417" t="s">
        <v>37</v>
      </c>
      <c r="L417">
        <v>4033</v>
      </c>
      <c r="M417">
        <v>2</v>
      </c>
      <c r="N417" t="s">
        <v>41</v>
      </c>
      <c r="O417">
        <v>11</v>
      </c>
      <c r="P417">
        <v>3</v>
      </c>
      <c r="Q417">
        <v>0</v>
      </c>
      <c r="R417">
        <v>5</v>
      </c>
      <c r="S417">
        <v>3</v>
      </c>
      <c r="T417">
        <v>3</v>
      </c>
      <c r="U417">
        <v>0</v>
      </c>
      <c r="V417">
        <v>2</v>
      </c>
      <c r="W417" t="s">
        <v>65</v>
      </c>
      <c r="X417" s="1" t="d">
        <v>2018-03-05</v>
      </c>
      <c r="Z417" t="s">
        <v>59</v>
      </c>
      <c r="AA417" t="s">
        <v>40</v>
      </c>
      <c r="AB417">
        <v>4</v>
      </c>
      <c r="AC417">
        <v>1</v>
      </c>
      <c r="AD417" t="s">
        <v>41</v>
      </c>
      <c r="AE417" t="s">
        <v>60</v>
      </c>
      <c r="AF417" t="s">
        <v>43</v>
      </c>
    </row>
    <row r="418" spans="1:32" x14ac:dyDescent="0.25">
      <c r="A418">
        <v>28</v>
      </c>
      <c r="B418" t="s">
        <v>41</v>
      </c>
      <c r="C418" t="s">
        <v>61</v>
      </c>
      <c r="D418" t="s">
        <v>34</v>
      </c>
      <c r="E418">
        <v>6</v>
      </c>
      <c r="F418" t="s">
        <v>35</v>
      </c>
      <c r="G418">
        <v>2</v>
      </c>
      <c r="H418">
        <v>1</v>
      </c>
      <c r="I418" t="s">
        <v>44</v>
      </c>
      <c r="J418">
        <v>3</v>
      </c>
      <c r="K418" t="s">
        <v>55</v>
      </c>
      <c r="L418">
        <v>2703</v>
      </c>
      <c r="M418">
        <v>1</v>
      </c>
      <c r="N418" t="s">
        <v>32</v>
      </c>
      <c r="O418">
        <v>14</v>
      </c>
      <c r="P418">
        <v>3</v>
      </c>
      <c r="Q418">
        <v>1</v>
      </c>
      <c r="R418">
        <v>3</v>
      </c>
      <c r="S418">
        <v>2</v>
      </c>
      <c r="T418">
        <v>3</v>
      </c>
      <c r="U418">
        <v>0</v>
      </c>
      <c r="V418">
        <v>2</v>
      </c>
      <c r="W418" t="s">
        <v>51</v>
      </c>
      <c r="X418" s="1" t="d">
        <v>2018-01-30</v>
      </c>
      <c r="Z418" t="s">
        <v>63</v>
      </c>
      <c r="AA418" t="s">
        <v>46</v>
      </c>
      <c r="AB418">
        <v>4</v>
      </c>
      <c r="AC418">
        <v>3</v>
      </c>
      <c r="AD418" t="s">
        <v>41</v>
      </c>
      <c r="AE418" t="s">
        <v>47</v>
      </c>
      <c r="AF418" t="s">
        <v>48</v>
      </c>
    </row>
    <row r="419" spans="1:32" x14ac:dyDescent="0.25">
      <c r="A419">
        <v>45</v>
      </c>
      <c r="B419" t="s">
        <v>41</v>
      </c>
      <c r="C419" t="s">
        <v>33</v>
      </c>
      <c r="D419" t="s">
        <v>34</v>
      </c>
      <c r="E419">
        <v>7</v>
      </c>
      <c r="F419" t="s">
        <v>58</v>
      </c>
      <c r="G419">
        <v>3</v>
      </c>
      <c r="H419">
        <v>1</v>
      </c>
      <c r="I419" t="s">
        <v>44</v>
      </c>
      <c r="J419">
        <v>3</v>
      </c>
      <c r="K419" t="s">
        <v>50</v>
      </c>
      <c r="L419">
        <v>4477</v>
      </c>
      <c r="M419">
        <v>4</v>
      </c>
      <c r="N419" t="s">
        <v>32</v>
      </c>
      <c r="O419">
        <v>19</v>
      </c>
      <c r="P419">
        <v>3</v>
      </c>
      <c r="Q419">
        <v>1</v>
      </c>
      <c r="R419">
        <v>7</v>
      </c>
      <c r="S419">
        <v>2</v>
      </c>
      <c r="T419">
        <v>3</v>
      </c>
      <c r="U419">
        <v>0</v>
      </c>
      <c r="V419">
        <v>2</v>
      </c>
      <c r="W419" t="s">
        <v>51</v>
      </c>
      <c r="X419" s="1" t="d">
        <v>2018-03-30</v>
      </c>
      <c r="Z419" t="s">
        <v>39</v>
      </c>
      <c r="AA419" t="s">
        <v>40</v>
      </c>
      <c r="AB419">
        <v>0</v>
      </c>
      <c r="AC419">
        <v>1</v>
      </c>
      <c r="AD419" t="s">
        <v>32</v>
      </c>
      <c r="AE419" t="s">
        <v>60</v>
      </c>
      <c r="AF419" t="s">
        <v>57</v>
      </c>
    </row>
    <row r="420" spans="1:32" x14ac:dyDescent="0.25">
      <c r="A420">
        <v>29</v>
      </c>
      <c r="B420" t="s">
        <v>41</v>
      </c>
      <c r="C420" t="s">
        <v>33</v>
      </c>
      <c r="D420" t="s">
        <v>34</v>
      </c>
      <c r="E420">
        <v>1</v>
      </c>
      <c r="F420" t="s">
        <v>58</v>
      </c>
      <c r="G420">
        <v>3</v>
      </c>
      <c r="H420">
        <v>1</v>
      </c>
      <c r="I420" t="s">
        <v>44</v>
      </c>
      <c r="J420">
        <v>4</v>
      </c>
      <c r="K420" t="s">
        <v>55</v>
      </c>
      <c r="L420">
        <v>3760</v>
      </c>
      <c r="M420">
        <v>1</v>
      </c>
      <c r="N420" t="s">
        <v>41</v>
      </c>
      <c r="O420">
        <v>15</v>
      </c>
      <c r="P420">
        <v>3</v>
      </c>
      <c r="Q420">
        <v>3</v>
      </c>
      <c r="R420">
        <v>3</v>
      </c>
      <c r="S420">
        <v>5</v>
      </c>
      <c r="T420">
        <v>3</v>
      </c>
      <c r="U420">
        <v>1</v>
      </c>
      <c r="V420">
        <v>2</v>
      </c>
      <c r="W420" t="s">
        <v>56</v>
      </c>
      <c r="X420" s="1" t="d">
        <v>2018-06-14</v>
      </c>
      <c r="Z420" t="s">
        <v>59</v>
      </c>
      <c r="AA420" t="s">
        <v>46</v>
      </c>
      <c r="AB420">
        <v>0</v>
      </c>
      <c r="AC420">
        <v>2</v>
      </c>
      <c r="AD420" t="s">
        <v>32</v>
      </c>
      <c r="AE420" t="s">
        <v>42</v>
      </c>
      <c r="AF420" t="s">
        <v>43</v>
      </c>
    </row>
    <row r="421" spans="1:32" x14ac:dyDescent="0.25">
      <c r="A421">
        <v>34</v>
      </c>
      <c r="B421" t="s">
        <v>41</v>
      </c>
      <c r="C421" t="s">
        <v>33</v>
      </c>
      <c r="D421" t="s">
        <v>53</v>
      </c>
      <c r="E421">
        <v>2</v>
      </c>
      <c r="F421" t="s">
        <v>58</v>
      </c>
      <c r="G421">
        <v>3</v>
      </c>
      <c r="H421">
        <v>2</v>
      </c>
      <c r="I421" t="s">
        <v>64</v>
      </c>
      <c r="J421">
        <v>1</v>
      </c>
      <c r="K421" t="s">
        <v>37</v>
      </c>
      <c r="L421">
        <v>4538</v>
      </c>
      <c r="M421">
        <v>0</v>
      </c>
      <c r="N421" t="s">
        <v>32</v>
      </c>
      <c r="O421">
        <v>12</v>
      </c>
      <c r="P421">
        <v>3</v>
      </c>
      <c r="Q421">
        <v>0</v>
      </c>
      <c r="R421">
        <v>4</v>
      </c>
      <c r="S421">
        <v>3</v>
      </c>
      <c r="T421">
        <v>3</v>
      </c>
      <c r="U421">
        <v>0</v>
      </c>
      <c r="V421">
        <v>2</v>
      </c>
      <c r="W421" t="s">
        <v>51</v>
      </c>
      <c r="X421" s="1" t="d">
        <v>2018-02-25</v>
      </c>
      <c r="Z421" t="s">
        <v>52</v>
      </c>
      <c r="AA421" t="s">
        <v>40</v>
      </c>
      <c r="AB421">
        <v>1</v>
      </c>
      <c r="AC421">
        <v>3</v>
      </c>
      <c r="AD421" t="s">
        <v>41</v>
      </c>
      <c r="AE421" t="s">
        <v>62</v>
      </c>
      <c r="AF421" t="s">
        <v>57</v>
      </c>
    </row>
    <row r="422" spans="1:32" x14ac:dyDescent="0.25">
      <c r="A422">
        <v>35</v>
      </c>
      <c r="B422" t="s">
        <v>41</v>
      </c>
      <c r="C422" t="s">
        <v>33</v>
      </c>
      <c r="D422" t="s">
        <v>34</v>
      </c>
      <c r="E422">
        <v>6</v>
      </c>
      <c r="F422" t="s">
        <v>35</v>
      </c>
      <c r="G422">
        <v>3</v>
      </c>
      <c r="H422">
        <v>1</v>
      </c>
      <c r="I422" t="s">
        <v>44</v>
      </c>
      <c r="J422">
        <v>3</v>
      </c>
      <c r="K422" t="s">
        <v>50</v>
      </c>
      <c r="L422">
        <v>3506</v>
      </c>
      <c r="M422">
        <v>0</v>
      </c>
      <c r="N422" t="s">
        <v>32</v>
      </c>
      <c r="O422">
        <v>14</v>
      </c>
      <c r="P422">
        <v>3</v>
      </c>
      <c r="Q422">
        <v>0</v>
      </c>
      <c r="R422">
        <v>4</v>
      </c>
      <c r="S422">
        <v>3</v>
      </c>
      <c r="T422">
        <v>3</v>
      </c>
      <c r="U422">
        <v>2</v>
      </c>
      <c r="V422">
        <v>2</v>
      </c>
      <c r="W422" t="s">
        <v>51</v>
      </c>
      <c r="X422" s="1" t="d">
        <v>2018-03-03</v>
      </c>
      <c r="Z422" t="s">
        <v>63</v>
      </c>
      <c r="AA422" t="s">
        <v>46</v>
      </c>
      <c r="AB422">
        <v>0</v>
      </c>
      <c r="AC422">
        <v>2</v>
      </c>
      <c r="AD422" t="s">
        <v>41</v>
      </c>
      <c r="AE422" t="s">
        <v>47</v>
      </c>
      <c r="AF422" t="s">
        <v>57</v>
      </c>
    </row>
    <row r="423" spans="1:32" x14ac:dyDescent="0.25">
      <c r="A423">
        <v>28</v>
      </c>
      <c r="B423" t="s">
        <v>41</v>
      </c>
      <c r="C423" t="s">
        <v>33</v>
      </c>
      <c r="D423" t="s">
        <v>34</v>
      </c>
      <c r="E423">
        <v>1</v>
      </c>
      <c r="F423" t="s">
        <v>35</v>
      </c>
      <c r="G423">
        <v>3</v>
      </c>
      <c r="H423">
        <v>1</v>
      </c>
      <c r="I423" t="s">
        <v>44</v>
      </c>
      <c r="J423">
        <v>1</v>
      </c>
      <c r="K423" t="s">
        <v>37</v>
      </c>
      <c r="L423">
        <v>2080</v>
      </c>
      <c r="M423">
        <v>2</v>
      </c>
      <c r="N423" t="s">
        <v>41</v>
      </c>
      <c r="O423">
        <v>11</v>
      </c>
      <c r="P423">
        <v>3</v>
      </c>
      <c r="Q423">
        <v>0</v>
      </c>
      <c r="R423">
        <v>5</v>
      </c>
      <c r="S423">
        <v>2</v>
      </c>
      <c r="T423">
        <v>3</v>
      </c>
      <c r="U423">
        <v>1</v>
      </c>
      <c r="V423">
        <v>2</v>
      </c>
      <c r="W423" t="s">
        <v>51</v>
      </c>
      <c r="X423" s="1" t="d">
        <v>2018-04-18</v>
      </c>
      <c r="Z423" t="s">
        <v>45</v>
      </c>
      <c r="AA423" t="s">
        <v>40</v>
      </c>
      <c r="AB423">
        <v>3</v>
      </c>
      <c r="AC423">
        <v>1</v>
      </c>
      <c r="AD423" t="s">
        <v>32</v>
      </c>
      <c r="AE423" t="s">
        <v>62</v>
      </c>
      <c r="AF423" t="s">
        <v>48</v>
      </c>
    </row>
    <row r="424" spans="1:32" x14ac:dyDescent="0.25">
      <c r="A424">
        <v>50</v>
      </c>
      <c r="B424" t="s">
        <v>41</v>
      </c>
      <c r="C424" t="s">
        <v>33</v>
      </c>
      <c r="D424" t="s">
        <v>34</v>
      </c>
      <c r="E424">
        <v>28</v>
      </c>
      <c r="F424" t="s">
        <v>58</v>
      </c>
      <c r="G424">
        <v>3</v>
      </c>
      <c r="H424">
        <v>4</v>
      </c>
      <c r="I424" t="s">
        <v>49</v>
      </c>
      <c r="J424">
        <v>1</v>
      </c>
      <c r="K424" t="s">
        <v>50</v>
      </c>
      <c r="L424">
        <v>16880</v>
      </c>
      <c r="M424">
        <v>4</v>
      </c>
      <c r="N424" t="s">
        <v>32</v>
      </c>
      <c r="O424">
        <v>11</v>
      </c>
      <c r="P424">
        <v>3</v>
      </c>
      <c r="Q424">
        <v>0</v>
      </c>
      <c r="R424">
        <v>25</v>
      </c>
      <c r="S424">
        <v>2</v>
      </c>
      <c r="T424">
        <v>3</v>
      </c>
      <c r="U424">
        <v>1</v>
      </c>
      <c r="V424">
        <v>2</v>
      </c>
      <c r="W424" t="s">
        <v>65</v>
      </c>
      <c r="X424" s="1" t="d">
        <v>2018-05-04</v>
      </c>
      <c r="Z424" t="s">
        <v>45</v>
      </c>
      <c r="AA424" t="s">
        <v>40</v>
      </c>
      <c r="AB424">
        <v>0</v>
      </c>
      <c r="AC424">
        <v>1</v>
      </c>
      <c r="AD424" t="s">
        <v>32</v>
      </c>
      <c r="AE424" t="s">
        <v>60</v>
      </c>
      <c r="AF424" t="s">
        <v>48</v>
      </c>
    </row>
    <row r="425" spans="1:32" x14ac:dyDescent="0.25">
      <c r="A425">
        <v>31</v>
      </c>
      <c r="B425" t="s">
        <v>32</v>
      </c>
      <c r="C425" t="s">
        <v>61</v>
      </c>
      <c r="D425" t="s">
        <v>53</v>
      </c>
      <c r="E425">
        <v>1</v>
      </c>
      <c r="F425" t="s">
        <v>58</v>
      </c>
      <c r="G425">
        <v>3</v>
      </c>
      <c r="H425">
        <v>1</v>
      </c>
      <c r="I425" t="s">
        <v>54</v>
      </c>
      <c r="J425">
        <v>2</v>
      </c>
      <c r="K425" t="s">
        <v>37</v>
      </c>
      <c r="L425">
        <v>2302</v>
      </c>
      <c r="M425">
        <v>1</v>
      </c>
      <c r="N425" t="s">
        <v>32</v>
      </c>
      <c r="O425">
        <v>11</v>
      </c>
      <c r="P425">
        <v>3</v>
      </c>
      <c r="Q425">
        <v>0</v>
      </c>
      <c r="R425">
        <v>3</v>
      </c>
      <c r="S425">
        <v>2</v>
      </c>
      <c r="T425">
        <v>3</v>
      </c>
      <c r="U425">
        <v>2</v>
      </c>
      <c r="V425">
        <v>2</v>
      </c>
      <c r="W425" t="s">
        <v>65</v>
      </c>
      <c r="X425" s="1" t="d">
        <v>2018-04-11</v>
      </c>
      <c r="Z425" t="s">
        <v>52</v>
      </c>
      <c r="AA425" t="s">
        <v>40</v>
      </c>
      <c r="AB425">
        <v>4</v>
      </c>
      <c r="AC425">
        <v>3</v>
      </c>
      <c r="AD425" t="s">
        <v>41</v>
      </c>
      <c r="AE425" t="s">
        <v>47</v>
      </c>
      <c r="AF425" t="s">
        <v>48</v>
      </c>
    </row>
    <row r="426" spans="1:32" x14ac:dyDescent="0.25">
      <c r="A426">
        <v>44</v>
      </c>
      <c r="B426" t="s">
        <v>32</v>
      </c>
      <c r="C426" t="s">
        <v>33</v>
      </c>
      <c r="D426" t="s">
        <v>34</v>
      </c>
      <c r="E426">
        <v>3</v>
      </c>
      <c r="F426" t="s">
        <v>35</v>
      </c>
      <c r="G426">
        <v>3</v>
      </c>
      <c r="H426">
        <v>1</v>
      </c>
      <c r="I426" t="s">
        <v>36</v>
      </c>
      <c r="J426">
        <v>1</v>
      </c>
      <c r="K426" t="s">
        <v>50</v>
      </c>
      <c r="L426">
        <v>2362</v>
      </c>
      <c r="M426">
        <v>4</v>
      </c>
      <c r="N426" t="s">
        <v>41</v>
      </c>
      <c r="O426">
        <v>12</v>
      </c>
      <c r="P426">
        <v>3</v>
      </c>
      <c r="Q426">
        <v>0</v>
      </c>
      <c r="R426">
        <v>10</v>
      </c>
      <c r="S426">
        <v>4</v>
      </c>
      <c r="T426">
        <v>3</v>
      </c>
      <c r="U426">
        <v>1</v>
      </c>
      <c r="V426">
        <v>2</v>
      </c>
      <c r="W426" t="s">
        <v>51</v>
      </c>
      <c r="X426" s="1" t="d">
        <v>2018-04-17</v>
      </c>
      <c r="Z426" t="s">
        <v>52</v>
      </c>
      <c r="AA426" t="s">
        <v>40</v>
      </c>
      <c r="AB426">
        <v>1</v>
      </c>
      <c r="AC426">
        <v>1</v>
      </c>
      <c r="AD426" t="s">
        <v>32</v>
      </c>
      <c r="AE426" t="s">
        <v>62</v>
      </c>
      <c r="AF426" t="s">
        <v>57</v>
      </c>
    </row>
    <row r="427" spans="1:32" x14ac:dyDescent="0.25">
      <c r="A427">
        <v>25</v>
      </c>
      <c r="B427" t="s">
        <v>41</v>
      </c>
      <c r="C427" t="s">
        <v>33</v>
      </c>
      <c r="D427" t="s">
        <v>34</v>
      </c>
      <c r="E427">
        <v>19</v>
      </c>
      <c r="F427" t="s">
        <v>35</v>
      </c>
      <c r="G427">
        <v>3</v>
      </c>
      <c r="H427">
        <v>1</v>
      </c>
      <c r="I427" t="s">
        <v>36</v>
      </c>
      <c r="J427">
        <v>4</v>
      </c>
      <c r="K427" t="s">
        <v>50</v>
      </c>
      <c r="L427">
        <v>3669</v>
      </c>
      <c r="M427">
        <v>3</v>
      </c>
      <c r="N427" t="s">
        <v>41</v>
      </c>
      <c r="O427">
        <v>11</v>
      </c>
      <c r="P427">
        <v>3</v>
      </c>
      <c r="Q427">
        <v>3</v>
      </c>
      <c r="R427">
        <v>7</v>
      </c>
      <c r="S427">
        <v>6</v>
      </c>
      <c r="T427">
        <v>3</v>
      </c>
      <c r="U427">
        <v>1</v>
      </c>
      <c r="V427">
        <v>2</v>
      </c>
      <c r="W427" t="s">
        <v>51</v>
      </c>
      <c r="X427" s="1" t="d">
        <v>2018-05-03</v>
      </c>
      <c r="Z427" t="s">
        <v>39</v>
      </c>
      <c r="AA427" t="s">
        <v>40</v>
      </c>
      <c r="AB427">
        <v>3</v>
      </c>
      <c r="AC427">
        <v>0</v>
      </c>
      <c r="AD427" t="s">
        <v>41</v>
      </c>
      <c r="AE427" t="s">
        <v>62</v>
      </c>
      <c r="AF427" t="s">
        <v>57</v>
      </c>
    </row>
    <row r="428" spans="1:32" x14ac:dyDescent="0.25">
      <c r="A428">
        <v>32</v>
      </c>
      <c r="B428" t="s">
        <v>41</v>
      </c>
      <c r="C428" t="s">
        <v>33</v>
      </c>
      <c r="D428" t="s">
        <v>53</v>
      </c>
      <c r="E428">
        <v>2</v>
      </c>
      <c r="F428" t="s">
        <v>35</v>
      </c>
      <c r="G428">
        <v>3</v>
      </c>
      <c r="H428">
        <v>2</v>
      </c>
      <c r="I428" t="s">
        <v>64</v>
      </c>
      <c r="J428">
        <v>2</v>
      </c>
      <c r="K428" t="s">
        <v>50</v>
      </c>
      <c r="L428">
        <v>4078</v>
      </c>
      <c r="M428">
        <v>0</v>
      </c>
      <c r="N428" t="s">
        <v>32</v>
      </c>
      <c r="O428">
        <v>13</v>
      </c>
      <c r="P428">
        <v>3</v>
      </c>
      <c r="Q428">
        <v>3</v>
      </c>
      <c r="R428">
        <v>4</v>
      </c>
      <c r="S428">
        <v>3</v>
      </c>
      <c r="T428">
        <v>3</v>
      </c>
      <c r="U428">
        <v>1</v>
      </c>
      <c r="V428">
        <v>2</v>
      </c>
      <c r="W428" t="s">
        <v>56</v>
      </c>
      <c r="X428" s="1" t="d">
        <v>2018-06-08</v>
      </c>
      <c r="Z428" t="s">
        <v>63</v>
      </c>
      <c r="AA428" t="s">
        <v>46</v>
      </c>
      <c r="AB428">
        <v>2</v>
      </c>
      <c r="AC428">
        <v>3</v>
      </c>
      <c r="AD428" t="s">
        <v>41</v>
      </c>
      <c r="AE428" t="s">
        <v>42</v>
      </c>
      <c r="AF428" t="s">
        <v>43</v>
      </c>
    </row>
    <row r="429" spans="1:32" x14ac:dyDescent="0.25">
      <c r="A429">
        <v>25</v>
      </c>
      <c r="B429" t="s">
        <v>41</v>
      </c>
      <c r="C429" t="s">
        <v>33</v>
      </c>
      <c r="D429" t="s">
        <v>53</v>
      </c>
      <c r="E429">
        <v>18</v>
      </c>
      <c r="F429" t="s">
        <v>35</v>
      </c>
      <c r="G429">
        <v>4</v>
      </c>
      <c r="H429">
        <v>2</v>
      </c>
      <c r="I429" t="s">
        <v>64</v>
      </c>
      <c r="J429">
        <v>3</v>
      </c>
      <c r="K429" t="s">
        <v>50</v>
      </c>
      <c r="L429">
        <v>6232</v>
      </c>
      <c r="M429">
        <v>2</v>
      </c>
      <c r="N429" t="s">
        <v>41</v>
      </c>
      <c r="O429">
        <v>11</v>
      </c>
      <c r="P429">
        <v>3</v>
      </c>
      <c r="Q429">
        <v>0</v>
      </c>
      <c r="R429">
        <v>6</v>
      </c>
      <c r="S429">
        <v>3</v>
      </c>
      <c r="T429">
        <v>3</v>
      </c>
      <c r="U429">
        <v>1</v>
      </c>
      <c r="V429">
        <v>2</v>
      </c>
      <c r="W429" t="s">
        <v>56</v>
      </c>
      <c r="X429" s="1" t="d">
        <v>2018-01-02</v>
      </c>
      <c r="Z429" t="s">
        <v>39</v>
      </c>
      <c r="AA429" t="s">
        <v>46</v>
      </c>
      <c r="AB429">
        <v>0</v>
      </c>
      <c r="AC429">
        <v>0</v>
      </c>
      <c r="AD429" t="s">
        <v>32</v>
      </c>
      <c r="AE429" t="s">
        <v>60</v>
      </c>
      <c r="AF429" t="s">
        <v>57</v>
      </c>
    </row>
    <row r="430" spans="1:32" x14ac:dyDescent="0.25">
      <c r="A430">
        <v>37</v>
      </c>
      <c r="B430" t="s">
        <v>41</v>
      </c>
      <c r="C430" t="s">
        <v>33</v>
      </c>
      <c r="D430" t="s">
        <v>34</v>
      </c>
      <c r="E430">
        <v>11</v>
      </c>
      <c r="F430" t="s">
        <v>58</v>
      </c>
      <c r="G430">
        <v>3</v>
      </c>
      <c r="H430">
        <v>1</v>
      </c>
      <c r="I430" t="s">
        <v>36</v>
      </c>
      <c r="J430">
        <v>3</v>
      </c>
      <c r="K430" t="s">
        <v>37</v>
      </c>
      <c r="L430">
        <v>3629</v>
      </c>
      <c r="M430">
        <v>4</v>
      </c>
      <c r="N430" t="s">
        <v>41</v>
      </c>
      <c r="O430">
        <v>18</v>
      </c>
      <c r="P430">
        <v>3</v>
      </c>
      <c r="Q430">
        <v>0</v>
      </c>
      <c r="R430">
        <v>8</v>
      </c>
      <c r="S430">
        <v>6</v>
      </c>
      <c r="T430">
        <v>3</v>
      </c>
      <c r="U430">
        <v>0</v>
      </c>
      <c r="V430">
        <v>2</v>
      </c>
      <c r="W430" t="s">
        <v>65</v>
      </c>
      <c r="X430" s="1" t="d">
        <v>2018-02-20</v>
      </c>
      <c r="Z430" t="s">
        <v>39</v>
      </c>
      <c r="AA430" t="s">
        <v>40</v>
      </c>
      <c r="AB430">
        <v>5</v>
      </c>
      <c r="AC430">
        <v>2</v>
      </c>
      <c r="AD430" t="s">
        <v>32</v>
      </c>
      <c r="AE430" t="s">
        <v>62</v>
      </c>
      <c r="AF430" t="s">
        <v>57</v>
      </c>
    </row>
    <row r="431" spans="1:32" x14ac:dyDescent="0.25">
      <c r="A431">
        <v>25</v>
      </c>
      <c r="B431" t="s">
        <v>41</v>
      </c>
      <c r="C431" t="s">
        <v>33</v>
      </c>
      <c r="D431" t="s">
        <v>34</v>
      </c>
      <c r="E431">
        <v>1</v>
      </c>
      <c r="F431" t="s">
        <v>35</v>
      </c>
      <c r="G431">
        <v>3</v>
      </c>
      <c r="H431">
        <v>1</v>
      </c>
      <c r="I431" t="s">
        <v>36</v>
      </c>
      <c r="J431">
        <v>4</v>
      </c>
      <c r="K431" t="s">
        <v>50</v>
      </c>
      <c r="L431">
        <v>3229</v>
      </c>
      <c r="M431">
        <v>4</v>
      </c>
      <c r="N431" t="s">
        <v>41</v>
      </c>
      <c r="O431">
        <v>11</v>
      </c>
      <c r="P431">
        <v>3</v>
      </c>
      <c r="Q431">
        <v>1</v>
      </c>
      <c r="R431">
        <v>7</v>
      </c>
      <c r="S431">
        <v>2</v>
      </c>
      <c r="T431">
        <v>3</v>
      </c>
      <c r="U431">
        <v>0</v>
      </c>
      <c r="V431">
        <v>2</v>
      </c>
      <c r="W431" t="s">
        <v>51</v>
      </c>
      <c r="X431" s="1" t="d">
        <v>2018-03-24</v>
      </c>
      <c r="Z431" t="s">
        <v>63</v>
      </c>
      <c r="AA431" t="s">
        <v>46</v>
      </c>
      <c r="AB431">
        <v>1</v>
      </c>
      <c r="AC431">
        <v>3</v>
      </c>
      <c r="AD431" t="s">
        <v>41</v>
      </c>
      <c r="AE431" t="s">
        <v>60</v>
      </c>
      <c r="AF431" t="s">
        <v>57</v>
      </c>
    </row>
    <row r="432" spans="1:32" x14ac:dyDescent="0.25">
      <c r="A432">
        <v>30</v>
      </c>
      <c r="B432" t="s">
        <v>41</v>
      </c>
      <c r="C432" t="s">
        <v>33</v>
      </c>
      <c r="D432" t="s">
        <v>53</v>
      </c>
      <c r="E432">
        <v>7</v>
      </c>
      <c r="F432" t="s">
        <v>58</v>
      </c>
      <c r="G432">
        <v>3</v>
      </c>
      <c r="H432">
        <v>2</v>
      </c>
      <c r="I432" t="s">
        <v>64</v>
      </c>
      <c r="J432">
        <v>1</v>
      </c>
      <c r="K432" t="s">
        <v>55</v>
      </c>
      <c r="L432">
        <v>4779</v>
      </c>
      <c r="M432">
        <v>7</v>
      </c>
      <c r="N432" t="s">
        <v>41</v>
      </c>
      <c r="O432">
        <v>14</v>
      </c>
      <c r="P432">
        <v>3</v>
      </c>
      <c r="Q432">
        <v>2</v>
      </c>
      <c r="R432">
        <v>8</v>
      </c>
      <c r="S432">
        <v>3</v>
      </c>
      <c r="T432">
        <v>3</v>
      </c>
      <c r="U432">
        <v>0</v>
      </c>
      <c r="V432">
        <v>2</v>
      </c>
      <c r="W432" t="s">
        <v>65</v>
      </c>
      <c r="X432" s="1" t="d">
        <v>2018-01-16</v>
      </c>
      <c r="Z432" t="s">
        <v>39</v>
      </c>
      <c r="AA432" t="s">
        <v>40</v>
      </c>
      <c r="AB432">
        <v>4</v>
      </c>
      <c r="AC432">
        <v>2</v>
      </c>
      <c r="AD432" t="s">
        <v>41</v>
      </c>
      <c r="AE432" t="s">
        <v>47</v>
      </c>
      <c r="AF432" t="s">
        <v>48</v>
      </c>
    </row>
    <row r="433" spans="1:32" x14ac:dyDescent="0.25">
      <c r="A433">
        <v>31</v>
      </c>
      <c r="B433" t="s">
        <v>41</v>
      </c>
      <c r="C433" t="s">
        <v>33</v>
      </c>
      <c r="D433" t="s">
        <v>34</v>
      </c>
      <c r="E433">
        <v>8</v>
      </c>
      <c r="F433" t="s">
        <v>58</v>
      </c>
      <c r="G433">
        <v>3</v>
      </c>
      <c r="H433">
        <v>4</v>
      </c>
      <c r="I433" t="s">
        <v>49</v>
      </c>
      <c r="J433">
        <v>2</v>
      </c>
      <c r="K433" t="s">
        <v>37</v>
      </c>
      <c r="L433">
        <v>16422</v>
      </c>
      <c r="M433">
        <v>3</v>
      </c>
      <c r="N433" t="s">
        <v>41</v>
      </c>
      <c r="O433">
        <v>11</v>
      </c>
      <c r="P433">
        <v>3</v>
      </c>
      <c r="Q433">
        <v>0</v>
      </c>
      <c r="R433">
        <v>9</v>
      </c>
      <c r="S433">
        <v>3</v>
      </c>
      <c r="T433">
        <v>3</v>
      </c>
      <c r="U433">
        <v>1</v>
      </c>
      <c r="V433">
        <v>0</v>
      </c>
      <c r="W433" t="s">
        <v>65</v>
      </c>
      <c r="X433" s="1" t="d">
        <v>2018-05-18</v>
      </c>
      <c r="Z433" t="s">
        <v>45</v>
      </c>
      <c r="AA433" t="s">
        <v>40</v>
      </c>
      <c r="AB433">
        <v>5</v>
      </c>
      <c r="AC433">
        <v>3</v>
      </c>
      <c r="AD433" t="s">
        <v>32</v>
      </c>
      <c r="AE433" t="s">
        <v>47</v>
      </c>
      <c r="AF433" t="s">
        <v>48</v>
      </c>
    </row>
    <row r="434" spans="1:32" x14ac:dyDescent="0.25">
      <c r="A434">
        <v>36</v>
      </c>
      <c r="B434" t="s">
        <v>41</v>
      </c>
      <c r="C434" t="s">
        <v>33</v>
      </c>
      <c r="D434" t="s">
        <v>53</v>
      </c>
      <c r="E434">
        <v>16</v>
      </c>
      <c r="F434" t="s">
        <v>58</v>
      </c>
      <c r="G434">
        <v>2</v>
      </c>
      <c r="H434">
        <v>2</v>
      </c>
      <c r="I434" t="s">
        <v>64</v>
      </c>
      <c r="J434">
        <v>1</v>
      </c>
      <c r="K434" t="s">
        <v>50</v>
      </c>
      <c r="L434">
        <v>5647</v>
      </c>
      <c r="M434">
        <v>4</v>
      </c>
      <c r="N434" t="s">
        <v>41</v>
      </c>
      <c r="O434">
        <v>13</v>
      </c>
      <c r="P434">
        <v>3</v>
      </c>
      <c r="Q434">
        <v>2</v>
      </c>
      <c r="R434">
        <v>11</v>
      </c>
      <c r="S434">
        <v>3</v>
      </c>
      <c r="T434">
        <v>3</v>
      </c>
      <c r="U434">
        <v>0</v>
      </c>
      <c r="V434">
        <v>2</v>
      </c>
      <c r="W434" t="s">
        <v>56</v>
      </c>
      <c r="X434" s="1" t="d">
        <v>2018-03-20</v>
      </c>
      <c r="Z434" t="s">
        <v>45</v>
      </c>
      <c r="AA434" t="s">
        <v>46</v>
      </c>
      <c r="AB434">
        <v>2</v>
      </c>
      <c r="AC434">
        <v>2</v>
      </c>
      <c r="AD434" t="s">
        <v>32</v>
      </c>
      <c r="AE434" t="s">
        <v>47</v>
      </c>
      <c r="AF434" t="s">
        <v>57</v>
      </c>
    </row>
    <row r="435" spans="1:32" x14ac:dyDescent="0.25">
      <c r="A435">
        <v>25</v>
      </c>
      <c r="B435" t="s">
        <v>32</v>
      </c>
      <c r="C435" t="s">
        <v>33</v>
      </c>
      <c r="D435" t="s">
        <v>53</v>
      </c>
      <c r="E435">
        <v>9</v>
      </c>
      <c r="F435" t="s">
        <v>35</v>
      </c>
      <c r="G435">
        <v>2</v>
      </c>
      <c r="H435">
        <v>1</v>
      </c>
      <c r="I435" t="s">
        <v>54</v>
      </c>
      <c r="J435">
        <v>1</v>
      </c>
      <c r="K435" t="s">
        <v>50</v>
      </c>
      <c r="L435">
        <v>4400</v>
      </c>
      <c r="M435">
        <v>3</v>
      </c>
      <c r="N435" t="s">
        <v>41</v>
      </c>
      <c r="O435">
        <v>12</v>
      </c>
      <c r="P435">
        <v>3</v>
      </c>
      <c r="Q435">
        <v>0</v>
      </c>
      <c r="R435">
        <v>6</v>
      </c>
      <c r="S435">
        <v>2</v>
      </c>
      <c r="T435">
        <v>3</v>
      </c>
      <c r="U435">
        <v>2</v>
      </c>
      <c r="V435">
        <v>2</v>
      </c>
      <c r="W435" t="s">
        <v>65</v>
      </c>
      <c r="X435" s="1" t="d">
        <v>2018-06-07</v>
      </c>
      <c r="Z435" t="s">
        <v>59</v>
      </c>
      <c r="AA435" t="s">
        <v>46</v>
      </c>
      <c r="AB435">
        <v>0</v>
      </c>
      <c r="AC435">
        <v>2</v>
      </c>
      <c r="AD435" t="s">
        <v>32</v>
      </c>
      <c r="AE435" t="s">
        <v>60</v>
      </c>
      <c r="AF435" t="s">
        <v>48</v>
      </c>
    </row>
    <row r="436" spans="1:32" x14ac:dyDescent="0.25">
      <c r="A436">
        <v>56</v>
      </c>
      <c r="B436" t="s">
        <v>41</v>
      </c>
      <c r="C436" t="s">
        <v>33</v>
      </c>
      <c r="D436" t="s">
        <v>34</v>
      </c>
      <c r="E436">
        <v>1</v>
      </c>
      <c r="F436" t="s">
        <v>58</v>
      </c>
      <c r="G436">
        <v>3</v>
      </c>
      <c r="H436">
        <v>1</v>
      </c>
      <c r="I436" t="s">
        <v>44</v>
      </c>
      <c r="J436">
        <v>1</v>
      </c>
      <c r="K436" t="s">
        <v>50</v>
      </c>
      <c r="L436">
        <v>2066</v>
      </c>
      <c r="M436">
        <v>2</v>
      </c>
      <c r="N436" t="s">
        <v>41</v>
      </c>
      <c r="O436">
        <v>22</v>
      </c>
      <c r="P436">
        <v>4</v>
      </c>
      <c r="Q436">
        <v>1</v>
      </c>
      <c r="R436">
        <v>5</v>
      </c>
      <c r="S436">
        <v>3</v>
      </c>
      <c r="T436">
        <v>3</v>
      </c>
      <c r="U436">
        <v>1</v>
      </c>
      <c r="V436">
        <v>0</v>
      </c>
      <c r="W436" t="s">
        <v>51</v>
      </c>
      <c r="X436" s="1" t="d">
        <v>2018-02-22</v>
      </c>
      <c r="Z436" t="s">
        <v>63</v>
      </c>
      <c r="AA436" t="s">
        <v>46</v>
      </c>
      <c r="AB436">
        <v>2</v>
      </c>
      <c r="AC436">
        <v>3</v>
      </c>
      <c r="AD436" t="s">
        <v>41</v>
      </c>
      <c r="AE436" t="s">
        <v>62</v>
      </c>
      <c r="AF436" t="s">
        <v>48</v>
      </c>
    </row>
    <row r="437" spans="1:32" x14ac:dyDescent="0.25">
      <c r="A437">
        <v>31</v>
      </c>
      <c r="B437" t="s">
        <v>41</v>
      </c>
      <c r="C437" t="s">
        <v>33</v>
      </c>
      <c r="D437" t="s">
        <v>70</v>
      </c>
      <c r="E437">
        <v>8</v>
      </c>
      <c r="F437" t="s">
        <v>58</v>
      </c>
      <c r="G437">
        <v>4</v>
      </c>
      <c r="H437">
        <v>1</v>
      </c>
      <c r="I437" t="s">
        <v>70</v>
      </c>
      <c r="J437">
        <v>2</v>
      </c>
      <c r="K437" t="s">
        <v>37</v>
      </c>
      <c r="L437">
        <v>2109</v>
      </c>
      <c r="M437">
        <v>9</v>
      </c>
      <c r="N437" t="s">
        <v>41</v>
      </c>
      <c r="O437">
        <v>18</v>
      </c>
      <c r="P437">
        <v>3</v>
      </c>
      <c r="Q437">
        <v>0</v>
      </c>
      <c r="R437">
        <v>8</v>
      </c>
      <c r="S437">
        <v>3</v>
      </c>
      <c r="T437">
        <v>3</v>
      </c>
      <c r="U437">
        <v>0</v>
      </c>
      <c r="V437">
        <v>2</v>
      </c>
      <c r="W437" t="s">
        <v>38</v>
      </c>
      <c r="X437" s="1" t="d">
        <v>2018-06-12</v>
      </c>
      <c r="Z437" t="s">
        <v>45</v>
      </c>
      <c r="AA437" t="s">
        <v>46</v>
      </c>
      <c r="AB437">
        <v>5</v>
      </c>
      <c r="AC437">
        <v>3</v>
      </c>
      <c r="AD437" t="s">
        <v>32</v>
      </c>
      <c r="AE437" t="s">
        <v>60</v>
      </c>
      <c r="AF437" t="s">
        <v>48</v>
      </c>
    </row>
    <row r="438" spans="1:32" x14ac:dyDescent="0.25">
      <c r="A438">
        <v>45</v>
      </c>
      <c r="B438" t="s">
        <v>41</v>
      </c>
      <c r="C438" t="s">
        <v>33</v>
      </c>
      <c r="D438" t="s">
        <v>34</v>
      </c>
      <c r="E438">
        <v>29</v>
      </c>
      <c r="F438" t="s">
        <v>35</v>
      </c>
      <c r="G438">
        <v>3</v>
      </c>
      <c r="H438">
        <v>3</v>
      </c>
      <c r="I438" t="s">
        <v>67</v>
      </c>
      <c r="J438">
        <v>4</v>
      </c>
      <c r="K438" t="s">
        <v>50</v>
      </c>
      <c r="L438">
        <v>9380</v>
      </c>
      <c r="M438">
        <v>4</v>
      </c>
      <c r="N438" t="s">
        <v>32</v>
      </c>
      <c r="O438">
        <v>18</v>
      </c>
      <c r="P438">
        <v>3</v>
      </c>
      <c r="Q438">
        <v>2</v>
      </c>
      <c r="R438">
        <v>10</v>
      </c>
      <c r="S438">
        <v>4</v>
      </c>
      <c r="T438">
        <v>3</v>
      </c>
      <c r="U438">
        <v>1</v>
      </c>
      <c r="V438">
        <v>2</v>
      </c>
      <c r="W438" t="s">
        <v>65</v>
      </c>
      <c r="X438" s="1" t="d">
        <v>2018-03-29</v>
      </c>
      <c r="Z438" t="s">
        <v>63</v>
      </c>
      <c r="AA438" t="s">
        <v>46</v>
      </c>
      <c r="AB438">
        <v>5</v>
      </c>
      <c r="AC438">
        <v>1</v>
      </c>
      <c r="AD438" t="s">
        <v>41</v>
      </c>
      <c r="AE438" t="s">
        <v>42</v>
      </c>
      <c r="AF438" t="s">
        <v>57</v>
      </c>
    </row>
    <row r="439" spans="1:32" x14ac:dyDescent="0.25">
      <c r="A439">
        <v>49</v>
      </c>
      <c r="B439" t="s">
        <v>41</v>
      </c>
      <c r="C439" t="s">
        <v>33</v>
      </c>
      <c r="D439" t="s">
        <v>34</v>
      </c>
      <c r="E439">
        <v>5</v>
      </c>
      <c r="F439" t="s">
        <v>35</v>
      </c>
      <c r="G439">
        <v>3</v>
      </c>
      <c r="H439">
        <v>2</v>
      </c>
      <c r="I439" t="s">
        <v>69</v>
      </c>
      <c r="J439">
        <v>3</v>
      </c>
      <c r="K439" t="s">
        <v>50</v>
      </c>
      <c r="L439">
        <v>6651</v>
      </c>
      <c r="M439">
        <v>2</v>
      </c>
      <c r="N439" t="s">
        <v>41</v>
      </c>
      <c r="O439">
        <v>14</v>
      </c>
      <c r="P439">
        <v>3</v>
      </c>
      <c r="Q439">
        <v>1</v>
      </c>
      <c r="R439">
        <v>20</v>
      </c>
      <c r="S439">
        <v>0</v>
      </c>
      <c r="T439">
        <v>3</v>
      </c>
      <c r="U439">
        <v>1</v>
      </c>
      <c r="V439">
        <v>2</v>
      </c>
      <c r="W439" t="s">
        <v>65</v>
      </c>
      <c r="X439" s="1" t="d">
        <v>2018-02-23</v>
      </c>
      <c r="Z439" t="s">
        <v>39</v>
      </c>
      <c r="AA439" t="s">
        <v>46</v>
      </c>
      <c r="AB439">
        <v>4</v>
      </c>
      <c r="AC439">
        <v>0</v>
      </c>
      <c r="AD439" t="s">
        <v>32</v>
      </c>
      <c r="AE439" t="s">
        <v>42</v>
      </c>
      <c r="AF439" t="s">
        <v>57</v>
      </c>
    </row>
    <row r="440" spans="1:32" x14ac:dyDescent="0.25">
      <c r="A440">
        <v>40</v>
      </c>
      <c r="B440" t="s">
        <v>41</v>
      </c>
      <c r="C440" t="s">
        <v>33</v>
      </c>
      <c r="D440" t="s">
        <v>34</v>
      </c>
      <c r="E440">
        <v>2</v>
      </c>
      <c r="F440" t="s">
        <v>35</v>
      </c>
      <c r="G440">
        <v>3</v>
      </c>
      <c r="H440">
        <v>1</v>
      </c>
      <c r="I440" t="s">
        <v>44</v>
      </c>
      <c r="J440">
        <v>3</v>
      </c>
      <c r="K440" t="s">
        <v>55</v>
      </c>
      <c r="L440">
        <v>2345</v>
      </c>
      <c r="M440">
        <v>2</v>
      </c>
      <c r="N440" t="s">
        <v>41</v>
      </c>
      <c r="O440">
        <v>14</v>
      </c>
      <c r="P440">
        <v>3</v>
      </c>
      <c r="Q440">
        <v>1</v>
      </c>
      <c r="R440">
        <v>8</v>
      </c>
      <c r="S440">
        <v>3</v>
      </c>
      <c r="T440">
        <v>3</v>
      </c>
      <c r="U440">
        <v>1</v>
      </c>
      <c r="V440">
        <v>2</v>
      </c>
      <c r="W440" t="s">
        <v>56</v>
      </c>
      <c r="X440" s="1" t="d">
        <v>2018-04-07</v>
      </c>
      <c r="Z440" t="s">
        <v>63</v>
      </c>
      <c r="AA440" t="s">
        <v>46</v>
      </c>
      <c r="AB440">
        <v>4</v>
      </c>
      <c r="AC440">
        <v>1</v>
      </c>
      <c r="AD440" t="s">
        <v>41</v>
      </c>
      <c r="AE440" t="s">
        <v>47</v>
      </c>
      <c r="AF440" t="s">
        <v>57</v>
      </c>
    </row>
    <row r="441" spans="1:32" x14ac:dyDescent="0.25">
      <c r="A441">
        <v>28</v>
      </c>
      <c r="B441" t="s">
        <v>32</v>
      </c>
      <c r="C441" t="s">
        <v>61</v>
      </c>
      <c r="D441" t="s">
        <v>53</v>
      </c>
      <c r="E441">
        <v>1</v>
      </c>
      <c r="F441" t="s">
        <v>35</v>
      </c>
      <c r="G441">
        <v>3</v>
      </c>
      <c r="H441">
        <v>1</v>
      </c>
      <c r="I441" t="s">
        <v>54</v>
      </c>
      <c r="J441">
        <v>3</v>
      </c>
      <c r="K441" t="s">
        <v>50</v>
      </c>
      <c r="L441">
        <v>2909</v>
      </c>
      <c r="M441">
        <v>3</v>
      </c>
      <c r="N441" t="s">
        <v>41</v>
      </c>
      <c r="O441">
        <v>15</v>
      </c>
      <c r="P441">
        <v>3</v>
      </c>
      <c r="Q441">
        <v>1</v>
      </c>
      <c r="R441">
        <v>5</v>
      </c>
      <c r="S441">
        <v>3</v>
      </c>
      <c r="T441">
        <v>3</v>
      </c>
      <c r="U441">
        <v>1</v>
      </c>
      <c r="V441">
        <v>2</v>
      </c>
      <c r="W441" t="s">
        <v>56</v>
      </c>
      <c r="X441" s="1" t="d">
        <v>2018-03-04</v>
      </c>
      <c r="Z441" t="s">
        <v>59</v>
      </c>
      <c r="AA441" t="s">
        <v>40</v>
      </c>
      <c r="AB441">
        <v>1</v>
      </c>
      <c r="AC441">
        <v>0</v>
      </c>
      <c r="AD441" t="s">
        <v>41</v>
      </c>
      <c r="AE441" t="s">
        <v>47</v>
      </c>
      <c r="AF441" t="s">
        <v>48</v>
      </c>
    </row>
    <row r="442" spans="1:32" x14ac:dyDescent="0.25">
      <c r="A442">
        <v>55</v>
      </c>
      <c r="B442" t="s">
        <v>41</v>
      </c>
      <c r="C442" t="s">
        <v>33</v>
      </c>
      <c r="D442" t="s">
        <v>34</v>
      </c>
      <c r="E442">
        <v>4</v>
      </c>
      <c r="F442" t="s">
        <v>35</v>
      </c>
      <c r="G442">
        <v>3</v>
      </c>
      <c r="H442">
        <v>2</v>
      </c>
      <c r="I442" t="s">
        <v>69</v>
      </c>
      <c r="J442">
        <v>3</v>
      </c>
      <c r="K442" t="s">
        <v>50</v>
      </c>
      <c r="L442">
        <v>4035</v>
      </c>
      <c r="M442">
        <v>0</v>
      </c>
      <c r="N442" t="s">
        <v>32</v>
      </c>
      <c r="O442">
        <v>16</v>
      </c>
      <c r="P442">
        <v>3</v>
      </c>
      <c r="Q442">
        <v>0</v>
      </c>
      <c r="R442">
        <v>4</v>
      </c>
      <c r="S442">
        <v>2</v>
      </c>
      <c r="T442">
        <v>3</v>
      </c>
      <c r="U442">
        <v>1</v>
      </c>
      <c r="V442">
        <v>2</v>
      </c>
      <c r="W442" t="s">
        <v>65</v>
      </c>
      <c r="X442" s="1" t="d">
        <v>2018-02-03</v>
      </c>
      <c r="Z442" t="s">
        <v>63</v>
      </c>
      <c r="AA442" t="s">
        <v>46</v>
      </c>
      <c r="AB442">
        <v>0</v>
      </c>
      <c r="AC442">
        <v>2</v>
      </c>
      <c r="AD442" t="s">
        <v>41</v>
      </c>
      <c r="AE442" t="s">
        <v>62</v>
      </c>
      <c r="AF442" t="s">
        <v>43</v>
      </c>
    </row>
    <row r="443" spans="1:32" x14ac:dyDescent="0.25">
      <c r="A443">
        <v>49</v>
      </c>
      <c r="B443" t="s">
        <v>41</v>
      </c>
      <c r="C443" t="s">
        <v>33</v>
      </c>
      <c r="D443" t="s">
        <v>34</v>
      </c>
      <c r="E443">
        <v>3</v>
      </c>
      <c r="F443" t="s">
        <v>58</v>
      </c>
      <c r="G443">
        <v>2</v>
      </c>
      <c r="H443">
        <v>2</v>
      </c>
      <c r="I443" t="s">
        <v>36</v>
      </c>
      <c r="J443">
        <v>1</v>
      </c>
      <c r="K443" t="s">
        <v>50</v>
      </c>
      <c r="L443">
        <v>4789</v>
      </c>
      <c r="M443">
        <v>4</v>
      </c>
      <c r="N443" t="s">
        <v>41</v>
      </c>
      <c r="O443">
        <v>25</v>
      </c>
      <c r="P443">
        <v>4</v>
      </c>
      <c r="Q443">
        <v>1</v>
      </c>
      <c r="R443">
        <v>10</v>
      </c>
      <c r="S443">
        <v>3</v>
      </c>
      <c r="T443">
        <v>3</v>
      </c>
      <c r="U443">
        <v>1</v>
      </c>
      <c r="V443">
        <v>2</v>
      </c>
      <c r="W443" t="s">
        <v>65</v>
      </c>
      <c r="X443" s="1" t="d">
        <v>2018-03-14</v>
      </c>
      <c r="Z443" t="s">
        <v>59</v>
      </c>
      <c r="AA443" t="s">
        <v>40</v>
      </c>
      <c r="AB443">
        <v>3</v>
      </c>
      <c r="AC443">
        <v>2</v>
      </c>
      <c r="AD443" t="s">
        <v>32</v>
      </c>
      <c r="AE443" t="s">
        <v>47</v>
      </c>
      <c r="AF443" t="s">
        <v>48</v>
      </c>
    </row>
    <row r="444" spans="1:32" x14ac:dyDescent="0.25">
      <c r="A444">
        <v>29</v>
      </c>
      <c r="B444" t="s">
        <v>41</v>
      </c>
      <c r="C444" t="s">
        <v>61</v>
      </c>
      <c r="D444" t="s">
        <v>34</v>
      </c>
      <c r="E444">
        <v>2</v>
      </c>
      <c r="F444" t="s">
        <v>58</v>
      </c>
      <c r="G444">
        <v>3</v>
      </c>
      <c r="H444">
        <v>1</v>
      </c>
      <c r="I444" t="s">
        <v>36</v>
      </c>
      <c r="J444">
        <v>2</v>
      </c>
      <c r="K444" t="s">
        <v>50</v>
      </c>
      <c r="L444">
        <v>3180</v>
      </c>
      <c r="M444">
        <v>0</v>
      </c>
      <c r="N444" t="s">
        <v>41</v>
      </c>
      <c r="O444">
        <v>13</v>
      </c>
      <c r="P444">
        <v>3</v>
      </c>
      <c r="Q444">
        <v>3</v>
      </c>
      <c r="R444">
        <v>4</v>
      </c>
      <c r="S444">
        <v>3</v>
      </c>
      <c r="T444">
        <v>3</v>
      </c>
      <c r="U444">
        <v>0</v>
      </c>
      <c r="V444">
        <v>2</v>
      </c>
      <c r="W444" t="s">
        <v>65</v>
      </c>
      <c r="X444" s="1" t="d">
        <v>2018-04-27</v>
      </c>
      <c r="Z444" t="s">
        <v>39</v>
      </c>
      <c r="AA444" t="s">
        <v>40</v>
      </c>
      <c r="AB444">
        <v>2</v>
      </c>
      <c r="AC444">
        <v>2</v>
      </c>
      <c r="AD444" t="s">
        <v>41</v>
      </c>
      <c r="AE444" t="s">
        <v>47</v>
      </c>
      <c r="AF444" t="s">
        <v>43</v>
      </c>
    </row>
    <row r="445" spans="1:32" x14ac:dyDescent="0.25">
      <c r="A445">
        <v>36</v>
      </c>
      <c r="B445" t="s">
        <v>41</v>
      </c>
      <c r="C445" t="s">
        <v>33</v>
      </c>
      <c r="D445" t="s">
        <v>53</v>
      </c>
      <c r="E445">
        <v>2</v>
      </c>
      <c r="F445" t="s">
        <v>35</v>
      </c>
      <c r="G445">
        <v>3</v>
      </c>
      <c r="H445">
        <v>1</v>
      </c>
      <c r="I445" t="s">
        <v>54</v>
      </c>
      <c r="J445">
        <v>4</v>
      </c>
      <c r="K445" t="s">
        <v>37</v>
      </c>
      <c r="L445">
        <v>2644</v>
      </c>
      <c r="M445">
        <v>3</v>
      </c>
      <c r="N445" t="s">
        <v>32</v>
      </c>
      <c r="O445">
        <v>21</v>
      </c>
      <c r="P445">
        <v>4</v>
      </c>
      <c r="Q445">
        <v>0</v>
      </c>
      <c r="R445">
        <v>7</v>
      </c>
      <c r="S445">
        <v>3</v>
      </c>
      <c r="T445">
        <v>3</v>
      </c>
      <c r="U445">
        <v>1</v>
      </c>
      <c r="V445">
        <v>2</v>
      </c>
      <c r="W445" t="s">
        <v>65</v>
      </c>
      <c r="X445" s="1" t="d">
        <v>2018-02-27</v>
      </c>
      <c r="Z445" t="s">
        <v>59</v>
      </c>
      <c r="AA445" t="s">
        <v>40</v>
      </c>
      <c r="AB445">
        <v>5</v>
      </c>
      <c r="AC445">
        <v>0</v>
      </c>
      <c r="AD445" t="s">
        <v>32</v>
      </c>
      <c r="AE445" t="s">
        <v>62</v>
      </c>
      <c r="AF445" t="s">
        <v>57</v>
      </c>
    </row>
    <row r="446" spans="1:32" x14ac:dyDescent="0.25">
      <c r="A446">
        <v>35</v>
      </c>
      <c r="B446" t="s">
        <v>41</v>
      </c>
      <c r="C446" t="s">
        <v>33</v>
      </c>
      <c r="D446" t="s">
        <v>34</v>
      </c>
      <c r="E446">
        <v>1</v>
      </c>
      <c r="F446" t="s">
        <v>35</v>
      </c>
      <c r="G446">
        <v>2</v>
      </c>
      <c r="H446">
        <v>1</v>
      </c>
      <c r="I446" t="s">
        <v>36</v>
      </c>
      <c r="J446">
        <v>1</v>
      </c>
      <c r="K446" t="s">
        <v>37</v>
      </c>
      <c r="L446">
        <v>2450</v>
      </c>
      <c r="M446">
        <v>1</v>
      </c>
      <c r="N446" t="s">
        <v>41</v>
      </c>
      <c r="O446">
        <v>19</v>
      </c>
      <c r="P446">
        <v>3</v>
      </c>
      <c r="Q446">
        <v>0</v>
      </c>
      <c r="R446">
        <v>3</v>
      </c>
      <c r="S446">
        <v>3</v>
      </c>
      <c r="T446">
        <v>3</v>
      </c>
      <c r="U446">
        <v>1</v>
      </c>
      <c r="V446">
        <v>2</v>
      </c>
      <c r="W446" t="s">
        <v>38</v>
      </c>
      <c r="X446" s="1" t="d">
        <v>2018-06-01</v>
      </c>
      <c r="Z446" t="s">
        <v>59</v>
      </c>
      <c r="AA446" t="s">
        <v>46</v>
      </c>
      <c r="AB446">
        <v>3</v>
      </c>
      <c r="AC446">
        <v>3</v>
      </c>
      <c r="AD446" t="s">
        <v>32</v>
      </c>
      <c r="AE446" t="s">
        <v>47</v>
      </c>
      <c r="AF446" t="s">
        <v>48</v>
      </c>
    </row>
    <row r="447" spans="1:32" x14ac:dyDescent="0.25">
      <c r="A447">
        <v>38</v>
      </c>
      <c r="B447" t="s">
        <v>41</v>
      </c>
      <c r="C447" t="s">
        <v>33</v>
      </c>
      <c r="D447" t="s">
        <v>53</v>
      </c>
      <c r="E447">
        <v>16</v>
      </c>
      <c r="F447" t="s">
        <v>58</v>
      </c>
      <c r="G447">
        <v>3</v>
      </c>
      <c r="H447">
        <v>2</v>
      </c>
      <c r="I447" t="s">
        <v>64</v>
      </c>
      <c r="J447">
        <v>2</v>
      </c>
      <c r="K447" t="s">
        <v>37</v>
      </c>
      <c r="L447">
        <v>4198</v>
      </c>
      <c r="M447">
        <v>2</v>
      </c>
      <c r="N447" t="s">
        <v>41</v>
      </c>
      <c r="O447">
        <v>12</v>
      </c>
      <c r="P447">
        <v>3</v>
      </c>
      <c r="Q447">
        <v>0</v>
      </c>
      <c r="R447">
        <v>8</v>
      </c>
      <c r="S447">
        <v>5</v>
      </c>
      <c r="T447">
        <v>3</v>
      </c>
      <c r="U447">
        <v>1</v>
      </c>
      <c r="V447">
        <v>2</v>
      </c>
      <c r="W447" t="s">
        <v>65</v>
      </c>
      <c r="X447" s="1" t="d">
        <v>2018-04-11</v>
      </c>
      <c r="Z447" t="s">
        <v>45</v>
      </c>
      <c r="AA447" t="s">
        <v>46</v>
      </c>
      <c r="AB447">
        <v>5</v>
      </c>
      <c r="AC447">
        <v>1</v>
      </c>
      <c r="AD447" t="s">
        <v>41</v>
      </c>
      <c r="AE447" t="s">
        <v>42</v>
      </c>
      <c r="AF447" t="s">
        <v>57</v>
      </c>
    </row>
    <row r="448" spans="1:32" x14ac:dyDescent="0.25">
      <c r="A448">
        <v>36</v>
      </c>
      <c r="B448" t="s">
        <v>41</v>
      </c>
      <c r="C448" t="s">
        <v>61</v>
      </c>
      <c r="D448" t="s">
        <v>34</v>
      </c>
      <c r="E448">
        <v>6</v>
      </c>
      <c r="F448" t="s">
        <v>35</v>
      </c>
      <c r="G448">
        <v>4</v>
      </c>
      <c r="H448">
        <v>2</v>
      </c>
      <c r="I448" t="s">
        <v>36</v>
      </c>
      <c r="J448">
        <v>1</v>
      </c>
      <c r="K448" t="s">
        <v>50</v>
      </c>
      <c r="L448">
        <v>5562</v>
      </c>
      <c r="M448">
        <v>3</v>
      </c>
      <c r="N448" t="s">
        <v>32</v>
      </c>
      <c r="O448">
        <v>13</v>
      </c>
      <c r="P448">
        <v>3</v>
      </c>
      <c r="Q448">
        <v>1</v>
      </c>
      <c r="R448">
        <v>9</v>
      </c>
      <c r="S448">
        <v>3</v>
      </c>
      <c r="T448">
        <v>3</v>
      </c>
      <c r="U448">
        <v>0</v>
      </c>
      <c r="V448">
        <v>2</v>
      </c>
      <c r="W448" t="s">
        <v>38</v>
      </c>
      <c r="X448" s="1" t="d">
        <v>2018-02-05</v>
      </c>
      <c r="Z448" t="s">
        <v>59</v>
      </c>
      <c r="AA448" t="s">
        <v>46</v>
      </c>
      <c r="AB448">
        <v>0</v>
      </c>
      <c r="AC448">
        <v>3</v>
      </c>
      <c r="AD448" t="s">
        <v>32</v>
      </c>
      <c r="AE448" t="s">
        <v>42</v>
      </c>
      <c r="AF448" t="s">
        <v>48</v>
      </c>
    </row>
    <row r="449" spans="1:32" x14ac:dyDescent="0.25">
      <c r="A449">
        <v>32</v>
      </c>
      <c r="B449" t="s">
        <v>41</v>
      </c>
      <c r="C449" t="s">
        <v>33</v>
      </c>
      <c r="D449" t="s">
        <v>34</v>
      </c>
      <c r="E449">
        <v>5</v>
      </c>
      <c r="F449" t="s">
        <v>58</v>
      </c>
      <c r="G449">
        <v>4</v>
      </c>
      <c r="H449">
        <v>1</v>
      </c>
      <c r="I449" t="s">
        <v>44</v>
      </c>
      <c r="J449">
        <v>4</v>
      </c>
      <c r="K449" t="s">
        <v>50</v>
      </c>
      <c r="L449">
        <v>3312</v>
      </c>
      <c r="M449">
        <v>3</v>
      </c>
      <c r="N449" t="s">
        <v>41</v>
      </c>
      <c r="O449">
        <v>17</v>
      </c>
      <c r="P449">
        <v>3</v>
      </c>
      <c r="Q449">
        <v>2</v>
      </c>
      <c r="R449">
        <v>6</v>
      </c>
      <c r="S449">
        <v>3</v>
      </c>
      <c r="T449">
        <v>3</v>
      </c>
      <c r="U449">
        <v>0</v>
      </c>
      <c r="V449">
        <v>2</v>
      </c>
      <c r="W449" t="s">
        <v>38</v>
      </c>
      <c r="X449" s="1" t="d">
        <v>2018-01-01</v>
      </c>
      <c r="Z449" t="s">
        <v>45</v>
      </c>
      <c r="AA449" t="s">
        <v>40</v>
      </c>
      <c r="AB449">
        <v>1</v>
      </c>
      <c r="AC449">
        <v>3</v>
      </c>
      <c r="AD449" t="s">
        <v>32</v>
      </c>
      <c r="AE449" t="s">
        <v>47</v>
      </c>
      <c r="AF449" t="s">
        <v>48</v>
      </c>
    </row>
    <row r="450" spans="1:32" x14ac:dyDescent="0.25">
      <c r="A450">
        <v>36</v>
      </c>
      <c r="B450" t="s">
        <v>41</v>
      </c>
      <c r="C450" t="s">
        <v>33</v>
      </c>
      <c r="D450" t="s">
        <v>34</v>
      </c>
      <c r="E450">
        <v>12</v>
      </c>
      <c r="F450" t="s">
        <v>58</v>
      </c>
      <c r="G450">
        <v>3</v>
      </c>
      <c r="H450">
        <v>2</v>
      </c>
      <c r="I450" t="s">
        <v>67</v>
      </c>
      <c r="J450">
        <v>3</v>
      </c>
      <c r="K450" t="s">
        <v>50</v>
      </c>
      <c r="L450">
        <v>4663</v>
      </c>
      <c r="M450">
        <v>9</v>
      </c>
      <c r="N450" t="s">
        <v>32</v>
      </c>
      <c r="O450">
        <v>12</v>
      </c>
      <c r="P450">
        <v>3</v>
      </c>
      <c r="Q450">
        <v>2</v>
      </c>
      <c r="R450">
        <v>7</v>
      </c>
      <c r="S450">
        <v>2</v>
      </c>
      <c r="T450">
        <v>3</v>
      </c>
      <c r="U450">
        <v>1</v>
      </c>
      <c r="V450">
        <v>1</v>
      </c>
      <c r="W450" t="s">
        <v>51</v>
      </c>
      <c r="X450" s="1" t="d">
        <v>2018-01-16</v>
      </c>
      <c r="Z450" t="s">
        <v>45</v>
      </c>
      <c r="AA450" t="s">
        <v>46</v>
      </c>
      <c r="AB450">
        <v>3</v>
      </c>
      <c r="AC450">
        <v>1</v>
      </c>
      <c r="AD450" t="s">
        <v>32</v>
      </c>
      <c r="AE450" t="s">
        <v>62</v>
      </c>
      <c r="AF450" t="s">
        <v>48</v>
      </c>
    </row>
    <row r="451" spans="1:32" x14ac:dyDescent="0.25">
      <c r="A451">
        <v>27</v>
      </c>
      <c r="B451" t="s">
        <v>41</v>
      </c>
      <c r="C451" t="s">
        <v>33</v>
      </c>
      <c r="D451" t="s">
        <v>34</v>
      </c>
      <c r="E451">
        <v>8</v>
      </c>
      <c r="F451" t="s">
        <v>58</v>
      </c>
      <c r="G451">
        <v>4</v>
      </c>
      <c r="H451">
        <v>1</v>
      </c>
      <c r="I451" t="s">
        <v>44</v>
      </c>
      <c r="J451">
        <v>3</v>
      </c>
      <c r="K451" t="s">
        <v>50</v>
      </c>
      <c r="L451">
        <v>3517</v>
      </c>
      <c r="M451">
        <v>7</v>
      </c>
      <c r="N451" t="s">
        <v>41</v>
      </c>
      <c r="O451">
        <v>17</v>
      </c>
      <c r="P451">
        <v>3</v>
      </c>
      <c r="Q451">
        <v>0</v>
      </c>
      <c r="R451">
        <v>5</v>
      </c>
      <c r="S451">
        <v>0</v>
      </c>
      <c r="T451">
        <v>3</v>
      </c>
      <c r="U451">
        <v>0</v>
      </c>
      <c r="V451">
        <v>2</v>
      </c>
      <c r="W451" t="s">
        <v>56</v>
      </c>
      <c r="X451" s="1" t="d">
        <v>2018-03-05</v>
      </c>
      <c r="Z451" t="s">
        <v>63</v>
      </c>
      <c r="AA451" t="s">
        <v>46</v>
      </c>
      <c r="AB451">
        <v>3</v>
      </c>
      <c r="AC451">
        <v>1</v>
      </c>
      <c r="AD451" t="s">
        <v>32</v>
      </c>
      <c r="AE451" t="s">
        <v>42</v>
      </c>
      <c r="AF451" t="s">
        <v>57</v>
      </c>
    </row>
    <row r="452" spans="1:32" x14ac:dyDescent="0.25">
      <c r="A452">
        <v>36</v>
      </c>
      <c r="B452" t="s">
        <v>41</v>
      </c>
      <c r="C452" t="s">
        <v>33</v>
      </c>
      <c r="D452" t="s">
        <v>34</v>
      </c>
      <c r="E452">
        <v>5</v>
      </c>
      <c r="F452" t="s">
        <v>58</v>
      </c>
      <c r="G452">
        <v>3</v>
      </c>
      <c r="H452">
        <v>3</v>
      </c>
      <c r="I452" t="s">
        <v>69</v>
      </c>
      <c r="J452">
        <v>1</v>
      </c>
      <c r="K452" t="s">
        <v>50</v>
      </c>
      <c r="L452">
        <v>8008</v>
      </c>
      <c r="M452">
        <v>4</v>
      </c>
      <c r="N452" t="s">
        <v>41</v>
      </c>
      <c r="O452">
        <v>12</v>
      </c>
      <c r="P452">
        <v>3</v>
      </c>
      <c r="Q452">
        <v>2</v>
      </c>
      <c r="R452">
        <v>9</v>
      </c>
      <c r="S452">
        <v>6</v>
      </c>
      <c r="T452">
        <v>3</v>
      </c>
      <c r="U452">
        <v>0</v>
      </c>
      <c r="V452">
        <v>2</v>
      </c>
      <c r="W452" t="s">
        <v>38</v>
      </c>
      <c r="X452" s="1" t="d">
        <v>2018-03-06</v>
      </c>
      <c r="Z452" t="s">
        <v>59</v>
      </c>
      <c r="AA452" t="s">
        <v>40</v>
      </c>
      <c r="AB452">
        <v>2</v>
      </c>
      <c r="AC452">
        <v>3</v>
      </c>
      <c r="AD452" t="s">
        <v>32</v>
      </c>
      <c r="AE452" t="s">
        <v>62</v>
      </c>
      <c r="AF452" t="s">
        <v>43</v>
      </c>
    </row>
    <row r="453" spans="1:32" x14ac:dyDescent="0.25">
      <c r="A453">
        <v>36</v>
      </c>
      <c r="B453" t="s">
        <v>41</v>
      </c>
      <c r="C453" t="s">
        <v>68</v>
      </c>
      <c r="D453" t="s">
        <v>34</v>
      </c>
      <c r="E453">
        <v>1</v>
      </c>
      <c r="F453" t="s">
        <v>58</v>
      </c>
      <c r="G453">
        <v>2</v>
      </c>
      <c r="H453">
        <v>2</v>
      </c>
      <c r="I453" t="s">
        <v>67</v>
      </c>
      <c r="J453">
        <v>3</v>
      </c>
      <c r="K453" t="s">
        <v>50</v>
      </c>
      <c r="L453">
        <v>4374</v>
      </c>
      <c r="M453">
        <v>0</v>
      </c>
      <c r="N453" t="s">
        <v>41</v>
      </c>
      <c r="O453">
        <v>15</v>
      </c>
      <c r="P453">
        <v>3</v>
      </c>
      <c r="Q453">
        <v>0</v>
      </c>
      <c r="R453">
        <v>4</v>
      </c>
      <c r="S453">
        <v>6</v>
      </c>
      <c r="T453">
        <v>3</v>
      </c>
      <c r="U453">
        <v>1</v>
      </c>
      <c r="V453">
        <v>2</v>
      </c>
      <c r="W453" t="s">
        <v>65</v>
      </c>
      <c r="X453" s="1" t="d">
        <v>2018-03-17</v>
      </c>
      <c r="Z453" t="s">
        <v>52</v>
      </c>
      <c r="AA453" t="s">
        <v>46</v>
      </c>
      <c r="AB453">
        <v>0</v>
      </c>
      <c r="AC453">
        <v>0</v>
      </c>
      <c r="AD453" t="s">
        <v>41</v>
      </c>
      <c r="AE453" t="s">
        <v>62</v>
      </c>
      <c r="AF453" t="s">
        <v>48</v>
      </c>
    </row>
    <row r="454" spans="1:32" x14ac:dyDescent="0.25">
      <c r="A454">
        <v>47</v>
      </c>
      <c r="B454" t="s">
        <v>41</v>
      </c>
      <c r="C454" t="s">
        <v>33</v>
      </c>
      <c r="D454" t="s">
        <v>53</v>
      </c>
      <c r="E454">
        <v>2</v>
      </c>
      <c r="F454" t="s">
        <v>58</v>
      </c>
      <c r="G454">
        <v>4</v>
      </c>
      <c r="H454">
        <v>4</v>
      </c>
      <c r="I454" t="s">
        <v>66</v>
      </c>
      <c r="J454">
        <v>2</v>
      </c>
      <c r="K454" t="s">
        <v>55</v>
      </c>
      <c r="L454">
        <v>15972</v>
      </c>
      <c r="M454">
        <v>6</v>
      </c>
      <c r="N454" t="s">
        <v>41</v>
      </c>
      <c r="O454">
        <v>14</v>
      </c>
      <c r="P454">
        <v>3</v>
      </c>
      <c r="Q454">
        <v>3</v>
      </c>
      <c r="R454">
        <v>29</v>
      </c>
      <c r="S454">
        <v>2</v>
      </c>
      <c r="T454">
        <v>3</v>
      </c>
      <c r="U454">
        <v>1</v>
      </c>
      <c r="V454">
        <v>2</v>
      </c>
      <c r="W454" t="s">
        <v>38</v>
      </c>
      <c r="X454" s="1" t="d">
        <v>2018-03-14</v>
      </c>
      <c r="Z454" t="s">
        <v>39</v>
      </c>
      <c r="AA454" t="s">
        <v>46</v>
      </c>
      <c r="AB454">
        <v>3</v>
      </c>
      <c r="AC454">
        <v>1</v>
      </c>
      <c r="AD454" t="s">
        <v>32</v>
      </c>
      <c r="AE454" t="s">
        <v>62</v>
      </c>
      <c r="AF454" t="s">
        <v>57</v>
      </c>
    </row>
    <row r="455" spans="1:32" x14ac:dyDescent="0.25">
      <c r="A455">
        <v>36</v>
      </c>
      <c r="B455" t="s">
        <v>41</v>
      </c>
      <c r="C455" t="s">
        <v>33</v>
      </c>
      <c r="D455" t="s">
        <v>34</v>
      </c>
      <c r="E455">
        <v>26</v>
      </c>
      <c r="F455" t="s">
        <v>35</v>
      </c>
      <c r="G455">
        <v>3</v>
      </c>
      <c r="H455">
        <v>2</v>
      </c>
      <c r="I455" t="s">
        <v>69</v>
      </c>
      <c r="J455">
        <v>3</v>
      </c>
      <c r="K455" t="s">
        <v>50</v>
      </c>
      <c r="L455">
        <v>5347</v>
      </c>
      <c r="M455">
        <v>6</v>
      </c>
      <c r="N455" t="s">
        <v>41</v>
      </c>
      <c r="O455">
        <v>14</v>
      </c>
      <c r="P455">
        <v>3</v>
      </c>
      <c r="Q455">
        <v>2</v>
      </c>
      <c r="R455">
        <v>10</v>
      </c>
      <c r="S455">
        <v>2</v>
      </c>
      <c r="T455">
        <v>3</v>
      </c>
      <c r="U455">
        <v>0</v>
      </c>
      <c r="V455">
        <v>2</v>
      </c>
      <c r="W455" t="s">
        <v>65</v>
      </c>
      <c r="X455" s="1" t="d">
        <v>2018-06-19</v>
      </c>
      <c r="Z455" t="s">
        <v>59</v>
      </c>
      <c r="AA455" t="s">
        <v>46</v>
      </c>
      <c r="AB455">
        <v>0</v>
      </c>
      <c r="AC455">
        <v>0</v>
      </c>
      <c r="AD455" t="s">
        <v>32</v>
      </c>
      <c r="AE455" t="s">
        <v>42</v>
      </c>
      <c r="AF455" t="s">
        <v>43</v>
      </c>
    </row>
    <row r="456" spans="1:32" x14ac:dyDescent="0.25">
      <c r="A456">
        <v>23</v>
      </c>
      <c r="B456" t="s">
        <v>32</v>
      </c>
      <c r="C456" t="s">
        <v>33</v>
      </c>
      <c r="D456" t="s">
        <v>53</v>
      </c>
      <c r="E456">
        <v>7</v>
      </c>
      <c r="F456" t="s">
        <v>35</v>
      </c>
      <c r="G456">
        <v>3</v>
      </c>
      <c r="H456">
        <v>1</v>
      </c>
      <c r="I456" t="s">
        <v>54</v>
      </c>
      <c r="J456">
        <v>4</v>
      </c>
      <c r="K456" t="s">
        <v>55</v>
      </c>
      <c r="L456">
        <v>2275</v>
      </c>
      <c r="M456">
        <v>1</v>
      </c>
      <c r="N456" t="s">
        <v>32</v>
      </c>
      <c r="O456">
        <v>21</v>
      </c>
      <c r="P456">
        <v>4</v>
      </c>
      <c r="Q456">
        <v>1</v>
      </c>
      <c r="R456">
        <v>3</v>
      </c>
      <c r="S456">
        <v>2</v>
      </c>
      <c r="T456">
        <v>3</v>
      </c>
      <c r="U456">
        <v>0</v>
      </c>
      <c r="V456">
        <v>2</v>
      </c>
      <c r="W456" t="s">
        <v>38</v>
      </c>
      <c r="X456" s="1" t="d">
        <v>2018-04-10</v>
      </c>
      <c r="Z456" t="s">
        <v>59</v>
      </c>
      <c r="AA456" t="s">
        <v>46</v>
      </c>
      <c r="AB456">
        <v>5</v>
      </c>
      <c r="AC456">
        <v>3</v>
      </c>
      <c r="AD456" t="s">
        <v>41</v>
      </c>
      <c r="AE456" t="s">
        <v>60</v>
      </c>
      <c r="AF456" t="s">
        <v>57</v>
      </c>
    </row>
    <row r="457" spans="1:32" x14ac:dyDescent="0.25">
      <c r="A457">
        <v>26</v>
      </c>
      <c r="B457" t="s">
        <v>41</v>
      </c>
      <c r="C457" t="s">
        <v>33</v>
      </c>
      <c r="D457" t="s">
        <v>34</v>
      </c>
      <c r="E457">
        <v>17</v>
      </c>
      <c r="F457" t="s">
        <v>35</v>
      </c>
      <c r="G457">
        <v>1</v>
      </c>
      <c r="H457">
        <v>1</v>
      </c>
      <c r="I457" t="s">
        <v>36</v>
      </c>
      <c r="J457">
        <v>3</v>
      </c>
      <c r="K457" t="s">
        <v>50</v>
      </c>
      <c r="L457">
        <v>2305</v>
      </c>
      <c r="M457">
        <v>1</v>
      </c>
      <c r="N457" t="s">
        <v>41</v>
      </c>
      <c r="O457">
        <v>15</v>
      </c>
      <c r="P457">
        <v>3</v>
      </c>
      <c r="Q457">
        <v>3</v>
      </c>
      <c r="R457">
        <v>3</v>
      </c>
      <c r="S457">
        <v>3</v>
      </c>
      <c r="T457">
        <v>3</v>
      </c>
      <c r="U457">
        <v>0</v>
      </c>
      <c r="V457">
        <v>2</v>
      </c>
      <c r="W457" t="s">
        <v>51</v>
      </c>
      <c r="X457" s="1" t="d">
        <v>2018-05-21</v>
      </c>
      <c r="Z457" t="s">
        <v>63</v>
      </c>
      <c r="AA457" t="s">
        <v>46</v>
      </c>
      <c r="AB457">
        <v>1</v>
      </c>
      <c r="AC457">
        <v>2</v>
      </c>
      <c r="AD457" t="s">
        <v>41</v>
      </c>
      <c r="AE457" t="s">
        <v>42</v>
      </c>
      <c r="AF457" t="s">
        <v>43</v>
      </c>
    </row>
    <row r="458" spans="1:32" x14ac:dyDescent="0.25">
      <c r="A458">
        <v>41</v>
      </c>
      <c r="B458" t="s">
        <v>41</v>
      </c>
      <c r="C458" t="s">
        <v>68</v>
      </c>
      <c r="D458" t="s">
        <v>70</v>
      </c>
      <c r="E458">
        <v>4</v>
      </c>
      <c r="F458" t="s">
        <v>35</v>
      </c>
      <c r="G458">
        <v>1</v>
      </c>
      <c r="H458">
        <v>2</v>
      </c>
      <c r="I458" t="s">
        <v>70</v>
      </c>
      <c r="J458">
        <v>2</v>
      </c>
      <c r="K458" t="s">
        <v>50</v>
      </c>
      <c r="L458">
        <v>6430</v>
      </c>
      <c r="M458">
        <v>6</v>
      </c>
      <c r="N458" t="s">
        <v>41</v>
      </c>
      <c r="O458">
        <v>19</v>
      </c>
      <c r="P458">
        <v>3</v>
      </c>
      <c r="Q458">
        <v>1</v>
      </c>
      <c r="R458">
        <v>10</v>
      </c>
      <c r="S458">
        <v>4</v>
      </c>
      <c r="T458">
        <v>3</v>
      </c>
      <c r="U458">
        <v>1</v>
      </c>
      <c r="V458">
        <v>2</v>
      </c>
      <c r="W458" t="s">
        <v>65</v>
      </c>
      <c r="X458" s="1" t="d">
        <v>2018-06-17</v>
      </c>
      <c r="Z458" t="s">
        <v>59</v>
      </c>
      <c r="AA458" t="s">
        <v>46</v>
      </c>
      <c r="AB458">
        <v>1</v>
      </c>
      <c r="AC458">
        <v>1</v>
      </c>
      <c r="AD458" t="s">
        <v>32</v>
      </c>
      <c r="AE458" t="s">
        <v>62</v>
      </c>
      <c r="AF458" t="s">
        <v>48</v>
      </c>
    </row>
    <row r="459" spans="1:32" x14ac:dyDescent="0.25">
      <c r="A459">
        <v>23</v>
      </c>
      <c r="B459" t="s">
        <v>41</v>
      </c>
      <c r="C459" t="s">
        <v>33</v>
      </c>
      <c r="D459" t="s">
        <v>34</v>
      </c>
      <c r="E459">
        <v>4</v>
      </c>
      <c r="F459" t="s">
        <v>58</v>
      </c>
      <c r="G459">
        <v>3</v>
      </c>
      <c r="H459">
        <v>1</v>
      </c>
      <c r="I459" t="s">
        <v>36</v>
      </c>
      <c r="J459">
        <v>2</v>
      </c>
      <c r="K459" t="s">
        <v>37</v>
      </c>
      <c r="L459">
        <v>3295</v>
      </c>
      <c r="M459">
        <v>1</v>
      </c>
      <c r="N459" t="s">
        <v>41</v>
      </c>
      <c r="O459">
        <v>13</v>
      </c>
      <c r="P459">
        <v>3</v>
      </c>
      <c r="Q459">
        <v>0</v>
      </c>
      <c r="R459">
        <v>3</v>
      </c>
      <c r="S459">
        <v>3</v>
      </c>
      <c r="T459">
        <v>3</v>
      </c>
      <c r="U459">
        <v>1</v>
      </c>
      <c r="V459">
        <v>2</v>
      </c>
      <c r="W459" t="s">
        <v>56</v>
      </c>
      <c r="X459" s="1" t="d">
        <v>2018-03-24</v>
      </c>
      <c r="Z459" t="s">
        <v>59</v>
      </c>
      <c r="AA459" t="s">
        <v>46</v>
      </c>
      <c r="AB459">
        <v>1</v>
      </c>
      <c r="AC459">
        <v>2</v>
      </c>
      <c r="AD459" t="s">
        <v>41</v>
      </c>
      <c r="AE459" t="s">
        <v>42</v>
      </c>
      <c r="AF459" t="s">
        <v>48</v>
      </c>
    </row>
    <row r="460" spans="1:32" x14ac:dyDescent="0.25">
      <c r="A460">
        <v>29</v>
      </c>
      <c r="B460" t="s">
        <v>41</v>
      </c>
      <c r="C460" t="s">
        <v>61</v>
      </c>
      <c r="D460" t="s">
        <v>34</v>
      </c>
      <c r="E460">
        <v>1</v>
      </c>
      <c r="F460" t="s">
        <v>35</v>
      </c>
      <c r="G460">
        <v>4</v>
      </c>
      <c r="H460">
        <v>2</v>
      </c>
      <c r="I460" t="s">
        <v>69</v>
      </c>
      <c r="J460">
        <v>3</v>
      </c>
      <c r="K460" t="s">
        <v>37</v>
      </c>
      <c r="L460">
        <v>6294</v>
      </c>
      <c r="M460">
        <v>8</v>
      </c>
      <c r="N460" t="s">
        <v>32</v>
      </c>
      <c r="O460">
        <v>12</v>
      </c>
      <c r="P460">
        <v>3</v>
      </c>
      <c r="Q460">
        <v>0</v>
      </c>
      <c r="R460">
        <v>10</v>
      </c>
      <c r="S460">
        <v>5</v>
      </c>
      <c r="T460">
        <v>3</v>
      </c>
      <c r="U460">
        <v>0</v>
      </c>
      <c r="V460">
        <v>2</v>
      </c>
      <c r="W460" t="s">
        <v>56</v>
      </c>
      <c r="X460" s="1" t="d">
        <v>2018-04-21</v>
      </c>
      <c r="Z460" t="s">
        <v>39</v>
      </c>
      <c r="AA460" t="s">
        <v>40</v>
      </c>
      <c r="AB460">
        <v>4</v>
      </c>
      <c r="AC460">
        <v>2</v>
      </c>
      <c r="AD460" t="s">
        <v>41</v>
      </c>
      <c r="AE460" t="s">
        <v>47</v>
      </c>
      <c r="AF460" t="s">
        <v>43</v>
      </c>
    </row>
    <row r="461" spans="1:32" x14ac:dyDescent="0.25">
      <c r="A461">
        <v>53</v>
      </c>
      <c r="B461" t="s">
        <v>41</v>
      </c>
      <c r="C461" t="s">
        <v>68</v>
      </c>
      <c r="D461" t="s">
        <v>34</v>
      </c>
      <c r="E461">
        <v>1</v>
      </c>
      <c r="F461" t="s">
        <v>58</v>
      </c>
      <c r="G461">
        <v>2</v>
      </c>
      <c r="H461">
        <v>4</v>
      </c>
      <c r="I461" t="s">
        <v>67</v>
      </c>
      <c r="J461">
        <v>3</v>
      </c>
      <c r="K461" t="s">
        <v>50</v>
      </c>
      <c r="L461">
        <v>12965</v>
      </c>
      <c r="M461">
        <v>4</v>
      </c>
      <c r="N461" t="s">
        <v>32</v>
      </c>
      <c r="O461">
        <v>20</v>
      </c>
      <c r="P461">
        <v>4</v>
      </c>
      <c r="Q461">
        <v>3</v>
      </c>
      <c r="R461">
        <v>27</v>
      </c>
      <c r="S461">
        <v>2</v>
      </c>
      <c r="T461">
        <v>3</v>
      </c>
      <c r="U461">
        <v>0</v>
      </c>
      <c r="V461">
        <v>2</v>
      </c>
      <c r="W461" t="s">
        <v>51</v>
      </c>
      <c r="X461" s="1" t="d">
        <v>2018-02-22</v>
      </c>
      <c r="Z461" t="s">
        <v>59</v>
      </c>
      <c r="AA461" t="s">
        <v>40</v>
      </c>
      <c r="AB461">
        <v>5</v>
      </c>
      <c r="AC461">
        <v>1</v>
      </c>
      <c r="AD461" t="s">
        <v>41</v>
      </c>
      <c r="AE461" t="s">
        <v>60</v>
      </c>
      <c r="AF461" t="s">
        <v>43</v>
      </c>
    </row>
    <row r="462" spans="1:32" x14ac:dyDescent="0.25">
      <c r="A462">
        <v>43</v>
      </c>
      <c r="B462" t="s">
        <v>41</v>
      </c>
      <c r="C462" t="s">
        <v>68</v>
      </c>
      <c r="D462" t="s">
        <v>34</v>
      </c>
      <c r="E462">
        <v>9</v>
      </c>
      <c r="F462" t="s">
        <v>35</v>
      </c>
      <c r="G462">
        <v>3</v>
      </c>
      <c r="H462">
        <v>1</v>
      </c>
      <c r="I462" t="s">
        <v>44</v>
      </c>
      <c r="J462">
        <v>3</v>
      </c>
      <c r="K462" t="s">
        <v>37</v>
      </c>
      <c r="L462">
        <v>2438</v>
      </c>
      <c r="M462">
        <v>4</v>
      </c>
      <c r="N462" t="s">
        <v>41</v>
      </c>
      <c r="O462">
        <v>13</v>
      </c>
      <c r="P462">
        <v>3</v>
      </c>
      <c r="Q462">
        <v>0</v>
      </c>
      <c r="R462">
        <v>7</v>
      </c>
      <c r="S462">
        <v>2</v>
      </c>
      <c r="T462">
        <v>3</v>
      </c>
      <c r="U462">
        <v>1</v>
      </c>
      <c r="V462">
        <v>2</v>
      </c>
      <c r="W462" t="s">
        <v>56</v>
      </c>
      <c r="X462" s="1" t="d">
        <v>2018-04-05</v>
      </c>
      <c r="Z462" t="s">
        <v>45</v>
      </c>
      <c r="AA462" t="s">
        <v>40</v>
      </c>
      <c r="AB462">
        <v>5</v>
      </c>
      <c r="AC462">
        <v>2</v>
      </c>
      <c r="AD462" t="s">
        <v>32</v>
      </c>
      <c r="AE462" t="s">
        <v>47</v>
      </c>
      <c r="AF462" t="s">
        <v>48</v>
      </c>
    </row>
    <row r="463" spans="1:32" x14ac:dyDescent="0.25">
      <c r="A463">
        <v>41</v>
      </c>
      <c r="B463" t="s">
        <v>41</v>
      </c>
      <c r="C463" t="s">
        <v>33</v>
      </c>
      <c r="D463" t="s">
        <v>34</v>
      </c>
      <c r="E463">
        <v>5</v>
      </c>
      <c r="F463" t="s">
        <v>35</v>
      </c>
      <c r="G463">
        <v>4</v>
      </c>
      <c r="H463">
        <v>2</v>
      </c>
      <c r="I463" t="s">
        <v>69</v>
      </c>
      <c r="J463">
        <v>2</v>
      </c>
      <c r="K463" t="s">
        <v>37</v>
      </c>
      <c r="L463">
        <v>6870</v>
      </c>
      <c r="M463">
        <v>3</v>
      </c>
      <c r="N463" t="s">
        <v>41</v>
      </c>
      <c r="O463">
        <v>12</v>
      </c>
      <c r="P463">
        <v>3</v>
      </c>
      <c r="Q463">
        <v>0</v>
      </c>
      <c r="R463">
        <v>11</v>
      </c>
      <c r="S463">
        <v>3</v>
      </c>
      <c r="T463">
        <v>3</v>
      </c>
      <c r="U463">
        <v>1</v>
      </c>
      <c r="V463">
        <v>2</v>
      </c>
      <c r="W463" t="s">
        <v>56</v>
      </c>
      <c r="X463" s="1" t="d">
        <v>2018-05-02</v>
      </c>
      <c r="Z463" t="s">
        <v>52</v>
      </c>
      <c r="AA463" t="s">
        <v>46</v>
      </c>
      <c r="AB463">
        <v>3</v>
      </c>
      <c r="AC463">
        <v>2</v>
      </c>
      <c r="AD463" t="s">
        <v>32</v>
      </c>
      <c r="AE463" t="s">
        <v>42</v>
      </c>
      <c r="AF463" t="s">
        <v>48</v>
      </c>
    </row>
    <row r="464" spans="1:32" x14ac:dyDescent="0.25">
      <c r="A464">
        <v>31</v>
      </c>
      <c r="B464" t="s">
        <v>41</v>
      </c>
      <c r="C464" t="s">
        <v>61</v>
      </c>
      <c r="D464" t="s">
        <v>53</v>
      </c>
      <c r="E464">
        <v>7</v>
      </c>
      <c r="F464" t="s">
        <v>58</v>
      </c>
      <c r="G464">
        <v>3</v>
      </c>
      <c r="H464">
        <v>3</v>
      </c>
      <c r="I464" t="s">
        <v>64</v>
      </c>
      <c r="J464">
        <v>1</v>
      </c>
      <c r="K464" t="s">
        <v>50</v>
      </c>
      <c r="L464">
        <v>9637</v>
      </c>
      <c r="M464">
        <v>2</v>
      </c>
      <c r="N464" t="s">
        <v>41</v>
      </c>
      <c r="O464">
        <v>14</v>
      </c>
      <c r="P464">
        <v>3</v>
      </c>
      <c r="Q464">
        <v>2</v>
      </c>
      <c r="R464">
        <v>9</v>
      </c>
      <c r="S464">
        <v>3</v>
      </c>
      <c r="T464">
        <v>3</v>
      </c>
      <c r="U464">
        <v>2</v>
      </c>
      <c r="V464">
        <v>2</v>
      </c>
      <c r="W464" t="s">
        <v>51</v>
      </c>
      <c r="X464" s="1" t="d">
        <v>2018-05-26</v>
      </c>
      <c r="Z464" t="s">
        <v>52</v>
      </c>
      <c r="AA464" t="s">
        <v>40</v>
      </c>
      <c r="AB464">
        <v>1</v>
      </c>
      <c r="AC464">
        <v>2</v>
      </c>
      <c r="AD464" t="s">
        <v>32</v>
      </c>
      <c r="AE464" t="s">
        <v>60</v>
      </c>
      <c r="AF464" t="s">
        <v>57</v>
      </c>
    </row>
    <row r="465" spans="1:32" x14ac:dyDescent="0.25">
      <c r="A465">
        <v>28</v>
      </c>
      <c r="B465" t="s">
        <v>41</v>
      </c>
      <c r="C465" t="s">
        <v>33</v>
      </c>
      <c r="D465" t="s">
        <v>34</v>
      </c>
      <c r="E465">
        <v>1</v>
      </c>
      <c r="F465" t="s">
        <v>58</v>
      </c>
      <c r="G465">
        <v>3</v>
      </c>
      <c r="H465">
        <v>1</v>
      </c>
      <c r="I465" t="s">
        <v>44</v>
      </c>
      <c r="J465">
        <v>1</v>
      </c>
      <c r="K465" t="s">
        <v>50</v>
      </c>
      <c r="L465">
        <v>3591</v>
      </c>
      <c r="M465">
        <v>1</v>
      </c>
      <c r="N465" t="s">
        <v>41</v>
      </c>
      <c r="O465">
        <v>25</v>
      </c>
      <c r="P465">
        <v>4</v>
      </c>
      <c r="Q465">
        <v>1</v>
      </c>
      <c r="R465">
        <v>3</v>
      </c>
      <c r="S465">
        <v>3</v>
      </c>
      <c r="T465">
        <v>3</v>
      </c>
      <c r="U465">
        <v>1</v>
      </c>
      <c r="V465">
        <v>2</v>
      </c>
      <c r="W465" t="s">
        <v>38</v>
      </c>
      <c r="X465" s="1" t="d">
        <v>2018-01-28</v>
      </c>
      <c r="Z465" t="s">
        <v>39</v>
      </c>
      <c r="AA465" t="s">
        <v>40</v>
      </c>
      <c r="AB465">
        <v>2</v>
      </c>
      <c r="AC465">
        <v>2</v>
      </c>
      <c r="AD465" t="s">
        <v>32</v>
      </c>
      <c r="AE465" t="s">
        <v>42</v>
      </c>
      <c r="AF465" t="s">
        <v>48</v>
      </c>
    </row>
    <row r="466" spans="1:32" x14ac:dyDescent="0.25">
      <c r="A466">
        <v>28</v>
      </c>
      <c r="B466" t="s">
        <v>41</v>
      </c>
      <c r="C466" t="s">
        <v>68</v>
      </c>
      <c r="D466" t="s">
        <v>70</v>
      </c>
      <c r="E466">
        <v>1</v>
      </c>
      <c r="F466" t="s">
        <v>35</v>
      </c>
      <c r="G466">
        <v>3</v>
      </c>
      <c r="H466">
        <v>1</v>
      </c>
      <c r="I466" t="s">
        <v>70</v>
      </c>
      <c r="J466">
        <v>4</v>
      </c>
      <c r="K466" t="s">
        <v>55</v>
      </c>
      <c r="L466">
        <v>2706</v>
      </c>
      <c r="M466">
        <v>1</v>
      </c>
      <c r="N466" t="s">
        <v>41</v>
      </c>
      <c r="O466">
        <v>15</v>
      </c>
      <c r="P466">
        <v>3</v>
      </c>
      <c r="Q466">
        <v>1</v>
      </c>
      <c r="R466">
        <v>3</v>
      </c>
      <c r="S466">
        <v>2</v>
      </c>
      <c r="T466">
        <v>3</v>
      </c>
      <c r="U466">
        <v>2</v>
      </c>
      <c r="V466">
        <v>2</v>
      </c>
      <c r="W466" t="s">
        <v>51</v>
      </c>
      <c r="X466" s="1" t="d">
        <v>2018-02-07</v>
      </c>
      <c r="Z466" t="s">
        <v>45</v>
      </c>
      <c r="AA466" t="s">
        <v>40</v>
      </c>
      <c r="AB466">
        <v>2</v>
      </c>
      <c r="AC466">
        <v>0</v>
      </c>
      <c r="AD466" t="s">
        <v>32</v>
      </c>
      <c r="AE466" t="s">
        <v>47</v>
      </c>
      <c r="AF466" t="s">
        <v>48</v>
      </c>
    </row>
    <row r="467" spans="1:32" x14ac:dyDescent="0.25">
      <c r="A467">
        <v>29</v>
      </c>
      <c r="B467" t="s">
        <v>41</v>
      </c>
      <c r="C467" t="s">
        <v>33</v>
      </c>
      <c r="D467" t="s">
        <v>34</v>
      </c>
      <c r="E467">
        <v>7</v>
      </c>
      <c r="F467" t="s">
        <v>35</v>
      </c>
      <c r="G467">
        <v>3</v>
      </c>
      <c r="H467">
        <v>1</v>
      </c>
      <c r="I467" t="s">
        <v>36</v>
      </c>
      <c r="J467">
        <v>1</v>
      </c>
      <c r="K467" t="s">
        <v>37</v>
      </c>
      <c r="L467">
        <v>2062</v>
      </c>
      <c r="M467">
        <v>3</v>
      </c>
      <c r="N467" t="s">
        <v>41</v>
      </c>
      <c r="O467">
        <v>14</v>
      </c>
      <c r="P467">
        <v>3</v>
      </c>
      <c r="Q467">
        <v>0</v>
      </c>
      <c r="R467">
        <v>11</v>
      </c>
      <c r="S467">
        <v>2</v>
      </c>
      <c r="T467">
        <v>3</v>
      </c>
      <c r="U467">
        <v>1</v>
      </c>
      <c r="V467">
        <v>2</v>
      </c>
      <c r="W467" t="s">
        <v>56</v>
      </c>
      <c r="X467" s="1" t="d">
        <v>2018-03-16</v>
      </c>
      <c r="Z467" t="s">
        <v>45</v>
      </c>
      <c r="AA467" t="s">
        <v>46</v>
      </c>
      <c r="AB467">
        <v>5</v>
      </c>
      <c r="AC467">
        <v>0</v>
      </c>
      <c r="AD467" t="s">
        <v>32</v>
      </c>
      <c r="AE467" t="s">
        <v>42</v>
      </c>
      <c r="AF467" t="s">
        <v>57</v>
      </c>
    </row>
    <row r="468" spans="1:32" x14ac:dyDescent="0.25">
      <c r="A468">
        <v>35</v>
      </c>
      <c r="B468" t="s">
        <v>41</v>
      </c>
      <c r="C468" t="s">
        <v>33</v>
      </c>
      <c r="D468" t="s">
        <v>34</v>
      </c>
      <c r="E468">
        <v>16</v>
      </c>
      <c r="F468" t="s">
        <v>58</v>
      </c>
      <c r="G468">
        <v>2</v>
      </c>
      <c r="H468">
        <v>2</v>
      </c>
      <c r="I468" t="s">
        <v>67</v>
      </c>
      <c r="J468">
        <v>2</v>
      </c>
      <c r="K468" t="s">
        <v>50</v>
      </c>
      <c r="L468">
        <v>4788</v>
      </c>
      <c r="M468">
        <v>0</v>
      </c>
      <c r="N468" t="s">
        <v>32</v>
      </c>
      <c r="O468">
        <v>11</v>
      </c>
      <c r="P468">
        <v>3</v>
      </c>
      <c r="Q468">
        <v>0</v>
      </c>
      <c r="R468">
        <v>4</v>
      </c>
      <c r="S468">
        <v>2</v>
      </c>
      <c r="T468">
        <v>3</v>
      </c>
      <c r="U468">
        <v>0</v>
      </c>
      <c r="V468">
        <v>2</v>
      </c>
      <c r="W468" t="s">
        <v>38</v>
      </c>
      <c r="X468" s="1" t="d">
        <v>2018-05-06</v>
      </c>
      <c r="Z468" t="s">
        <v>52</v>
      </c>
      <c r="AA468" t="s">
        <v>40</v>
      </c>
      <c r="AB468">
        <v>0</v>
      </c>
      <c r="AC468">
        <v>1</v>
      </c>
      <c r="AD468" t="s">
        <v>32</v>
      </c>
      <c r="AE468" t="s">
        <v>60</v>
      </c>
      <c r="AF468" t="s">
        <v>43</v>
      </c>
    </row>
    <row r="469" spans="1:32" x14ac:dyDescent="0.25">
      <c r="A469">
        <v>39</v>
      </c>
      <c r="B469" t="s">
        <v>41</v>
      </c>
      <c r="C469" t="s">
        <v>68</v>
      </c>
      <c r="D469" t="s">
        <v>53</v>
      </c>
      <c r="E469">
        <v>21</v>
      </c>
      <c r="F469" t="s">
        <v>58</v>
      </c>
      <c r="G469">
        <v>1</v>
      </c>
      <c r="H469">
        <v>2</v>
      </c>
      <c r="I469" t="s">
        <v>64</v>
      </c>
      <c r="J469">
        <v>3</v>
      </c>
      <c r="K469" t="s">
        <v>50</v>
      </c>
      <c r="L469">
        <v>5736</v>
      </c>
      <c r="M469">
        <v>6</v>
      </c>
      <c r="N469" t="s">
        <v>41</v>
      </c>
      <c r="O469">
        <v>19</v>
      </c>
      <c r="P469">
        <v>3</v>
      </c>
      <c r="Q469">
        <v>1</v>
      </c>
      <c r="R469">
        <v>10</v>
      </c>
      <c r="S469">
        <v>1</v>
      </c>
      <c r="T469">
        <v>3</v>
      </c>
      <c r="U469">
        <v>1</v>
      </c>
      <c r="V469">
        <v>2</v>
      </c>
      <c r="W469" t="s">
        <v>56</v>
      </c>
      <c r="X469" s="1" t="d">
        <v>2018-06-08</v>
      </c>
      <c r="Z469" t="s">
        <v>63</v>
      </c>
      <c r="AA469" t="s">
        <v>40</v>
      </c>
      <c r="AB469">
        <v>5</v>
      </c>
      <c r="AC469">
        <v>0</v>
      </c>
      <c r="AD469" t="s">
        <v>41</v>
      </c>
      <c r="AE469" t="s">
        <v>62</v>
      </c>
      <c r="AF469" t="s">
        <v>43</v>
      </c>
    </row>
    <row r="470" spans="1:32" x14ac:dyDescent="0.25">
      <c r="A470">
        <v>22</v>
      </c>
      <c r="B470" t="s">
        <v>41</v>
      </c>
      <c r="C470" t="s">
        <v>33</v>
      </c>
      <c r="D470" t="s">
        <v>34</v>
      </c>
      <c r="E470">
        <v>1</v>
      </c>
      <c r="F470" t="s">
        <v>35</v>
      </c>
      <c r="G470">
        <v>3</v>
      </c>
      <c r="H470">
        <v>1</v>
      </c>
      <c r="I470" t="s">
        <v>44</v>
      </c>
      <c r="J470">
        <v>3</v>
      </c>
      <c r="K470" t="s">
        <v>37</v>
      </c>
      <c r="L470">
        <v>3375</v>
      </c>
      <c r="M470">
        <v>0</v>
      </c>
      <c r="N470" t="s">
        <v>41</v>
      </c>
      <c r="O470">
        <v>12</v>
      </c>
      <c r="P470">
        <v>3</v>
      </c>
      <c r="Q470">
        <v>0</v>
      </c>
      <c r="R470">
        <v>4</v>
      </c>
      <c r="S470">
        <v>2</v>
      </c>
      <c r="T470">
        <v>3</v>
      </c>
      <c r="U470">
        <v>1</v>
      </c>
      <c r="V470">
        <v>2</v>
      </c>
      <c r="W470" t="s">
        <v>65</v>
      </c>
      <c r="X470" s="1" t="d">
        <v>2018-01-01</v>
      </c>
      <c r="Z470" t="s">
        <v>39</v>
      </c>
      <c r="AA470" t="s">
        <v>46</v>
      </c>
      <c r="AB470">
        <v>0</v>
      </c>
      <c r="AC470">
        <v>1</v>
      </c>
      <c r="AD470" t="s">
        <v>41</v>
      </c>
      <c r="AE470" t="s">
        <v>47</v>
      </c>
      <c r="AF470" t="s">
        <v>43</v>
      </c>
    </row>
    <row r="471" spans="1:32" x14ac:dyDescent="0.25">
      <c r="A471">
        <v>50</v>
      </c>
      <c r="B471" t="s">
        <v>32</v>
      </c>
      <c r="C471" t="s">
        <v>33</v>
      </c>
      <c r="D471" t="s">
        <v>53</v>
      </c>
      <c r="E471">
        <v>28</v>
      </c>
      <c r="F471" t="s">
        <v>35</v>
      </c>
      <c r="G471">
        <v>2</v>
      </c>
      <c r="H471">
        <v>3</v>
      </c>
      <c r="I471" t="s">
        <v>64</v>
      </c>
      <c r="J471">
        <v>1</v>
      </c>
      <c r="K471" t="s">
        <v>55</v>
      </c>
      <c r="L471">
        <v>10854</v>
      </c>
      <c r="M471">
        <v>4</v>
      </c>
      <c r="N471" t="s">
        <v>32</v>
      </c>
      <c r="O471">
        <v>13</v>
      </c>
      <c r="P471">
        <v>3</v>
      </c>
      <c r="Q471">
        <v>1</v>
      </c>
      <c r="R471">
        <v>20</v>
      </c>
      <c r="S471">
        <v>3</v>
      </c>
      <c r="T471">
        <v>3</v>
      </c>
      <c r="U471">
        <v>2</v>
      </c>
      <c r="V471">
        <v>0</v>
      </c>
      <c r="W471" t="s">
        <v>38</v>
      </c>
      <c r="X471" s="1" t="d">
        <v>2018-04-11</v>
      </c>
      <c r="Z471" t="s">
        <v>59</v>
      </c>
      <c r="AA471" t="s">
        <v>40</v>
      </c>
      <c r="AB471">
        <v>3</v>
      </c>
      <c r="AC471">
        <v>2</v>
      </c>
      <c r="AD471" t="s">
        <v>32</v>
      </c>
      <c r="AE471" t="s">
        <v>42</v>
      </c>
      <c r="AF471" t="s">
        <v>43</v>
      </c>
    </row>
    <row r="472" spans="1:32" x14ac:dyDescent="0.25">
      <c r="A472">
        <v>28</v>
      </c>
      <c r="B472" t="s">
        <v>32</v>
      </c>
      <c r="C472" t="s">
        <v>33</v>
      </c>
      <c r="D472" t="s">
        <v>34</v>
      </c>
      <c r="E472">
        <v>24</v>
      </c>
      <c r="F472" t="s">
        <v>35</v>
      </c>
      <c r="G472">
        <v>2</v>
      </c>
      <c r="H472">
        <v>1</v>
      </c>
      <c r="I472" t="s">
        <v>36</v>
      </c>
      <c r="J472">
        <v>3</v>
      </c>
      <c r="K472" t="s">
        <v>37</v>
      </c>
      <c r="L472">
        <v>2028</v>
      </c>
      <c r="M472">
        <v>5</v>
      </c>
      <c r="N472" t="s">
        <v>32</v>
      </c>
      <c r="O472">
        <v>14</v>
      </c>
      <c r="P472">
        <v>3</v>
      </c>
      <c r="Q472">
        <v>0</v>
      </c>
      <c r="R472">
        <v>6</v>
      </c>
      <c r="S472">
        <v>4</v>
      </c>
      <c r="T472">
        <v>4</v>
      </c>
      <c r="U472">
        <v>0</v>
      </c>
      <c r="V472">
        <v>3</v>
      </c>
      <c r="W472" t="s">
        <v>38</v>
      </c>
      <c r="X472" s="1" t="d">
        <v>2017-05-15</v>
      </c>
      <c r="Z472" t="s">
        <v>52</v>
      </c>
      <c r="AA472" t="s">
        <v>46</v>
      </c>
      <c r="AB472">
        <v>2</v>
      </c>
      <c r="AC472">
        <v>0</v>
      </c>
      <c r="AD472" t="s">
        <v>41</v>
      </c>
      <c r="AE472" t="s">
        <v>60</v>
      </c>
      <c r="AF472" t="s">
        <v>57</v>
      </c>
    </row>
    <row r="473" spans="1:32" x14ac:dyDescent="0.25">
      <c r="A473">
        <v>24</v>
      </c>
      <c r="B473" t="s">
        <v>41</v>
      </c>
      <c r="C473" t="s">
        <v>68</v>
      </c>
      <c r="D473" t="s">
        <v>34</v>
      </c>
      <c r="E473">
        <v>11</v>
      </c>
      <c r="F473" t="s">
        <v>58</v>
      </c>
      <c r="G473">
        <v>4</v>
      </c>
      <c r="H473">
        <v>2</v>
      </c>
      <c r="I473" t="s">
        <v>67</v>
      </c>
      <c r="J473">
        <v>3</v>
      </c>
      <c r="K473" t="s">
        <v>55</v>
      </c>
      <c r="L473">
        <v>4011</v>
      </c>
      <c r="M473">
        <v>0</v>
      </c>
      <c r="N473" t="s">
        <v>41</v>
      </c>
      <c r="O473">
        <v>18</v>
      </c>
      <c r="P473">
        <v>3</v>
      </c>
      <c r="Q473">
        <v>1</v>
      </c>
      <c r="R473">
        <v>5</v>
      </c>
      <c r="S473">
        <v>5</v>
      </c>
      <c r="T473">
        <v>4</v>
      </c>
      <c r="U473">
        <v>1</v>
      </c>
      <c r="V473">
        <v>3</v>
      </c>
      <c r="W473" t="s">
        <v>38</v>
      </c>
      <c r="X473" s="1" t="d">
        <v>2017-04-05</v>
      </c>
      <c r="Z473" t="s">
        <v>45</v>
      </c>
      <c r="AA473" t="s">
        <v>46</v>
      </c>
      <c r="AB473">
        <v>3</v>
      </c>
      <c r="AC473">
        <v>1</v>
      </c>
      <c r="AD473" t="s">
        <v>32</v>
      </c>
      <c r="AE473" t="s">
        <v>62</v>
      </c>
      <c r="AF473" t="s">
        <v>57</v>
      </c>
    </row>
    <row r="474" spans="1:32" x14ac:dyDescent="0.25">
      <c r="A474">
        <v>34</v>
      </c>
      <c r="B474" t="s">
        <v>32</v>
      </c>
      <c r="C474" t="s">
        <v>33</v>
      </c>
      <c r="D474" t="s">
        <v>34</v>
      </c>
      <c r="E474">
        <v>6</v>
      </c>
      <c r="F474" t="s">
        <v>35</v>
      </c>
      <c r="G474">
        <v>3</v>
      </c>
      <c r="H474">
        <v>1</v>
      </c>
      <c r="I474" t="s">
        <v>44</v>
      </c>
      <c r="J474">
        <v>1</v>
      </c>
      <c r="K474" t="s">
        <v>37</v>
      </c>
      <c r="L474">
        <v>2960</v>
      </c>
      <c r="M474">
        <v>2</v>
      </c>
      <c r="N474" t="s">
        <v>41</v>
      </c>
      <c r="O474">
        <v>11</v>
      </c>
      <c r="P474">
        <v>3</v>
      </c>
      <c r="Q474">
        <v>0</v>
      </c>
      <c r="R474">
        <v>8</v>
      </c>
      <c r="S474">
        <v>2</v>
      </c>
      <c r="T474">
        <v>4</v>
      </c>
      <c r="U474">
        <v>1</v>
      </c>
      <c r="V474">
        <v>3</v>
      </c>
      <c r="W474" t="s">
        <v>51</v>
      </c>
      <c r="X474" s="1" t="d">
        <v>2017-04-05</v>
      </c>
      <c r="Z474" t="s">
        <v>52</v>
      </c>
      <c r="AA474" t="s">
        <v>46</v>
      </c>
      <c r="AB474">
        <v>1</v>
      </c>
      <c r="AC474">
        <v>1</v>
      </c>
      <c r="AD474" t="s">
        <v>32</v>
      </c>
      <c r="AE474" t="s">
        <v>47</v>
      </c>
      <c r="AF474" t="s">
        <v>57</v>
      </c>
    </row>
    <row r="475" spans="1:32" x14ac:dyDescent="0.25">
      <c r="A475">
        <v>44</v>
      </c>
      <c r="B475" t="s">
        <v>41</v>
      </c>
      <c r="C475" t="s">
        <v>33</v>
      </c>
      <c r="D475" t="s">
        <v>34</v>
      </c>
      <c r="E475">
        <v>10</v>
      </c>
      <c r="F475" t="s">
        <v>35</v>
      </c>
      <c r="G475">
        <v>3</v>
      </c>
      <c r="H475">
        <v>2</v>
      </c>
      <c r="I475" t="s">
        <v>69</v>
      </c>
      <c r="J475">
        <v>4</v>
      </c>
      <c r="K475" t="s">
        <v>50</v>
      </c>
      <c r="L475">
        <v>6465</v>
      </c>
      <c r="M475">
        <v>2</v>
      </c>
      <c r="N475" t="s">
        <v>32</v>
      </c>
      <c r="O475">
        <v>13</v>
      </c>
      <c r="P475">
        <v>3</v>
      </c>
      <c r="Q475">
        <v>0</v>
      </c>
      <c r="R475">
        <v>9</v>
      </c>
      <c r="S475">
        <v>5</v>
      </c>
      <c r="T475">
        <v>4</v>
      </c>
      <c r="U475">
        <v>1</v>
      </c>
      <c r="V475">
        <v>3</v>
      </c>
      <c r="W475" t="s">
        <v>65</v>
      </c>
      <c r="X475" s="1" t="d">
        <v>2017-01-29</v>
      </c>
      <c r="Z475" t="s">
        <v>45</v>
      </c>
      <c r="AA475" t="s">
        <v>40</v>
      </c>
      <c r="AB475">
        <v>5</v>
      </c>
      <c r="AC475">
        <v>3</v>
      </c>
      <c r="AD475" t="s">
        <v>32</v>
      </c>
      <c r="AE475" t="s">
        <v>42</v>
      </c>
      <c r="AF475" t="s">
        <v>48</v>
      </c>
    </row>
    <row r="476" spans="1:32" x14ac:dyDescent="0.25">
      <c r="A476">
        <v>44</v>
      </c>
      <c r="B476" t="s">
        <v>41</v>
      </c>
      <c r="C476" t="s">
        <v>33</v>
      </c>
      <c r="D476" t="s">
        <v>53</v>
      </c>
      <c r="E476">
        <v>1</v>
      </c>
      <c r="F476" t="s">
        <v>58</v>
      </c>
      <c r="G476">
        <v>3</v>
      </c>
      <c r="H476">
        <v>2</v>
      </c>
      <c r="I476" t="s">
        <v>64</v>
      </c>
      <c r="J476">
        <v>1</v>
      </c>
      <c r="K476" t="s">
        <v>55</v>
      </c>
      <c r="L476">
        <v>5454</v>
      </c>
      <c r="M476">
        <v>5</v>
      </c>
      <c r="N476" t="s">
        <v>32</v>
      </c>
      <c r="O476">
        <v>21</v>
      </c>
      <c r="P476">
        <v>4</v>
      </c>
      <c r="Q476">
        <v>1</v>
      </c>
      <c r="R476">
        <v>9</v>
      </c>
      <c r="S476">
        <v>2</v>
      </c>
      <c r="T476">
        <v>4</v>
      </c>
      <c r="U476">
        <v>1</v>
      </c>
      <c r="V476">
        <v>3</v>
      </c>
      <c r="W476" t="s">
        <v>65</v>
      </c>
      <c r="X476" s="1" t="d">
        <v>2017-06-27</v>
      </c>
      <c r="Z476" t="s">
        <v>39</v>
      </c>
      <c r="AA476" t="s">
        <v>40</v>
      </c>
      <c r="AB476">
        <v>5</v>
      </c>
      <c r="AC476">
        <v>3</v>
      </c>
      <c r="AD476" t="s">
        <v>32</v>
      </c>
      <c r="AE476" t="s">
        <v>62</v>
      </c>
      <c r="AF476" t="s">
        <v>57</v>
      </c>
    </row>
    <row r="477" spans="1:32" x14ac:dyDescent="0.25">
      <c r="A477">
        <v>35</v>
      </c>
      <c r="B477" t="s">
        <v>41</v>
      </c>
      <c r="C477" t="s">
        <v>68</v>
      </c>
      <c r="D477" t="s">
        <v>34</v>
      </c>
      <c r="E477">
        <v>11</v>
      </c>
      <c r="F477" t="s">
        <v>35</v>
      </c>
      <c r="G477">
        <v>2</v>
      </c>
      <c r="H477">
        <v>3</v>
      </c>
      <c r="I477" t="s">
        <v>69</v>
      </c>
      <c r="J477">
        <v>1</v>
      </c>
      <c r="K477" t="s">
        <v>50</v>
      </c>
      <c r="L477">
        <v>9884</v>
      </c>
      <c r="M477">
        <v>2</v>
      </c>
      <c r="N477" t="s">
        <v>32</v>
      </c>
      <c r="O477">
        <v>13</v>
      </c>
      <c r="P477">
        <v>3</v>
      </c>
      <c r="Q477">
        <v>1</v>
      </c>
      <c r="R477">
        <v>10</v>
      </c>
      <c r="S477">
        <v>3</v>
      </c>
      <c r="T477">
        <v>4</v>
      </c>
      <c r="U477">
        <v>2</v>
      </c>
      <c r="V477">
        <v>3</v>
      </c>
      <c r="W477" t="s">
        <v>51</v>
      </c>
      <c r="X477" s="1" t="d">
        <v>2017-05-22</v>
      </c>
      <c r="Z477" t="s">
        <v>39</v>
      </c>
      <c r="AA477" t="s">
        <v>40</v>
      </c>
      <c r="AB477">
        <v>1</v>
      </c>
      <c r="AC477">
        <v>1</v>
      </c>
      <c r="AD477" t="s">
        <v>32</v>
      </c>
      <c r="AE477" t="s">
        <v>47</v>
      </c>
      <c r="AF477" t="s">
        <v>48</v>
      </c>
    </row>
    <row r="478" spans="1:32" x14ac:dyDescent="0.25">
      <c r="A478">
        <v>59</v>
      </c>
      <c r="B478" t="s">
        <v>41</v>
      </c>
      <c r="C478" t="s">
        <v>61</v>
      </c>
      <c r="D478" t="s">
        <v>53</v>
      </c>
      <c r="E478">
        <v>1</v>
      </c>
      <c r="F478" t="s">
        <v>58</v>
      </c>
      <c r="G478">
        <v>2</v>
      </c>
      <c r="H478">
        <v>2</v>
      </c>
      <c r="I478" t="s">
        <v>64</v>
      </c>
      <c r="J478">
        <v>3</v>
      </c>
      <c r="K478" t="s">
        <v>37</v>
      </c>
      <c r="L478">
        <v>5473</v>
      </c>
      <c r="M478">
        <v>7</v>
      </c>
      <c r="N478" t="s">
        <v>41</v>
      </c>
      <c r="O478">
        <v>11</v>
      </c>
      <c r="P478">
        <v>3</v>
      </c>
      <c r="Q478">
        <v>0</v>
      </c>
      <c r="R478">
        <v>20</v>
      </c>
      <c r="S478">
        <v>2</v>
      </c>
      <c r="T478">
        <v>4</v>
      </c>
      <c r="U478">
        <v>1</v>
      </c>
      <c r="V478">
        <v>3</v>
      </c>
      <c r="W478" t="s">
        <v>51</v>
      </c>
      <c r="X478" s="1" t="d">
        <v>2017-03-07</v>
      </c>
      <c r="Z478" t="s">
        <v>59</v>
      </c>
      <c r="AA478" t="s">
        <v>46</v>
      </c>
      <c r="AB478">
        <v>1</v>
      </c>
      <c r="AC478">
        <v>0</v>
      </c>
      <c r="AD478" t="s">
        <v>32</v>
      </c>
      <c r="AE478" t="s">
        <v>62</v>
      </c>
      <c r="AF478" t="s">
        <v>48</v>
      </c>
    </row>
    <row r="479" spans="1:32" x14ac:dyDescent="0.25">
      <c r="A479">
        <v>46</v>
      </c>
      <c r="B479" t="s">
        <v>41</v>
      </c>
      <c r="C479" t="s">
        <v>33</v>
      </c>
      <c r="D479" t="s">
        <v>70</v>
      </c>
      <c r="E479">
        <v>5</v>
      </c>
      <c r="F479" t="s">
        <v>35</v>
      </c>
      <c r="G479">
        <v>3</v>
      </c>
      <c r="H479">
        <v>2</v>
      </c>
      <c r="I479" t="s">
        <v>70</v>
      </c>
      <c r="J479">
        <v>2</v>
      </c>
      <c r="K479" t="s">
        <v>55</v>
      </c>
      <c r="L479">
        <v>5021</v>
      </c>
      <c r="M479">
        <v>8</v>
      </c>
      <c r="N479" t="s">
        <v>32</v>
      </c>
      <c r="O479">
        <v>22</v>
      </c>
      <c r="P479">
        <v>4</v>
      </c>
      <c r="Q479">
        <v>1</v>
      </c>
      <c r="R479">
        <v>16</v>
      </c>
      <c r="S479">
        <v>2</v>
      </c>
      <c r="T479">
        <v>4</v>
      </c>
      <c r="U479">
        <v>0</v>
      </c>
      <c r="V479">
        <v>2</v>
      </c>
      <c r="W479" t="s">
        <v>38</v>
      </c>
      <c r="X479" s="1" t="d">
        <v>2017-02-27</v>
      </c>
      <c r="Z479" t="s">
        <v>45</v>
      </c>
      <c r="AA479" t="s">
        <v>46</v>
      </c>
      <c r="AB479">
        <v>2</v>
      </c>
      <c r="AC479">
        <v>3</v>
      </c>
      <c r="AD479" t="s">
        <v>41</v>
      </c>
      <c r="AE479" t="s">
        <v>62</v>
      </c>
      <c r="AF479" t="s">
        <v>57</v>
      </c>
    </row>
    <row r="480" spans="1:32" x14ac:dyDescent="0.25">
      <c r="A480">
        <v>51</v>
      </c>
      <c r="B480" t="s">
        <v>41</v>
      </c>
      <c r="C480" t="s">
        <v>33</v>
      </c>
      <c r="D480" t="s">
        <v>34</v>
      </c>
      <c r="E480">
        <v>9</v>
      </c>
      <c r="F480" t="s">
        <v>35</v>
      </c>
      <c r="G480">
        <v>3</v>
      </c>
      <c r="H480">
        <v>1</v>
      </c>
      <c r="I480" t="s">
        <v>36</v>
      </c>
      <c r="J480">
        <v>4</v>
      </c>
      <c r="K480" t="s">
        <v>50</v>
      </c>
      <c r="L480">
        <v>2075</v>
      </c>
      <c r="M480">
        <v>3</v>
      </c>
      <c r="N480" t="s">
        <v>41</v>
      </c>
      <c r="O480">
        <v>23</v>
      </c>
      <c r="P480">
        <v>4</v>
      </c>
      <c r="Q480">
        <v>2</v>
      </c>
      <c r="R480">
        <v>10</v>
      </c>
      <c r="S480">
        <v>4</v>
      </c>
      <c r="T480">
        <v>4</v>
      </c>
      <c r="U480">
        <v>0</v>
      </c>
      <c r="V480">
        <v>3</v>
      </c>
      <c r="W480" t="s">
        <v>51</v>
      </c>
      <c r="X480" s="1" t="d">
        <v>2017-02-11</v>
      </c>
      <c r="Z480" t="s">
        <v>63</v>
      </c>
      <c r="AA480" t="s">
        <v>40</v>
      </c>
      <c r="AB480">
        <v>4</v>
      </c>
      <c r="AC480">
        <v>0</v>
      </c>
      <c r="AD480" t="s">
        <v>32</v>
      </c>
      <c r="AE480" t="s">
        <v>60</v>
      </c>
      <c r="AF480" t="s">
        <v>43</v>
      </c>
    </row>
    <row r="481" spans="1:32" x14ac:dyDescent="0.25">
      <c r="A481">
        <v>54</v>
      </c>
      <c r="B481" t="s">
        <v>41</v>
      </c>
      <c r="C481" t="s">
        <v>33</v>
      </c>
      <c r="D481" t="s">
        <v>34</v>
      </c>
      <c r="E481">
        <v>2</v>
      </c>
      <c r="F481" t="s">
        <v>58</v>
      </c>
      <c r="G481">
        <v>3</v>
      </c>
      <c r="H481">
        <v>3</v>
      </c>
      <c r="I481" t="s">
        <v>49</v>
      </c>
      <c r="J481">
        <v>3</v>
      </c>
      <c r="K481" t="s">
        <v>50</v>
      </c>
      <c r="L481">
        <v>13549</v>
      </c>
      <c r="M481">
        <v>9</v>
      </c>
      <c r="N481" t="s">
        <v>41</v>
      </c>
      <c r="O481">
        <v>12</v>
      </c>
      <c r="P481">
        <v>3</v>
      </c>
      <c r="Q481">
        <v>1</v>
      </c>
      <c r="R481">
        <v>16</v>
      </c>
      <c r="S481">
        <v>5</v>
      </c>
      <c r="T481">
        <v>4</v>
      </c>
      <c r="U481">
        <v>0</v>
      </c>
      <c r="V481">
        <v>3</v>
      </c>
      <c r="W481" t="s">
        <v>38</v>
      </c>
      <c r="X481" s="1" t="d">
        <v>2017-02-16</v>
      </c>
      <c r="Z481" t="s">
        <v>45</v>
      </c>
      <c r="AA481" t="s">
        <v>46</v>
      </c>
      <c r="AB481">
        <v>4</v>
      </c>
      <c r="AC481">
        <v>0</v>
      </c>
      <c r="AD481" t="s">
        <v>41</v>
      </c>
      <c r="AE481" t="s">
        <v>42</v>
      </c>
      <c r="AF481" t="s">
        <v>57</v>
      </c>
    </row>
    <row r="482" spans="1:32" x14ac:dyDescent="0.25">
      <c r="A482">
        <v>51</v>
      </c>
      <c r="B482" t="s">
        <v>32</v>
      </c>
      <c r="C482" t="s">
        <v>61</v>
      </c>
      <c r="D482" t="s">
        <v>34</v>
      </c>
      <c r="E482">
        <v>8</v>
      </c>
      <c r="F482" t="s">
        <v>35</v>
      </c>
      <c r="G482">
        <v>1</v>
      </c>
      <c r="H482">
        <v>3</v>
      </c>
      <c r="I482" t="s">
        <v>67</v>
      </c>
      <c r="J482">
        <v>4</v>
      </c>
      <c r="K482" t="s">
        <v>37</v>
      </c>
      <c r="L482">
        <v>10650</v>
      </c>
      <c r="M482">
        <v>2</v>
      </c>
      <c r="N482" t="s">
        <v>41</v>
      </c>
      <c r="O482">
        <v>15</v>
      </c>
      <c r="P482">
        <v>3</v>
      </c>
      <c r="Q482">
        <v>0</v>
      </c>
      <c r="R482">
        <v>18</v>
      </c>
      <c r="S482">
        <v>2</v>
      </c>
      <c r="T482">
        <v>4</v>
      </c>
      <c r="U482">
        <v>0</v>
      </c>
      <c r="V482">
        <v>3</v>
      </c>
      <c r="W482" t="s">
        <v>38</v>
      </c>
      <c r="X482" s="1" t="d">
        <v>2017-04-23</v>
      </c>
      <c r="Z482" t="s">
        <v>39</v>
      </c>
      <c r="AA482" t="s">
        <v>46</v>
      </c>
      <c r="AB482">
        <v>1</v>
      </c>
      <c r="AC482">
        <v>2</v>
      </c>
      <c r="AD482" t="s">
        <v>32</v>
      </c>
      <c r="AE482" t="s">
        <v>42</v>
      </c>
      <c r="AF482" t="s">
        <v>43</v>
      </c>
    </row>
    <row r="483" spans="1:32" x14ac:dyDescent="0.25">
      <c r="A483">
        <v>34</v>
      </c>
      <c r="B483" t="s">
        <v>41</v>
      </c>
      <c r="C483" t="s">
        <v>61</v>
      </c>
      <c r="D483" t="s">
        <v>53</v>
      </c>
      <c r="E483">
        <v>2</v>
      </c>
      <c r="F483" t="s">
        <v>58</v>
      </c>
      <c r="G483">
        <v>3</v>
      </c>
      <c r="H483">
        <v>1</v>
      </c>
      <c r="I483" t="s">
        <v>54</v>
      </c>
      <c r="J483">
        <v>3</v>
      </c>
      <c r="K483" t="s">
        <v>50</v>
      </c>
      <c r="L483">
        <v>2231</v>
      </c>
      <c r="M483">
        <v>6</v>
      </c>
      <c r="N483" t="s">
        <v>41</v>
      </c>
      <c r="O483">
        <v>18</v>
      </c>
      <c r="P483">
        <v>3</v>
      </c>
      <c r="Q483">
        <v>1</v>
      </c>
      <c r="R483">
        <v>6</v>
      </c>
      <c r="S483">
        <v>3</v>
      </c>
      <c r="T483">
        <v>4</v>
      </c>
      <c r="U483">
        <v>1</v>
      </c>
      <c r="V483">
        <v>2</v>
      </c>
      <c r="W483" t="s">
        <v>56</v>
      </c>
      <c r="X483" s="1" t="d">
        <v>2017-05-21</v>
      </c>
      <c r="Z483" t="s">
        <v>39</v>
      </c>
      <c r="AA483" t="s">
        <v>40</v>
      </c>
      <c r="AB483">
        <v>3</v>
      </c>
      <c r="AC483">
        <v>0</v>
      </c>
      <c r="AD483" t="s">
        <v>41</v>
      </c>
      <c r="AE483" t="s">
        <v>62</v>
      </c>
      <c r="AF483" t="s">
        <v>57</v>
      </c>
    </row>
    <row r="484" spans="1:32" x14ac:dyDescent="0.25">
      <c r="A484">
        <v>31</v>
      </c>
      <c r="B484" t="s">
        <v>41</v>
      </c>
      <c r="C484" t="s">
        <v>33</v>
      </c>
      <c r="D484" t="s">
        <v>34</v>
      </c>
      <c r="E484">
        <v>12</v>
      </c>
      <c r="F484" t="s">
        <v>58</v>
      </c>
      <c r="G484">
        <v>3</v>
      </c>
      <c r="H484">
        <v>1</v>
      </c>
      <c r="I484" t="s">
        <v>44</v>
      </c>
      <c r="J484">
        <v>4</v>
      </c>
      <c r="K484" t="s">
        <v>50</v>
      </c>
      <c r="L484">
        <v>3929</v>
      </c>
      <c r="M484">
        <v>8</v>
      </c>
      <c r="N484" t="s">
        <v>32</v>
      </c>
      <c r="O484">
        <v>23</v>
      </c>
      <c r="P484">
        <v>4</v>
      </c>
      <c r="Q484">
        <v>1</v>
      </c>
      <c r="R484">
        <v>7</v>
      </c>
      <c r="S484">
        <v>0</v>
      </c>
      <c r="T484">
        <v>4</v>
      </c>
      <c r="U484">
        <v>0</v>
      </c>
      <c r="V484">
        <v>2</v>
      </c>
      <c r="W484" t="s">
        <v>51</v>
      </c>
      <c r="X484" s="1" t="d">
        <v>2017-02-12</v>
      </c>
      <c r="Z484" t="s">
        <v>45</v>
      </c>
      <c r="AA484" t="s">
        <v>40</v>
      </c>
      <c r="AB484">
        <v>0</v>
      </c>
      <c r="AC484">
        <v>3</v>
      </c>
      <c r="AD484" t="s">
        <v>32</v>
      </c>
      <c r="AE484" t="s">
        <v>47</v>
      </c>
      <c r="AF484" t="s">
        <v>57</v>
      </c>
    </row>
    <row r="485" spans="1:32" x14ac:dyDescent="0.25">
      <c r="A485">
        <v>41</v>
      </c>
      <c r="B485" t="s">
        <v>32</v>
      </c>
      <c r="C485" t="s">
        <v>33</v>
      </c>
      <c r="D485" t="s">
        <v>53</v>
      </c>
      <c r="E485">
        <v>20</v>
      </c>
      <c r="F485" t="s">
        <v>58</v>
      </c>
      <c r="G485">
        <v>3</v>
      </c>
      <c r="H485">
        <v>1</v>
      </c>
      <c r="I485" t="s">
        <v>54</v>
      </c>
      <c r="J485">
        <v>2</v>
      </c>
      <c r="K485" t="s">
        <v>37</v>
      </c>
      <c r="L485">
        <v>3140</v>
      </c>
      <c r="M485">
        <v>1</v>
      </c>
      <c r="N485" t="s">
        <v>32</v>
      </c>
      <c r="O485">
        <v>22</v>
      </c>
      <c r="P485">
        <v>4</v>
      </c>
      <c r="Q485">
        <v>0</v>
      </c>
      <c r="R485">
        <v>4</v>
      </c>
      <c r="S485">
        <v>5</v>
      </c>
      <c r="T485">
        <v>4</v>
      </c>
      <c r="U485">
        <v>0</v>
      </c>
      <c r="V485">
        <v>2</v>
      </c>
      <c r="W485" t="s">
        <v>51</v>
      </c>
      <c r="X485" s="1" t="d">
        <v>2017-04-03</v>
      </c>
      <c r="Z485" t="s">
        <v>59</v>
      </c>
      <c r="AA485" t="s">
        <v>46</v>
      </c>
      <c r="AB485">
        <v>3</v>
      </c>
      <c r="AC485">
        <v>0</v>
      </c>
      <c r="AD485" t="s">
        <v>32</v>
      </c>
      <c r="AE485" t="s">
        <v>47</v>
      </c>
      <c r="AF485" t="s">
        <v>57</v>
      </c>
    </row>
    <row r="486" spans="1:32" x14ac:dyDescent="0.25">
      <c r="A486">
        <v>53</v>
      </c>
      <c r="B486" t="s">
        <v>41</v>
      </c>
      <c r="C486" t="s">
        <v>33</v>
      </c>
      <c r="D486" t="s">
        <v>34</v>
      </c>
      <c r="E486">
        <v>13</v>
      </c>
      <c r="F486" t="s">
        <v>58</v>
      </c>
      <c r="G486">
        <v>4</v>
      </c>
      <c r="H486">
        <v>2</v>
      </c>
      <c r="I486" t="s">
        <v>67</v>
      </c>
      <c r="J486">
        <v>1</v>
      </c>
      <c r="K486" t="s">
        <v>55</v>
      </c>
      <c r="L486">
        <v>4450</v>
      </c>
      <c r="M486">
        <v>1</v>
      </c>
      <c r="N486" t="s">
        <v>41</v>
      </c>
      <c r="O486">
        <v>11</v>
      </c>
      <c r="P486">
        <v>3</v>
      </c>
      <c r="Q486">
        <v>2</v>
      </c>
      <c r="R486">
        <v>5</v>
      </c>
      <c r="S486">
        <v>3</v>
      </c>
      <c r="T486">
        <v>4</v>
      </c>
      <c r="U486">
        <v>1</v>
      </c>
      <c r="V486">
        <v>3</v>
      </c>
      <c r="W486" t="s">
        <v>65</v>
      </c>
      <c r="X486" s="1" t="d">
        <v>2017-02-22</v>
      </c>
      <c r="Z486" t="s">
        <v>52</v>
      </c>
      <c r="AA486" t="s">
        <v>40</v>
      </c>
      <c r="AB486">
        <v>1</v>
      </c>
      <c r="AC486">
        <v>2</v>
      </c>
      <c r="AD486" t="s">
        <v>41</v>
      </c>
      <c r="AE486" t="s">
        <v>62</v>
      </c>
      <c r="AF486" t="s">
        <v>43</v>
      </c>
    </row>
    <row r="487" spans="1:32" x14ac:dyDescent="0.25">
      <c r="A487">
        <v>22</v>
      </c>
      <c r="B487" t="s">
        <v>41</v>
      </c>
      <c r="C487" t="s">
        <v>33</v>
      </c>
      <c r="D487" t="s">
        <v>34</v>
      </c>
      <c r="E487">
        <v>5</v>
      </c>
      <c r="F487" t="s">
        <v>35</v>
      </c>
      <c r="G487">
        <v>4</v>
      </c>
      <c r="H487">
        <v>1</v>
      </c>
      <c r="I487" t="s">
        <v>44</v>
      </c>
      <c r="J487">
        <v>2</v>
      </c>
      <c r="K487" t="s">
        <v>55</v>
      </c>
      <c r="L487">
        <v>2328</v>
      </c>
      <c r="M487">
        <v>1</v>
      </c>
      <c r="N487" t="s">
        <v>32</v>
      </c>
      <c r="O487">
        <v>16</v>
      </c>
      <c r="P487">
        <v>3</v>
      </c>
      <c r="Q487">
        <v>1</v>
      </c>
      <c r="R487">
        <v>4</v>
      </c>
      <c r="S487">
        <v>2</v>
      </c>
      <c r="T487">
        <v>4</v>
      </c>
      <c r="U487">
        <v>2</v>
      </c>
      <c r="V487">
        <v>2</v>
      </c>
      <c r="W487" t="s">
        <v>38</v>
      </c>
      <c r="X487" s="1" t="d">
        <v>2017-02-17</v>
      </c>
      <c r="Z487" t="s">
        <v>63</v>
      </c>
      <c r="AA487" t="s">
        <v>46</v>
      </c>
      <c r="AB487">
        <v>4</v>
      </c>
      <c r="AC487">
        <v>2</v>
      </c>
      <c r="AD487" t="s">
        <v>41</v>
      </c>
      <c r="AE487" t="s">
        <v>60</v>
      </c>
      <c r="AF487" t="s">
        <v>57</v>
      </c>
    </row>
    <row r="488" spans="1:32" x14ac:dyDescent="0.25">
      <c r="A488">
        <v>46</v>
      </c>
      <c r="B488" t="s">
        <v>41</v>
      </c>
      <c r="C488" t="s">
        <v>33</v>
      </c>
      <c r="D488" t="s">
        <v>34</v>
      </c>
      <c r="E488">
        <v>1</v>
      </c>
      <c r="F488" t="s">
        <v>35</v>
      </c>
      <c r="G488">
        <v>3</v>
      </c>
      <c r="H488">
        <v>3</v>
      </c>
      <c r="I488" t="s">
        <v>69</v>
      </c>
      <c r="J488">
        <v>1</v>
      </c>
      <c r="K488" t="s">
        <v>55</v>
      </c>
      <c r="L488">
        <v>9396</v>
      </c>
      <c r="M488">
        <v>7</v>
      </c>
      <c r="N488" t="s">
        <v>41</v>
      </c>
      <c r="O488">
        <v>16</v>
      </c>
      <c r="P488">
        <v>3</v>
      </c>
      <c r="Q488">
        <v>1</v>
      </c>
      <c r="R488">
        <v>17</v>
      </c>
      <c r="S488">
        <v>3</v>
      </c>
      <c r="T488">
        <v>4</v>
      </c>
      <c r="U488">
        <v>0</v>
      </c>
      <c r="V488">
        <v>3</v>
      </c>
      <c r="W488" t="s">
        <v>65</v>
      </c>
      <c r="X488" s="1" t="d">
        <v>2017-02-28</v>
      </c>
      <c r="Z488" t="s">
        <v>39</v>
      </c>
      <c r="AA488" t="s">
        <v>40</v>
      </c>
      <c r="AB488">
        <v>4</v>
      </c>
      <c r="AC488">
        <v>3</v>
      </c>
      <c r="AD488" t="s">
        <v>41</v>
      </c>
      <c r="AE488" t="s">
        <v>42</v>
      </c>
      <c r="AF488" t="s">
        <v>43</v>
      </c>
    </row>
    <row r="489" spans="1:32" x14ac:dyDescent="0.25">
      <c r="A489">
        <v>29</v>
      </c>
      <c r="B489" t="s">
        <v>32</v>
      </c>
      <c r="C489" t="s">
        <v>33</v>
      </c>
      <c r="D489" t="s">
        <v>34</v>
      </c>
      <c r="E489">
        <v>18</v>
      </c>
      <c r="F489" t="s">
        <v>35</v>
      </c>
      <c r="G489">
        <v>2</v>
      </c>
      <c r="H489">
        <v>1</v>
      </c>
      <c r="I489" t="s">
        <v>44</v>
      </c>
      <c r="J489">
        <v>4</v>
      </c>
      <c r="K489" t="s">
        <v>37</v>
      </c>
      <c r="L489">
        <v>2389</v>
      </c>
      <c r="M489">
        <v>1</v>
      </c>
      <c r="N489" t="s">
        <v>32</v>
      </c>
      <c r="O489">
        <v>13</v>
      </c>
      <c r="P489">
        <v>3</v>
      </c>
      <c r="Q489">
        <v>0</v>
      </c>
      <c r="R489">
        <v>4</v>
      </c>
      <c r="S489">
        <v>3</v>
      </c>
      <c r="T489">
        <v>4</v>
      </c>
      <c r="U489">
        <v>0</v>
      </c>
      <c r="V489">
        <v>1</v>
      </c>
      <c r="W489" t="s">
        <v>56</v>
      </c>
      <c r="X489" s="1" t="d">
        <v>2017-01-05</v>
      </c>
      <c r="Z489" t="s">
        <v>39</v>
      </c>
      <c r="AA489" t="s">
        <v>40</v>
      </c>
      <c r="AB489">
        <v>4</v>
      </c>
      <c r="AC489">
        <v>2</v>
      </c>
      <c r="AD489" t="s">
        <v>32</v>
      </c>
      <c r="AE489" t="s">
        <v>42</v>
      </c>
      <c r="AF489" t="s">
        <v>43</v>
      </c>
    </row>
    <row r="490" spans="1:32" x14ac:dyDescent="0.25">
      <c r="A490">
        <v>32</v>
      </c>
      <c r="B490" t="s">
        <v>41</v>
      </c>
      <c r="C490" t="s">
        <v>33</v>
      </c>
      <c r="D490" t="s">
        <v>53</v>
      </c>
      <c r="E490">
        <v>4</v>
      </c>
      <c r="F490" t="s">
        <v>58</v>
      </c>
      <c r="G490">
        <v>3</v>
      </c>
      <c r="H490">
        <v>1</v>
      </c>
      <c r="I490" t="s">
        <v>54</v>
      </c>
      <c r="J490">
        <v>2</v>
      </c>
      <c r="K490" t="s">
        <v>50</v>
      </c>
      <c r="L490">
        <v>3931</v>
      </c>
      <c r="M490">
        <v>2</v>
      </c>
      <c r="N490" t="s">
        <v>41</v>
      </c>
      <c r="O490">
        <v>11</v>
      </c>
      <c r="P490">
        <v>3</v>
      </c>
      <c r="Q490">
        <v>1</v>
      </c>
      <c r="R490">
        <v>6</v>
      </c>
      <c r="S490">
        <v>5</v>
      </c>
      <c r="T490">
        <v>4</v>
      </c>
      <c r="U490">
        <v>1</v>
      </c>
      <c r="V490">
        <v>2</v>
      </c>
      <c r="W490" t="s">
        <v>51</v>
      </c>
      <c r="X490" s="1" t="d">
        <v>2017-05-11</v>
      </c>
      <c r="Z490" t="s">
        <v>63</v>
      </c>
      <c r="AA490" t="s">
        <v>46</v>
      </c>
      <c r="AB490">
        <v>2</v>
      </c>
      <c r="AC490">
        <v>1</v>
      </c>
      <c r="AD490" t="s">
        <v>41</v>
      </c>
      <c r="AE490" t="s">
        <v>47</v>
      </c>
      <c r="AF490" t="s">
        <v>57</v>
      </c>
    </row>
    <row r="491" spans="1:32" x14ac:dyDescent="0.25">
      <c r="A491">
        <v>25</v>
      </c>
      <c r="B491" t="s">
        <v>41</v>
      </c>
      <c r="C491" t="s">
        <v>33</v>
      </c>
      <c r="D491" t="s">
        <v>34</v>
      </c>
      <c r="E491">
        <v>1</v>
      </c>
      <c r="F491" t="s">
        <v>58</v>
      </c>
      <c r="G491">
        <v>3</v>
      </c>
      <c r="H491">
        <v>2</v>
      </c>
      <c r="I491" t="s">
        <v>67</v>
      </c>
      <c r="J491">
        <v>3</v>
      </c>
      <c r="K491" t="s">
        <v>50</v>
      </c>
      <c r="L491">
        <v>4898</v>
      </c>
      <c r="M491">
        <v>0</v>
      </c>
      <c r="N491" t="s">
        <v>41</v>
      </c>
      <c r="O491">
        <v>12</v>
      </c>
      <c r="P491">
        <v>3</v>
      </c>
      <c r="Q491">
        <v>2</v>
      </c>
      <c r="R491">
        <v>5</v>
      </c>
      <c r="S491">
        <v>3</v>
      </c>
      <c r="T491">
        <v>4</v>
      </c>
      <c r="U491">
        <v>1</v>
      </c>
      <c r="V491">
        <v>2</v>
      </c>
      <c r="W491" t="s">
        <v>38</v>
      </c>
      <c r="X491" s="1" t="d">
        <v>2017-03-04</v>
      </c>
      <c r="Z491" t="s">
        <v>45</v>
      </c>
      <c r="AA491" t="s">
        <v>40</v>
      </c>
      <c r="AB491">
        <v>4</v>
      </c>
      <c r="AC491">
        <v>2</v>
      </c>
      <c r="AD491" t="s">
        <v>32</v>
      </c>
      <c r="AE491" t="s">
        <v>60</v>
      </c>
      <c r="AF491" t="s">
        <v>48</v>
      </c>
    </row>
    <row r="492" spans="1:32" x14ac:dyDescent="0.25">
      <c r="A492">
        <v>37</v>
      </c>
      <c r="B492" t="s">
        <v>41</v>
      </c>
      <c r="C492" t="s">
        <v>61</v>
      </c>
      <c r="D492" t="s">
        <v>34</v>
      </c>
      <c r="E492">
        <v>9</v>
      </c>
      <c r="F492" t="s">
        <v>35</v>
      </c>
      <c r="G492">
        <v>3</v>
      </c>
      <c r="H492">
        <v>1</v>
      </c>
      <c r="I492" t="s">
        <v>44</v>
      </c>
      <c r="J492">
        <v>4</v>
      </c>
      <c r="K492" t="s">
        <v>50</v>
      </c>
      <c r="L492">
        <v>2326</v>
      </c>
      <c r="M492">
        <v>1</v>
      </c>
      <c r="N492" t="s">
        <v>32</v>
      </c>
      <c r="O492">
        <v>12</v>
      </c>
      <c r="P492">
        <v>3</v>
      </c>
      <c r="Q492">
        <v>3</v>
      </c>
      <c r="R492">
        <v>4</v>
      </c>
      <c r="S492">
        <v>3</v>
      </c>
      <c r="T492">
        <v>4</v>
      </c>
      <c r="U492">
        <v>1</v>
      </c>
      <c r="V492">
        <v>2</v>
      </c>
      <c r="W492" t="s">
        <v>65</v>
      </c>
      <c r="X492" s="1" t="d">
        <v>2017-05-07</v>
      </c>
      <c r="Z492" t="s">
        <v>45</v>
      </c>
      <c r="AA492" t="s">
        <v>46</v>
      </c>
      <c r="AB492">
        <v>0</v>
      </c>
      <c r="AC492">
        <v>1</v>
      </c>
      <c r="AD492" t="s">
        <v>32</v>
      </c>
      <c r="AE492" t="s">
        <v>47</v>
      </c>
      <c r="AF492" t="s">
        <v>57</v>
      </c>
    </row>
    <row r="493" spans="1:32" x14ac:dyDescent="0.25">
      <c r="A493">
        <v>51</v>
      </c>
      <c r="B493" t="s">
        <v>41</v>
      </c>
      <c r="C493" t="s">
        <v>33</v>
      </c>
      <c r="D493" t="s">
        <v>34</v>
      </c>
      <c r="E493">
        <v>2</v>
      </c>
      <c r="F493" t="s">
        <v>35</v>
      </c>
      <c r="G493">
        <v>1</v>
      </c>
      <c r="H493">
        <v>2</v>
      </c>
      <c r="I493" t="s">
        <v>67</v>
      </c>
      <c r="J493">
        <v>2</v>
      </c>
      <c r="K493" t="s">
        <v>55</v>
      </c>
      <c r="L493">
        <v>5482</v>
      </c>
      <c r="M493">
        <v>5</v>
      </c>
      <c r="N493" t="s">
        <v>41</v>
      </c>
      <c r="O493">
        <v>18</v>
      </c>
      <c r="P493">
        <v>3</v>
      </c>
      <c r="Q493">
        <v>1</v>
      </c>
      <c r="R493">
        <v>13</v>
      </c>
      <c r="S493">
        <v>3</v>
      </c>
      <c r="T493">
        <v>4</v>
      </c>
      <c r="U493">
        <v>1</v>
      </c>
      <c r="V493">
        <v>2</v>
      </c>
      <c r="W493" t="s">
        <v>65</v>
      </c>
      <c r="X493" s="1" t="d">
        <v>2017-03-21</v>
      </c>
      <c r="Z493" t="s">
        <v>52</v>
      </c>
      <c r="AA493" t="s">
        <v>40</v>
      </c>
      <c r="AB493">
        <v>2</v>
      </c>
      <c r="AC493">
        <v>3</v>
      </c>
      <c r="AD493" t="s">
        <v>41</v>
      </c>
      <c r="AE493" t="s">
        <v>47</v>
      </c>
      <c r="AF493" t="s">
        <v>43</v>
      </c>
    </row>
    <row r="494" spans="1:32" x14ac:dyDescent="0.25">
      <c r="A494">
        <v>27</v>
      </c>
      <c r="B494" t="s">
        <v>41</v>
      </c>
      <c r="C494" t="s">
        <v>33</v>
      </c>
      <c r="D494" t="s">
        <v>34</v>
      </c>
      <c r="E494">
        <v>5</v>
      </c>
      <c r="F494" t="s">
        <v>58</v>
      </c>
      <c r="G494">
        <v>3</v>
      </c>
      <c r="H494">
        <v>1</v>
      </c>
      <c r="I494" t="s">
        <v>44</v>
      </c>
      <c r="J494">
        <v>2</v>
      </c>
      <c r="K494" t="s">
        <v>37</v>
      </c>
      <c r="L494">
        <v>2478</v>
      </c>
      <c r="M494">
        <v>1</v>
      </c>
      <c r="N494" t="s">
        <v>32</v>
      </c>
      <c r="O494">
        <v>12</v>
      </c>
      <c r="P494">
        <v>3</v>
      </c>
      <c r="Q494">
        <v>0</v>
      </c>
      <c r="R494">
        <v>4</v>
      </c>
      <c r="S494">
        <v>2</v>
      </c>
      <c r="T494">
        <v>4</v>
      </c>
      <c r="U494">
        <v>1</v>
      </c>
      <c r="V494">
        <v>2</v>
      </c>
      <c r="W494" t="s">
        <v>51</v>
      </c>
      <c r="X494" s="1" t="d">
        <v>2017-06-12</v>
      </c>
      <c r="Z494" t="s">
        <v>59</v>
      </c>
      <c r="AA494" t="s">
        <v>46</v>
      </c>
      <c r="AB494">
        <v>0</v>
      </c>
      <c r="AC494">
        <v>1</v>
      </c>
      <c r="AD494" t="s">
        <v>41</v>
      </c>
      <c r="AE494" t="s">
        <v>42</v>
      </c>
      <c r="AF494" t="s">
        <v>43</v>
      </c>
    </row>
    <row r="495" spans="1:32" x14ac:dyDescent="0.25">
      <c r="A495">
        <v>54</v>
      </c>
      <c r="B495" t="s">
        <v>41</v>
      </c>
      <c r="C495" t="s">
        <v>61</v>
      </c>
      <c r="D495" t="s">
        <v>34</v>
      </c>
      <c r="E495">
        <v>20</v>
      </c>
      <c r="F495" t="s">
        <v>58</v>
      </c>
      <c r="G495">
        <v>3</v>
      </c>
      <c r="H495">
        <v>2</v>
      </c>
      <c r="I495" t="s">
        <v>44</v>
      </c>
      <c r="J495">
        <v>3</v>
      </c>
      <c r="K495" t="s">
        <v>37</v>
      </c>
      <c r="L495">
        <v>4869</v>
      </c>
      <c r="M495">
        <v>3</v>
      </c>
      <c r="N495" t="s">
        <v>41</v>
      </c>
      <c r="O495">
        <v>12</v>
      </c>
      <c r="P495">
        <v>3</v>
      </c>
      <c r="Q495">
        <v>0</v>
      </c>
      <c r="R495">
        <v>20</v>
      </c>
      <c r="S495">
        <v>4</v>
      </c>
      <c r="T495">
        <v>4</v>
      </c>
      <c r="U495">
        <v>0</v>
      </c>
      <c r="V495">
        <v>3</v>
      </c>
      <c r="W495" t="s">
        <v>56</v>
      </c>
      <c r="X495" s="1" t="d">
        <v>2017-04-03</v>
      </c>
      <c r="Z495" t="s">
        <v>59</v>
      </c>
      <c r="AA495" t="s">
        <v>46</v>
      </c>
      <c r="AB495">
        <v>2</v>
      </c>
      <c r="AC495">
        <v>1</v>
      </c>
      <c r="AD495" t="s">
        <v>41</v>
      </c>
      <c r="AE495" t="s">
        <v>42</v>
      </c>
      <c r="AF495" t="s">
        <v>43</v>
      </c>
    </row>
    <row r="496" spans="1:32" x14ac:dyDescent="0.25">
      <c r="A496">
        <v>40</v>
      </c>
      <c r="B496" t="s">
        <v>41</v>
      </c>
      <c r="C496" t="s">
        <v>33</v>
      </c>
      <c r="D496" t="s">
        <v>53</v>
      </c>
      <c r="E496">
        <v>1</v>
      </c>
      <c r="F496" t="s">
        <v>35</v>
      </c>
      <c r="G496">
        <v>1</v>
      </c>
      <c r="H496">
        <v>2</v>
      </c>
      <c r="I496" t="s">
        <v>64</v>
      </c>
      <c r="J496">
        <v>4</v>
      </c>
      <c r="K496" t="s">
        <v>50</v>
      </c>
      <c r="L496">
        <v>7457</v>
      </c>
      <c r="M496">
        <v>2</v>
      </c>
      <c r="N496" t="s">
        <v>32</v>
      </c>
      <c r="O496">
        <v>22</v>
      </c>
      <c r="P496">
        <v>4</v>
      </c>
      <c r="Q496">
        <v>3</v>
      </c>
      <c r="R496">
        <v>6</v>
      </c>
      <c r="S496">
        <v>2</v>
      </c>
      <c r="T496">
        <v>4</v>
      </c>
      <c r="U496">
        <v>0</v>
      </c>
      <c r="V496">
        <v>2</v>
      </c>
      <c r="W496" t="s">
        <v>51</v>
      </c>
      <c r="X496" s="1" t="d">
        <v>2017-04-24</v>
      </c>
      <c r="Z496" t="s">
        <v>63</v>
      </c>
      <c r="AA496" t="s">
        <v>46</v>
      </c>
      <c r="AB496">
        <v>0</v>
      </c>
      <c r="AC496">
        <v>3</v>
      </c>
      <c r="AD496" t="s">
        <v>32</v>
      </c>
      <c r="AE496" t="s">
        <v>42</v>
      </c>
      <c r="AF496" t="s">
        <v>43</v>
      </c>
    </row>
    <row r="497" spans="1:32" x14ac:dyDescent="0.25">
      <c r="A497">
        <v>23</v>
      </c>
      <c r="B497" t="s">
        <v>41</v>
      </c>
      <c r="C497" t="s">
        <v>33</v>
      </c>
      <c r="D497" t="s">
        <v>34</v>
      </c>
      <c r="E497">
        <v>26</v>
      </c>
      <c r="F497" t="s">
        <v>35</v>
      </c>
      <c r="G497">
        <v>3</v>
      </c>
      <c r="H497">
        <v>1</v>
      </c>
      <c r="I497" t="s">
        <v>44</v>
      </c>
      <c r="J497">
        <v>4</v>
      </c>
      <c r="K497" t="s">
        <v>55</v>
      </c>
      <c r="L497">
        <v>2904</v>
      </c>
      <c r="M497">
        <v>1</v>
      </c>
      <c r="N497" t="s">
        <v>41</v>
      </c>
      <c r="O497">
        <v>12</v>
      </c>
      <c r="P497">
        <v>3</v>
      </c>
      <c r="Q497">
        <v>2</v>
      </c>
      <c r="R497">
        <v>4</v>
      </c>
      <c r="S497">
        <v>2</v>
      </c>
      <c r="T497">
        <v>4</v>
      </c>
      <c r="U497">
        <v>0</v>
      </c>
      <c r="V497">
        <v>2</v>
      </c>
      <c r="W497" t="s">
        <v>38</v>
      </c>
      <c r="X497" s="1" t="d">
        <v>2017-04-29</v>
      </c>
      <c r="Z497" t="s">
        <v>52</v>
      </c>
      <c r="AA497" t="s">
        <v>40</v>
      </c>
      <c r="AB497">
        <v>0</v>
      </c>
      <c r="AC497">
        <v>2</v>
      </c>
      <c r="AD497" t="s">
        <v>32</v>
      </c>
      <c r="AE497" t="s">
        <v>42</v>
      </c>
      <c r="AF497" t="s">
        <v>57</v>
      </c>
    </row>
    <row r="498" spans="1:32" x14ac:dyDescent="0.25">
      <c r="A498">
        <v>29</v>
      </c>
      <c r="B498" t="s">
        <v>41</v>
      </c>
      <c r="C498" t="s">
        <v>68</v>
      </c>
      <c r="D498" t="s">
        <v>53</v>
      </c>
      <c r="E498">
        <v>2</v>
      </c>
      <c r="F498" t="s">
        <v>35</v>
      </c>
      <c r="G498">
        <v>3</v>
      </c>
      <c r="H498">
        <v>2</v>
      </c>
      <c r="I498" t="s">
        <v>64</v>
      </c>
      <c r="J498">
        <v>3</v>
      </c>
      <c r="K498" t="s">
        <v>50</v>
      </c>
      <c r="L498">
        <v>4649</v>
      </c>
      <c r="M498">
        <v>1</v>
      </c>
      <c r="N498" t="s">
        <v>41</v>
      </c>
      <c r="O498">
        <v>14</v>
      </c>
      <c r="P498">
        <v>3</v>
      </c>
      <c r="Q498">
        <v>1</v>
      </c>
      <c r="R498">
        <v>4</v>
      </c>
      <c r="S498">
        <v>3</v>
      </c>
      <c r="T498">
        <v>4</v>
      </c>
      <c r="U498">
        <v>0</v>
      </c>
      <c r="V498">
        <v>2</v>
      </c>
      <c r="W498" t="s">
        <v>51</v>
      </c>
      <c r="X498" s="1" t="d">
        <v>2017-04-22</v>
      </c>
      <c r="Z498" t="s">
        <v>52</v>
      </c>
      <c r="AA498" t="s">
        <v>46</v>
      </c>
      <c r="AB498">
        <v>2</v>
      </c>
      <c r="AC498">
        <v>3</v>
      </c>
      <c r="AD498" t="s">
        <v>41</v>
      </c>
      <c r="AE498" t="s">
        <v>60</v>
      </c>
      <c r="AF498" t="s">
        <v>57</v>
      </c>
    </row>
    <row r="499" spans="1:32" x14ac:dyDescent="0.25">
      <c r="A499">
        <v>50</v>
      </c>
      <c r="B499" t="s">
        <v>41</v>
      </c>
      <c r="C499" t="s">
        <v>33</v>
      </c>
      <c r="D499" t="s">
        <v>34</v>
      </c>
      <c r="E499">
        <v>10</v>
      </c>
      <c r="F499" t="s">
        <v>35</v>
      </c>
      <c r="G499">
        <v>2</v>
      </c>
      <c r="H499">
        <v>3</v>
      </c>
      <c r="I499" t="s">
        <v>69</v>
      </c>
      <c r="J499">
        <v>4</v>
      </c>
      <c r="K499" t="s">
        <v>37</v>
      </c>
      <c r="L499">
        <v>10496</v>
      </c>
      <c r="M499">
        <v>6</v>
      </c>
      <c r="N499" t="s">
        <v>41</v>
      </c>
      <c r="O499">
        <v>15</v>
      </c>
      <c r="P499">
        <v>3</v>
      </c>
      <c r="Q499">
        <v>0</v>
      </c>
      <c r="R499">
        <v>20</v>
      </c>
      <c r="S499">
        <v>2</v>
      </c>
      <c r="T499">
        <v>4</v>
      </c>
      <c r="U499">
        <v>1</v>
      </c>
      <c r="V499">
        <v>3</v>
      </c>
      <c r="W499" t="s">
        <v>38</v>
      </c>
      <c r="X499" s="1" t="d">
        <v>2017-06-14</v>
      </c>
      <c r="Z499" t="s">
        <v>52</v>
      </c>
      <c r="AA499" t="s">
        <v>46</v>
      </c>
      <c r="AB499">
        <v>2</v>
      </c>
      <c r="AC499">
        <v>1</v>
      </c>
      <c r="AD499" t="s">
        <v>32</v>
      </c>
      <c r="AE499" t="s">
        <v>62</v>
      </c>
      <c r="AF499" t="s">
        <v>43</v>
      </c>
    </row>
    <row r="500" spans="1:32" x14ac:dyDescent="0.25">
      <c r="A500">
        <v>54</v>
      </c>
      <c r="B500" t="s">
        <v>41</v>
      </c>
      <c r="C500" t="s">
        <v>33</v>
      </c>
      <c r="D500" t="s">
        <v>34</v>
      </c>
      <c r="E500">
        <v>5</v>
      </c>
      <c r="F500" t="s">
        <v>35</v>
      </c>
      <c r="G500">
        <v>3</v>
      </c>
      <c r="H500">
        <v>5</v>
      </c>
      <c r="I500" t="s">
        <v>49</v>
      </c>
      <c r="J500">
        <v>1</v>
      </c>
      <c r="K500" t="s">
        <v>50</v>
      </c>
      <c r="L500">
        <v>19406</v>
      </c>
      <c r="M500">
        <v>4</v>
      </c>
      <c r="N500" t="s">
        <v>41</v>
      </c>
      <c r="O500">
        <v>11</v>
      </c>
      <c r="P500">
        <v>3</v>
      </c>
      <c r="Q500">
        <v>1</v>
      </c>
      <c r="R500">
        <v>24</v>
      </c>
      <c r="S500">
        <v>4</v>
      </c>
      <c r="T500">
        <v>4</v>
      </c>
      <c r="U500">
        <v>1</v>
      </c>
      <c r="V500">
        <v>2</v>
      </c>
      <c r="W500" t="s">
        <v>51</v>
      </c>
      <c r="X500" s="1" t="d">
        <v>2017-05-25</v>
      </c>
      <c r="Z500" t="s">
        <v>52</v>
      </c>
      <c r="AA500" t="s">
        <v>46</v>
      </c>
      <c r="AB500">
        <v>0</v>
      </c>
      <c r="AC500">
        <v>3</v>
      </c>
      <c r="AD500" t="s">
        <v>32</v>
      </c>
      <c r="AE500" t="s">
        <v>47</v>
      </c>
      <c r="AF500" t="s">
        <v>48</v>
      </c>
    </row>
    <row r="501" spans="1:32" x14ac:dyDescent="0.25">
      <c r="A501">
        <v>31</v>
      </c>
      <c r="B501" t="s">
        <v>41</v>
      </c>
      <c r="C501" t="s">
        <v>33</v>
      </c>
      <c r="D501" t="s">
        <v>34</v>
      </c>
      <c r="E501">
        <v>1</v>
      </c>
      <c r="F501" t="s">
        <v>35</v>
      </c>
      <c r="G501">
        <v>2</v>
      </c>
      <c r="H501">
        <v>1</v>
      </c>
      <c r="I501" t="s">
        <v>36</v>
      </c>
      <c r="J501">
        <v>1</v>
      </c>
      <c r="K501" t="s">
        <v>50</v>
      </c>
      <c r="L501">
        <v>2218</v>
      </c>
      <c r="M501">
        <v>1</v>
      </c>
      <c r="N501" t="s">
        <v>41</v>
      </c>
      <c r="O501">
        <v>12</v>
      </c>
      <c r="P501">
        <v>3</v>
      </c>
      <c r="Q501">
        <v>1</v>
      </c>
      <c r="R501">
        <v>4</v>
      </c>
      <c r="S501">
        <v>3</v>
      </c>
      <c r="T501">
        <v>4</v>
      </c>
      <c r="U501">
        <v>3</v>
      </c>
      <c r="V501">
        <v>2</v>
      </c>
      <c r="W501" t="s">
        <v>38</v>
      </c>
      <c r="X501" s="1" t="d">
        <v>2017-06-12</v>
      </c>
      <c r="Z501" t="s">
        <v>63</v>
      </c>
      <c r="AA501" t="s">
        <v>40</v>
      </c>
      <c r="AB501">
        <v>0</v>
      </c>
      <c r="AC501">
        <v>1</v>
      </c>
      <c r="AD501" t="s">
        <v>41</v>
      </c>
      <c r="AE501" t="s">
        <v>60</v>
      </c>
      <c r="AF501" t="s">
        <v>57</v>
      </c>
    </row>
    <row r="502" spans="1:32" x14ac:dyDescent="0.25">
      <c r="A502">
        <v>33</v>
      </c>
      <c r="B502" t="s">
        <v>32</v>
      </c>
      <c r="C502" t="s">
        <v>33</v>
      </c>
      <c r="D502" t="s">
        <v>34</v>
      </c>
      <c r="E502">
        <v>10</v>
      </c>
      <c r="F502" t="s">
        <v>35</v>
      </c>
      <c r="G502">
        <v>1</v>
      </c>
      <c r="H502">
        <v>1</v>
      </c>
      <c r="I502" t="s">
        <v>36</v>
      </c>
      <c r="J502">
        <v>4</v>
      </c>
      <c r="K502" t="s">
        <v>55</v>
      </c>
      <c r="L502">
        <v>3408</v>
      </c>
      <c r="M502">
        <v>7</v>
      </c>
      <c r="N502" t="s">
        <v>41</v>
      </c>
      <c r="O502">
        <v>13</v>
      </c>
      <c r="P502">
        <v>3</v>
      </c>
      <c r="Q502">
        <v>3</v>
      </c>
      <c r="R502">
        <v>8</v>
      </c>
      <c r="S502">
        <v>2</v>
      </c>
      <c r="T502">
        <v>4</v>
      </c>
      <c r="U502">
        <v>1</v>
      </c>
      <c r="V502">
        <v>3</v>
      </c>
      <c r="W502" t="s">
        <v>65</v>
      </c>
      <c r="X502" s="1" t="d">
        <v>2017-02-24</v>
      </c>
      <c r="Z502" t="s">
        <v>59</v>
      </c>
      <c r="AA502" t="s">
        <v>46</v>
      </c>
      <c r="AB502">
        <v>2</v>
      </c>
      <c r="AC502">
        <v>2</v>
      </c>
      <c r="AD502" t="s">
        <v>41</v>
      </c>
      <c r="AE502" t="s">
        <v>62</v>
      </c>
      <c r="AF502" t="s">
        <v>48</v>
      </c>
    </row>
    <row r="503" spans="1:32" x14ac:dyDescent="0.25">
      <c r="A503">
        <v>32</v>
      </c>
      <c r="B503" t="s">
        <v>32</v>
      </c>
      <c r="C503" t="s">
        <v>68</v>
      </c>
      <c r="D503" t="s">
        <v>53</v>
      </c>
      <c r="E503">
        <v>11</v>
      </c>
      <c r="F503" t="s">
        <v>35</v>
      </c>
      <c r="G503">
        <v>4</v>
      </c>
      <c r="H503">
        <v>2</v>
      </c>
      <c r="I503" t="s">
        <v>64</v>
      </c>
      <c r="J503">
        <v>3</v>
      </c>
      <c r="K503" t="s">
        <v>50</v>
      </c>
      <c r="L503">
        <v>4707</v>
      </c>
      <c r="M503">
        <v>8</v>
      </c>
      <c r="N503" t="s">
        <v>41</v>
      </c>
      <c r="O503">
        <v>12</v>
      </c>
      <c r="P503">
        <v>3</v>
      </c>
      <c r="Q503">
        <v>0</v>
      </c>
      <c r="R503">
        <v>6</v>
      </c>
      <c r="S503">
        <v>2</v>
      </c>
      <c r="T503">
        <v>4</v>
      </c>
      <c r="U503">
        <v>1</v>
      </c>
      <c r="V503">
        <v>2</v>
      </c>
      <c r="W503" t="s">
        <v>51</v>
      </c>
      <c r="X503" s="1" t="d">
        <v>2017-05-15</v>
      </c>
      <c r="Z503" t="s">
        <v>59</v>
      </c>
      <c r="AA503" t="s">
        <v>46</v>
      </c>
      <c r="AB503">
        <v>0</v>
      </c>
      <c r="AC503">
        <v>1</v>
      </c>
      <c r="AD503" t="s">
        <v>41</v>
      </c>
      <c r="AE503" t="s">
        <v>62</v>
      </c>
      <c r="AF503" t="s">
        <v>57</v>
      </c>
    </row>
    <row r="504" spans="1:32" x14ac:dyDescent="0.25">
      <c r="A504">
        <v>27</v>
      </c>
      <c r="B504" t="s">
        <v>32</v>
      </c>
      <c r="C504" t="s">
        <v>33</v>
      </c>
      <c r="D504" t="s">
        <v>53</v>
      </c>
      <c r="E504">
        <v>2</v>
      </c>
      <c r="F504" t="s">
        <v>35</v>
      </c>
      <c r="G504">
        <v>3</v>
      </c>
      <c r="H504">
        <v>1</v>
      </c>
      <c r="I504" t="s">
        <v>54</v>
      </c>
      <c r="J504">
        <v>1</v>
      </c>
      <c r="K504" t="s">
        <v>55</v>
      </c>
      <c r="L504">
        <v>3041</v>
      </c>
      <c r="M504">
        <v>0</v>
      </c>
      <c r="N504" t="s">
        <v>41</v>
      </c>
      <c r="O504">
        <v>11</v>
      </c>
      <c r="P504">
        <v>3</v>
      </c>
      <c r="Q504">
        <v>1</v>
      </c>
      <c r="R504">
        <v>5</v>
      </c>
      <c r="S504">
        <v>3</v>
      </c>
      <c r="T504">
        <v>4</v>
      </c>
      <c r="U504">
        <v>0</v>
      </c>
      <c r="V504">
        <v>2</v>
      </c>
      <c r="W504" t="s">
        <v>65</v>
      </c>
      <c r="X504" s="1" t="d">
        <v>2017-04-09</v>
      </c>
      <c r="Z504" t="s">
        <v>52</v>
      </c>
      <c r="AA504" t="s">
        <v>40</v>
      </c>
      <c r="AB504">
        <v>0</v>
      </c>
      <c r="AC504">
        <v>2</v>
      </c>
      <c r="AD504" t="s">
        <v>41</v>
      </c>
      <c r="AE504" t="s">
        <v>60</v>
      </c>
      <c r="AF504" t="s">
        <v>48</v>
      </c>
    </row>
    <row r="505" spans="1:32" x14ac:dyDescent="0.25">
      <c r="A505">
        <v>27</v>
      </c>
      <c r="B505" t="s">
        <v>41</v>
      </c>
      <c r="C505" t="s">
        <v>33</v>
      </c>
      <c r="D505" t="s">
        <v>34</v>
      </c>
      <c r="E505">
        <v>3</v>
      </c>
      <c r="F505" t="s">
        <v>35</v>
      </c>
      <c r="G505">
        <v>2</v>
      </c>
      <c r="H505">
        <v>1</v>
      </c>
      <c r="I505" t="s">
        <v>44</v>
      </c>
      <c r="J505">
        <v>4</v>
      </c>
      <c r="K505" t="s">
        <v>37</v>
      </c>
      <c r="L505">
        <v>2045</v>
      </c>
      <c r="M505">
        <v>0</v>
      </c>
      <c r="N505" t="s">
        <v>41</v>
      </c>
      <c r="O505">
        <v>13</v>
      </c>
      <c r="P505">
        <v>3</v>
      </c>
      <c r="Q505">
        <v>0</v>
      </c>
      <c r="R505">
        <v>5</v>
      </c>
      <c r="S505">
        <v>0</v>
      </c>
      <c r="T505">
        <v>4</v>
      </c>
      <c r="U505">
        <v>1</v>
      </c>
      <c r="V505">
        <v>1</v>
      </c>
      <c r="W505" t="s">
        <v>65</v>
      </c>
      <c r="X505" s="1" t="d">
        <v>2017-04-11</v>
      </c>
      <c r="Z505" t="s">
        <v>63</v>
      </c>
      <c r="AA505" t="s">
        <v>46</v>
      </c>
      <c r="AB505">
        <v>0</v>
      </c>
      <c r="AC505">
        <v>2</v>
      </c>
      <c r="AD505" t="s">
        <v>41</v>
      </c>
      <c r="AE505" t="s">
        <v>47</v>
      </c>
      <c r="AF505" t="s">
        <v>57</v>
      </c>
    </row>
    <row r="506" spans="1:32" x14ac:dyDescent="0.25">
      <c r="A506">
        <v>50</v>
      </c>
      <c r="B506" t="s">
        <v>32</v>
      </c>
      <c r="C506" t="s">
        <v>61</v>
      </c>
      <c r="D506" t="s">
        <v>53</v>
      </c>
      <c r="E506">
        <v>8</v>
      </c>
      <c r="F506" t="s">
        <v>35</v>
      </c>
      <c r="G506">
        <v>3</v>
      </c>
      <c r="H506">
        <v>2</v>
      </c>
      <c r="I506" t="s">
        <v>64</v>
      </c>
      <c r="J506">
        <v>3</v>
      </c>
      <c r="K506" t="s">
        <v>50</v>
      </c>
      <c r="L506">
        <v>6796</v>
      </c>
      <c r="M506">
        <v>3</v>
      </c>
      <c r="N506" t="s">
        <v>32</v>
      </c>
      <c r="O506">
        <v>14</v>
      </c>
      <c r="P506">
        <v>3</v>
      </c>
      <c r="Q506">
        <v>1</v>
      </c>
      <c r="R506">
        <v>18</v>
      </c>
      <c r="S506">
        <v>4</v>
      </c>
      <c r="T506">
        <v>4</v>
      </c>
      <c r="U506">
        <v>1</v>
      </c>
      <c r="V506">
        <v>3</v>
      </c>
      <c r="W506" t="s">
        <v>65</v>
      </c>
      <c r="X506" s="1" t="d">
        <v>2017-06-15</v>
      </c>
      <c r="Z506" t="s">
        <v>59</v>
      </c>
      <c r="AA506" t="s">
        <v>40</v>
      </c>
      <c r="AB506">
        <v>3</v>
      </c>
      <c r="AC506">
        <v>1</v>
      </c>
      <c r="AD506" t="s">
        <v>41</v>
      </c>
      <c r="AE506" t="s">
        <v>47</v>
      </c>
      <c r="AF506" t="s">
        <v>57</v>
      </c>
    </row>
    <row r="507" spans="1:32" x14ac:dyDescent="0.25">
      <c r="A507">
        <v>23</v>
      </c>
      <c r="B507" t="s">
        <v>41</v>
      </c>
      <c r="C507" t="s">
        <v>33</v>
      </c>
      <c r="D507" t="s">
        <v>34</v>
      </c>
      <c r="E507">
        <v>9</v>
      </c>
      <c r="F507" t="s">
        <v>35</v>
      </c>
      <c r="G507">
        <v>3</v>
      </c>
      <c r="H507">
        <v>1</v>
      </c>
      <c r="I507" t="s">
        <v>36</v>
      </c>
      <c r="J507">
        <v>1</v>
      </c>
      <c r="K507" t="s">
        <v>50</v>
      </c>
      <c r="L507">
        <v>2500</v>
      </c>
      <c r="M507">
        <v>1</v>
      </c>
      <c r="N507" t="s">
        <v>41</v>
      </c>
      <c r="O507">
        <v>14</v>
      </c>
      <c r="P507">
        <v>3</v>
      </c>
      <c r="Q507">
        <v>1</v>
      </c>
      <c r="R507">
        <v>5</v>
      </c>
      <c r="S507">
        <v>2</v>
      </c>
      <c r="T507">
        <v>4</v>
      </c>
      <c r="U507">
        <v>0</v>
      </c>
      <c r="V507">
        <v>2</v>
      </c>
      <c r="W507" t="s">
        <v>65</v>
      </c>
      <c r="X507" s="1" t="d">
        <v>2017-04-03</v>
      </c>
      <c r="Z507" t="s">
        <v>45</v>
      </c>
      <c r="AA507" t="s">
        <v>40</v>
      </c>
      <c r="AB507">
        <v>3</v>
      </c>
      <c r="AC507">
        <v>0</v>
      </c>
      <c r="AD507" t="s">
        <v>32</v>
      </c>
      <c r="AE507" t="s">
        <v>60</v>
      </c>
      <c r="AF507" t="s">
        <v>48</v>
      </c>
    </row>
    <row r="508" spans="1:32" x14ac:dyDescent="0.25">
      <c r="A508">
        <v>40</v>
      </c>
      <c r="B508" t="s">
        <v>41</v>
      </c>
      <c r="C508" t="s">
        <v>33</v>
      </c>
      <c r="D508" t="s">
        <v>34</v>
      </c>
      <c r="E508">
        <v>2</v>
      </c>
      <c r="F508" t="s">
        <v>58</v>
      </c>
      <c r="G508">
        <v>2</v>
      </c>
      <c r="H508">
        <v>1</v>
      </c>
      <c r="I508" t="s">
        <v>44</v>
      </c>
      <c r="J508">
        <v>4</v>
      </c>
      <c r="K508" t="s">
        <v>37</v>
      </c>
      <c r="L508">
        <v>2342</v>
      </c>
      <c r="M508">
        <v>0</v>
      </c>
      <c r="N508" t="s">
        <v>32</v>
      </c>
      <c r="O508">
        <v>20</v>
      </c>
      <c r="P508">
        <v>4</v>
      </c>
      <c r="Q508">
        <v>0</v>
      </c>
      <c r="R508">
        <v>5</v>
      </c>
      <c r="S508">
        <v>2</v>
      </c>
      <c r="T508">
        <v>4</v>
      </c>
      <c r="U508">
        <v>2</v>
      </c>
      <c r="V508">
        <v>3</v>
      </c>
      <c r="W508" t="s">
        <v>51</v>
      </c>
      <c r="X508" s="1" t="d">
        <v>2017-06-07</v>
      </c>
      <c r="Z508" t="s">
        <v>52</v>
      </c>
      <c r="AA508" t="s">
        <v>46</v>
      </c>
      <c r="AB508">
        <v>3</v>
      </c>
      <c r="AC508">
        <v>3</v>
      </c>
      <c r="AD508" t="s">
        <v>41</v>
      </c>
      <c r="AE508" t="s">
        <v>42</v>
      </c>
      <c r="AF508" t="s">
        <v>48</v>
      </c>
    </row>
    <row r="509" spans="1:32" x14ac:dyDescent="0.25">
      <c r="A509">
        <v>52</v>
      </c>
      <c r="B509" t="s">
        <v>41</v>
      </c>
      <c r="C509" t="s">
        <v>68</v>
      </c>
      <c r="D509" t="s">
        <v>34</v>
      </c>
      <c r="E509">
        <v>19</v>
      </c>
      <c r="F509" t="s">
        <v>35</v>
      </c>
      <c r="G509">
        <v>3</v>
      </c>
      <c r="H509">
        <v>1</v>
      </c>
      <c r="I509" t="s">
        <v>44</v>
      </c>
      <c r="J509">
        <v>4</v>
      </c>
      <c r="K509" t="s">
        <v>50</v>
      </c>
      <c r="L509">
        <v>4258</v>
      </c>
      <c r="M509">
        <v>0</v>
      </c>
      <c r="N509" t="s">
        <v>41</v>
      </c>
      <c r="O509">
        <v>18</v>
      </c>
      <c r="P509">
        <v>3</v>
      </c>
      <c r="Q509">
        <v>1</v>
      </c>
      <c r="R509">
        <v>5</v>
      </c>
      <c r="S509">
        <v>3</v>
      </c>
      <c r="T509">
        <v>4</v>
      </c>
      <c r="U509">
        <v>1</v>
      </c>
      <c r="V509">
        <v>2</v>
      </c>
      <c r="W509" t="s">
        <v>38</v>
      </c>
      <c r="X509" s="1" t="d">
        <v>2017-05-05</v>
      </c>
      <c r="Z509" t="s">
        <v>45</v>
      </c>
      <c r="AA509" t="s">
        <v>46</v>
      </c>
      <c r="AB509">
        <v>0</v>
      </c>
      <c r="AC509">
        <v>1</v>
      </c>
      <c r="AD509" t="s">
        <v>41</v>
      </c>
      <c r="AE509" t="s">
        <v>47</v>
      </c>
      <c r="AF509" t="s">
        <v>57</v>
      </c>
    </row>
    <row r="510" spans="1:32" x14ac:dyDescent="0.25">
      <c r="A510">
        <v>26</v>
      </c>
      <c r="B510" t="s">
        <v>32</v>
      </c>
      <c r="C510" t="s">
        <v>33</v>
      </c>
      <c r="D510" t="s">
        <v>53</v>
      </c>
      <c r="E510">
        <v>8</v>
      </c>
      <c r="F510" t="s">
        <v>35</v>
      </c>
      <c r="G510">
        <v>2</v>
      </c>
      <c r="H510">
        <v>2</v>
      </c>
      <c r="I510" t="s">
        <v>64</v>
      </c>
      <c r="J510">
        <v>1</v>
      </c>
      <c r="K510" t="s">
        <v>37</v>
      </c>
      <c r="L510">
        <v>5326</v>
      </c>
      <c r="M510">
        <v>6</v>
      </c>
      <c r="N510" t="s">
        <v>41</v>
      </c>
      <c r="O510">
        <v>17</v>
      </c>
      <c r="P510">
        <v>3</v>
      </c>
      <c r="Q510">
        <v>0</v>
      </c>
      <c r="R510">
        <v>6</v>
      </c>
      <c r="S510">
        <v>2</v>
      </c>
      <c r="T510">
        <v>4</v>
      </c>
      <c r="U510">
        <v>1</v>
      </c>
      <c r="V510">
        <v>2</v>
      </c>
      <c r="W510" t="s">
        <v>65</v>
      </c>
      <c r="X510" s="1" t="d">
        <v>2017-04-04</v>
      </c>
      <c r="Z510" t="s">
        <v>52</v>
      </c>
      <c r="AA510" t="s">
        <v>46</v>
      </c>
      <c r="AB510">
        <v>0</v>
      </c>
      <c r="AC510">
        <v>1</v>
      </c>
      <c r="AD510" t="s">
        <v>32</v>
      </c>
      <c r="AE510" t="s">
        <v>47</v>
      </c>
      <c r="AF510" t="s">
        <v>48</v>
      </c>
    </row>
    <row r="511" spans="1:32" x14ac:dyDescent="0.25">
      <c r="A511">
        <v>34</v>
      </c>
      <c r="B511" t="s">
        <v>41</v>
      </c>
      <c r="C511" t="s">
        <v>33</v>
      </c>
      <c r="D511" t="s">
        <v>34</v>
      </c>
      <c r="E511">
        <v>1</v>
      </c>
      <c r="F511" t="s">
        <v>58</v>
      </c>
      <c r="G511">
        <v>4</v>
      </c>
      <c r="H511">
        <v>1</v>
      </c>
      <c r="I511" t="s">
        <v>44</v>
      </c>
      <c r="J511">
        <v>4</v>
      </c>
      <c r="K511" t="s">
        <v>37</v>
      </c>
      <c r="L511">
        <v>3280</v>
      </c>
      <c r="M511">
        <v>2</v>
      </c>
      <c r="N511" t="s">
        <v>41</v>
      </c>
      <c r="O511">
        <v>16</v>
      </c>
      <c r="P511">
        <v>3</v>
      </c>
      <c r="Q511">
        <v>0</v>
      </c>
      <c r="R511">
        <v>10</v>
      </c>
      <c r="S511">
        <v>2</v>
      </c>
      <c r="T511">
        <v>4</v>
      </c>
      <c r="U511">
        <v>1</v>
      </c>
      <c r="V511">
        <v>3</v>
      </c>
      <c r="W511" t="s">
        <v>51</v>
      </c>
      <c r="X511" s="1" t="d">
        <v>2017-02-07</v>
      </c>
      <c r="Z511" t="s">
        <v>52</v>
      </c>
      <c r="AA511" t="s">
        <v>46</v>
      </c>
      <c r="AB511">
        <v>1</v>
      </c>
      <c r="AC511">
        <v>2</v>
      </c>
      <c r="AD511" t="s">
        <v>32</v>
      </c>
      <c r="AE511" t="s">
        <v>62</v>
      </c>
      <c r="AF511" t="s">
        <v>43</v>
      </c>
    </row>
    <row r="512" spans="1:32" x14ac:dyDescent="0.25">
      <c r="A512">
        <v>27</v>
      </c>
      <c r="B512" t="s">
        <v>41</v>
      </c>
      <c r="C512" t="s">
        <v>61</v>
      </c>
      <c r="D512" t="s">
        <v>53</v>
      </c>
      <c r="E512">
        <v>8</v>
      </c>
      <c r="F512" t="s">
        <v>35</v>
      </c>
      <c r="G512">
        <v>3</v>
      </c>
      <c r="H512">
        <v>2</v>
      </c>
      <c r="I512" t="s">
        <v>64</v>
      </c>
      <c r="J512">
        <v>4</v>
      </c>
      <c r="K512" t="s">
        <v>50</v>
      </c>
      <c r="L512">
        <v>4342</v>
      </c>
      <c r="M512">
        <v>0</v>
      </c>
      <c r="N512" t="s">
        <v>41</v>
      </c>
      <c r="O512">
        <v>19</v>
      </c>
      <c r="P512">
        <v>3</v>
      </c>
      <c r="Q512">
        <v>1</v>
      </c>
      <c r="R512">
        <v>5</v>
      </c>
      <c r="S512">
        <v>3</v>
      </c>
      <c r="T512">
        <v>4</v>
      </c>
      <c r="U512">
        <v>1</v>
      </c>
      <c r="V512">
        <v>1</v>
      </c>
      <c r="W512" t="s">
        <v>65</v>
      </c>
      <c r="X512" s="1" t="d">
        <v>2017-04-24</v>
      </c>
      <c r="Z512" t="s">
        <v>45</v>
      </c>
      <c r="AA512" t="s">
        <v>40</v>
      </c>
      <c r="AB512">
        <v>4</v>
      </c>
      <c r="AC512">
        <v>2</v>
      </c>
      <c r="AD512" t="s">
        <v>32</v>
      </c>
      <c r="AE512" t="s">
        <v>47</v>
      </c>
      <c r="AF512" t="s">
        <v>48</v>
      </c>
    </row>
    <row r="513" spans="1:32" x14ac:dyDescent="0.25">
      <c r="A513">
        <v>50</v>
      </c>
      <c r="B513" t="s">
        <v>41</v>
      </c>
      <c r="C513" t="s">
        <v>33</v>
      </c>
      <c r="D513" t="s">
        <v>34</v>
      </c>
      <c r="E513">
        <v>2</v>
      </c>
      <c r="F513" t="s">
        <v>35</v>
      </c>
      <c r="G513">
        <v>3</v>
      </c>
      <c r="H513">
        <v>4</v>
      </c>
      <c r="I513" t="s">
        <v>49</v>
      </c>
      <c r="J513">
        <v>3</v>
      </c>
      <c r="K513" t="s">
        <v>50</v>
      </c>
      <c r="L513">
        <v>17639</v>
      </c>
      <c r="M513">
        <v>5</v>
      </c>
      <c r="N513" t="s">
        <v>41</v>
      </c>
      <c r="O513">
        <v>16</v>
      </c>
      <c r="P513">
        <v>3</v>
      </c>
      <c r="Q513">
        <v>0</v>
      </c>
      <c r="R513">
        <v>30</v>
      </c>
      <c r="S513">
        <v>3</v>
      </c>
      <c r="T513">
        <v>4</v>
      </c>
      <c r="U513">
        <v>0</v>
      </c>
      <c r="V513">
        <v>3</v>
      </c>
      <c r="W513" t="s">
        <v>51</v>
      </c>
      <c r="X513" s="1" t="d">
        <v>2017-03-16</v>
      </c>
      <c r="Z513" t="s">
        <v>39</v>
      </c>
      <c r="AA513" t="s">
        <v>40</v>
      </c>
      <c r="AB513">
        <v>1</v>
      </c>
      <c r="AC513">
        <v>3</v>
      </c>
      <c r="AD513" t="s">
        <v>32</v>
      </c>
      <c r="AE513" t="s">
        <v>60</v>
      </c>
      <c r="AF513" t="s">
        <v>48</v>
      </c>
    </row>
    <row r="514" spans="1:32" x14ac:dyDescent="0.25">
      <c r="A514">
        <v>42</v>
      </c>
      <c r="B514" t="s">
        <v>41</v>
      </c>
      <c r="C514" t="s">
        <v>33</v>
      </c>
      <c r="D514" t="s">
        <v>34</v>
      </c>
      <c r="E514">
        <v>1</v>
      </c>
      <c r="F514" t="s">
        <v>58</v>
      </c>
      <c r="G514">
        <v>2</v>
      </c>
      <c r="H514">
        <v>2</v>
      </c>
      <c r="I514" t="s">
        <v>67</v>
      </c>
      <c r="J514">
        <v>4</v>
      </c>
      <c r="K514" t="s">
        <v>50</v>
      </c>
      <c r="L514">
        <v>6062</v>
      </c>
      <c r="M514">
        <v>9</v>
      </c>
      <c r="N514" t="s">
        <v>32</v>
      </c>
      <c r="O514">
        <v>13</v>
      </c>
      <c r="P514">
        <v>3</v>
      </c>
      <c r="Q514">
        <v>1</v>
      </c>
      <c r="R514">
        <v>8</v>
      </c>
      <c r="S514">
        <v>4</v>
      </c>
      <c r="T514">
        <v>4</v>
      </c>
      <c r="U514">
        <v>0</v>
      </c>
      <c r="V514">
        <v>2</v>
      </c>
      <c r="W514" t="s">
        <v>38</v>
      </c>
      <c r="X514" s="1" t="d">
        <v>2017-01-07</v>
      </c>
      <c r="Z514" t="s">
        <v>45</v>
      </c>
      <c r="AA514" t="s">
        <v>46</v>
      </c>
      <c r="AB514">
        <v>0</v>
      </c>
      <c r="AC514">
        <v>0</v>
      </c>
      <c r="AD514" t="s">
        <v>41</v>
      </c>
      <c r="AE514" t="s">
        <v>42</v>
      </c>
      <c r="AF514" t="s">
        <v>57</v>
      </c>
    </row>
    <row r="515" spans="1:32" x14ac:dyDescent="0.25">
      <c r="A515">
        <v>38</v>
      </c>
      <c r="B515" t="s">
        <v>41</v>
      </c>
      <c r="C515" t="s">
        <v>61</v>
      </c>
      <c r="D515" t="s">
        <v>34</v>
      </c>
      <c r="E515">
        <v>12</v>
      </c>
      <c r="F515" t="s">
        <v>35</v>
      </c>
      <c r="G515">
        <v>2</v>
      </c>
      <c r="H515">
        <v>2</v>
      </c>
      <c r="I515" t="s">
        <v>69</v>
      </c>
      <c r="J515">
        <v>1</v>
      </c>
      <c r="K515" t="s">
        <v>55</v>
      </c>
      <c r="L515">
        <v>6288</v>
      </c>
      <c r="M515">
        <v>2</v>
      </c>
      <c r="N515" t="s">
        <v>41</v>
      </c>
      <c r="O515">
        <v>15</v>
      </c>
      <c r="P515">
        <v>3</v>
      </c>
      <c r="Q515">
        <v>1</v>
      </c>
      <c r="R515">
        <v>13</v>
      </c>
      <c r="S515">
        <v>3</v>
      </c>
      <c r="T515">
        <v>4</v>
      </c>
      <c r="U515">
        <v>1</v>
      </c>
      <c r="V515">
        <v>2</v>
      </c>
      <c r="W515" t="s">
        <v>51</v>
      </c>
      <c r="X515" s="1" t="d">
        <v>2017-02-07</v>
      </c>
      <c r="Z515" t="s">
        <v>52</v>
      </c>
      <c r="AA515" t="s">
        <v>40</v>
      </c>
      <c r="AB515">
        <v>1</v>
      </c>
      <c r="AC515">
        <v>3</v>
      </c>
      <c r="AD515" t="s">
        <v>32</v>
      </c>
      <c r="AE515" t="s">
        <v>47</v>
      </c>
      <c r="AF515" t="s">
        <v>43</v>
      </c>
    </row>
    <row r="516" spans="1:32" x14ac:dyDescent="0.25">
      <c r="A516">
        <v>43</v>
      </c>
      <c r="B516" t="s">
        <v>41</v>
      </c>
      <c r="C516" t="s">
        <v>33</v>
      </c>
      <c r="D516" t="s">
        <v>34</v>
      </c>
      <c r="E516">
        <v>14</v>
      </c>
      <c r="F516" t="s">
        <v>35</v>
      </c>
      <c r="G516">
        <v>3</v>
      </c>
      <c r="H516">
        <v>4</v>
      </c>
      <c r="I516" t="s">
        <v>49</v>
      </c>
      <c r="J516">
        <v>1</v>
      </c>
      <c r="K516" t="s">
        <v>50</v>
      </c>
      <c r="L516">
        <v>17159</v>
      </c>
      <c r="M516">
        <v>6</v>
      </c>
      <c r="N516" t="s">
        <v>41</v>
      </c>
      <c r="O516">
        <v>24</v>
      </c>
      <c r="P516">
        <v>4</v>
      </c>
      <c r="Q516">
        <v>1</v>
      </c>
      <c r="R516">
        <v>22</v>
      </c>
      <c r="S516">
        <v>3</v>
      </c>
      <c r="T516">
        <v>4</v>
      </c>
      <c r="U516">
        <v>1</v>
      </c>
      <c r="V516">
        <v>0</v>
      </c>
      <c r="W516" t="s">
        <v>51</v>
      </c>
      <c r="X516" s="1" t="d">
        <v>2017-05-13</v>
      </c>
      <c r="Z516" t="s">
        <v>52</v>
      </c>
      <c r="AA516" t="s">
        <v>46</v>
      </c>
      <c r="AB516">
        <v>5</v>
      </c>
      <c r="AC516">
        <v>2</v>
      </c>
      <c r="AD516" t="s">
        <v>41</v>
      </c>
      <c r="AE516" t="s">
        <v>47</v>
      </c>
      <c r="AF516" t="s">
        <v>43</v>
      </c>
    </row>
    <row r="517" spans="1:32" x14ac:dyDescent="0.25">
      <c r="A517">
        <v>25</v>
      </c>
      <c r="B517" t="s">
        <v>41</v>
      </c>
      <c r="C517" t="s">
        <v>33</v>
      </c>
      <c r="D517" t="s">
        <v>34</v>
      </c>
      <c r="E517">
        <v>2</v>
      </c>
      <c r="F517" t="s">
        <v>35</v>
      </c>
      <c r="G517">
        <v>4</v>
      </c>
      <c r="H517">
        <v>1</v>
      </c>
      <c r="I517" t="s">
        <v>44</v>
      </c>
      <c r="J517">
        <v>1</v>
      </c>
      <c r="K517" t="s">
        <v>37</v>
      </c>
      <c r="L517">
        <v>3424</v>
      </c>
      <c r="M517">
        <v>7</v>
      </c>
      <c r="N517" t="s">
        <v>41</v>
      </c>
      <c r="O517">
        <v>13</v>
      </c>
      <c r="P517">
        <v>3</v>
      </c>
      <c r="Q517">
        <v>0</v>
      </c>
      <c r="R517">
        <v>6</v>
      </c>
      <c r="S517">
        <v>3</v>
      </c>
      <c r="T517">
        <v>4</v>
      </c>
      <c r="U517">
        <v>0</v>
      </c>
      <c r="V517">
        <v>1</v>
      </c>
      <c r="W517" t="s">
        <v>38</v>
      </c>
      <c r="X517" s="1" t="d">
        <v>2017-05-02</v>
      </c>
      <c r="Z517" t="s">
        <v>52</v>
      </c>
      <c r="AA517" t="s">
        <v>46</v>
      </c>
      <c r="AB517">
        <v>5</v>
      </c>
      <c r="AC517">
        <v>1</v>
      </c>
      <c r="AD517" t="s">
        <v>32</v>
      </c>
      <c r="AE517" t="s">
        <v>42</v>
      </c>
      <c r="AF517" t="s">
        <v>57</v>
      </c>
    </row>
    <row r="518" spans="1:32" x14ac:dyDescent="0.25">
      <c r="A518">
        <v>49</v>
      </c>
      <c r="B518" t="s">
        <v>41</v>
      </c>
      <c r="C518" t="s">
        <v>33</v>
      </c>
      <c r="D518" t="s">
        <v>34</v>
      </c>
      <c r="E518">
        <v>1</v>
      </c>
      <c r="F518" t="s">
        <v>58</v>
      </c>
      <c r="G518">
        <v>3</v>
      </c>
      <c r="H518">
        <v>1</v>
      </c>
      <c r="I518" t="s">
        <v>44</v>
      </c>
      <c r="J518">
        <v>1</v>
      </c>
      <c r="K518" t="s">
        <v>50</v>
      </c>
      <c r="L518">
        <v>3580</v>
      </c>
      <c r="M518">
        <v>2</v>
      </c>
      <c r="N518" t="s">
        <v>41</v>
      </c>
      <c r="O518">
        <v>16</v>
      </c>
      <c r="P518">
        <v>3</v>
      </c>
      <c r="Q518">
        <v>1</v>
      </c>
      <c r="R518">
        <v>7</v>
      </c>
      <c r="S518">
        <v>2</v>
      </c>
      <c r="T518">
        <v>4</v>
      </c>
      <c r="U518">
        <v>0</v>
      </c>
      <c r="V518">
        <v>2</v>
      </c>
      <c r="W518" t="s">
        <v>38</v>
      </c>
      <c r="X518" s="1" t="d">
        <v>2017-01-24</v>
      </c>
      <c r="Z518" t="s">
        <v>63</v>
      </c>
      <c r="AA518" t="s">
        <v>40</v>
      </c>
      <c r="AB518">
        <v>3</v>
      </c>
      <c r="AC518">
        <v>1</v>
      </c>
      <c r="AD518" t="s">
        <v>32</v>
      </c>
      <c r="AE518" t="s">
        <v>47</v>
      </c>
      <c r="AF518" t="s">
        <v>43</v>
      </c>
    </row>
    <row r="519" spans="1:32" x14ac:dyDescent="0.25">
      <c r="A519">
        <v>33</v>
      </c>
      <c r="B519" t="s">
        <v>41</v>
      </c>
      <c r="C519" t="s">
        <v>33</v>
      </c>
      <c r="D519" t="s">
        <v>70</v>
      </c>
      <c r="E519">
        <v>3</v>
      </c>
      <c r="F519" t="s">
        <v>35</v>
      </c>
      <c r="G519">
        <v>3</v>
      </c>
      <c r="H519">
        <v>1</v>
      </c>
      <c r="I519" t="s">
        <v>70</v>
      </c>
      <c r="J519">
        <v>2</v>
      </c>
      <c r="K519" t="s">
        <v>55</v>
      </c>
      <c r="L519">
        <v>2277</v>
      </c>
      <c r="M519">
        <v>3</v>
      </c>
      <c r="N519" t="s">
        <v>32</v>
      </c>
      <c r="O519">
        <v>11</v>
      </c>
      <c r="P519">
        <v>3</v>
      </c>
      <c r="Q519">
        <v>1</v>
      </c>
      <c r="R519">
        <v>7</v>
      </c>
      <c r="S519">
        <v>4</v>
      </c>
      <c r="T519">
        <v>4</v>
      </c>
      <c r="U519">
        <v>0</v>
      </c>
      <c r="V519">
        <v>3</v>
      </c>
      <c r="W519" t="s">
        <v>38</v>
      </c>
      <c r="X519" s="1" t="d">
        <v>2017-04-29</v>
      </c>
      <c r="Z519" t="s">
        <v>52</v>
      </c>
      <c r="AA519" t="s">
        <v>46</v>
      </c>
      <c r="AB519">
        <v>4</v>
      </c>
      <c r="AC519">
        <v>0</v>
      </c>
      <c r="AD519" t="s">
        <v>32</v>
      </c>
      <c r="AE519" t="s">
        <v>47</v>
      </c>
      <c r="AF519" t="s">
        <v>48</v>
      </c>
    </row>
    <row r="520" spans="1:32" x14ac:dyDescent="0.25">
      <c r="A520">
        <v>29</v>
      </c>
      <c r="B520" t="s">
        <v>41</v>
      </c>
      <c r="C520" t="s">
        <v>33</v>
      </c>
      <c r="D520" t="s">
        <v>34</v>
      </c>
      <c r="E520">
        <v>7</v>
      </c>
      <c r="F520" t="s">
        <v>58</v>
      </c>
      <c r="G520">
        <v>2</v>
      </c>
      <c r="H520">
        <v>1</v>
      </c>
      <c r="I520" t="s">
        <v>36</v>
      </c>
      <c r="J520">
        <v>4</v>
      </c>
      <c r="K520" t="s">
        <v>55</v>
      </c>
      <c r="L520">
        <v>2532</v>
      </c>
      <c r="M520">
        <v>6</v>
      </c>
      <c r="N520" t="s">
        <v>41</v>
      </c>
      <c r="O520">
        <v>14</v>
      </c>
      <c r="P520">
        <v>3</v>
      </c>
      <c r="Q520">
        <v>3</v>
      </c>
      <c r="R520">
        <v>8</v>
      </c>
      <c r="S520">
        <v>5</v>
      </c>
      <c r="T520">
        <v>4</v>
      </c>
      <c r="U520">
        <v>0</v>
      </c>
      <c r="V520">
        <v>3</v>
      </c>
      <c r="W520" t="s">
        <v>56</v>
      </c>
      <c r="X520" s="1" t="d">
        <v>2017-02-12</v>
      </c>
      <c r="Z520" t="s">
        <v>59</v>
      </c>
      <c r="AA520" t="s">
        <v>40</v>
      </c>
      <c r="AB520">
        <v>5</v>
      </c>
      <c r="AC520">
        <v>3</v>
      </c>
      <c r="AD520" t="s">
        <v>32</v>
      </c>
      <c r="AE520" t="s">
        <v>62</v>
      </c>
      <c r="AF520" t="s">
        <v>43</v>
      </c>
    </row>
    <row r="521" spans="1:32" x14ac:dyDescent="0.25">
      <c r="A521">
        <v>28</v>
      </c>
      <c r="B521" t="s">
        <v>41</v>
      </c>
      <c r="C521" t="s">
        <v>33</v>
      </c>
      <c r="D521" t="s">
        <v>53</v>
      </c>
      <c r="E521">
        <v>5</v>
      </c>
      <c r="F521" t="s">
        <v>35</v>
      </c>
      <c r="G521">
        <v>3</v>
      </c>
      <c r="H521">
        <v>2</v>
      </c>
      <c r="I521" t="s">
        <v>64</v>
      </c>
      <c r="J521">
        <v>4</v>
      </c>
      <c r="K521" t="s">
        <v>37</v>
      </c>
      <c r="L521">
        <v>4908</v>
      </c>
      <c r="M521">
        <v>1</v>
      </c>
      <c r="N521" t="s">
        <v>41</v>
      </c>
      <c r="O521">
        <v>14</v>
      </c>
      <c r="P521">
        <v>3</v>
      </c>
      <c r="Q521">
        <v>0</v>
      </c>
      <c r="R521">
        <v>4</v>
      </c>
      <c r="S521">
        <v>3</v>
      </c>
      <c r="T521">
        <v>4</v>
      </c>
      <c r="U521">
        <v>0</v>
      </c>
      <c r="V521">
        <v>2</v>
      </c>
      <c r="W521" t="s">
        <v>51</v>
      </c>
      <c r="X521" s="1" t="d">
        <v>2017-03-02</v>
      </c>
      <c r="Z521" t="s">
        <v>39</v>
      </c>
      <c r="AA521" t="s">
        <v>40</v>
      </c>
      <c r="AB521">
        <v>5</v>
      </c>
      <c r="AC521">
        <v>2</v>
      </c>
      <c r="AD521" t="s">
        <v>41</v>
      </c>
      <c r="AE521" t="s">
        <v>60</v>
      </c>
      <c r="AF521" t="s">
        <v>48</v>
      </c>
    </row>
    <row r="522" spans="1:32" x14ac:dyDescent="0.25">
      <c r="A522">
        <v>24</v>
      </c>
      <c r="B522" t="s">
        <v>41</v>
      </c>
      <c r="C522" t="s">
        <v>33</v>
      </c>
      <c r="D522" t="s">
        <v>34</v>
      </c>
      <c r="E522">
        <v>17</v>
      </c>
      <c r="F522" t="s">
        <v>58</v>
      </c>
      <c r="G522">
        <v>2</v>
      </c>
      <c r="H522">
        <v>2</v>
      </c>
      <c r="I522" t="s">
        <v>67</v>
      </c>
      <c r="J522">
        <v>3</v>
      </c>
      <c r="K522" t="s">
        <v>55</v>
      </c>
      <c r="L522">
        <v>4377</v>
      </c>
      <c r="M522">
        <v>1</v>
      </c>
      <c r="N522" t="s">
        <v>41</v>
      </c>
      <c r="O522">
        <v>15</v>
      </c>
      <c r="P522">
        <v>3</v>
      </c>
      <c r="Q522">
        <v>2</v>
      </c>
      <c r="R522">
        <v>5</v>
      </c>
      <c r="S522">
        <v>6</v>
      </c>
      <c r="T522">
        <v>4</v>
      </c>
      <c r="U522">
        <v>3</v>
      </c>
      <c r="V522">
        <v>2</v>
      </c>
      <c r="W522" t="s">
        <v>38</v>
      </c>
      <c r="X522" s="1" t="d">
        <v>2017-04-02</v>
      </c>
      <c r="Z522" t="s">
        <v>52</v>
      </c>
      <c r="AA522" t="s">
        <v>40</v>
      </c>
      <c r="AB522">
        <v>5</v>
      </c>
      <c r="AC522">
        <v>1</v>
      </c>
      <c r="AD522" t="s">
        <v>32</v>
      </c>
      <c r="AE522" t="s">
        <v>62</v>
      </c>
      <c r="AF522" t="s">
        <v>48</v>
      </c>
    </row>
    <row r="523" spans="1:32" x14ac:dyDescent="0.25">
      <c r="A523">
        <v>35</v>
      </c>
      <c r="B523" t="s">
        <v>32</v>
      </c>
      <c r="C523" t="s">
        <v>33</v>
      </c>
      <c r="D523" t="s">
        <v>34</v>
      </c>
      <c r="E523">
        <v>14</v>
      </c>
      <c r="F523" t="s">
        <v>35</v>
      </c>
      <c r="G523">
        <v>2</v>
      </c>
      <c r="H523">
        <v>1</v>
      </c>
      <c r="I523" t="s">
        <v>36</v>
      </c>
      <c r="J523">
        <v>2</v>
      </c>
      <c r="K523" t="s">
        <v>55</v>
      </c>
      <c r="L523">
        <v>3743</v>
      </c>
      <c r="M523">
        <v>1</v>
      </c>
      <c r="N523" t="s">
        <v>32</v>
      </c>
      <c r="O523">
        <v>24</v>
      </c>
      <c r="P523">
        <v>4</v>
      </c>
      <c r="Q523">
        <v>1</v>
      </c>
      <c r="R523">
        <v>5</v>
      </c>
      <c r="S523">
        <v>2</v>
      </c>
      <c r="T523">
        <v>4</v>
      </c>
      <c r="U523">
        <v>0</v>
      </c>
      <c r="V523">
        <v>2</v>
      </c>
      <c r="W523" t="s">
        <v>51</v>
      </c>
      <c r="X523" s="1" t="d">
        <v>2017-05-14</v>
      </c>
      <c r="Z523" t="s">
        <v>63</v>
      </c>
      <c r="AA523" t="s">
        <v>40</v>
      </c>
      <c r="AB523">
        <v>5</v>
      </c>
      <c r="AC523">
        <v>1</v>
      </c>
      <c r="AD523" t="s">
        <v>32</v>
      </c>
      <c r="AE523" t="s">
        <v>62</v>
      </c>
      <c r="AF523" t="s">
        <v>43</v>
      </c>
    </row>
    <row r="524" spans="1:32" x14ac:dyDescent="0.25">
      <c r="A524">
        <v>31</v>
      </c>
      <c r="B524" t="s">
        <v>41</v>
      </c>
      <c r="C524" t="s">
        <v>61</v>
      </c>
      <c r="D524" t="s">
        <v>34</v>
      </c>
      <c r="E524">
        <v>1</v>
      </c>
      <c r="F524" t="s">
        <v>58</v>
      </c>
      <c r="G524">
        <v>3</v>
      </c>
      <c r="H524">
        <v>2</v>
      </c>
      <c r="I524" t="s">
        <v>67</v>
      </c>
      <c r="J524">
        <v>1</v>
      </c>
      <c r="K524" t="s">
        <v>50</v>
      </c>
      <c r="L524">
        <v>4148</v>
      </c>
      <c r="M524">
        <v>1</v>
      </c>
      <c r="N524" t="s">
        <v>41</v>
      </c>
      <c r="O524">
        <v>12</v>
      </c>
      <c r="P524">
        <v>3</v>
      </c>
      <c r="Q524">
        <v>1</v>
      </c>
      <c r="R524">
        <v>4</v>
      </c>
      <c r="S524">
        <v>1</v>
      </c>
      <c r="T524">
        <v>4</v>
      </c>
      <c r="U524">
        <v>0</v>
      </c>
      <c r="V524">
        <v>3</v>
      </c>
      <c r="W524" t="s">
        <v>51</v>
      </c>
      <c r="X524" s="1" t="d">
        <v>2017-03-18</v>
      </c>
      <c r="Z524" t="s">
        <v>59</v>
      </c>
      <c r="AA524" t="s">
        <v>40</v>
      </c>
      <c r="AB524">
        <v>4</v>
      </c>
      <c r="AC524">
        <v>2</v>
      </c>
      <c r="AD524" t="s">
        <v>41</v>
      </c>
      <c r="AE524" t="s">
        <v>60</v>
      </c>
      <c r="AF524" t="s">
        <v>57</v>
      </c>
    </row>
    <row r="525" spans="1:32" x14ac:dyDescent="0.25">
      <c r="A525">
        <v>22</v>
      </c>
      <c r="B525" t="s">
        <v>41</v>
      </c>
      <c r="C525" t="s">
        <v>33</v>
      </c>
      <c r="D525" t="s">
        <v>34</v>
      </c>
      <c r="E525">
        <v>8</v>
      </c>
      <c r="F525" t="s">
        <v>35</v>
      </c>
      <c r="G525">
        <v>1</v>
      </c>
      <c r="H525">
        <v>1</v>
      </c>
      <c r="I525" t="s">
        <v>36</v>
      </c>
      <c r="J525">
        <v>1</v>
      </c>
      <c r="K525" t="s">
        <v>50</v>
      </c>
      <c r="L525">
        <v>2451</v>
      </c>
      <c r="M525">
        <v>1</v>
      </c>
      <c r="N525" t="s">
        <v>41</v>
      </c>
      <c r="O525">
        <v>15</v>
      </c>
      <c r="P525">
        <v>3</v>
      </c>
      <c r="Q525">
        <v>1</v>
      </c>
      <c r="R525">
        <v>4</v>
      </c>
      <c r="S525">
        <v>3</v>
      </c>
      <c r="T525">
        <v>4</v>
      </c>
      <c r="U525">
        <v>1</v>
      </c>
      <c r="V525">
        <v>1</v>
      </c>
      <c r="W525" t="s">
        <v>51</v>
      </c>
      <c r="X525" s="1" t="d">
        <v>2017-04-12</v>
      </c>
      <c r="Z525" t="s">
        <v>59</v>
      </c>
      <c r="AA525" t="s">
        <v>46</v>
      </c>
      <c r="AB525">
        <v>3</v>
      </c>
      <c r="AC525">
        <v>3</v>
      </c>
      <c r="AD525" t="s">
        <v>41</v>
      </c>
      <c r="AE525" t="s">
        <v>60</v>
      </c>
      <c r="AF525" t="s">
        <v>48</v>
      </c>
    </row>
    <row r="526" spans="1:32" x14ac:dyDescent="0.25">
      <c r="A526">
        <v>37</v>
      </c>
      <c r="B526" t="s">
        <v>41</v>
      </c>
      <c r="C526" t="s">
        <v>33</v>
      </c>
      <c r="D526" t="s">
        <v>34</v>
      </c>
      <c r="E526">
        <v>3</v>
      </c>
      <c r="F526" t="s">
        <v>58</v>
      </c>
      <c r="G526">
        <v>3</v>
      </c>
      <c r="H526">
        <v>2</v>
      </c>
      <c r="I526" t="s">
        <v>69</v>
      </c>
      <c r="J526">
        <v>2</v>
      </c>
      <c r="K526" t="s">
        <v>37</v>
      </c>
      <c r="L526">
        <v>4107</v>
      </c>
      <c r="M526">
        <v>3</v>
      </c>
      <c r="N526" t="s">
        <v>41</v>
      </c>
      <c r="O526">
        <v>15</v>
      </c>
      <c r="P526">
        <v>3</v>
      </c>
      <c r="Q526">
        <v>0</v>
      </c>
      <c r="R526">
        <v>8</v>
      </c>
      <c r="S526">
        <v>3</v>
      </c>
      <c r="T526">
        <v>4</v>
      </c>
      <c r="U526">
        <v>0</v>
      </c>
      <c r="V526">
        <v>1</v>
      </c>
      <c r="W526" t="s">
        <v>65</v>
      </c>
      <c r="X526" s="1" t="d">
        <v>2017-05-10</v>
      </c>
      <c r="Z526" t="s">
        <v>39</v>
      </c>
      <c r="AA526" t="s">
        <v>46</v>
      </c>
      <c r="AB526">
        <v>1</v>
      </c>
      <c r="AC526">
        <v>3</v>
      </c>
      <c r="AD526" t="s">
        <v>41</v>
      </c>
      <c r="AE526" t="s">
        <v>47</v>
      </c>
      <c r="AF526" t="s">
        <v>57</v>
      </c>
    </row>
    <row r="527" spans="1:32" x14ac:dyDescent="0.25">
      <c r="A527">
        <v>28</v>
      </c>
      <c r="B527" t="s">
        <v>41</v>
      </c>
      <c r="C527" t="s">
        <v>33</v>
      </c>
      <c r="D527" t="s">
        <v>34</v>
      </c>
      <c r="E527">
        <v>15</v>
      </c>
      <c r="F527" t="s">
        <v>35</v>
      </c>
      <c r="G527">
        <v>3</v>
      </c>
      <c r="H527">
        <v>1</v>
      </c>
      <c r="I527" t="s">
        <v>36</v>
      </c>
      <c r="J527">
        <v>3</v>
      </c>
      <c r="K527" t="s">
        <v>55</v>
      </c>
      <c r="L527">
        <v>2207</v>
      </c>
      <c r="M527">
        <v>1</v>
      </c>
      <c r="N527" t="s">
        <v>41</v>
      </c>
      <c r="O527">
        <v>16</v>
      </c>
      <c r="P527">
        <v>3</v>
      </c>
      <c r="Q527">
        <v>1</v>
      </c>
      <c r="R527">
        <v>4</v>
      </c>
      <c r="S527">
        <v>5</v>
      </c>
      <c r="T527">
        <v>4</v>
      </c>
      <c r="U527">
        <v>2</v>
      </c>
      <c r="V527">
        <v>2</v>
      </c>
      <c r="W527" t="s">
        <v>56</v>
      </c>
      <c r="X527" s="1" t="d">
        <v>2017-03-02</v>
      </c>
      <c r="Z527" t="s">
        <v>39</v>
      </c>
      <c r="AA527" t="s">
        <v>40</v>
      </c>
      <c r="AB527">
        <v>0</v>
      </c>
      <c r="AC527">
        <v>2</v>
      </c>
      <c r="AD527" t="s">
        <v>32</v>
      </c>
      <c r="AE527" t="s">
        <v>42</v>
      </c>
      <c r="AF527" t="s">
        <v>48</v>
      </c>
    </row>
    <row r="528" spans="1:32" x14ac:dyDescent="0.25">
      <c r="A528">
        <v>27</v>
      </c>
      <c r="B528" t="s">
        <v>41</v>
      </c>
      <c r="C528" t="s">
        <v>33</v>
      </c>
      <c r="D528" t="s">
        <v>34</v>
      </c>
      <c r="E528">
        <v>6</v>
      </c>
      <c r="F528" t="s">
        <v>35</v>
      </c>
      <c r="G528">
        <v>2</v>
      </c>
      <c r="H528">
        <v>1</v>
      </c>
      <c r="I528" t="s">
        <v>44</v>
      </c>
      <c r="J528">
        <v>3</v>
      </c>
      <c r="K528" t="s">
        <v>50</v>
      </c>
      <c r="L528">
        <v>2539</v>
      </c>
      <c r="M528">
        <v>1</v>
      </c>
      <c r="N528" t="s">
        <v>41</v>
      </c>
      <c r="O528">
        <v>13</v>
      </c>
      <c r="P528">
        <v>3</v>
      </c>
      <c r="Q528">
        <v>1</v>
      </c>
      <c r="R528">
        <v>4</v>
      </c>
      <c r="S528">
        <v>0</v>
      </c>
      <c r="T528">
        <v>4</v>
      </c>
      <c r="U528">
        <v>2</v>
      </c>
      <c r="V528">
        <v>2</v>
      </c>
      <c r="W528" t="s">
        <v>51</v>
      </c>
      <c r="X528" s="1" t="d">
        <v>2017-01-03</v>
      </c>
      <c r="Z528" t="s">
        <v>59</v>
      </c>
      <c r="AA528" t="s">
        <v>40</v>
      </c>
      <c r="AB528">
        <v>1</v>
      </c>
      <c r="AC528">
        <v>3</v>
      </c>
      <c r="AD528" t="s">
        <v>41</v>
      </c>
      <c r="AE528" t="s">
        <v>42</v>
      </c>
      <c r="AF528" t="s">
        <v>57</v>
      </c>
    </row>
    <row r="529" spans="1:32" x14ac:dyDescent="0.25">
      <c r="A529">
        <v>24</v>
      </c>
      <c r="B529" t="s">
        <v>41</v>
      </c>
      <c r="C529" t="s">
        <v>33</v>
      </c>
      <c r="D529" t="s">
        <v>34</v>
      </c>
      <c r="E529">
        <v>24</v>
      </c>
      <c r="F529" t="s">
        <v>35</v>
      </c>
      <c r="G529">
        <v>3</v>
      </c>
      <c r="H529">
        <v>1</v>
      </c>
      <c r="I529" t="s">
        <v>36</v>
      </c>
      <c r="J529">
        <v>2</v>
      </c>
      <c r="K529" t="s">
        <v>37</v>
      </c>
      <c r="L529">
        <v>3597</v>
      </c>
      <c r="M529">
        <v>8</v>
      </c>
      <c r="N529" t="s">
        <v>41</v>
      </c>
      <c r="O529">
        <v>22</v>
      </c>
      <c r="P529">
        <v>4</v>
      </c>
      <c r="Q529">
        <v>0</v>
      </c>
      <c r="R529">
        <v>6</v>
      </c>
      <c r="S529">
        <v>2</v>
      </c>
      <c r="T529">
        <v>4</v>
      </c>
      <c r="U529">
        <v>1</v>
      </c>
      <c r="V529">
        <v>2</v>
      </c>
      <c r="W529" t="s">
        <v>65</v>
      </c>
      <c r="X529" s="1" t="d">
        <v>2017-04-25</v>
      </c>
      <c r="Z529" t="s">
        <v>52</v>
      </c>
      <c r="AA529" t="s">
        <v>40</v>
      </c>
      <c r="AB529">
        <v>2</v>
      </c>
      <c r="AC529">
        <v>1</v>
      </c>
      <c r="AD529" t="s">
        <v>41</v>
      </c>
      <c r="AE529" t="s">
        <v>42</v>
      </c>
      <c r="AF529" t="s">
        <v>48</v>
      </c>
    </row>
    <row r="530" spans="1:32" x14ac:dyDescent="0.25">
      <c r="A530">
        <v>43</v>
      </c>
      <c r="B530" t="s">
        <v>32</v>
      </c>
      <c r="C530" t="s">
        <v>33</v>
      </c>
      <c r="D530" t="s">
        <v>53</v>
      </c>
      <c r="E530">
        <v>9</v>
      </c>
      <c r="F530" t="s">
        <v>58</v>
      </c>
      <c r="G530">
        <v>1</v>
      </c>
      <c r="H530">
        <v>2</v>
      </c>
      <c r="I530" t="s">
        <v>64</v>
      </c>
      <c r="J530">
        <v>3</v>
      </c>
      <c r="K530" t="s">
        <v>37</v>
      </c>
      <c r="L530">
        <v>5346</v>
      </c>
      <c r="M530">
        <v>8</v>
      </c>
      <c r="N530" t="s">
        <v>41</v>
      </c>
      <c r="O530">
        <v>13</v>
      </c>
      <c r="P530">
        <v>3</v>
      </c>
      <c r="Q530">
        <v>0</v>
      </c>
      <c r="R530">
        <v>7</v>
      </c>
      <c r="S530">
        <v>2</v>
      </c>
      <c r="T530">
        <v>4</v>
      </c>
      <c r="U530">
        <v>1</v>
      </c>
      <c r="V530">
        <v>3</v>
      </c>
      <c r="W530" t="s">
        <v>56</v>
      </c>
      <c r="X530" s="1" t="d">
        <v>2017-03-01</v>
      </c>
      <c r="Z530" t="s">
        <v>59</v>
      </c>
      <c r="AA530" t="s">
        <v>40</v>
      </c>
      <c r="AB530">
        <v>5</v>
      </c>
      <c r="AC530">
        <v>0</v>
      </c>
      <c r="AD530" t="s">
        <v>32</v>
      </c>
      <c r="AE530" t="s">
        <v>47</v>
      </c>
      <c r="AF530" t="s">
        <v>48</v>
      </c>
    </row>
    <row r="531" spans="1:32" x14ac:dyDescent="0.25">
      <c r="A531">
        <v>30</v>
      </c>
      <c r="B531" t="s">
        <v>41</v>
      </c>
      <c r="C531" t="s">
        <v>33</v>
      </c>
      <c r="D531" t="s">
        <v>53</v>
      </c>
      <c r="E531">
        <v>29</v>
      </c>
      <c r="F531" t="s">
        <v>35</v>
      </c>
      <c r="G531">
        <v>3</v>
      </c>
      <c r="H531">
        <v>2</v>
      </c>
      <c r="I531" t="s">
        <v>64</v>
      </c>
      <c r="J531">
        <v>1</v>
      </c>
      <c r="K531" t="s">
        <v>55</v>
      </c>
      <c r="L531">
        <v>4115</v>
      </c>
      <c r="M531">
        <v>8</v>
      </c>
      <c r="N531" t="s">
        <v>41</v>
      </c>
      <c r="O531">
        <v>19</v>
      </c>
      <c r="P531">
        <v>3</v>
      </c>
      <c r="Q531">
        <v>3</v>
      </c>
      <c r="R531">
        <v>8</v>
      </c>
      <c r="S531">
        <v>3</v>
      </c>
      <c r="T531">
        <v>4</v>
      </c>
      <c r="U531">
        <v>0</v>
      </c>
      <c r="V531">
        <v>3</v>
      </c>
      <c r="W531" t="s">
        <v>56</v>
      </c>
      <c r="X531" s="1" t="d">
        <v>2017-04-12</v>
      </c>
      <c r="Z531" t="s">
        <v>63</v>
      </c>
      <c r="AA531" t="s">
        <v>46</v>
      </c>
      <c r="AB531">
        <v>2</v>
      </c>
      <c r="AC531">
        <v>1</v>
      </c>
      <c r="AD531" t="s">
        <v>41</v>
      </c>
      <c r="AE531" t="s">
        <v>42</v>
      </c>
      <c r="AF531" t="s">
        <v>43</v>
      </c>
    </row>
    <row r="532" spans="1:32" x14ac:dyDescent="0.25">
      <c r="A532">
        <v>46</v>
      </c>
      <c r="B532" t="s">
        <v>41</v>
      </c>
      <c r="C532" t="s">
        <v>33</v>
      </c>
      <c r="D532" t="s">
        <v>34</v>
      </c>
      <c r="E532">
        <v>15</v>
      </c>
      <c r="F532" t="s">
        <v>35</v>
      </c>
      <c r="G532">
        <v>3</v>
      </c>
      <c r="H532">
        <v>5</v>
      </c>
      <c r="I532" t="s">
        <v>49</v>
      </c>
      <c r="J532">
        <v>2</v>
      </c>
      <c r="K532" t="s">
        <v>50</v>
      </c>
      <c r="L532">
        <v>19081</v>
      </c>
      <c r="M532">
        <v>5</v>
      </c>
      <c r="N532" t="s">
        <v>41</v>
      </c>
      <c r="O532">
        <v>11</v>
      </c>
      <c r="P532">
        <v>3</v>
      </c>
      <c r="Q532">
        <v>1</v>
      </c>
      <c r="R532">
        <v>25</v>
      </c>
      <c r="S532">
        <v>2</v>
      </c>
      <c r="T532">
        <v>4</v>
      </c>
      <c r="U532">
        <v>0</v>
      </c>
      <c r="V532">
        <v>3</v>
      </c>
      <c r="W532" t="s">
        <v>38</v>
      </c>
      <c r="X532" s="1" t="d">
        <v>2017-05-29</v>
      </c>
      <c r="Z532" t="s">
        <v>63</v>
      </c>
      <c r="AA532" t="s">
        <v>46</v>
      </c>
      <c r="AB532">
        <v>1</v>
      </c>
      <c r="AC532">
        <v>2</v>
      </c>
      <c r="AD532" t="s">
        <v>32</v>
      </c>
      <c r="AE532" t="s">
        <v>47</v>
      </c>
      <c r="AF532" t="s">
        <v>48</v>
      </c>
    </row>
    <row r="533" spans="1:32" x14ac:dyDescent="0.25">
      <c r="A533">
        <v>42</v>
      </c>
      <c r="B533" t="s">
        <v>41</v>
      </c>
      <c r="C533" t="s">
        <v>68</v>
      </c>
      <c r="D533" t="s">
        <v>70</v>
      </c>
      <c r="E533">
        <v>2</v>
      </c>
      <c r="F533" t="s">
        <v>35</v>
      </c>
      <c r="G533">
        <v>4</v>
      </c>
      <c r="H533">
        <v>2</v>
      </c>
      <c r="I533" t="s">
        <v>70</v>
      </c>
      <c r="J533">
        <v>1</v>
      </c>
      <c r="K533" t="s">
        <v>50</v>
      </c>
      <c r="L533">
        <v>6272</v>
      </c>
      <c r="M533">
        <v>7</v>
      </c>
      <c r="N533" t="s">
        <v>41</v>
      </c>
      <c r="O533">
        <v>16</v>
      </c>
      <c r="P533">
        <v>3</v>
      </c>
      <c r="Q533">
        <v>1</v>
      </c>
      <c r="R533">
        <v>10</v>
      </c>
      <c r="S533">
        <v>3</v>
      </c>
      <c r="T533">
        <v>4</v>
      </c>
      <c r="U533">
        <v>0</v>
      </c>
      <c r="V533">
        <v>3</v>
      </c>
      <c r="W533" t="s">
        <v>56</v>
      </c>
      <c r="X533" s="1" t="d">
        <v>2017-01-22</v>
      </c>
      <c r="Z533" t="s">
        <v>63</v>
      </c>
      <c r="AA533" t="s">
        <v>40</v>
      </c>
      <c r="AB533">
        <v>4</v>
      </c>
      <c r="AC533">
        <v>3</v>
      </c>
      <c r="AD533" t="s">
        <v>41</v>
      </c>
      <c r="AE533" t="s">
        <v>60</v>
      </c>
      <c r="AF533" t="s">
        <v>48</v>
      </c>
    </row>
    <row r="534" spans="1:32" x14ac:dyDescent="0.25">
      <c r="A534">
        <v>25</v>
      </c>
      <c r="B534" t="s">
        <v>41</v>
      </c>
      <c r="C534" t="s">
        <v>33</v>
      </c>
      <c r="D534" t="s">
        <v>53</v>
      </c>
      <c r="E534">
        <v>10</v>
      </c>
      <c r="F534" t="s">
        <v>35</v>
      </c>
      <c r="G534">
        <v>3</v>
      </c>
      <c r="H534">
        <v>2</v>
      </c>
      <c r="I534" t="s">
        <v>64</v>
      </c>
      <c r="J534">
        <v>4</v>
      </c>
      <c r="K534" t="s">
        <v>37</v>
      </c>
      <c r="L534">
        <v>4950</v>
      </c>
      <c r="M534">
        <v>0</v>
      </c>
      <c r="N534" t="s">
        <v>41</v>
      </c>
      <c r="O534">
        <v>14</v>
      </c>
      <c r="P534">
        <v>3</v>
      </c>
      <c r="Q534">
        <v>0</v>
      </c>
      <c r="R534">
        <v>5</v>
      </c>
      <c r="S534">
        <v>4</v>
      </c>
      <c r="T534">
        <v>4</v>
      </c>
      <c r="U534">
        <v>1</v>
      </c>
      <c r="V534">
        <v>1</v>
      </c>
      <c r="W534" t="s">
        <v>38</v>
      </c>
      <c r="X534" s="1" t="d">
        <v>2017-02-15</v>
      </c>
      <c r="Z534" t="s">
        <v>59</v>
      </c>
      <c r="AA534" t="s">
        <v>40</v>
      </c>
      <c r="AB534">
        <v>3</v>
      </c>
      <c r="AC534">
        <v>3</v>
      </c>
      <c r="AD534" t="s">
        <v>41</v>
      </c>
      <c r="AE534" t="s">
        <v>42</v>
      </c>
      <c r="AF534" t="s">
        <v>48</v>
      </c>
    </row>
    <row r="535" spans="1:32" x14ac:dyDescent="0.25">
      <c r="A535">
        <v>28</v>
      </c>
      <c r="B535" t="s">
        <v>41</v>
      </c>
      <c r="C535" t="s">
        <v>61</v>
      </c>
      <c r="D535" t="s">
        <v>34</v>
      </c>
      <c r="E535">
        <v>1</v>
      </c>
      <c r="F535" t="s">
        <v>35</v>
      </c>
      <c r="G535">
        <v>3</v>
      </c>
      <c r="H535">
        <v>1</v>
      </c>
      <c r="I535" t="s">
        <v>36</v>
      </c>
      <c r="J535">
        <v>3</v>
      </c>
      <c r="K535" t="s">
        <v>37</v>
      </c>
      <c r="L535">
        <v>2154</v>
      </c>
      <c r="M535">
        <v>0</v>
      </c>
      <c r="N535" t="s">
        <v>32</v>
      </c>
      <c r="O535">
        <v>11</v>
      </c>
      <c r="P535">
        <v>3</v>
      </c>
      <c r="Q535">
        <v>0</v>
      </c>
      <c r="R535">
        <v>5</v>
      </c>
      <c r="S535">
        <v>2</v>
      </c>
      <c r="T535">
        <v>4</v>
      </c>
      <c r="U535">
        <v>0</v>
      </c>
      <c r="V535">
        <v>2</v>
      </c>
      <c r="W535" t="s">
        <v>56</v>
      </c>
      <c r="X535" s="1" t="d">
        <v>2017-05-22</v>
      </c>
      <c r="Z535" t="s">
        <v>45</v>
      </c>
      <c r="AA535" t="s">
        <v>46</v>
      </c>
      <c r="AB535">
        <v>2</v>
      </c>
      <c r="AC535">
        <v>3</v>
      </c>
      <c r="AD535" t="s">
        <v>41</v>
      </c>
      <c r="AE535" t="s">
        <v>62</v>
      </c>
      <c r="AF535" t="s">
        <v>43</v>
      </c>
    </row>
    <row r="536" spans="1:32" x14ac:dyDescent="0.25">
      <c r="A536">
        <v>40</v>
      </c>
      <c r="B536" t="s">
        <v>41</v>
      </c>
      <c r="C536" t="s">
        <v>68</v>
      </c>
      <c r="D536" t="s">
        <v>34</v>
      </c>
      <c r="E536">
        <v>16</v>
      </c>
      <c r="F536" t="s">
        <v>35</v>
      </c>
      <c r="G536">
        <v>3</v>
      </c>
      <c r="H536">
        <v>1</v>
      </c>
      <c r="I536" t="s">
        <v>44</v>
      </c>
      <c r="J536">
        <v>3</v>
      </c>
      <c r="K536" t="s">
        <v>55</v>
      </c>
      <c r="L536">
        <v>3544</v>
      </c>
      <c r="M536">
        <v>9</v>
      </c>
      <c r="N536" t="s">
        <v>41</v>
      </c>
      <c r="O536">
        <v>16</v>
      </c>
      <c r="P536">
        <v>3</v>
      </c>
      <c r="Q536">
        <v>1</v>
      </c>
      <c r="R536">
        <v>6</v>
      </c>
      <c r="S536">
        <v>0</v>
      </c>
      <c r="T536">
        <v>4</v>
      </c>
      <c r="U536">
        <v>0</v>
      </c>
      <c r="V536">
        <v>0</v>
      </c>
      <c r="W536" t="s">
        <v>65</v>
      </c>
      <c r="X536" s="1" t="d">
        <v>2017-05-22</v>
      </c>
      <c r="Z536" t="s">
        <v>45</v>
      </c>
      <c r="AA536" t="s">
        <v>46</v>
      </c>
      <c r="AB536">
        <v>5</v>
      </c>
      <c r="AC536">
        <v>1</v>
      </c>
      <c r="AD536" t="s">
        <v>41</v>
      </c>
      <c r="AE536" t="s">
        <v>42</v>
      </c>
      <c r="AF536" t="s">
        <v>48</v>
      </c>
    </row>
    <row r="537" spans="1:32" x14ac:dyDescent="0.25">
      <c r="A537">
        <v>40</v>
      </c>
      <c r="B537" t="s">
        <v>41</v>
      </c>
      <c r="C537" t="s">
        <v>33</v>
      </c>
      <c r="D537" t="s">
        <v>34</v>
      </c>
      <c r="E537">
        <v>1</v>
      </c>
      <c r="F537" t="s">
        <v>35</v>
      </c>
      <c r="G537">
        <v>3</v>
      </c>
      <c r="H537">
        <v>1</v>
      </c>
      <c r="I537" t="s">
        <v>36</v>
      </c>
      <c r="J537">
        <v>2</v>
      </c>
      <c r="K537" t="s">
        <v>50</v>
      </c>
      <c r="L537">
        <v>2387</v>
      </c>
      <c r="M537">
        <v>3</v>
      </c>
      <c r="N537" t="s">
        <v>41</v>
      </c>
      <c r="O537">
        <v>22</v>
      </c>
      <c r="P537">
        <v>4</v>
      </c>
      <c r="Q537">
        <v>1</v>
      </c>
      <c r="R537">
        <v>7</v>
      </c>
      <c r="S537">
        <v>3</v>
      </c>
      <c r="T537">
        <v>4</v>
      </c>
      <c r="U537">
        <v>0</v>
      </c>
      <c r="V537">
        <v>3</v>
      </c>
      <c r="W537" t="s">
        <v>51</v>
      </c>
      <c r="X537" s="1" t="d">
        <v>2017-05-07</v>
      </c>
      <c r="Z537" t="s">
        <v>39</v>
      </c>
      <c r="AA537" t="s">
        <v>40</v>
      </c>
      <c r="AB537">
        <v>5</v>
      </c>
      <c r="AC537">
        <v>3</v>
      </c>
      <c r="AD537" t="s">
        <v>41</v>
      </c>
      <c r="AE537" t="s">
        <v>60</v>
      </c>
      <c r="AF537" t="s">
        <v>48</v>
      </c>
    </row>
    <row r="538" spans="1:32" x14ac:dyDescent="0.25">
      <c r="A538">
        <v>35</v>
      </c>
      <c r="B538" t="s">
        <v>32</v>
      </c>
      <c r="C538" t="s">
        <v>61</v>
      </c>
      <c r="D538" t="s">
        <v>53</v>
      </c>
      <c r="E538">
        <v>18</v>
      </c>
      <c r="F538" t="s">
        <v>58</v>
      </c>
      <c r="G538">
        <v>3</v>
      </c>
      <c r="H538">
        <v>2</v>
      </c>
      <c r="I538" t="s">
        <v>64</v>
      </c>
      <c r="J538">
        <v>3</v>
      </c>
      <c r="K538" t="s">
        <v>50</v>
      </c>
      <c r="L538">
        <v>4614</v>
      </c>
      <c r="M538">
        <v>0</v>
      </c>
      <c r="N538" t="s">
        <v>32</v>
      </c>
      <c r="O538">
        <v>18</v>
      </c>
      <c r="P538">
        <v>3</v>
      </c>
      <c r="Q538">
        <v>1</v>
      </c>
      <c r="R538">
        <v>5</v>
      </c>
      <c r="S538">
        <v>0</v>
      </c>
      <c r="T538">
        <v>4</v>
      </c>
      <c r="U538">
        <v>3</v>
      </c>
      <c r="V538">
        <v>2</v>
      </c>
      <c r="W538" t="s">
        <v>56</v>
      </c>
      <c r="X538" s="1" t="d">
        <v>2017-01-20</v>
      </c>
      <c r="Z538" t="s">
        <v>52</v>
      </c>
      <c r="AA538" t="s">
        <v>40</v>
      </c>
      <c r="AB538">
        <v>4</v>
      </c>
      <c r="AC538">
        <v>2</v>
      </c>
      <c r="AD538" t="s">
        <v>32</v>
      </c>
      <c r="AE538" t="s">
        <v>47</v>
      </c>
      <c r="AF538" t="s">
        <v>57</v>
      </c>
    </row>
    <row r="539" spans="1:32" x14ac:dyDescent="0.25">
      <c r="A539">
        <v>38</v>
      </c>
      <c r="B539" t="s">
        <v>41</v>
      </c>
      <c r="C539" t="s">
        <v>61</v>
      </c>
      <c r="D539" t="s">
        <v>34</v>
      </c>
      <c r="E539">
        <v>7</v>
      </c>
      <c r="F539" t="s">
        <v>35</v>
      </c>
      <c r="G539">
        <v>4</v>
      </c>
      <c r="H539">
        <v>1</v>
      </c>
      <c r="I539" t="s">
        <v>44</v>
      </c>
      <c r="J539">
        <v>3</v>
      </c>
      <c r="K539" t="s">
        <v>55</v>
      </c>
      <c r="L539">
        <v>2610</v>
      </c>
      <c r="M539">
        <v>1</v>
      </c>
      <c r="N539" t="s">
        <v>41</v>
      </c>
      <c r="O539">
        <v>11</v>
      </c>
      <c r="P539">
        <v>3</v>
      </c>
      <c r="Q539">
        <v>3</v>
      </c>
      <c r="R539">
        <v>4</v>
      </c>
      <c r="S539">
        <v>2</v>
      </c>
      <c r="T539">
        <v>4</v>
      </c>
      <c r="U539">
        <v>0</v>
      </c>
      <c r="V539">
        <v>3</v>
      </c>
      <c r="W539" t="s">
        <v>38</v>
      </c>
      <c r="X539" s="1" t="d">
        <v>2017-04-06</v>
      </c>
      <c r="Z539" t="s">
        <v>39</v>
      </c>
      <c r="AA539" t="s">
        <v>46</v>
      </c>
      <c r="AB539">
        <v>4</v>
      </c>
      <c r="AC539">
        <v>3</v>
      </c>
      <c r="AD539" t="s">
        <v>32</v>
      </c>
      <c r="AE539" t="s">
        <v>62</v>
      </c>
      <c r="AF539" t="s">
        <v>57</v>
      </c>
    </row>
    <row r="540" spans="1:32" x14ac:dyDescent="0.25">
      <c r="A540">
        <v>51</v>
      </c>
      <c r="B540" t="s">
        <v>41</v>
      </c>
      <c r="C540" t="s">
        <v>61</v>
      </c>
      <c r="D540" t="s">
        <v>53</v>
      </c>
      <c r="E540">
        <v>2</v>
      </c>
      <c r="F540" t="s">
        <v>35</v>
      </c>
      <c r="G540">
        <v>3</v>
      </c>
      <c r="H540">
        <v>3</v>
      </c>
      <c r="I540" t="s">
        <v>64</v>
      </c>
      <c r="J540">
        <v>2</v>
      </c>
      <c r="K540" t="s">
        <v>50</v>
      </c>
      <c r="L540">
        <v>10596</v>
      </c>
      <c r="M540">
        <v>2</v>
      </c>
      <c r="N540" t="s">
        <v>41</v>
      </c>
      <c r="O540">
        <v>11</v>
      </c>
      <c r="P540">
        <v>3</v>
      </c>
      <c r="Q540">
        <v>0</v>
      </c>
      <c r="R540">
        <v>14</v>
      </c>
      <c r="S540">
        <v>5</v>
      </c>
      <c r="T540">
        <v>4</v>
      </c>
      <c r="U540">
        <v>3</v>
      </c>
      <c r="V540">
        <v>2</v>
      </c>
      <c r="W540" t="s">
        <v>65</v>
      </c>
      <c r="X540" s="1" t="d">
        <v>2017-05-01</v>
      </c>
      <c r="Z540" t="s">
        <v>63</v>
      </c>
      <c r="AA540" t="s">
        <v>40</v>
      </c>
      <c r="AB540">
        <v>0</v>
      </c>
      <c r="AC540">
        <v>1</v>
      </c>
      <c r="AD540" t="s">
        <v>41</v>
      </c>
      <c r="AE540" t="s">
        <v>47</v>
      </c>
      <c r="AF540" t="s">
        <v>48</v>
      </c>
    </row>
    <row r="541" spans="1:32" x14ac:dyDescent="0.25">
      <c r="A541">
        <v>26</v>
      </c>
      <c r="B541" t="s">
        <v>41</v>
      </c>
      <c r="C541" t="s">
        <v>33</v>
      </c>
      <c r="D541" t="s">
        <v>34</v>
      </c>
      <c r="E541">
        <v>2</v>
      </c>
      <c r="F541" t="s">
        <v>35</v>
      </c>
      <c r="G541">
        <v>2</v>
      </c>
      <c r="H541">
        <v>1</v>
      </c>
      <c r="I541" t="s">
        <v>44</v>
      </c>
      <c r="J541">
        <v>4</v>
      </c>
      <c r="K541" t="s">
        <v>37</v>
      </c>
      <c r="L541">
        <v>3904</v>
      </c>
      <c r="M541">
        <v>0</v>
      </c>
      <c r="N541" t="s">
        <v>41</v>
      </c>
      <c r="O541">
        <v>12</v>
      </c>
      <c r="P541">
        <v>3</v>
      </c>
      <c r="Q541">
        <v>0</v>
      </c>
      <c r="R541">
        <v>5</v>
      </c>
      <c r="S541">
        <v>2</v>
      </c>
      <c r="T541">
        <v>4</v>
      </c>
      <c r="U541">
        <v>1</v>
      </c>
      <c r="V541">
        <v>1</v>
      </c>
      <c r="W541" t="s">
        <v>56</v>
      </c>
      <c r="X541" s="1" t="d">
        <v>2017-06-27</v>
      </c>
      <c r="Z541" t="s">
        <v>45</v>
      </c>
      <c r="AA541" t="s">
        <v>46</v>
      </c>
      <c r="AB541">
        <v>4</v>
      </c>
      <c r="AC541">
        <v>3</v>
      </c>
      <c r="AD541" t="s">
        <v>41</v>
      </c>
      <c r="AE541" t="s">
        <v>62</v>
      </c>
      <c r="AF541" t="s">
        <v>48</v>
      </c>
    </row>
    <row r="542" spans="1:32" x14ac:dyDescent="0.25">
      <c r="A542">
        <v>49</v>
      </c>
      <c r="B542" t="s">
        <v>32</v>
      </c>
      <c r="C542" t="s">
        <v>61</v>
      </c>
      <c r="D542" t="s">
        <v>34</v>
      </c>
      <c r="E542">
        <v>28</v>
      </c>
      <c r="F542" t="s">
        <v>35</v>
      </c>
      <c r="G542">
        <v>2</v>
      </c>
      <c r="H542">
        <v>2</v>
      </c>
      <c r="I542" t="s">
        <v>36</v>
      </c>
      <c r="J542">
        <v>1</v>
      </c>
      <c r="K542" t="s">
        <v>37</v>
      </c>
      <c r="L542">
        <v>4284</v>
      </c>
      <c r="M542">
        <v>3</v>
      </c>
      <c r="N542" t="s">
        <v>41</v>
      </c>
      <c r="O542">
        <v>20</v>
      </c>
      <c r="P542">
        <v>4</v>
      </c>
      <c r="Q542">
        <v>0</v>
      </c>
      <c r="R542">
        <v>20</v>
      </c>
      <c r="S542">
        <v>2</v>
      </c>
      <c r="T542">
        <v>4</v>
      </c>
      <c r="U542">
        <v>1</v>
      </c>
      <c r="V542">
        <v>3</v>
      </c>
      <c r="W542" t="s">
        <v>38</v>
      </c>
      <c r="X542" s="1" t="d">
        <v>2017-02-09</v>
      </c>
      <c r="Z542" t="s">
        <v>59</v>
      </c>
      <c r="AA542" t="s">
        <v>40</v>
      </c>
      <c r="AB542">
        <v>1</v>
      </c>
      <c r="AC542">
        <v>3</v>
      </c>
      <c r="AD542" t="s">
        <v>32</v>
      </c>
      <c r="AE542" t="s">
        <v>47</v>
      </c>
      <c r="AF542" t="s">
        <v>57</v>
      </c>
    </row>
    <row r="543" spans="1:32" x14ac:dyDescent="0.25">
      <c r="A543">
        <v>34</v>
      </c>
      <c r="B543" t="s">
        <v>41</v>
      </c>
      <c r="C543" t="s">
        <v>61</v>
      </c>
      <c r="D543" t="s">
        <v>34</v>
      </c>
      <c r="E543">
        <v>1</v>
      </c>
      <c r="F543" t="s">
        <v>35</v>
      </c>
      <c r="G543">
        <v>3</v>
      </c>
      <c r="H543">
        <v>1</v>
      </c>
      <c r="I543" t="s">
        <v>44</v>
      </c>
      <c r="J543">
        <v>1</v>
      </c>
      <c r="K543" t="s">
        <v>55</v>
      </c>
      <c r="L543">
        <v>2996</v>
      </c>
      <c r="M543">
        <v>5</v>
      </c>
      <c r="N543" t="s">
        <v>41</v>
      </c>
      <c r="O543">
        <v>14</v>
      </c>
      <c r="P543">
        <v>3</v>
      </c>
      <c r="Q543">
        <v>2</v>
      </c>
      <c r="R543">
        <v>10</v>
      </c>
      <c r="S543">
        <v>2</v>
      </c>
      <c r="T543">
        <v>4</v>
      </c>
      <c r="U543">
        <v>1</v>
      </c>
      <c r="V543">
        <v>3</v>
      </c>
      <c r="W543" t="s">
        <v>56</v>
      </c>
      <c r="X543" s="1" t="d">
        <v>2017-06-29</v>
      </c>
      <c r="Z543" t="s">
        <v>63</v>
      </c>
      <c r="AA543" t="s">
        <v>46</v>
      </c>
      <c r="AB543">
        <v>0</v>
      </c>
      <c r="AC543">
        <v>3</v>
      </c>
      <c r="AD543" t="s">
        <v>41</v>
      </c>
      <c r="AE543" t="s">
        <v>62</v>
      </c>
      <c r="AF543" t="s">
        <v>43</v>
      </c>
    </row>
    <row r="544" spans="1:32" x14ac:dyDescent="0.25">
      <c r="A544">
        <v>32</v>
      </c>
      <c r="B544" t="s">
        <v>41</v>
      </c>
      <c r="C544" t="s">
        <v>33</v>
      </c>
      <c r="D544" t="s">
        <v>53</v>
      </c>
      <c r="E544">
        <v>7</v>
      </c>
      <c r="F544" t="s">
        <v>35</v>
      </c>
      <c r="G544">
        <v>3</v>
      </c>
      <c r="H544">
        <v>2</v>
      </c>
      <c r="I544" t="s">
        <v>64</v>
      </c>
      <c r="J544">
        <v>4</v>
      </c>
      <c r="K544" t="s">
        <v>50</v>
      </c>
      <c r="L544">
        <v>9204</v>
      </c>
      <c r="M544">
        <v>4</v>
      </c>
      <c r="N544" t="s">
        <v>41</v>
      </c>
      <c r="O544">
        <v>12</v>
      </c>
      <c r="P544">
        <v>3</v>
      </c>
      <c r="Q544">
        <v>1</v>
      </c>
      <c r="R544">
        <v>7</v>
      </c>
      <c r="S544">
        <v>3</v>
      </c>
      <c r="T544">
        <v>4</v>
      </c>
      <c r="U544">
        <v>0</v>
      </c>
      <c r="V544">
        <v>3</v>
      </c>
      <c r="W544" t="s">
        <v>56</v>
      </c>
      <c r="X544" s="1" t="d">
        <v>2017-03-20</v>
      </c>
      <c r="Z544" t="s">
        <v>63</v>
      </c>
      <c r="AA544" t="s">
        <v>40</v>
      </c>
      <c r="AB544">
        <v>3</v>
      </c>
      <c r="AC544">
        <v>2</v>
      </c>
      <c r="AD544" t="s">
        <v>32</v>
      </c>
      <c r="AE544" t="s">
        <v>60</v>
      </c>
      <c r="AF544" t="s">
        <v>43</v>
      </c>
    </row>
    <row r="545" spans="1:32" x14ac:dyDescent="0.25">
      <c r="A545">
        <v>41</v>
      </c>
      <c r="B545" t="s">
        <v>41</v>
      </c>
      <c r="C545" t="s">
        <v>33</v>
      </c>
      <c r="D545" t="s">
        <v>34</v>
      </c>
      <c r="E545">
        <v>5</v>
      </c>
      <c r="F545" t="s">
        <v>35</v>
      </c>
      <c r="G545">
        <v>4</v>
      </c>
      <c r="H545">
        <v>1</v>
      </c>
      <c r="I545" t="s">
        <v>44</v>
      </c>
      <c r="J545">
        <v>3</v>
      </c>
      <c r="K545" t="s">
        <v>50</v>
      </c>
      <c r="L545">
        <v>2127</v>
      </c>
      <c r="M545">
        <v>2</v>
      </c>
      <c r="N545" t="s">
        <v>32</v>
      </c>
      <c r="O545">
        <v>12</v>
      </c>
      <c r="P545">
        <v>3</v>
      </c>
      <c r="Q545">
        <v>0</v>
      </c>
      <c r="R545">
        <v>7</v>
      </c>
      <c r="S545">
        <v>5</v>
      </c>
      <c r="T545">
        <v>4</v>
      </c>
      <c r="U545">
        <v>0</v>
      </c>
      <c r="V545">
        <v>3</v>
      </c>
      <c r="W545" t="s">
        <v>56</v>
      </c>
      <c r="X545" s="1" t="d">
        <v>2017-03-05</v>
      </c>
      <c r="Z545" t="s">
        <v>52</v>
      </c>
      <c r="AA545" t="s">
        <v>40</v>
      </c>
      <c r="AB545">
        <v>2</v>
      </c>
      <c r="AC545">
        <v>2</v>
      </c>
      <c r="AD545" t="s">
        <v>41</v>
      </c>
      <c r="AE545" t="s">
        <v>60</v>
      </c>
      <c r="AF545" t="s">
        <v>43</v>
      </c>
    </row>
    <row r="546" spans="1:32" x14ac:dyDescent="0.25">
      <c r="A546">
        <v>33</v>
      </c>
      <c r="B546" t="s">
        <v>41</v>
      </c>
      <c r="C546" t="s">
        <v>61</v>
      </c>
      <c r="D546" t="s">
        <v>53</v>
      </c>
      <c r="E546">
        <v>7</v>
      </c>
      <c r="F546" t="s">
        <v>35</v>
      </c>
      <c r="G546">
        <v>3</v>
      </c>
      <c r="H546">
        <v>2</v>
      </c>
      <c r="I546" t="s">
        <v>64</v>
      </c>
      <c r="J546">
        <v>1</v>
      </c>
      <c r="K546" t="s">
        <v>50</v>
      </c>
      <c r="L546">
        <v>4373</v>
      </c>
      <c r="M546">
        <v>0</v>
      </c>
      <c r="N546" t="s">
        <v>41</v>
      </c>
      <c r="O546">
        <v>14</v>
      </c>
      <c r="P546">
        <v>3</v>
      </c>
      <c r="Q546">
        <v>2</v>
      </c>
      <c r="R546">
        <v>5</v>
      </c>
      <c r="S546">
        <v>2</v>
      </c>
      <c r="T546">
        <v>4</v>
      </c>
      <c r="U546">
        <v>0</v>
      </c>
      <c r="V546">
        <v>3</v>
      </c>
      <c r="W546" t="s">
        <v>56</v>
      </c>
      <c r="X546" s="1" t="d">
        <v>2017-01-17</v>
      </c>
      <c r="Z546" t="s">
        <v>39</v>
      </c>
      <c r="AA546" t="s">
        <v>46</v>
      </c>
      <c r="AB546">
        <v>3</v>
      </c>
      <c r="AC546">
        <v>2</v>
      </c>
      <c r="AD546" t="s">
        <v>32</v>
      </c>
      <c r="AE546" t="s">
        <v>62</v>
      </c>
      <c r="AF546" t="s">
        <v>48</v>
      </c>
    </row>
    <row r="547" spans="1:32" x14ac:dyDescent="0.25">
      <c r="A547">
        <v>28</v>
      </c>
      <c r="B547" t="s">
        <v>41</v>
      </c>
      <c r="C547" t="s">
        <v>61</v>
      </c>
      <c r="D547" t="s">
        <v>53</v>
      </c>
      <c r="E547">
        <v>7</v>
      </c>
      <c r="F547" t="s">
        <v>35</v>
      </c>
      <c r="G547">
        <v>3</v>
      </c>
      <c r="H547">
        <v>2</v>
      </c>
      <c r="I547" t="s">
        <v>64</v>
      </c>
      <c r="J547">
        <v>1</v>
      </c>
      <c r="K547" t="s">
        <v>37</v>
      </c>
      <c r="L547">
        <v>4898</v>
      </c>
      <c r="M547">
        <v>0</v>
      </c>
      <c r="N547" t="s">
        <v>41</v>
      </c>
      <c r="O547">
        <v>14</v>
      </c>
      <c r="P547">
        <v>3</v>
      </c>
      <c r="Q547">
        <v>0</v>
      </c>
      <c r="R547">
        <v>5</v>
      </c>
      <c r="S547">
        <v>5</v>
      </c>
      <c r="T547">
        <v>4</v>
      </c>
      <c r="U547">
        <v>1</v>
      </c>
      <c r="V547">
        <v>3</v>
      </c>
      <c r="W547" t="s">
        <v>56</v>
      </c>
      <c r="X547" s="1" t="d">
        <v>2017-05-24</v>
      </c>
      <c r="Z547" t="s">
        <v>52</v>
      </c>
      <c r="AA547" t="s">
        <v>46</v>
      </c>
      <c r="AB547">
        <v>2</v>
      </c>
      <c r="AC547">
        <v>1</v>
      </c>
      <c r="AD547" t="s">
        <v>32</v>
      </c>
      <c r="AE547" t="s">
        <v>42</v>
      </c>
      <c r="AF547" t="s">
        <v>43</v>
      </c>
    </row>
    <row r="548" spans="1:32" x14ac:dyDescent="0.25">
      <c r="A548">
        <v>23</v>
      </c>
      <c r="B548" t="s">
        <v>41</v>
      </c>
      <c r="C548" t="s">
        <v>33</v>
      </c>
      <c r="D548" t="s">
        <v>34</v>
      </c>
      <c r="E548">
        <v>20</v>
      </c>
      <c r="F548" t="s">
        <v>35</v>
      </c>
      <c r="G548">
        <v>3</v>
      </c>
      <c r="H548">
        <v>2</v>
      </c>
      <c r="I548" t="s">
        <v>36</v>
      </c>
      <c r="J548">
        <v>3</v>
      </c>
      <c r="K548" t="s">
        <v>37</v>
      </c>
      <c r="L548">
        <v>2272</v>
      </c>
      <c r="M548">
        <v>0</v>
      </c>
      <c r="N548" t="s">
        <v>41</v>
      </c>
      <c r="O548">
        <v>14</v>
      </c>
      <c r="P548">
        <v>3</v>
      </c>
      <c r="Q548">
        <v>0</v>
      </c>
      <c r="R548">
        <v>5</v>
      </c>
      <c r="S548">
        <v>2</v>
      </c>
      <c r="T548">
        <v>4</v>
      </c>
      <c r="U548">
        <v>1</v>
      </c>
      <c r="V548">
        <v>2</v>
      </c>
      <c r="W548" t="s">
        <v>65</v>
      </c>
      <c r="X548" s="1" t="d">
        <v>2017-02-02</v>
      </c>
      <c r="Z548" t="s">
        <v>52</v>
      </c>
      <c r="AA548" t="s">
        <v>46</v>
      </c>
      <c r="AB548">
        <v>1</v>
      </c>
      <c r="AC548">
        <v>2</v>
      </c>
      <c r="AD548" t="s">
        <v>41</v>
      </c>
      <c r="AE548" t="s">
        <v>47</v>
      </c>
      <c r="AF548" t="s">
        <v>48</v>
      </c>
    </row>
    <row r="549" spans="1:32" x14ac:dyDescent="0.25">
      <c r="A549">
        <v>30</v>
      </c>
      <c r="B549" t="s">
        <v>41</v>
      </c>
      <c r="C549" t="s">
        <v>33</v>
      </c>
      <c r="D549" t="s">
        <v>53</v>
      </c>
      <c r="E549">
        <v>29</v>
      </c>
      <c r="F549" t="s">
        <v>35</v>
      </c>
      <c r="G549">
        <v>3</v>
      </c>
      <c r="H549">
        <v>3</v>
      </c>
      <c r="I549" t="s">
        <v>64</v>
      </c>
      <c r="J549">
        <v>2</v>
      </c>
      <c r="K549" t="s">
        <v>50</v>
      </c>
      <c r="L549">
        <v>9250</v>
      </c>
      <c r="M549">
        <v>3</v>
      </c>
      <c r="N549" t="s">
        <v>41</v>
      </c>
      <c r="O549">
        <v>12</v>
      </c>
      <c r="P549">
        <v>3</v>
      </c>
      <c r="Q549">
        <v>1</v>
      </c>
      <c r="R549">
        <v>9</v>
      </c>
      <c r="S549">
        <v>3</v>
      </c>
      <c r="T549">
        <v>4</v>
      </c>
      <c r="U549">
        <v>1</v>
      </c>
      <c r="V549">
        <v>3</v>
      </c>
      <c r="W549" t="s">
        <v>56</v>
      </c>
      <c r="X549" s="1" t="d">
        <v>2017-05-29</v>
      </c>
      <c r="Z549" t="s">
        <v>45</v>
      </c>
      <c r="AA549" t="s">
        <v>46</v>
      </c>
      <c r="AB549">
        <v>1</v>
      </c>
      <c r="AC549">
        <v>0</v>
      </c>
      <c r="AD549" t="s">
        <v>41</v>
      </c>
      <c r="AE549" t="s">
        <v>62</v>
      </c>
      <c r="AF549" t="s">
        <v>57</v>
      </c>
    </row>
    <row r="550" spans="1:32" x14ac:dyDescent="0.25">
      <c r="A550">
        <v>22</v>
      </c>
      <c r="B550" t="s">
        <v>41</v>
      </c>
      <c r="C550" t="s">
        <v>68</v>
      </c>
      <c r="D550" t="s">
        <v>34</v>
      </c>
      <c r="E550">
        <v>26</v>
      </c>
      <c r="F550" t="s">
        <v>58</v>
      </c>
      <c r="G550">
        <v>2</v>
      </c>
      <c r="H550">
        <v>1</v>
      </c>
      <c r="I550" t="s">
        <v>44</v>
      </c>
      <c r="J550">
        <v>3</v>
      </c>
      <c r="K550" t="s">
        <v>50</v>
      </c>
      <c r="L550">
        <v>2814</v>
      </c>
      <c r="M550">
        <v>1</v>
      </c>
      <c r="N550" t="s">
        <v>32</v>
      </c>
      <c r="O550">
        <v>14</v>
      </c>
      <c r="P550">
        <v>3</v>
      </c>
      <c r="Q550">
        <v>0</v>
      </c>
      <c r="R550">
        <v>4</v>
      </c>
      <c r="S550">
        <v>2</v>
      </c>
      <c r="T550">
        <v>4</v>
      </c>
      <c r="U550">
        <v>1</v>
      </c>
      <c r="V550">
        <v>3</v>
      </c>
      <c r="W550" t="s">
        <v>65</v>
      </c>
      <c r="X550" s="1" t="d">
        <v>2017-05-25</v>
      </c>
      <c r="Z550" t="s">
        <v>63</v>
      </c>
      <c r="AA550" t="s">
        <v>46</v>
      </c>
      <c r="AB550">
        <v>4</v>
      </c>
      <c r="AC550">
        <v>2</v>
      </c>
      <c r="AD550" t="s">
        <v>41</v>
      </c>
      <c r="AE550" t="s">
        <v>42</v>
      </c>
      <c r="AF550" t="s">
        <v>48</v>
      </c>
    </row>
    <row r="551" spans="1:32" x14ac:dyDescent="0.25">
      <c r="A551">
        <v>37</v>
      </c>
      <c r="B551" t="s">
        <v>41</v>
      </c>
      <c r="C551" t="s">
        <v>33</v>
      </c>
      <c r="D551" t="s">
        <v>34</v>
      </c>
      <c r="E551">
        <v>19</v>
      </c>
      <c r="F551" t="s">
        <v>35</v>
      </c>
      <c r="G551">
        <v>3</v>
      </c>
      <c r="H551">
        <v>2</v>
      </c>
      <c r="I551" t="s">
        <v>67</v>
      </c>
      <c r="J551">
        <v>3</v>
      </c>
      <c r="K551" t="s">
        <v>50</v>
      </c>
      <c r="L551">
        <v>5768</v>
      </c>
      <c r="M551">
        <v>3</v>
      </c>
      <c r="N551" t="s">
        <v>41</v>
      </c>
      <c r="O551">
        <v>17</v>
      </c>
      <c r="P551">
        <v>3</v>
      </c>
      <c r="Q551">
        <v>3</v>
      </c>
      <c r="R551">
        <v>9</v>
      </c>
      <c r="S551">
        <v>2</v>
      </c>
      <c r="T551">
        <v>4</v>
      </c>
      <c r="U551">
        <v>0</v>
      </c>
      <c r="V551">
        <v>2</v>
      </c>
      <c r="W551" t="s">
        <v>65</v>
      </c>
      <c r="X551" s="1" t="d">
        <v>2017-03-27</v>
      </c>
      <c r="Z551" t="s">
        <v>52</v>
      </c>
      <c r="AA551" t="s">
        <v>40</v>
      </c>
      <c r="AB551">
        <v>1</v>
      </c>
      <c r="AC551">
        <v>1</v>
      </c>
      <c r="AD551" t="s">
        <v>41</v>
      </c>
      <c r="AE551" t="s">
        <v>60</v>
      </c>
      <c r="AF551" t="s">
        <v>57</v>
      </c>
    </row>
    <row r="552" spans="1:32" x14ac:dyDescent="0.25">
      <c r="A552">
        <v>40</v>
      </c>
      <c r="B552" t="s">
        <v>41</v>
      </c>
      <c r="C552" t="s">
        <v>33</v>
      </c>
      <c r="D552" t="s">
        <v>34</v>
      </c>
      <c r="E552">
        <v>16</v>
      </c>
      <c r="F552" t="s">
        <v>58</v>
      </c>
      <c r="G552">
        <v>3</v>
      </c>
      <c r="H552">
        <v>3</v>
      </c>
      <c r="I552" t="s">
        <v>67</v>
      </c>
      <c r="J552">
        <v>4</v>
      </c>
      <c r="K552" t="s">
        <v>37</v>
      </c>
      <c r="L552">
        <v>7945</v>
      </c>
      <c r="M552">
        <v>6</v>
      </c>
      <c r="N552" t="s">
        <v>32</v>
      </c>
      <c r="O552">
        <v>15</v>
      </c>
      <c r="P552">
        <v>3</v>
      </c>
      <c r="Q552">
        <v>0</v>
      </c>
      <c r="R552">
        <v>18</v>
      </c>
      <c r="S552">
        <v>2</v>
      </c>
      <c r="T552">
        <v>4</v>
      </c>
      <c r="U552">
        <v>3</v>
      </c>
      <c r="V552">
        <v>3</v>
      </c>
      <c r="W552" t="s">
        <v>65</v>
      </c>
      <c r="X552" s="1" t="d">
        <v>2017-05-03</v>
      </c>
      <c r="Z552" t="s">
        <v>45</v>
      </c>
      <c r="AA552" t="s">
        <v>46</v>
      </c>
      <c r="AB552">
        <v>0</v>
      </c>
      <c r="AC552">
        <v>3</v>
      </c>
      <c r="AD552" t="s">
        <v>41</v>
      </c>
      <c r="AE552" t="s">
        <v>60</v>
      </c>
      <c r="AF552" t="s">
        <v>43</v>
      </c>
    </row>
    <row r="553" spans="1:32" x14ac:dyDescent="0.25">
      <c r="A553">
        <v>27</v>
      </c>
      <c r="B553" t="s">
        <v>41</v>
      </c>
      <c r="C553" t="s">
        <v>61</v>
      </c>
      <c r="D553" t="s">
        <v>34</v>
      </c>
      <c r="E553">
        <v>2</v>
      </c>
      <c r="F553" t="s">
        <v>35</v>
      </c>
      <c r="G553">
        <v>3</v>
      </c>
      <c r="H553">
        <v>1</v>
      </c>
      <c r="I553" t="s">
        <v>44</v>
      </c>
      <c r="J553">
        <v>4</v>
      </c>
      <c r="K553" t="s">
        <v>37</v>
      </c>
      <c r="L553">
        <v>2580</v>
      </c>
      <c r="M553">
        <v>2</v>
      </c>
      <c r="N553" t="s">
        <v>41</v>
      </c>
      <c r="O553">
        <v>13</v>
      </c>
      <c r="P553">
        <v>3</v>
      </c>
      <c r="Q553">
        <v>0</v>
      </c>
      <c r="R553">
        <v>6</v>
      </c>
      <c r="S553">
        <v>0</v>
      </c>
      <c r="T553">
        <v>4</v>
      </c>
      <c r="U553">
        <v>1</v>
      </c>
      <c r="V553">
        <v>2</v>
      </c>
      <c r="W553" t="s">
        <v>65</v>
      </c>
      <c r="X553" s="1" t="d">
        <v>2017-05-17</v>
      </c>
      <c r="Z553" t="s">
        <v>59</v>
      </c>
      <c r="AA553" t="s">
        <v>40</v>
      </c>
      <c r="AB553">
        <v>2</v>
      </c>
      <c r="AC553">
        <v>3</v>
      </c>
      <c r="AD553" t="s">
        <v>32</v>
      </c>
      <c r="AE553" t="s">
        <v>47</v>
      </c>
      <c r="AF553" t="s">
        <v>48</v>
      </c>
    </row>
    <row r="554" spans="1:32" x14ac:dyDescent="0.25">
      <c r="A554">
        <v>40</v>
      </c>
      <c r="B554" t="s">
        <v>32</v>
      </c>
      <c r="C554" t="s">
        <v>33</v>
      </c>
      <c r="D554" t="s">
        <v>34</v>
      </c>
      <c r="E554">
        <v>7</v>
      </c>
      <c r="F554" t="s">
        <v>35</v>
      </c>
      <c r="G554">
        <v>3</v>
      </c>
      <c r="H554">
        <v>1</v>
      </c>
      <c r="I554" t="s">
        <v>36</v>
      </c>
      <c r="J554">
        <v>1</v>
      </c>
      <c r="K554" t="s">
        <v>37</v>
      </c>
      <c r="L554">
        <v>2166</v>
      </c>
      <c r="M554">
        <v>3</v>
      </c>
      <c r="N554" t="s">
        <v>32</v>
      </c>
      <c r="O554">
        <v>14</v>
      </c>
      <c r="P554">
        <v>3</v>
      </c>
      <c r="Q554">
        <v>0</v>
      </c>
      <c r="R554">
        <v>10</v>
      </c>
      <c r="S554">
        <v>3</v>
      </c>
      <c r="T554">
        <v>4</v>
      </c>
      <c r="U554">
        <v>0</v>
      </c>
      <c r="V554">
        <v>3</v>
      </c>
      <c r="W554" t="s">
        <v>51</v>
      </c>
      <c r="X554" s="1" t="d">
        <v>2017-05-17</v>
      </c>
      <c r="Z554" t="s">
        <v>63</v>
      </c>
      <c r="AA554" t="s">
        <v>46</v>
      </c>
      <c r="AB554">
        <v>1</v>
      </c>
      <c r="AC554">
        <v>1</v>
      </c>
      <c r="AD554" t="s">
        <v>41</v>
      </c>
      <c r="AE554" t="s">
        <v>62</v>
      </c>
      <c r="AF554" t="s">
        <v>57</v>
      </c>
    </row>
    <row r="555" spans="1:32" x14ac:dyDescent="0.25">
      <c r="A555">
        <v>49</v>
      </c>
      <c r="B555" t="s">
        <v>41</v>
      </c>
      <c r="C555" t="s">
        <v>33</v>
      </c>
      <c r="D555" t="s">
        <v>34</v>
      </c>
      <c r="E555">
        <v>22</v>
      </c>
      <c r="F555" t="s">
        <v>58</v>
      </c>
      <c r="G555">
        <v>3</v>
      </c>
      <c r="H555">
        <v>4</v>
      </c>
      <c r="I555" t="s">
        <v>49</v>
      </c>
      <c r="J555">
        <v>2</v>
      </c>
      <c r="K555" t="s">
        <v>50</v>
      </c>
      <c r="L555">
        <v>16413</v>
      </c>
      <c r="M555">
        <v>3</v>
      </c>
      <c r="N555" t="s">
        <v>41</v>
      </c>
      <c r="O555">
        <v>16</v>
      </c>
      <c r="P555">
        <v>3</v>
      </c>
      <c r="Q555">
        <v>2</v>
      </c>
      <c r="R555">
        <v>27</v>
      </c>
      <c r="S555">
        <v>2</v>
      </c>
      <c r="T555">
        <v>4</v>
      </c>
      <c r="U555">
        <v>1</v>
      </c>
      <c r="V555">
        <v>2</v>
      </c>
      <c r="W555" t="s">
        <v>38</v>
      </c>
      <c r="X555" s="1" t="d">
        <v>2017-01-16</v>
      </c>
      <c r="Z555" t="s">
        <v>52</v>
      </c>
      <c r="AA555" t="s">
        <v>40</v>
      </c>
      <c r="AB555">
        <v>0</v>
      </c>
      <c r="AC555">
        <v>0</v>
      </c>
      <c r="AD555" t="s">
        <v>41</v>
      </c>
      <c r="AE555" t="s">
        <v>62</v>
      </c>
      <c r="AF555" t="s">
        <v>43</v>
      </c>
    </row>
    <row r="556" spans="1:32" x14ac:dyDescent="0.25">
      <c r="A556">
        <v>36</v>
      </c>
      <c r="B556" t="s">
        <v>41</v>
      </c>
      <c r="C556" t="s">
        <v>33</v>
      </c>
      <c r="D556" t="s">
        <v>34</v>
      </c>
      <c r="E556">
        <v>7</v>
      </c>
      <c r="F556" t="s">
        <v>35</v>
      </c>
      <c r="G556">
        <v>3</v>
      </c>
      <c r="H556">
        <v>1</v>
      </c>
      <c r="I556" t="s">
        <v>36</v>
      </c>
      <c r="J556">
        <v>2</v>
      </c>
      <c r="K556" t="s">
        <v>37</v>
      </c>
      <c r="L556">
        <v>2013</v>
      </c>
      <c r="M556">
        <v>2</v>
      </c>
      <c r="N556" t="s">
        <v>41</v>
      </c>
      <c r="O556">
        <v>11</v>
      </c>
      <c r="P556">
        <v>3</v>
      </c>
      <c r="Q556">
        <v>0</v>
      </c>
      <c r="R556">
        <v>15</v>
      </c>
      <c r="S556">
        <v>4</v>
      </c>
      <c r="T556">
        <v>4</v>
      </c>
      <c r="U556">
        <v>1</v>
      </c>
      <c r="V556">
        <v>3</v>
      </c>
      <c r="W556" t="s">
        <v>56</v>
      </c>
      <c r="X556" s="1" t="d">
        <v>2017-06-23</v>
      </c>
      <c r="Z556" t="s">
        <v>45</v>
      </c>
      <c r="AA556" t="s">
        <v>46</v>
      </c>
      <c r="AB556">
        <v>4</v>
      </c>
      <c r="AC556">
        <v>0</v>
      </c>
      <c r="AD556" t="s">
        <v>32</v>
      </c>
      <c r="AE556" t="s">
        <v>47</v>
      </c>
      <c r="AF556" t="s">
        <v>43</v>
      </c>
    </row>
    <row r="557" spans="1:32" x14ac:dyDescent="0.25">
      <c r="A557">
        <v>38</v>
      </c>
      <c r="B557" t="s">
        <v>41</v>
      </c>
      <c r="C557" t="s">
        <v>61</v>
      </c>
      <c r="D557" t="s">
        <v>34</v>
      </c>
      <c r="E557">
        <v>2</v>
      </c>
      <c r="F557" t="s">
        <v>58</v>
      </c>
      <c r="G557">
        <v>2</v>
      </c>
      <c r="H557">
        <v>1</v>
      </c>
      <c r="I557" t="s">
        <v>36</v>
      </c>
      <c r="J557">
        <v>2</v>
      </c>
      <c r="K557" t="s">
        <v>37</v>
      </c>
      <c r="L557">
        <v>2440</v>
      </c>
      <c r="M557">
        <v>1</v>
      </c>
      <c r="N557" t="s">
        <v>41</v>
      </c>
      <c r="O557">
        <v>22</v>
      </c>
      <c r="P557">
        <v>4</v>
      </c>
      <c r="Q557">
        <v>0</v>
      </c>
      <c r="R557">
        <v>4</v>
      </c>
      <c r="S557">
        <v>3</v>
      </c>
      <c r="T557">
        <v>4</v>
      </c>
      <c r="U557">
        <v>3</v>
      </c>
      <c r="V557">
        <v>3</v>
      </c>
      <c r="W557" t="s">
        <v>38</v>
      </c>
      <c r="X557" s="1" t="d">
        <v>2017-04-07</v>
      </c>
      <c r="Z557" t="s">
        <v>63</v>
      </c>
      <c r="AA557" t="s">
        <v>46</v>
      </c>
      <c r="AB557">
        <v>5</v>
      </c>
      <c r="AC557">
        <v>1</v>
      </c>
      <c r="AD557" t="s">
        <v>41</v>
      </c>
      <c r="AE557" t="s">
        <v>60</v>
      </c>
      <c r="AF557" t="s">
        <v>43</v>
      </c>
    </row>
    <row r="558" spans="1:32" x14ac:dyDescent="0.25">
      <c r="A558">
        <v>53</v>
      </c>
      <c r="B558" t="s">
        <v>41</v>
      </c>
      <c r="C558" t="s">
        <v>33</v>
      </c>
      <c r="D558" t="s">
        <v>34</v>
      </c>
      <c r="E558">
        <v>24</v>
      </c>
      <c r="F558" t="s">
        <v>35</v>
      </c>
      <c r="G558">
        <v>4</v>
      </c>
      <c r="H558">
        <v>3</v>
      </c>
      <c r="I558" t="s">
        <v>69</v>
      </c>
      <c r="J558">
        <v>4</v>
      </c>
      <c r="K558" t="s">
        <v>50</v>
      </c>
      <c r="L558">
        <v>7005</v>
      </c>
      <c r="M558">
        <v>3</v>
      </c>
      <c r="N558" t="s">
        <v>41</v>
      </c>
      <c r="O558">
        <v>15</v>
      </c>
      <c r="P558">
        <v>3</v>
      </c>
      <c r="Q558">
        <v>0</v>
      </c>
      <c r="R558">
        <v>11</v>
      </c>
      <c r="S558">
        <v>2</v>
      </c>
      <c r="T558">
        <v>4</v>
      </c>
      <c r="U558">
        <v>1</v>
      </c>
      <c r="V558">
        <v>2</v>
      </c>
      <c r="W558" t="s">
        <v>56</v>
      </c>
      <c r="X558" s="1" t="d">
        <v>2017-03-24</v>
      </c>
      <c r="Z558" t="s">
        <v>59</v>
      </c>
      <c r="AA558" t="s">
        <v>40</v>
      </c>
      <c r="AB558">
        <v>5</v>
      </c>
      <c r="AC558">
        <v>3</v>
      </c>
      <c r="AD558" t="s">
        <v>32</v>
      </c>
      <c r="AE558" t="s">
        <v>60</v>
      </c>
      <c r="AF558" t="s">
        <v>57</v>
      </c>
    </row>
    <row r="559" spans="1:32" x14ac:dyDescent="0.25">
      <c r="A559">
        <v>55</v>
      </c>
      <c r="B559" t="s">
        <v>41</v>
      </c>
      <c r="C559" t="s">
        <v>33</v>
      </c>
      <c r="D559" t="s">
        <v>34</v>
      </c>
      <c r="E559">
        <v>22</v>
      </c>
      <c r="F559" t="s">
        <v>35</v>
      </c>
      <c r="G559">
        <v>2</v>
      </c>
      <c r="H559">
        <v>1</v>
      </c>
      <c r="I559" t="s">
        <v>44</v>
      </c>
      <c r="J559">
        <v>2</v>
      </c>
      <c r="K559" t="s">
        <v>55</v>
      </c>
      <c r="L559">
        <v>3537</v>
      </c>
      <c r="M559">
        <v>5</v>
      </c>
      <c r="N559" t="s">
        <v>41</v>
      </c>
      <c r="O559">
        <v>12</v>
      </c>
      <c r="P559">
        <v>3</v>
      </c>
      <c r="Q559">
        <v>1</v>
      </c>
      <c r="R559">
        <v>8</v>
      </c>
      <c r="S559">
        <v>1</v>
      </c>
      <c r="T559">
        <v>4</v>
      </c>
      <c r="U559">
        <v>1</v>
      </c>
      <c r="V559">
        <v>2</v>
      </c>
      <c r="W559" t="s">
        <v>51</v>
      </c>
      <c r="X559" s="1" t="d">
        <v>2017-05-18</v>
      </c>
      <c r="Z559" t="s">
        <v>59</v>
      </c>
      <c r="AA559" t="s">
        <v>46</v>
      </c>
      <c r="AB559">
        <v>5</v>
      </c>
      <c r="AC559">
        <v>1</v>
      </c>
      <c r="AD559" t="s">
        <v>32</v>
      </c>
      <c r="AE559" t="s">
        <v>47</v>
      </c>
      <c r="AF559" t="s">
        <v>43</v>
      </c>
    </row>
    <row r="560" spans="1:32" x14ac:dyDescent="0.25">
      <c r="A560">
        <v>32</v>
      </c>
      <c r="B560" t="s">
        <v>41</v>
      </c>
      <c r="C560" t="s">
        <v>33</v>
      </c>
      <c r="D560" t="s">
        <v>53</v>
      </c>
      <c r="E560">
        <v>19</v>
      </c>
      <c r="F560" t="s">
        <v>35</v>
      </c>
      <c r="G560">
        <v>1</v>
      </c>
      <c r="H560">
        <v>3</v>
      </c>
      <c r="I560" t="s">
        <v>64</v>
      </c>
      <c r="J560">
        <v>3</v>
      </c>
      <c r="K560" t="s">
        <v>50</v>
      </c>
      <c r="L560">
        <v>9610</v>
      </c>
      <c r="M560">
        <v>3</v>
      </c>
      <c r="N560" t="s">
        <v>41</v>
      </c>
      <c r="O560">
        <v>13</v>
      </c>
      <c r="P560">
        <v>3</v>
      </c>
      <c r="Q560">
        <v>1</v>
      </c>
      <c r="R560">
        <v>10</v>
      </c>
      <c r="S560">
        <v>2</v>
      </c>
      <c r="T560">
        <v>4</v>
      </c>
      <c r="U560">
        <v>0</v>
      </c>
      <c r="V560">
        <v>2</v>
      </c>
      <c r="W560" t="s">
        <v>51</v>
      </c>
      <c r="X560" s="1" t="d">
        <v>2017-02-25</v>
      </c>
      <c r="Z560" t="s">
        <v>52</v>
      </c>
      <c r="AA560" t="s">
        <v>46</v>
      </c>
      <c r="AB560">
        <v>5</v>
      </c>
      <c r="AC560">
        <v>3</v>
      </c>
      <c r="AD560" t="s">
        <v>41</v>
      </c>
      <c r="AE560" t="s">
        <v>42</v>
      </c>
      <c r="AF560" t="s">
        <v>43</v>
      </c>
    </row>
    <row r="561" spans="1:32" x14ac:dyDescent="0.25">
      <c r="A561">
        <v>30</v>
      </c>
      <c r="B561" t="s">
        <v>32</v>
      </c>
      <c r="C561" t="s">
        <v>61</v>
      </c>
      <c r="D561" t="s">
        <v>70</v>
      </c>
      <c r="E561">
        <v>8</v>
      </c>
      <c r="F561" t="s">
        <v>58</v>
      </c>
      <c r="G561">
        <v>2</v>
      </c>
      <c r="H561">
        <v>1</v>
      </c>
      <c r="I561" t="s">
        <v>70</v>
      </c>
      <c r="J561">
        <v>4</v>
      </c>
      <c r="K561" t="s">
        <v>55</v>
      </c>
      <c r="L561">
        <v>2180</v>
      </c>
      <c r="M561">
        <v>6</v>
      </c>
      <c r="N561" t="s">
        <v>41</v>
      </c>
      <c r="O561">
        <v>11</v>
      </c>
      <c r="P561">
        <v>3</v>
      </c>
      <c r="Q561">
        <v>1</v>
      </c>
      <c r="R561">
        <v>6</v>
      </c>
      <c r="S561">
        <v>0</v>
      </c>
      <c r="T561">
        <v>4</v>
      </c>
      <c r="U561">
        <v>1</v>
      </c>
      <c r="V561">
        <v>2</v>
      </c>
      <c r="W561" t="s">
        <v>38</v>
      </c>
      <c r="X561" s="1" t="d">
        <v>2017-03-13</v>
      </c>
      <c r="Z561" t="s">
        <v>52</v>
      </c>
      <c r="AA561" t="s">
        <v>46</v>
      </c>
      <c r="AB561">
        <v>4</v>
      </c>
      <c r="AC561">
        <v>1</v>
      </c>
      <c r="AD561" t="s">
        <v>32</v>
      </c>
      <c r="AE561" t="s">
        <v>62</v>
      </c>
      <c r="AF561" t="s">
        <v>43</v>
      </c>
    </row>
    <row r="562" spans="1:32" x14ac:dyDescent="0.25">
      <c r="A562">
        <v>39</v>
      </c>
      <c r="B562" t="s">
        <v>41</v>
      </c>
      <c r="C562" t="s">
        <v>33</v>
      </c>
      <c r="D562" t="s">
        <v>34</v>
      </c>
      <c r="E562">
        <v>10</v>
      </c>
      <c r="F562" t="s">
        <v>35</v>
      </c>
      <c r="G562">
        <v>3</v>
      </c>
      <c r="H562">
        <v>3</v>
      </c>
      <c r="I562" t="s">
        <v>49</v>
      </c>
      <c r="J562">
        <v>3</v>
      </c>
      <c r="K562" t="s">
        <v>37</v>
      </c>
      <c r="L562">
        <v>13464</v>
      </c>
      <c r="M562">
        <v>7</v>
      </c>
      <c r="N562" t="s">
        <v>41</v>
      </c>
      <c r="O562">
        <v>21</v>
      </c>
      <c r="P562">
        <v>4</v>
      </c>
      <c r="Q562">
        <v>0</v>
      </c>
      <c r="R562">
        <v>9</v>
      </c>
      <c r="S562">
        <v>3</v>
      </c>
      <c r="T562">
        <v>4</v>
      </c>
      <c r="U562">
        <v>2</v>
      </c>
      <c r="V562">
        <v>2</v>
      </c>
      <c r="W562" t="s">
        <v>51</v>
      </c>
      <c r="X562" s="1" t="d">
        <v>2017-04-21</v>
      </c>
      <c r="Z562" t="s">
        <v>52</v>
      </c>
      <c r="AA562" t="s">
        <v>46</v>
      </c>
      <c r="AB562">
        <v>3</v>
      </c>
      <c r="AC562">
        <v>2</v>
      </c>
      <c r="AD562" t="s">
        <v>32</v>
      </c>
      <c r="AE562" t="s">
        <v>60</v>
      </c>
      <c r="AF562" t="s">
        <v>48</v>
      </c>
    </row>
    <row r="563" spans="1:32" x14ac:dyDescent="0.25">
      <c r="A563">
        <v>40</v>
      </c>
      <c r="B563" t="s">
        <v>41</v>
      </c>
      <c r="C563" t="s">
        <v>33</v>
      </c>
      <c r="D563" t="s">
        <v>34</v>
      </c>
      <c r="E563">
        <v>2</v>
      </c>
      <c r="F563" t="s">
        <v>58</v>
      </c>
      <c r="G563">
        <v>3</v>
      </c>
      <c r="H563">
        <v>1</v>
      </c>
      <c r="I563" t="s">
        <v>36</v>
      </c>
      <c r="J563">
        <v>1</v>
      </c>
      <c r="K563" t="s">
        <v>50</v>
      </c>
      <c r="L563">
        <v>3377</v>
      </c>
      <c r="M563">
        <v>4</v>
      </c>
      <c r="N563" t="s">
        <v>41</v>
      </c>
      <c r="O563">
        <v>17</v>
      </c>
      <c r="P563">
        <v>3</v>
      </c>
      <c r="Q563">
        <v>1</v>
      </c>
      <c r="R563">
        <v>7</v>
      </c>
      <c r="S563">
        <v>5</v>
      </c>
      <c r="T563">
        <v>4</v>
      </c>
      <c r="U563">
        <v>0</v>
      </c>
      <c r="V563">
        <v>2</v>
      </c>
      <c r="W563" t="s">
        <v>51</v>
      </c>
      <c r="X563" s="1" t="d">
        <v>2017-03-04</v>
      </c>
      <c r="Z563" t="s">
        <v>59</v>
      </c>
      <c r="AA563" t="s">
        <v>40</v>
      </c>
      <c r="AB563">
        <v>2</v>
      </c>
      <c r="AC563">
        <v>1</v>
      </c>
      <c r="AD563" t="s">
        <v>41</v>
      </c>
      <c r="AE563" t="s">
        <v>60</v>
      </c>
      <c r="AF563" t="s">
        <v>57</v>
      </c>
    </row>
    <row r="564" spans="1:32" x14ac:dyDescent="0.25">
      <c r="A564">
        <v>38</v>
      </c>
      <c r="B564" t="s">
        <v>41</v>
      </c>
      <c r="C564" t="s">
        <v>33</v>
      </c>
      <c r="D564" t="s">
        <v>53</v>
      </c>
      <c r="E564">
        <v>2</v>
      </c>
      <c r="F564" t="s">
        <v>58</v>
      </c>
      <c r="G564">
        <v>1</v>
      </c>
      <c r="H564">
        <v>2</v>
      </c>
      <c r="I564" t="s">
        <v>54</v>
      </c>
      <c r="J564">
        <v>4</v>
      </c>
      <c r="K564" t="s">
        <v>50</v>
      </c>
      <c r="L564">
        <v>5405</v>
      </c>
      <c r="M564">
        <v>2</v>
      </c>
      <c r="N564" t="s">
        <v>32</v>
      </c>
      <c r="O564">
        <v>20</v>
      </c>
      <c r="P564">
        <v>4</v>
      </c>
      <c r="Q564">
        <v>2</v>
      </c>
      <c r="R564">
        <v>20</v>
      </c>
      <c r="S564">
        <v>4</v>
      </c>
      <c r="T564">
        <v>4</v>
      </c>
      <c r="U564">
        <v>0</v>
      </c>
      <c r="V564">
        <v>3</v>
      </c>
      <c r="W564" t="s">
        <v>51</v>
      </c>
      <c r="X564" s="1" t="d">
        <v>2017-06-24</v>
      </c>
      <c r="Z564" t="s">
        <v>45</v>
      </c>
      <c r="AA564" t="s">
        <v>40</v>
      </c>
      <c r="AB564">
        <v>5</v>
      </c>
      <c r="AC564">
        <v>3</v>
      </c>
      <c r="AD564" t="s">
        <v>32</v>
      </c>
      <c r="AE564" t="s">
        <v>42</v>
      </c>
      <c r="AF564" t="s">
        <v>57</v>
      </c>
    </row>
    <row r="565" spans="1:32" x14ac:dyDescent="0.25">
      <c r="A565">
        <v>56</v>
      </c>
      <c r="B565" t="s">
        <v>32</v>
      </c>
      <c r="C565" t="s">
        <v>33</v>
      </c>
      <c r="D565" t="s">
        <v>34</v>
      </c>
      <c r="E565">
        <v>24</v>
      </c>
      <c r="F565" t="s">
        <v>35</v>
      </c>
      <c r="G565">
        <v>3</v>
      </c>
      <c r="H565">
        <v>1</v>
      </c>
      <c r="I565" t="s">
        <v>36</v>
      </c>
      <c r="J565">
        <v>4</v>
      </c>
      <c r="K565" t="s">
        <v>37</v>
      </c>
      <c r="L565">
        <v>2587</v>
      </c>
      <c r="M565">
        <v>1</v>
      </c>
      <c r="N565" t="s">
        <v>41</v>
      </c>
      <c r="O565">
        <v>16</v>
      </c>
      <c r="P565">
        <v>3</v>
      </c>
      <c r="Q565">
        <v>0</v>
      </c>
      <c r="R565">
        <v>5</v>
      </c>
      <c r="S565">
        <v>3</v>
      </c>
      <c r="T565">
        <v>4</v>
      </c>
      <c r="U565">
        <v>1</v>
      </c>
      <c r="V565">
        <v>0</v>
      </c>
      <c r="W565" t="s">
        <v>38</v>
      </c>
      <c r="X565" s="1" t="d">
        <v>2017-03-26</v>
      </c>
      <c r="Z565" t="s">
        <v>39</v>
      </c>
      <c r="AA565" t="s">
        <v>46</v>
      </c>
      <c r="AB565">
        <v>1</v>
      </c>
      <c r="AC565">
        <v>3</v>
      </c>
      <c r="AD565" t="s">
        <v>32</v>
      </c>
      <c r="AE565" t="s">
        <v>42</v>
      </c>
      <c r="AF565" t="s">
        <v>48</v>
      </c>
    </row>
    <row r="566" spans="1:32" x14ac:dyDescent="0.25">
      <c r="A566">
        <v>36</v>
      </c>
      <c r="B566" t="s">
        <v>41</v>
      </c>
      <c r="C566" t="s">
        <v>33</v>
      </c>
      <c r="D566" t="s">
        <v>53</v>
      </c>
      <c r="E566">
        <v>17</v>
      </c>
      <c r="F566" t="s">
        <v>35</v>
      </c>
      <c r="G566">
        <v>2</v>
      </c>
      <c r="H566">
        <v>2</v>
      </c>
      <c r="I566" t="s">
        <v>64</v>
      </c>
      <c r="J566">
        <v>2</v>
      </c>
      <c r="K566" t="s">
        <v>50</v>
      </c>
      <c r="L566">
        <v>5507</v>
      </c>
      <c r="M566">
        <v>2</v>
      </c>
      <c r="N566" t="s">
        <v>41</v>
      </c>
      <c r="O566">
        <v>16</v>
      </c>
      <c r="P566">
        <v>3</v>
      </c>
      <c r="Q566">
        <v>2</v>
      </c>
      <c r="R566">
        <v>12</v>
      </c>
      <c r="S566">
        <v>1</v>
      </c>
      <c r="T566">
        <v>4</v>
      </c>
      <c r="U566">
        <v>1</v>
      </c>
      <c r="V566">
        <v>3</v>
      </c>
      <c r="W566" t="s">
        <v>51</v>
      </c>
      <c r="X566" s="1" t="d">
        <v>2017-04-02</v>
      </c>
      <c r="Z566" t="s">
        <v>39</v>
      </c>
      <c r="AA566" t="s">
        <v>46</v>
      </c>
      <c r="AB566">
        <v>0</v>
      </c>
      <c r="AC566">
        <v>0</v>
      </c>
      <c r="AD566" t="s">
        <v>32</v>
      </c>
      <c r="AE566" t="s">
        <v>47</v>
      </c>
      <c r="AF566" t="s">
        <v>43</v>
      </c>
    </row>
    <row r="567" spans="1:32" x14ac:dyDescent="0.25">
      <c r="A567">
        <v>34</v>
      </c>
      <c r="B567" t="s">
        <v>41</v>
      </c>
      <c r="C567" t="s">
        <v>33</v>
      </c>
      <c r="D567" t="s">
        <v>53</v>
      </c>
      <c r="E567">
        <v>3</v>
      </c>
      <c r="F567" t="s">
        <v>58</v>
      </c>
      <c r="G567">
        <v>2</v>
      </c>
      <c r="H567">
        <v>2</v>
      </c>
      <c r="I567" t="s">
        <v>64</v>
      </c>
      <c r="J567">
        <v>4</v>
      </c>
      <c r="K567" t="s">
        <v>50</v>
      </c>
      <c r="L567">
        <v>8103</v>
      </c>
      <c r="M567">
        <v>3</v>
      </c>
      <c r="N567" t="s">
        <v>32</v>
      </c>
      <c r="O567">
        <v>12</v>
      </c>
      <c r="P567">
        <v>3</v>
      </c>
      <c r="Q567">
        <v>0</v>
      </c>
      <c r="R567">
        <v>9</v>
      </c>
      <c r="S567">
        <v>3</v>
      </c>
      <c r="T567">
        <v>4</v>
      </c>
      <c r="U567">
        <v>0</v>
      </c>
      <c r="V567">
        <v>1</v>
      </c>
      <c r="W567" t="s">
        <v>51</v>
      </c>
      <c r="X567" s="1" t="d">
        <v>2017-03-09</v>
      </c>
      <c r="Z567" t="s">
        <v>52</v>
      </c>
      <c r="AA567" t="s">
        <v>40</v>
      </c>
      <c r="AB567">
        <v>1</v>
      </c>
      <c r="AC567">
        <v>2</v>
      </c>
      <c r="AD567" t="s">
        <v>32</v>
      </c>
      <c r="AE567" t="s">
        <v>62</v>
      </c>
      <c r="AF567" t="s">
        <v>48</v>
      </c>
    </row>
    <row r="568" spans="1:32" x14ac:dyDescent="0.25">
      <c r="A568">
        <v>45</v>
      </c>
      <c r="B568" t="s">
        <v>41</v>
      </c>
      <c r="C568" t="s">
        <v>61</v>
      </c>
      <c r="D568" t="s">
        <v>34</v>
      </c>
      <c r="E568">
        <v>1</v>
      </c>
      <c r="F568" t="s">
        <v>35</v>
      </c>
      <c r="G568">
        <v>3</v>
      </c>
      <c r="H568">
        <v>2</v>
      </c>
      <c r="I568" t="s">
        <v>69</v>
      </c>
      <c r="J568">
        <v>3</v>
      </c>
      <c r="K568" t="s">
        <v>37</v>
      </c>
      <c r="L568">
        <v>5399</v>
      </c>
      <c r="M568">
        <v>4</v>
      </c>
      <c r="N568" t="s">
        <v>41</v>
      </c>
      <c r="O568">
        <v>12</v>
      </c>
      <c r="P568">
        <v>3</v>
      </c>
      <c r="Q568">
        <v>0</v>
      </c>
      <c r="R568">
        <v>12</v>
      </c>
      <c r="S568">
        <v>3</v>
      </c>
      <c r="T568">
        <v>4</v>
      </c>
      <c r="U568">
        <v>0</v>
      </c>
      <c r="V568">
        <v>3</v>
      </c>
      <c r="W568" t="s">
        <v>65</v>
      </c>
      <c r="X568" s="1" t="d">
        <v>2017-02-12</v>
      </c>
      <c r="Z568" t="s">
        <v>39</v>
      </c>
      <c r="AA568" t="s">
        <v>46</v>
      </c>
      <c r="AB568">
        <v>3</v>
      </c>
      <c r="AC568">
        <v>2</v>
      </c>
      <c r="AD568" t="s">
        <v>41</v>
      </c>
      <c r="AE568" t="s">
        <v>62</v>
      </c>
      <c r="AF568" t="s">
        <v>48</v>
      </c>
    </row>
    <row r="569" spans="1:32" x14ac:dyDescent="0.25">
      <c r="A569">
        <v>32</v>
      </c>
      <c r="B569" t="s">
        <v>32</v>
      </c>
      <c r="C569" t="s">
        <v>61</v>
      </c>
      <c r="D569" t="s">
        <v>34</v>
      </c>
      <c r="E569">
        <v>5</v>
      </c>
      <c r="F569" t="s">
        <v>58</v>
      </c>
      <c r="G569">
        <v>4</v>
      </c>
      <c r="H569">
        <v>1</v>
      </c>
      <c r="I569" t="s">
        <v>44</v>
      </c>
      <c r="J569">
        <v>3</v>
      </c>
      <c r="K569" t="s">
        <v>37</v>
      </c>
      <c r="L569">
        <v>2432</v>
      </c>
      <c r="M569">
        <v>3</v>
      </c>
      <c r="N569" t="s">
        <v>32</v>
      </c>
      <c r="O569">
        <v>14</v>
      </c>
      <c r="P569">
        <v>3</v>
      </c>
      <c r="Q569">
        <v>0</v>
      </c>
      <c r="R569">
        <v>8</v>
      </c>
      <c r="S569">
        <v>2</v>
      </c>
      <c r="T569">
        <v>4</v>
      </c>
      <c r="U569">
        <v>0</v>
      </c>
      <c r="V569">
        <v>3</v>
      </c>
      <c r="W569" t="s">
        <v>65</v>
      </c>
      <c r="X569" s="1" t="d">
        <v>2017-06-30</v>
      </c>
      <c r="Z569" t="s">
        <v>63</v>
      </c>
      <c r="AA569" t="s">
        <v>40</v>
      </c>
      <c r="AB569">
        <v>4</v>
      </c>
      <c r="AC569">
        <v>1</v>
      </c>
      <c r="AD569" t="s">
        <v>32</v>
      </c>
      <c r="AE569" t="s">
        <v>60</v>
      </c>
      <c r="AF569" t="s">
        <v>48</v>
      </c>
    </row>
    <row r="570" spans="1:32" x14ac:dyDescent="0.25">
      <c r="A570">
        <v>31</v>
      </c>
      <c r="B570" t="s">
        <v>41</v>
      </c>
      <c r="C570" t="s">
        <v>68</v>
      </c>
      <c r="D570" t="s">
        <v>34</v>
      </c>
      <c r="E570">
        <v>3</v>
      </c>
      <c r="F570" t="s">
        <v>35</v>
      </c>
      <c r="G570">
        <v>3</v>
      </c>
      <c r="H570">
        <v>1</v>
      </c>
      <c r="I570" t="s">
        <v>44</v>
      </c>
      <c r="J570">
        <v>1</v>
      </c>
      <c r="K570" t="s">
        <v>55</v>
      </c>
      <c r="L570">
        <v>3065</v>
      </c>
      <c r="M570">
        <v>1</v>
      </c>
      <c r="N570" t="s">
        <v>32</v>
      </c>
      <c r="O570">
        <v>13</v>
      </c>
      <c r="P570">
        <v>3</v>
      </c>
      <c r="Q570">
        <v>1</v>
      </c>
      <c r="R570">
        <v>4</v>
      </c>
      <c r="S570">
        <v>3</v>
      </c>
      <c r="T570">
        <v>4</v>
      </c>
      <c r="U570">
        <v>2</v>
      </c>
      <c r="V570">
        <v>3</v>
      </c>
      <c r="W570" t="s">
        <v>38</v>
      </c>
      <c r="X570" s="1" t="d">
        <v>2017-05-07</v>
      </c>
      <c r="Z570" t="s">
        <v>52</v>
      </c>
      <c r="AA570" t="s">
        <v>40</v>
      </c>
      <c r="AB570">
        <v>1</v>
      </c>
      <c r="AC570">
        <v>0</v>
      </c>
      <c r="AD570" t="s">
        <v>32</v>
      </c>
      <c r="AE570" t="s">
        <v>42</v>
      </c>
      <c r="AF570" t="s">
        <v>57</v>
      </c>
    </row>
    <row r="571" spans="1:32" x14ac:dyDescent="0.25">
      <c r="A571">
        <v>28</v>
      </c>
      <c r="B571" t="s">
        <v>32</v>
      </c>
      <c r="C571" t="s">
        <v>33</v>
      </c>
      <c r="D571" t="s">
        <v>34</v>
      </c>
      <c r="E571">
        <v>17</v>
      </c>
      <c r="F571" t="s">
        <v>35</v>
      </c>
      <c r="G571">
        <v>2</v>
      </c>
      <c r="H571">
        <v>1</v>
      </c>
      <c r="I571" t="s">
        <v>36</v>
      </c>
      <c r="J571">
        <v>4</v>
      </c>
      <c r="K571" t="s">
        <v>55</v>
      </c>
      <c r="L571">
        <v>2367</v>
      </c>
      <c r="M571">
        <v>5</v>
      </c>
      <c r="N571" t="s">
        <v>41</v>
      </c>
      <c r="O571">
        <v>12</v>
      </c>
      <c r="P571">
        <v>3</v>
      </c>
      <c r="Q571">
        <v>1</v>
      </c>
      <c r="R571">
        <v>6</v>
      </c>
      <c r="S571">
        <v>2</v>
      </c>
      <c r="T571">
        <v>4</v>
      </c>
      <c r="U571">
        <v>0</v>
      </c>
      <c r="V571">
        <v>3</v>
      </c>
      <c r="W571" t="s">
        <v>51</v>
      </c>
      <c r="X571" s="1" t="d">
        <v>2017-05-14</v>
      </c>
      <c r="Z571" t="s">
        <v>45</v>
      </c>
      <c r="AA571" t="s">
        <v>46</v>
      </c>
      <c r="AB571">
        <v>0</v>
      </c>
      <c r="AC571">
        <v>2</v>
      </c>
      <c r="AD571" t="s">
        <v>41</v>
      </c>
      <c r="AE571" t="s">
        <v>47</v>
      </c>
      <c r="AF571" t="s">
        <v>48</v>
      </c>
    </row>
    <row r="572" spans="1:32" x14ac:dyDescent="0.25">
      <c r="A572">
        <v>54</v>
      </c>
      <c r="B572" t="s">
        <v>41</v>
      </c>
      <c r="C572" t="s">
        <v>33</v>
      </c>
      <c r="D572" t="s">
        <v>34</v>
      </c>
      <c r="E572">
        <v>9</v>
      </c>
      <c r="F572" t="s">
        <v>58</v>
      </c>
      <c r="G572">
        <v>3</v>
      </c>
      <c r="H572">
        <v>2</v>
      </c>
      <c r="I572" t="s">
        <v>44</v>
      </c>
      <c r="J572">
        <v>3</v>
      </c>
      <c r="K572" t="s">
        <v>50</v>
      </c>
      <c r="L572">
        <v>2897</v>
      </c>
      <c r="M572">
        <v>3</v>
      </c>
      <c r="N572" t="s">
        <v>41</v>
      </c>
      <c r="O572">
        <v>11</v>
      </c>
      <c r="P572">
        <v>3</v>
      </c>
      <c r="Q572">
        <v>2</v>
      </c>
      <c r="R572">
        <v>9</v>
      </c>
      <c r="S572">
        <v>6</v>
      </c>
      <c r="T572">
        <v>4</v>
      </c>
      <c r="U572">
        <v>2</v>
      </c>
      <c r="V572">
        <v>3</v>
      </c>
      <c r="W572" t="s">
        <v>51</v>
      </c>
      <c r="X572" s="1" t="d">
        <v>2017-06-23</v>
      </c>
      <c r="Z572" t="s">
        <v>52</v>
      </c>
      <c r="AA572" t="s">
        <v>46</v>
      </c>
      <c r="AB572">
        <v>5</v>
      </c>
      <c r="AC572">
        <v>1</v>
      </c>
      <c r="AD572" t="s">
        <v>32</v>
      </c>
      <c r="AE572" t="s">
        <v>60</v>
      </c>
      <c r="AF572" t="s">
        <v>43</v>
      </c>
    </row>
    <row r="573" spans="1:32" x14ac:dyDescent="0.25">
      <c r="A573">
        <v>24</v>
      </c>
      <c r="B573" t="s">
        <v>41</v>
      </c>
      <c r="C573" t="s">
        <v>33</v>
      </c>
      <c r="D573" t="s">
        <v>34</v>
      </c>
      <c r="E573">
        <v>1</v>
      </c>
      <c r="F573" t="s">
        <v>35</v>
      </c>
      <c r="G573">
        <v>2</v>
      </c>
      <c r="H573">
        <v>2</v>
      </c>
      <c r="I573" t="s">
        <v>69</v>
      </c>
      <c r="J573">
        <v>3</v>
      </c>
      <c r="K573" t="s">
        <v>37</v>
      </c>
      <c r="L573">
        <v>4617</v>
      </c>
      <c r="M573">
        <v>1</v>
      </c>
      <c r="N573" t="s">
        <v>41</v>
      </c>
      <c r="O573">
        <v>12</v>
      </c>
      <c r="P573">
        <v>3</v>
      </c>
      <c r="Q573">
        <v>0</v>
      </c>
      <c r="R573">
        <v>4</v>
      </c>
      <c r="S573">
        <v>2</v>
      </c>
      <c r="T573">
        <v>4</v>
      </c>
      <c r="U573">
        <v>1</v>
      </c>
      <c r="V573">
        <v>2</v>
      </c>
      <c r="W573" t="s">
        <v>38</v>
      </c>
      <c r="X573" s="1" t="d">
        <v>2017-06-01</v>
      </c>
      <c r="Z573" t="s">
        <v>52</v>
      </c>
      <c r="AA573" t="s">
        <v>46</v>
      </c>
      <c r="AB573">
        <v>0</v>
      </c>
      <c r="AC573">
        <v>1</v>
      </c>
      <c r="AD573" t="s">
        <v>41</v>
      </c>
      <c r="AE573" t="s">
        <v>62</v>
      </c>
      <c r="AF573" t="s">
        <v>48</v>
      </c>
    </row>
    <row r="574" spans="1:32" x14ac:dyDescent="0.25">
      <c r="A574">
        <v>42</v>
      </c>
      <c r="B574" t="s">
        <v>41</v>
      </c>
      <c r="C574" t="s">
        <v>33</v>
      </c>
      <c r="D574" t="s">
        <v>34</v>
      </c>
      <c r="E574">
        <v>18</v>
      </c>
      <c r="F574" t="s">
        <v>35</v>
      </c>
      <c r="G574">
        <v>3</v>
      </c>
      <c r="H574">
        <v>2</v>
      </c>
      <c r="I574" t="s">
        <v>44</v>
      </c>
      <c r="J574">
        <v>1</v>
      </c>
      <c r="K574" t="s">
        <v>55</v>
      </c>
      <c r="L574">
        <v>5410</v>
      </c>
      <c r="M574">
        <v>6</v>
      </c>
      <c r="N574" t="s">
        <v>32</v>
      </c>
      <c r="O574">
        <v>17</v>
      </c>
      <c r="P574">
        <v>3</v>
      </c>
      <c r="Q574">
        <v>1</v>
      </c>
      <c r="R574">
        <v>9</v>
      </c>
      <c r="S574">
        <v>3</v>
      </c>
      <c r="T574">
        <v>4</v>
      </c>
      <c r="U574">
        <v>1</v>
      </c>
      <c r="V574">
        <v>2</v>
      </c>
      <c r="W574" t="s">
        <v>56</v>
      </c>
      <c r="X574" s="1" t="d">
        <v>2017-06-01</v>
      </c>
      <c r="Z574" t="s">
        <v>63</v>
      </c>
      <c r="AA574" t="s">
        <v>46</v>
      </c>
      <c r="AB574">
        <v>3</v>
      </c>
      <c r="AC574">
        <v>0</v>
      </c>
      <c r="AD574" t="s">
        <v>32</v>
      </c>
      <c r="AE574" t="s">
        <v>60</v>
      </c>
      <c r="AF574" t="s">
        <v>57</v>
      </c>
    </row>
    <row r="575" spans="1:32" x14ac:dyDescent="0.25">
      <c r="A575">
        <v>44</v>
      </c>
      <c r="B575" t="s">
        <v>41</v>
      </c>
      <c r="C575" t="s">
        <v>33</v>
      </c>
      <c r="D575" t="s">
        <v>34</v>
      </c>
      <c r="E575">
        <v>1</v>
      </c>
      <c r="F575" t="s">
        <v>35</v>
      </c>
      <c r="G575">
        <v>3</v>
      </c>
      <c r="H575">
        <v>1</v>
      </c>
      <c r="I575" t="s">
        <v>44</v>
      </c>
      <c r="J575">
        <v>4</v>
      </c>
      <c r="K575" t="s">
        <v>37</v>
      </c>
      <c r="L575">
        <v>2436</v>
      </c>
      <c r="M575">
        <v>6</v>
      </c>
      <c r="N575" t="s">
        <v>32</v>
      </c>
      <c r="O575">
        <v>12</v>
      </c>
      <c r="P575">
        <v>3</v>
      </c>
      <c r="Q575">
        <v>0</v>
      </c>
      <c r="R575">
        <v>6</v>
      </c>
      <c r="S575">
        <v>2</v>
      </c>
      <c r="T575">
        <v>4</v>
      </c>
      <c r="U575">
        <v>1</v>
      </c>
      <c r="V575">
        <v>2</v>
      </c>
      <c r="W575" t="s">
        <v>51</v>
      </c>
      <c r="X575" s="1" t="d">
        <v>2017-02-25</v>
      </c>
      <c r="Z575" t="s">
        <v>39</v>
      </c>
      <c r="AA575" t="s">
        <v>46</v>
      </c>
      <c r="AB575">
        <v>2</v>
      </c>
      <c r="AC575">
        <v>2</v>
      </c>
      <c r="AD575" t="s">
        <v>41</v>
      </c>
      <c r="AE575" t="s">
        <v>62</v>
      </c>
      <c r="AF575" t="s">
        <v>57</v>
      </c>
    </row>
    <row r="576" spans="1:32" x14ac:dyDescent="0.25">
      <c r="A576">
        <v>36</v>
      </c>
      <c r="B576" t="s">
        <v>41</v>
      </c>
      <c r="C576" t="s">
        <v>61</v>
      </c>
      <c r="D576" t="s">
        <v>34</v>
      </c>
      <c r="E576">
        <v>4</v>
      </c>
      <c r="F576" t="s">
        <v>58</v>
      </c>
      <c r="G576">
        <v>3</v>
      </c>
      <c r="H576">
        <v>2</v>
      </c>
      <c r="I576" t="s">
        <v>67</v>
      </c>
      <c r="J576">
        <v>2</v>
      </c>
      <c r="K576" t="s">
        <v>55</v>
      </c>
      <c r="L576">
        <v>5131</v>
      </c>
      <c r="M576">
        <v>7</v>
      </c>
      <c r="N576" t="s">
        <v>41</v>
      </c>
      <c r="O576">
        <v>13</v>
      </c>
      <c r="P576">
        <v>3</v>
      </c>
      <c r="Q576">
        <v>3</v>
      </c>
      <c r="R576">
        <v>18</v>
      </c>
      <c r="S576">
        <v>3</v>
      </c>
      <c r="T576">
        <v>4</v>
      </c>
      <c r="U576">
        <v>0</v>
      </c>
      <c r="V576">
        <v>2</v>
      </c>
      <c r="W576" t="s">
        <v>65</v>
      </c>
      <c r="X576" s="1" t="d">
        <v>2017-03-25</v>
      </c>
      <c r="Z576" t="s">
        <v>63</v>
      </c>
      <c r="AA576" t="s">
        <v>40</v>
      </c>
      <c r="AB576">
        <v>3</v>
      </c>
      <c r="AC576">
        <v>1</v>
      </c>
      <c r="AD576" t="s">
        <v>41</v>
      </c>
      <c r="AE576" t="s">
        <v>62</v>
      </c>
      <c r="AF576" t="s">
        <v>48</v>
      </c>
    </row>
    <row r="577" spans="1:32" x14ac:dyDescent="0.25">
      <c r="A577">
        <v>32</v>
      </c>
      <c r="B577" t="s">
        <v>41</v>
      </c>
      <c r="C577" t="s">
        <v>33</v>
      </c>
      <c r="D577" t="s">
        <v>34</v>
      </c>
      <c r="E577">
        <v>2</v>
      </c>
      <c r="F577" t="s">
        <v>35</v>
      </c>
      <c r="G577">
        <v>3</v>
      </c>
      <c r="H577">
        <v>1</v>
      </c>
      <c r="I577" t="s">
        <v>44</v>
      </c>
      <c r="J577">
        <v>1</v>
      </c>
      <c r="K577" t="s">
        <v>37</v>
      </c>
      <c r="L577">
        <v>2439</v>
      </c>
      <c r="M577">
        <v>1</v>
      </c>
      <c r="N577" t="s">
        <v>41</v>
      </c>
      <c r="O577">
        <v>14</v>
      </c>
      <c r="P577">
        <v>3</v>
      </c>
      <c r="Q577">
        <v>0</v>
      </c>
      <c r="R577">
        <v>4</v>
      </c>
      <c r="S577">
        <v>4</v>
      </c>
      <c r="T577">
        <v>4</v>
      </c>
      <c r="U577">
        <v>1</v>
      </c>
      <c r="V577">
        <v>2</v>
      </c>
      <c r="W577" t="s">
        <v>65</v>
      </c>
      <c r="X577" s="1" t="d">
        <v>2017-01-14</v>
      </c>
      <c r="Z577" t="s">
        <v>59</v>
      </c>
      <c r="AA577" t="s">
        <v>40</v>
      </c>
      <c r="AB577">
        <v>4</v>
      </c>
      <c r="AC577">
        <v>2</v>
      </c>
      <c r="AD577" t="s">
        <v>32</v>
      </c>
      <c r="AE577" t="s">
        <v>60</v>
      </c>
      <c r="AF577" t="s">
        <v>48</v>
      </c>
    </row>
    <row r="578" spans="1:32" x14ac:dyDescent="0.25">
      <c r="A578">
        <v>35</v>
      </c>
      <c r="B578" t="s">
        <v>41</v>
      </c>
      <c r="C578" t="s">
        <v>33</v>
      </c>
      <c r="D578" t="s">
        <v>34</v>
      </c>
      <c r="E578">
        <v>1</v>
      </c>
      <c r="F578" t="s">
        <v>58</v>
      </c>
      <c r="G578">
        <v>1</v>
      </c>
      <c r="H578">
        <v>1</v>
      </c>
      <c r="I578" t="s">
        <v>44</v>
      </c>
      <c r="J578">
        <v>4</v>
      </c>
      <c r="K578" t="s">
        <v>50</v>
      </c>
      <c r="L578">
        <v>2977</v>
      </c>
      <c r="M578">
        <v>1</v>
      </c>
      <c r="N578" t="s">
        <v>41</v>
      </c>
      <c r="O578">
        <v>12</v>
      </c>
      <c r="P578">
        <v>3</v>
      </c>
      <c r="Q578">
        <v>1</v>
      </c>
      <c r="R578">
        <v>4</v>
      </c>
      <c r="S578">
        <v>5</v>
      </c>
      <c r="T578">
        <v>4</v>
      </c>
      <c r="U578">
        <v>1</v>
      </c>
      <c r="V578">
        <v>1</v>
      </c>
      <c r="W578" t="s">
        <v>38</v>
      </c>
      <c r="X578" s="1" t="d">
        <v>2017-05-18</v>
      </c>
      <c r="Z578" t="s">
        <v>45</v>
      </c>
      <c r="AA578" t="s">
        <v>46</v>
      </c>
      <c r="AB578">
        <v>4</v>
      </c>
      <c r="AC578">
        <v>0</v>
      </c>
      <c r="AD578" t="s">
        <v>32</v>
      </c>
      <c r="AE578" t="s">
        <v>47</v>
      </c>
      <c r="AF578" t="s">
        <v>48</v>
      </c>
    </row>
    <row r="579" spans="1:32" x14ac:dyDescent="0.25">
      <c r="A579">
        <v>29</v>
      </c>
      <c r="B579" t="s">
        <v>41</v>
      </c>
      <c r="C579" t="s">
        <v>33</v>
      </c>
      <c r="D579" t="s">
        <v>34</v>
      </c>
      <c r="E579">
        <v>13</v>
      </c>
      <c r="F579" t="s">
        <v>35</v>
      </c>
      <c r="G579">
        <v>2</v>
      </c>
      <c r="H579">
        <v>2</v>
      </c>
      <c r="I579" t="s">
        <v>36</v>
      </c>
      <c r="J579">
        <v>2</v>
      </c>
      <c r="K579" t="s">
        <v>50</v>
      </c>
      <c r="L579">
        <v>4025</v>
      </c>
      <c r="M579">
        <v>4</v>
      </c>
      <c r="N579" t="s">
        <v>32</v>
      </c>
      <c r="O579">
        <v>13</v>
      </c>
      <c r="P579">
        <v>3</v>
      </c>
      <c r="Q579">
        <v>1</v>
      </c>
      <c r="R579">
        <v>10</v>
      </c>
      <c r="S579">
        <v>2</v>
      </c>
      <c r="T579">
        <v>4</v>
      </c>
      <c r="U579">
        <v>0</v>
      </c>
      <c r="V579">
        <v>3</v>
      </c>
      <c r="W579" t="s">
        <v>65</v>
      </c>
      <c r="X579" s="1" t="d">
        <v>2017-03-27</v>
      </c>
      <c r="Z579" t="s">
        <v>45</v>
      </c>
      <c r="AA579" t="s">
        <v>40</v>
      </c>
      <c r="AB579">
        <v>5</v>
      </c>
      <c r="AC579">
        <v>2</v>
      </c>
      <c r="AD579" t="s">
        <v>41</v>
      </c>
      <c r="AE579" t="s">
        <v>60</v>
      </c>
      <c r="AF579" t="s">
        <v>57</v>
      </c>
    </row>
    <row r="580" spans="1:32" x14ac:dyDescent="0.25">
      <c r="A580">
        <v>26</v>
      </c>
      <c r="B580" t="s">
        <v>41</v>
      </c>
      <c r="C580" t="s">
        <v>33</v>
      </c>
      <c r="D580" t="s">
        <v>53</v>
      </c>
      <c r="E580">
        <v>5</v>
      </c>
      <c r="F580" t="s">
        <v>58</v>
      </c>
      <c r="G580">
        <v>2</v>
      </c>
      <c r="H580">
        <v>1</v>
      </c>
      <c r="I580" t="s">
        <v>54</v>
      </c>
      <c r="J580">
        <v>3</v>
      </c>
      <c r="K580" t="s">
        <v>37</v>
      </c>
      <c r="L580">
        <v>2966</v>
      </c>
      <c r="M580">
        <v>0</v>
      </c>
      <c r="N580" t="s">
        <v>41</v>
      </c>
      <c r="O580">
        <v>18</v>
      </c>
      <c r="P580">
        <v>3</v>
      </c>
      <c r="Q580">
        <v>0</v>
      </c>
      <c r="R580">
        <v>5</v>
      </c>
      <c r="S580">
        <v>2</v>
      </c>
      <c r="T580">
        <v>4</v>
      </c>
      <c r="U580">
        <v>0</v>
      </c>
      <c r="V580">
        <v>0</v>
      </c>
      <c r="W580" t="s">
        <v>56</v>
      </c>
      <c r="X580" s="1" t="d">
        <v>2017-02-01</v>
      </c>
      <c r="Z580" t="s">
        <v>63</v>
      </c>
      <c r="AA580" t="s">
        <v>46</v>
      </c>
      <c r="AB580">
        <v>4</v>
      </c>
      <c r="AC580">
        <v>2</v>
      </c>
      <c r="AD580" t="s">
        <v>32</v>
      </c>
      <c r="AE580" t="s">
        <v>47</v>
      </c>
      <c r="AF580" t="s">
        <v>57</v>
      </c>
    </row>
    <row r="581" spans="1:32" x14ac:dyDescent="0.25">
      <c r="A581">
        <v>34</v>
      </c>
      <c r="B581" t="s">
        <v>41</v>
      </c>
      <c r="C581" t="s">
        <v>33</v>
      </c>
      <c r="D581" t="s">
        <v>34</v>
      </c>
      <c r="E581">
        <v>8</v>
      </c>
      <c r="F581" t="s">
        <v>35</v>
      </c>
      <c r="G581">
        <v>4</v>
      </c>
      <c r="H581">
        <v>2</v>
      </c>
      <c r="I581" t="s">
        <v>36</v>
      </c>
      <c r="J581">
        <v>3</v>
      </c>
      <c r="K581" t="s">
        <v>50</v>
      </c>
      <c r="L581">
        <v>4404</v>
      </c>
      <c r="M581">
        <v>2</v>
      </c>
      <c r="N581" t="s">
        <v>41</v>
      </c>
      <c r="O581">
        <v>12</v>
      </c>
      <c r="P581">
        <v>3</v>
      </c>
      <c r="Q581">
        <v>0</v>
      </c>
      <c r="R581">
        <v>6</v>
      </c>
      <c r="S581">
        <v>3</v>
      </c>
      <c r="T581">
        <v>4</v>
      </c>
      <c r="U581">
        <v>1</v>
      </c>
      <c r="V581">
        <v>2</v>
      </c>
      <c r="W581" t="s">
        <v>38</v>
      </c>
      <c r="X581" s="1" t="d">
        <v>2017-01-31</v>
      </c>
      <c r="Z581" t="s">
        <v>45</v>
      </c>
      <c r="AA581" t="s">
        <v>40</v>
      </c>
      <c r="AB581">
        <v>5</v>
      </c>
      <c r="AC581">
        <v>3</v>
      </c>
      <c r="AD581" t="s">
        <v>41</v>
      </c>
      <c r="AE581" t="s">
        <v>62</v>
      </c>
      <c r="AF581" t="s">
        <v>48</v>
      </c>
    </row>
    <row r="582" spans="1:32" x14ac:dyDescent="0.25">
      <c r="A582">
        <v>35</v>
      </c>
      <c r="B582" t="s">
        <v>41</v>
      </c>
      <c r="C582" t="s">
        <v>33</v>
      </c>
      <c r="D582" t="s">
        <v>34</v>
      </c>
      <c r="E582">
        <v>16</v>
      </c>
      <c r="F582" t="s">
        <v>35</v>
      </c>
      <c r="G582">
        <v>4</v>
      </c>
      <c r="H582">
        <v>1</v>
      </c>
      <c r="I582" t="s">
        <v>36</v>
      </c>
      <c r="J582">
        <v>2</v>
      </c>
      <c r="K582" t="s">
        <v>50</v>
      </c>
      <c r="L582">
        <v>2426</v>
      </c>
      <c r="M582">
        <v>0</v>
      </c>
      <c r="N582" t="s">
        <v>41</v>
      </c>
      <c r="O582">
        <v>13</v>
      </c>
      <c r="P582">
        <v>3</v>
      </c>
      <c r="Q582">
        <v>1</v>
      </c>
      <c r="R582">
        <v>6</v>
      </c>
      <c r="S582">
        <v>5</v>
      </c>
      <c r="T582">
        <v>5</v>
      </c>
      <c r="U582">
        <v>0</v>
      </c>
      <c r="V582">
        <v>3</v>
      </c>
      <c r="W582" t="s">
        <v>56</v>
      </c>
      <c r="X582" s="1" t="d">
        <v>2016-04-13</v>
      </c>
      <c r="Z582" t="s">
        <v>52</v>
      </c>
      <c r="AA582" t="s">
        <v>40</v>
      </c>
      <c r="AB582">
        <v>1</v>
      </c>
      <c r="AC582">
        <v>3</v>
      </c>
      <c r="AD582" t="s">
        <v>32</v>
      </c>
      <c r="AE582" t="s">
        <v>60</v>
      </c>
      <c r="AF582" t="s">
        <v>43</v>
      </c>
    </row>
    <row r="583" spans="1:32" x14ac:dyDescent="0.25">
      <c r="A583">
        <v>31</v>
      </c>
      <c r="B583" t="s">
        <v>41</v>
      </c>
      <c r="C583" t="s">
        <v>33</v>
      </c>
      <c r="D583" t="s">
        <v>34</v>
      </c>
      <c r="E583">
        <v>26</v>
      </c>
      <c r="F583" t="s">
        <v>35</v>
      </c>
      <c r="G583">
        <v>3</v>
      </c>
      <c r="H583">
        <v>1</v>
      </c>
      <c r="I583" t="s">
        <v>44</v>
      </c>
      <c r="J583">
        <v>3</v>
      </c>
      <c r="K583" t="s">
        <v>55</v>
      </c>
      <c r="L583">
        <v>2911</v>
      </c>
      <c r="M583">
        <v>1</v>
      </c>
      <c r="N583" t="s">
        <v>41</v>
      </c>
      <c r="O583">
        <v>17</v>
      </c>
      <c r="P583">
        <v>3</v>
      </c>
      <c r="Q583">
        <v>1</v>
      </c>
      <c r="R583">
        <v>5</v>
      </c>
      <c r="S583">
        <v>1</v>
      </c>
      <c r="T583">
        <v>5</v>
      </c>
      <c r="U583">
        <v>4</v>
      </c>
      <c r="V583">
        <v>3</v>
      </c>
      <c r="W583" t="s">
        <v>56</v>
      </c>
      <c r="X583" s="1" t="d">
        <v>2016-06-18</v>
      </c>
      <c r="Z583" t="s">
        <v>39</v>
      </c>
      <c r="AA583" t="s">
        <v>46</v>
      </c>
      <c r="AB583">
        <v>3</v>
      </c>
      <c r="AC583">
        <v>2</v>
      </c>
      <c r="AD583" t="s">
        <v>32</v>
      </c>
      <c r="AE583" t="s">
        <v>62</v>
      </c>
      <c r="AF583" t="s">
        <v>43</v>
      </c>
    </row>
    <row r="584" spans="1:32" x14ac:dyDescent="0.25">
      <c r="A584">
        <v>36</v>
      </c>
      <c r="B584" t="s">
        <v>32</v>
      </c>
      <c r="C584" t="s">
        <v>33</v>
      </c>
      <c r="D584" t="s">
        <v>53</v>
      </c>
      <c r="E584">
        <v>9</v>
      </c>
      <c r="F584" t="s">
        <v>35</v>
      </c>
      <c r="G584">
        <v>2</v>
      </c>
      <c r="H584">
        <v>1</v>
      </c>
      <c r="I584" t="s">
        <v>54</v>
      </c>
      <c r="J584">
        <v>1</v>
      </c>
      <c r="K584" t="s">
        <v>37</v>
      </c>
      <c r="L584">
        <v>3407</v>
      </c>
      <c r="M584">
        <v>7</v>
      </c>
      <c r="N584" t="s">
        <v>41</v>
      </c>
      <c r="O584">
        <v>23</v>
      </c>
      <c r="P584">
        <v>4</v>
      </c>
      <c r="Q584">
        <v>0</v>
      </c>
      <c r="R584">
        <v>10</v>
      </c>
      <c r="S584">
        <v>4</v>
      </c>
      <c r="T584">
        <v>5</v>
      </c>
      <c r="U584">
        <v>0</v>
      </c>
      <c r="V584">
        <v>3</v>
      </c>
      <c r="W584" t="s">
        <v>56</v>
      </c>
      <c r="X584" s="1" t="d">
        <v>2016-02-17</v>
      </c>
      <c r="Z584" t="s">
        <v>52</v>
      </c>
      <c r="AA584" t="s">
        <v>46</v>
      </c>
      <c r="AB584">
        <v>3</v>
      </c>
      <c r="AC584">
        <v>2</v>
      </c>
      <c r="AD584" t="s">
        <v>41</v>
      </c>
      <c r="AE584" t="s">
        <v>47</v>
      </c>
      <c r="AF584" t="s">
        <v>43</v>
      </c>
    </row>
    <row r="585" spans="1:32" x14ac:dyDescent="0.25">
      <c r="A585">
        <v>43</v>
      </c>
      <c r="B585" t="s">
        <v>41</v>
      </c>
      <c r="C585" t="s">
        <v>33</v>
      </c>
      <c r="D585" t="s">
        <v>34</v>
      </c>
      <c r="E585">
        <v>2</v>
      </c>
      <c r="F585" t="s">
        <v>58</v>
      </c>
      <c r="G585">
        <v>4</v>
      </c>
      <c r="H585">
        <v>1</v>
      </c>
      <c r="I585" t="s">
        <v>44</v>
      </c>
      <c r="J585">
        <v>3</v>
      </c>
      <c r="K585" t="s">
        <v>55</v>
      </c>
      <c r="L585">
        <v>2645</v>
      </c>
      <c r="M585">
        <v>1</v>
      </c>
      <c r="N585" t="s">
        <v>41</v>
      </c>
      <c r="O585">
        <v>12</v>
      </c>
      <c r="P585">
        <v>3</v>
      </c>
      <c r="Q585">
        <v>2</v>
      </c>
      <c r="R585">
        <v>6</v>
      </c>
      <c r="S585">
        <v>3</v>
      </c>
      <c r="T585">
        <v>5</v>
      </c>
      <c r="U585">
        <v>1</v>
      </c>
      <c r="V585">
        <v>4</v>
      </c>
      <c r="W585" t="s">
        <v>65</v>
      </c>
      <c r="X585" s="1" t="d">
        <v>2016-01-09</v>
      </c>
      <c r="Z585" t="s">
        <v>52</v>
      </c>
      <c r="AA585" t="s">
        <v>40</v>
      </c>
      <c r="AB585">
        <v>0</v>
      </c>
      <c r="AC585">
        <v>0</v>
      </c>
      <c r="AD585" t="s">
        <v>32</v>
      </c>
      <c r="AE585" t="s">
        <v>62</v>
      </c>
      <c r="AF585" t="s">
        <v>57</v>
      </c>
    </row>
    <row r="586" spans="1:32" x14ac:dyDescent="0.25">
      <c r="A586">
        <v>33</v>
      </c>
      <c r="B586" t="s">
        <v>41</v>
      </c>
      <c r="C586" t="s">
        <v>61</v>
      </c>
      <c r="D586" t="s">
        <v>53</v>
      </c>
      <c r="E586">
        <v>1</v>
      </c>
      <c r="F586" t="s">
        <v>58</v>
      </c>
      <c r="G586">
        <v>4</v>
      </c>
      <c r="H586">
        <v>2</v>
      </c>
      <c r="I586" t="s">
        <v>64</v>
      </c>
      <c r="J586">
        <v>1</v>
      </c>
      <c r="K586" t="s">
        <v>50</v>
      </c>
      <c r="L586">
        <v>5376</v>
      </c>
      <c r="M586">
        <v>2</v>
      </c>
      <c r="N586" t="s">
        <v>41</v>
      </c>
      <c r="O586">
        <v>19</v>
      </c>
      <c r="P586">
        <v>3</v>
      </c>
      <c r="Q586">
        <v>2</v>
      </c>
      <c r="R586">
        <v>10</v>
      </c>
      <c r="S586">
        <v>3</v>
      </c>
      <c r="T586">
        <v>5</v>
      </c>
      <c r="U586">
        <v>1</v>
      </c>
      <c r="V586">
        <v>3</v>
      </c>
      <c r="W586" t="s">
        <v>38</v>
      </c>
      <c r="X586" s="1" t="d">
        <v>2016-03-24</v>
      </c>
      <c r="Z586" t="s">
        <v>59</v>
      </c>
      <c r="AA586" t="s">
        <v>46</v>
      </c>
      <c r="AB586">
        <v>4</v>
      </c>
      <c r="AC586">
        <v>3</v>
      </c>
      <c r="AD586" t="s">
        <v>41</v>
      </c>
      <c r="AE586" t="s">
        <v>47</v>
      </c>
      <c r="AF586" t="s">
        <v>57</v>
      </c>
    </row>
    <row r="587" spans="1:32" x14ac:dyDescent="0.25">
      <c r="A587">
        <v>55</v>
      </c>
      <c r="B587" t="s">
        <v>41</v>
      </c>
      <c r="C587" t="s">
        <v>33</v>
      </c>
      <c r="D587" t="s">
        <v>34</v>
      </c>
      <c r="E587">
        <v>8</v>
      </c>
      <c r="F587" t="s">
        <v>58</v>
      </c>
      <c r="G587">
        <v>3</v>
      </c>
      <c r="H587">
        <v>4</v>
      </c>
      <c r="I587" t="s">
        <v>66</v>
      </c>
      <c r="J587">
        <v>3</v>
      </c>
      <c r="K587" t="s">
        <v>55</v>
      </c>
      <c r="L587">
        <v>14756</v>
      </c>
      <c r="M587">
        <v>2</v>
      </c>
      <c r="N587" t="s">
        <v>32</v>
      </c>
      <c r="O587">
        <v>14</v>
      </c>
      <c r="P587">
        <v>3</v>
      </c>
      <c r="Q587">
        <v>3</v>
      </c>
      <c r="R587">
        <v>21</v>
      </c>
      <c r="S587">
        <v>2</v>
      </c>
      <c r="T587">
        <v>5</v>
      </c>
      <c r="U587">
        <v>0</v>
      </c>
      <c r="V587">
        <v>2</v>
      </c>
      <c r="W587" t="s">
        <v>56</v>
      </c>
      <c r="X587" s="1" t="d">
        <v>2016-01-11</v>
      </c>
      <c r="Z587" t="s">
        <v>39</v>
      </c>
      <c r="AA587" t="s">
        <v>46</v>
      </c>
      <c r="AB587">
        <v>5</v>
      </c>
      <c r="AC587">
        <v>3</v>
      </c>
      <c r="AD587" t="s">
        <v>41</v>
      </c>
      <c r="AE587" t="s">
        <v>42</v>
      </c>
      <c r="AF587" t="s">
        <v>57</v>
      </c>
    </row>
    <row r="588" spans="1:32" x14ac:dyDescent="0.25">
      <c r="A588">
        <v>29</v>
      </c>
      <c r="B588" t="s">
        <v>41</v>
      </c>
      <c r="C588" t="s">
        <v>33</v>
      </c>
      <c r="D588" t="s">
        <v>34</v>
      </c>
      <c r="E588">
        <v>2</v>
      </c>
      <c r="F588" t="s">
        <v>35</v>
      </c>
      <c r="G588">
        <v>3</v>
      </c>
      <c r="H588">
        <v>1</v>
      </c>
      <c r="I588" t="s">
        <v>44</v>
      </c>
      <c r="J588">
        <v>2</v>
      </c>
      <c r="K588" t="s">
        <v>50</v>
      </c>
      <c r="L588">
        <v>2703</v>
      </c>
      <c r="M588">
        <v>0</v>
      </c>
      <c r="N588" t="s">
        <v>41</v>
      </c>
      <c r="O588">
        <v>23</v>
      </c>
      <c r="P588">
        <v>4</v>
      </c>
      <c r="Q588">
        <v>1</v>
      </c>
      <c r="R588">
        <v>6</v>
      </c>
      <c r="S588">
        <v>3</v>
      </c>
      <c r="T588">
        <v>5</v>
      </c>
      <c r="U588">
        <v>0</v>
      </c>
      <c r="V588">
        <v>4</v>
      </c>
      <c r="W588" t="s">
        <v>38</v>
      </c>
      <c r="X588" s="1" t="d">
        <v>2016-02-25</v>
      </c>
      <c r="Z588" t="s">
        <v>45</v>
      </c>
      <c r="AA588" t="s">
        <v>40</v>
      </c>
      <c r="AB588">
        <v>0</v>
      </c>
      <c r="AC588">
        <v>3</v>
      </c>
      <c r="AD588" t="s">
        <v>32</v>
      </c>
      <c r="AE588" t="s">
        <v>62</v>
      </c>
      <c r="AF588" t="s">
        <v>48</v>
      </c>
    </row>
    <row r="589" spans="1:32" x14ac:dyDescent="0.25">
      <c r="A589">
        <v>37</v>
      </c>
      <c r="B589" t="s">
        <v>41</v>
      </c>
      <c r="C589" t="s">
        <v>33</v>
      </c>
      <c r="D589" t="s">
        <v>34</v>
      </c>
      <c r="E589">
        <v>7</v>
      </c>
      <c r="F589" t="s">
        <v>35</v>
      </c>
      <c r="G589">
        <v>3</v>
      </c>
      <c r="H589">
        <v>3</v>
      </c>
      <c r="I589" t="s">
        <v>49</v>
      </c>
      <c r="J589">
        <v>3</v>
      </c>
      <c r="K589" t="s">
        <v>37</v>
      </c>
      <c r="L589">
        <v>13664</v>
      </c>
      <c r="M589">
        <v>4</v>
      </c>
      <c r="N589" t="s">
        <v>41</v>
      </c>
      <c r="O589">
        <v>13</v>
      </c>
      <c r="P589">
        <v>3</v>
      </c>
      <c r="Q589">
        <v>0</v>
      </c>
      <c r="R589">
        <v>16</v>
      </c>
      <c r="S589">
        <v>3</v>
      </c>
      <c r="T589">
        <v>5</v>
      </c>
      <c r="U589">
        <v>0</v>
      </c>
      <c r="V589">
        <v>2</v>
      </c>
      <c r="W589" t="s">
        <v>38</v>
      </c>
      <c r="X589" s="1" t="d">
        <v>2016-04-29</v>
      </c>
      <c r="Z589" t="s">
        <v>45</v>
      </c>
      <c r="AA589" t="s">
        <v>46</v>
      </c>
      <c r="AB589">
        <v>3</v>
      </c>
      <c r="AC589">
        <v>0</v>
      </c>
      <c r="AD589" t="s">
        <v>32</v>
      </c>
      <c r="AE589" t="s">
        <v>47</v>
      </c>
      <c r="AF589" t="s">
        <v>43</v>
      </c>
    </row>
    <row r="590" spans="1:32" x14ac:dyDescent="0.25">
      <c r="A590">
        <v>34</v>
      </c>
      <c r="B590" t="s">
        <v>41</v>
      </c>
      <c r="C590" t="s">
        <v>33</v>
      </c>
      <c r="D590" t="s">
        <v>34</v>
      </c>
      <c r="E590">
        <v>1</v>
      </c>
      <c r="F590" t="s">
        <v>35</v>
      </c>
      <c r="G590">
        <v>3</v>
      </c>
      <c r="H590">
        <v>2</v>
      </c>
      <c r="I590" t="s">
        <v>67</v>
      </c>
      <c r="J590">
        <v>2</v>
      </c>
      <c r="K590" t="s">
        <v>50</v>
      </c>
      <c r="L590">
        <v>4325</v>
      </c>
      <c r="M590">
        <v>1</v>
      </c>
      <c r="N590" t="s">
        <v>41</v>
      </c>
      <c r="O590">
        <v>15</v>
      </c>
      <c r="P590">
        <v>3</v>
      </c>
      <c r="Q590">
        <v>0</v>
      </c>
      <c r="R590">
        <v>5</v>
      </c>
      <c r="S590">
        <v>2</v>
      </c>
      <c r="T590">
        <v>5</v>
      </c>
      <c r="U590">
        <v>1</v>
      </c>
      <c r="V590">
        <v>3</v>
      </c>
      <c r="W590" t="s">
        <v>38</v>
      </c>
      <c r="X590" s="1" t="d">
        <v>2016-06-23</v>
      </c>
      <c r="Z590" t="s">
        <v>63</v>
      </c>
      <c r="AA590" t="s">
        <v>40</v>
      </c>
      <c r="AB590">
        <v>1</v>
      </c>
      <c r="AC590">
        <v>1</v>
      </c>
      <c r="AD590" t="s">
        <v>41</v>
      </c>
      <c r="AE590" t="s">
        <v>42</v>
      </c>
      <c r="AF590" t="s">
        <v>48</v>
      </c>
    </row>
    <row r="591" spans="1:32" x14ac:dyDescent="0.25">
      <c r="A591">
        <v>28</v>
      </c>
      <c r="B591" t="s">
        <v>41</v>
      </c>
      <c r="C591" t="s">
        <v>68</v>
      </c>
      <c r="D591" t="s">
        <v>53</v>
      </c>
      <c r="E591">
        <v>4</v>
      </c>
      <c r="F591" t="s">
        <v>35</v>
      </c>
      <c r="G591">
        <v>3</v>
      </c>
      <c r="H591">
        <v>2</v>
      </c>
      <c r="I591" t="s">
        <v>64</v>
      </c>
      <c r="J591">
        <v>3</v>
      </c>
      <c r="K591" t="s">
        <v>50</v>
      </c>
      <c r="L591">
        <v>4221</v>
      </c>
      <c r="M591">
        <v>1</v>
      </c>
      <c r="N591" t="s">
        <v>41</v>
      </c>
      <c r="O591">
        <v>15</v>
      </c>
      <c r="P591">
        <v>3</v>
      </c>
      <c r="Q591">
        <v>0</v>
      </c>
      <c r="R591">
        <v>5</v>
      </c>
      <c r="S591">
        <v>3</v>
      </c>
      <c r="T591">
        <v>5</v>
      </c>
      <c r="U591">
        <v>0</v>
      </c>
      <c r="V591">
        <v>4</v>
      </c>
      <c r="W591" t="s">
        <v>56</v>
      </c>
      <c r="X591" s="1" t="d">
        <v>2016-06-14</v>
      </c>
      <c r="Z591" t="s">
        <v>52</v>
      </c>
      <c r="AA591" t="s">
        <v>40</v>
      </c>
      <c r="AB591">
        <v>2</v>
      </c>
      <c r="AC591">
        <v>1</v>
      </c>
      <c r="AD591" t="s">
        <v>41</v>
      </c>
      <c r="AE591" t="s">
        <v>42</v>
      </c>
      <c r="AF591" t="s">
        <v>48</v>
      </c>
    </row>
    <row r="592" spans="1:32" x14ac:dyDescent="0.25">
      <c r="A592">
        <v>54</v>
      </c>
      <c r="B592" t="s">
        <v>41</v>
      </c>
      <c r="C592" t="s">
        <v>68</v>
      </c>
      <c r="D592" t="s">
        <v>70</v>
      </c>
      <c r="E592">
        <v>26</v>
      </c>
      <c r="F592" t="s">
        <v>58</v>
      </c>
      <c r="G592">
        <v>4</v>
      </c>
      <c r="H592">
        <v>4</v>
      </c>
      <c r="I592" t="s">
        <v>66</v>
      </c>
      <c r="J592">
        <v>4</v>
      </c>
      <c r="K592" t="s">
        <v>37</v>
      </c>
      <c r="L592">
        <v>17328</v>
      </c>
      <c r="M592">
        <v>2</v>
      </c>
      <c r="N592" t="s">
        <v>32</v>
      </c>
      <c r="O592">
        <v>12</v>
      </c>
      <c r="P592">
        <v>3</v>
      </c>
      <c r="Q592">
        <v>0</v>
      </c>
      <c r="R592">
        <v>23</v>
      </c>
      <c r="S592">
        <v>3</v>
      </c>
      <c r="T592">
        <v>5</v>
      </c>
      <c r="U592">
        <v>4</v>
      </c>
      <c r="V592">
        <v>4</v>
      </c>
      <c r="W592" t="s">
        <v>56</v>
      </c>
      <c r="X592" s="1" t="d">
        <v>2016-04-17</v>
      </c>
      <c r="Z592" t="s">
        <v>39</v>
      </c>
      <c r="AA592" t="s">
        <v>40</v>
      </c>
      <c r="AB592">
        <v>1</v>
      </c>
      <c r="AC592">
        <v>3</v>
      </c>
      <c r="AD592" t="s">
        <v>41</v>
      </c>
      <c r="AE592" t="s">
        <v>42</v>
      </c>
      <c r="AF592" t="s">
        <v>48</v>
      </c>
    </row>
    <row r="593" spans="1:32" x14ac:dyDescent="0.25">
      <c r="A593">
        <v>24</v>
      </c>
      <c r="B593" t="s">
        <v>41</v>
      </c>
      <c r="C593" t="s">
        <v>33</v>
      </c>
      <c r="D593" t="s">
        <v>34</v>
      </c>
      <c r="E593">
        <v>18</v>
      </c>
      <c r="F593" t="s">
        <v>35</v>
      </c>
      <c r="G593">
        <v>3</v>
      </c>
      <c r="H593">
        <v>1</v>
      </c>
      <c r="I593" t="s">
        <v>36</v>
      </c>
      <c r="J593">
        <v>3</v>
      </c>
      <c r="K593" t="s">
        <v>50</v>
      </c>
      <c r="L593">
        <v>2774</v>
      </c>
      <c r="M593">
        <v>0</v>
      </c>
      <c r="N593" t="s">
        <v>41</v>
      </c>
      <c r="O593">
        <v>12</v>
      </c>
      <c r="P593">
        <v>3</v>
      </c>
      <c r="Q593">
        <v>1</v>
      </c>
      <c r="R593">
        <v>6</v>
      </c>
      <c r="S593">
        <v>2</v>
      </c>
      <c r="T593">
        <v>5</v>
      </c>
      <c r="U593">
        <v>1</v>
      </c>
      <c r="V593">
        <v>2</v>
      </c>
      <c r="W593" t="s">
        <v>51</v>
      </c>
      <c r="X593" s="1" t="d">
        <v>2016-05-08</v>
      </c>
      <c r="Z593" t="s">
        <v>63</v>
      </c>
      <c r="AA593" t="s">
        <v>40</v>
      </c>
      <c r="AB593">
        <v>3</v>
      </c>
      <c r="AC593">
        <v>0</v>
      </c>
      <c r="AD593" t="s">
        <v>32</v>
      </c>
      <c r="AE593" t="s">
        <v>47</v>
      </c>
      <c r="AF593" t="s">
        <v>43</v>
      </c>
    </row>
    <row r="594" spans="1:32" x14ac:dyDescent="0.25">
      <c r="A594">
        <v>37</v>
      </c>
      <c r="B594" t="s">
        <v>41</v>
      </c>
      <c r="C594" t="s">
        <v>33</v>
      </c>
      <c r="D594" t="s">
        <v>53</v>
      </c>
      <c r="E594">
        <v>3</v>
      </c>
      <c r="F594" t="s">
        <v>35</v>
      </c>
      <c r="G594">
        <v>3</v>
      </c>
      <c r="H594">
        <v>3</v>
      </c>
      <c r="I594" t="s">
        <v>64</v>
      </c>
      <c r="J594">
        <v>4</v>
      </c>
      <c r="K594" t="s">
        <v>37</v>
      </c>
      <c r="L594">
        <v>7428</v>
      </c>
      <c r="M594">
        <v>2</v>
      </c>
      <c r="N594" t="s">
        <v>41</v>
      </c>
      <c r="O594">
        <v>12</v>
      </c>
      <c r="P594">
        <v>3</v>
      </c>
      <c r="Q594">
        <v>0</v>
      </c>
      <c r="R594">
        <v>12</v>
      </c>
      <c r="S594">
        <v>3</v>
      </c>
      <c r="T594">
        <v>5</v>
      </c>
      <c r="U594">
        <v>1</v>
      </c>
      <c r="V594">
        <v>3</v>
      </c>
      <c r="W594" t="s">
        <v>56</v>
      </c>
      <c r="X594" s="1" t="d">
        <v>2016-01-17</v>
      </c>
      <c r="Z594" t="s">
        <v>63</v>
      </c>
      <c r="AA594" t="s">
        <v>46</v>
      </c>
      <c r="AB594">
        <v>5</v>
      </c>
      <c r="AC594">
        <v>3</v>
      </c>
      <c r="AD594" t="s">
        <v>41</v>
      </c>
      <c r="AE594" t="s">
        <v>42</v>
      </c>
      <c r="AF594" t="s">
        <v>48</v>
      </c>
    </row>
    <row r="595" spans="1:32" x14ac:dyDescent="0.25">
      <c r="A595">
        <v>56</v>
      </c>
      <c r="B595" t="s">
        <v>32</v>
      </c>
      <c r="C595" t="s">
        <v>33</v>
      </c>
      <c r="D595" t="s">
        <v>34</v>
      </c>
      <c r="E595">
        <v>14</v>
      </c>
      <c r="F595" t="s">
        <v>58</v>
      </c>
      <c r="G595">
        <v>3</v>
      </c>
      <c r="H595">
        <v>1</v>
      </c>
      <c r="I595" t="s">
        <v>44</v>
      </c>
      <c r="J595">
        <v>2</v>
      </c>
      <c r="K595" t="s">
        <v>50</v>
      </c>
      <c r="L595">
        <v>4963</v>
      </c>
      <c r="M595">
        <v>9</v>
      </c>
      <c r="N595" t="s">
        <v>32</v>
      </c>
      <c r="O595">
        <v>18</v>
      </c>
      <c r="P595">
        <v>3</v>
      </c>
      <c r="Q595">
        <v>3</v>
      </c>
      <c r="R595">
        <v>7</v>
      </c>
      <c r="S595">
        <v>2</v>
      </c>
      <c r="T595">
        <v>5</v>
      </c>
      <c r="U595">
        <v>4</v>
      </c>
      <c r="V595">
        <v>3</v>
      </c>
      <c r="W595" t="s">
        <v>38</v>
      </c>
      <c r="X595" s="1" t="d">
        <v>2016-02-07</v>
      </c>
      <c r="Z595" t="s">
        <v>39</v>
      </c>
      <c r="AA595" t="s">
        <v>46</v>
      </c>
      <c r="AB595">
        <v>0</v>
      </c>
      <c r="AC595">
        <v>3</v>
      </c>
      <c r="AD595" t="s">
        <v>32</v>
      </c>
      <c r="AE595" t="s">
        <v>42</v>
      </c>
      <c r="AF595" t="s">
        <v>43</v>
      </c>
    </row>
    <row r="596" spans="1:32" x14ac:dyDescent="0.25">
      <c r="A596">
        <v>26</v>
      </c>
      <c r="B596" t="s">
        <v>41</v>
      </c>
      <c r="C596" t="s">
        <v>33</v>
      </c>
      <c r="D596" t="s">
        <v>34</v>
      </c>
      <c r="E596">
        <v>6</v>
      </c>
      <c r="F596" t="s">
        <v>58</v>
      </c>
      <c r="G596">
        <v>2</v>
      </c>
      <c r="H596">
        <v>1</v>
      </c>
      <c r="I596" t="s">
        <v>44</v>
      </c>
      <c r="J596">
        <v>2</v>
      </c>
      <c r="K596" t="s">
        <v>50</v>
      </c>
      <c r="L596">
        <v>2368</v>
      </c>
      <c r="M596">
        <v>1</v>
      </c>
      <c r="N596" t="s">
        <v>41</v>
      </c>
      <c r="O596">
        <v>19</v>
      </c>
      <c r="P596">
        <v>3</v>
      </c>
      <c r="Q596">
        <v>0</v>
      </c>
      <c r="R596">
        <v>5</v>
      </c>
      <c r="S596">
        <v>3</v>
      </c>
      <c r="T596">
        <v>5</v>
      </c>
      <c r="U596">
        <v>4</v>
      </c>
      <c r="V596">
        <v>3</v>
      </c>
      <c r="W596" t="s">
        <v>38</v>
      </c>
      <c r="X596" s="1" t="d">
        <v>2016-02-23</v>
      </c>
      <c r="Z596" t="s">
        <v>52</v>
      </c>
      <c r="AA596" t="s">
        <v>46</v>
      </c>
      <c r="AB596">
        <v>0</v>
      </c>
      <c r="AC596">
        <v>3</v>
      </c>
      <c r="AD596" t="s">
        <v>32</v>
      </c>
      <c r="AE596" t="s">
        <v>60</v>
      </c>
      <c r="AF596" t="s">
        <v>43</v>
      </c>
    </row>
    <row r="597" spans="1:32" x14ac:dyDescent="0.25">
      <c r="A597">
        <v>32</v>
      </c>
      <c r="B597" t="s">
        <v>32</v>
      </c>
      <c r="C597" t="s">
        <v>33</v>
      </c>
      <c r="D597" t="s">
        <v>34</v>
      </c>
      <c r="E597">
        <v>9</v>
      </c>
      <c r="F597" t="s">
        <v>58</v>
      </c>
      <c r="G597">
        <v>3</v>
      </c>
      <c r="H597">
        <v>1</v>
      </c>
      <c r="I597" t="s">
        <v>36</v>
      </c>
      <c r="J597">
        <v>1</v>
      </c>
      <c r="K597" t="s">
        <v>37</v>
      </c>
      <c r="L597">
        <v>4200</v>
      </c>
      <c r="M597">
        <v>7</v>
      </c>
      <c r="N597" t="s">
        <v>41</v>
      </c>
      <c r="O597">
        <v>22</v>
      </c>
      <c r="P597">
        <v>4</v>
      </c>
      <c r="Q597">
        <v>0</v>
      </c>
      <c r="R597">
        <v>10</v>
      </c>
      <c r="S597">
        <v>2</v>
      </c>
      <c r="T597">
        <v>5</v>
      </c>
      <c r="U597">
        <v>0</v>
      </c>
      <c r="V597">
        <v>4</v>
      </c>
      <c r="W597" t="s">
        <v>65</v>
      </c>
      <c r="X597" s="1" t="d">
        <v>2016-02-22</v>
      </c>
      <c r="Z597" t="s">
        <v>63</v>
      </c>
      <c r="AA597" t="s">
        <v>46</v>
      </c>
      <c r="AB597">
        <v>5</v>
      </c>
      <c r="AC597">
        <v>1</v>
      </c>
      <c r="AD597" t="s">
        <v>32</v>
      </c>
      <c r="AE597" t="s">
        <v>62</v>
      </c>
      <c r="AF597" t="s">
        <v>43</v>
      </c>
    </row>
    <row r="598" spans="1:32" x14ac:dyDescent="0.25">
      <c r="A598">
        <v>30</v>
      </c>
      <c r="B598" t="s">
        <v>41</v>
      </c>
      <c r="C598" t="s">
        <v>33</v>
      </c>
      <c r="D598" t="s">
        <v>34</v>
      </c>
      <c r="E598">
        <v>18</v>
      </c>
      <c r="F598" t="s">
        <v>58</v>
      </c>
      <c r="G598">
        <v>3</v>
      </c>
      <c r="H598">
        <v>1</v>
      </c>
      <c r="I598" t="s">
        <v>44</v>
      </c>
      <c r="J598">
        <v>3</v>
      </c>
      <c r="K598" t="s">
        <v>37</v>
      </c>
      <c r="L598">
        <v>2632</v>
      </c>
      <c r="M598">
        <v>1</v>
      </c>
      <c r="N598" t="s">
        <v>41</v>
      </c>
      <c r="O598">
        <v>14</v>
      </c>
      <c r="P598">
        <v>3</v>
      </c>
      <c r="Q598">
        <v>0</v>
      </c>
      <c r="R598">
        <v>5</v>
      </c>
      <c r="S598">
        <v>4</v>
      </c>
      <c r="T598">
        <v>5</v>
      </c>
      <c r="U598">
        <v>0</v>
      </c>
      <c r="V598">
        <v>4</v>
      </c>
      <c r="W598" t="s">
        <v>65</v>
      </c>
      <c r="X598" s="1" t="d">
        <v>2016-03-01</v>
      </c>
      <c r="Z598" t="s">
        <v>45</v>
      </c>
      <c r="AA598" t="s">
        <v>40</v>
      </c>
      <c r="AB598">
        <v>1</v>
      </c>
      <c r="AC598">
        <v>3</v>
      </c>
      <c r="AD598" t="s">
        <v>41</v>
      </c>
      <c r="AE598" t="s">
        <v>42</v>
      </c>
      <c r="AF598" t="s">
        <v>57</v>
      </c>
    </row>
    <row r="599" spans="1:32" x14ac:dyDescent="0.25">
      <c r="A599">
        <v>30</v>
      </c>
      <c r="B599" t="s">
        <v>41</v>
      </c>
      <c r="C599" t="s">
        <v>33</v>
      </c>
      <c r="D599" t="s">
        <v>34</v>
      </c>
      <c r="E599">
        <v>2</v>
      </c>
      <c r="F599" t="s">
        <v>35</v>
      </c>
      <c r="G599">
        <v>2</v>
      </c>
      <c r="H599">
        <v>1</v>
      </c>
      <c r="I599" t="s">
        <v>36</v>
      </c>
      <c r="J599">
        <v>4</v>
      </c>
      <c r="K599" t="s">
        <v>37</v>
      </c>
      <c r="L599">
        <v>2720</v>
      </c>
      <c r="M599">
        <v>0</v>
      </c>
      <c r="N599" t="s">
        <v>41</v>
      </c>
      <c r="O599">
        <v>13</v>
      </c>
      <c r="P599">
        <v>3</v>
      </c>
      <c r="Q599">
        <v>0</v>
      </c>
      <c r="R599">
        <v>6</v>
      </c>
      <c r="S599">
        <v>3</v>
      </c>
      <c r="T599">
        <v>5</v>
      </c>
      <c r="U599">
        <v>1</v>
      </c>
      <c r="V599">
        <v>2</v>
      </c>
      <c r="W599" t="s">
        <v>56</v>
      </c>
      <c r="X599" s="1" t="d">
        <v>2016-06-05</v>
      </c>
      <c r="Z599" t="s">
        <v>59</v>
      </c>
      <c r="AA599" t="s">
        <v>46</v>
      </c>
      <c r="AB599">
        <v>1</v>
      </c>
      <c r="AC599">
        <v>1</v>
      </c>
      <c r="AD599" t="s">
        <v>32</v>
      </c>
      <c r="AE599" t="s">
        <v>42</v>
      </c>
      <c r="AF599" t="s">
        <v>43</v>
      </c>
    </row>
    <row r="600" spans="1:32" x14ac:dyDescent="0.25">
      <c r="A600">
        <v>41</v>
      </c>
      <c r="B600" t="s">
        <v>41</v>
      </c>
      <c r="C600" t="s">
        <v>33</v>
      </c>
      <c r="D600" t="s">
        <v>34</v>
      </c>
      <c r="E600">
        <v>9</v>
      </c>
      <c r="F600" t="s">
        <v>35</v>
      </c>
      <c r="G600">
        <v>3</v>
      </c>
      <c r="H600">
        <v>1</v>
      </c>
      <c r="I600" t="s">
        <v>36</v>
      </c>
      <c r="J600">
        <v>1</v>
      </c>
      <c r="K600" t="s">
        <v>50</v>
      </c>
      <c r="L600">
        <v>2238</v>
      </c>
      <c r="M600">
        <v>2</v>
      </c>
      <c r="N600" t="s">
        <v>41</v>
      </c>
      <c r="O600">
        <v>21</v>
      </c>
      <c r="P600">
        <v>4</v>
      </c>
      <c r="Q600">
        <v>1</v>
      </c>
      <c r="R600">
        <v>7</v>
      </c>
      <c r="S600">
        <v>2</v>
      </c>
      <c r="T600">
        <v>5</v>
      </c>
      <c r="U600">
        <v>1</v>
      </c>
      <c r="V600">
        <v>4</v>
      </c>
      <c r="W600" t="s">
        <v>51</v>
      </c>
      <c r="X600" s="1" t="d">
        <v>2016-02-02</v>
      </c>
      <c r="Z600" t="s">
        <v>63</v>
      </c>
      <c r="AA600" t="s">
        <v>46</v>
      </c>
      <c r="AB600">
        <v>1</v>
      </c>
      <c r="AC600">
        <v>2</v>
      </c>
      <c r="AD600" t="s">
        <v>41</v>
      </c>
      <c r="AE600" t="s">
        <v>47</v>
      </c>
      <c r="AF600" t="s">
        <v>48</v>
      </c>
    </row>
    <row r="601" spans="1:32" x14ac:dyDescent="0.25">
      <c r="A601">
        <v>28</v>
      </c>
      <c r="B601" t="s">
        <v>41</v>
      </c>
      <c r="C601" t="s">
        <v>33</v>
      </c>
      <c r="D601" t="s">
        <v>34</v>
      </c>
      <c r="E601">
        <v>21</v>
      </c>
      <c r="F601" t="s">
        <v>35</v>
      </c>
      <c r="G601">
        <v>3</v>
      </c>
      <c r="H601">
        <v>1</v>
      </c>
      <c r="I601" t="s">
        <v>44</v>
      </c>
      <c r="J601">
        <v>4</v>
      </c>
      <c r="K601" t="s">
        <v>50</v>
      </c>
      <c r="L601">
        <v>2713</v>
      </c>
      <c r="M601">
        <v>1</v>
      </c>
      <c r="N601" t="s">
        <v>41</v>
      </c>
      <c r="O601">
        <v>11</v>
      </c>
      <c r="P601">
        <v>3</v>
      </c>
      <c r="Q601">
        <v>1</v>
      </c>
      <c r="R601">
        <v>5</v>
      </c>
      <c r="S601">
        <v>2</v>
      </c>
      <c r="T601">
        <v>5</v>
      </c>
      <c r="U601">
        <v>0</v>
      </c>
      <c r="V601">
        <v>2</v>
      </c>
      <c r="W601" t="s">
        <v>51</v>
      </c>
      <c r="X601" s="1" t="d">
        <v>2016-04-20</v>
      </c>
      <c r="Z601" t="s">
        <v>63</v>
      </c>
      <c r="AA601" t="s">
        <v>46</v>
      </c>
      <c r="AB601">
        <v>2</v>
      </c>
      <c r="AC601">
        <v>0</v>
      </c>
      <c r="AD601" t="s">
        <v>41</v>
      </c>
      <c r="AE601" t="s">
        <v>42</v>
      </c>
      <c r="AF601" t="s">
        <v>57</v>
      </c>
    </row>
    <row r="602" spans="1:32" x14ac:dyDescent="0.25">
      <c r="A602">
        <v>57</v>
      </c>
      <c r="B602" t="s">
        <v>41</v>
      </c>
      <c r="C602" t="s">
        <v>33</v>
      </c>
      <c r="D602" t="s">
        <v>34</v>
      </c>
      <c r="E602">
        <v>24</v>
      </c>
      <c r="F602" t="s">
        <v>35</v>
      </c>
      <c r="G602">
        <v>4</v>
      </c>
      <c r="H602">
        <v>3</v>
      </c>
      <c r="I602" t="s">
        <v>69</v>
      </c>
      <c r="J602">
        <v>4</v>
      </c>
      <c r="K602" t="s">
        <v>55</v>
      </c>
      <c r="L602">
        <v>9439</v>
      </c>
      <c r="M602">
        <v>3</v>
      </c>
      <c r="N602" t="s">
        <v>32</v>
      </c>
      <c r="O602">
        <v>16</v>
      </c>
      <c r="P602">
        <v>3</v>
      </c>
      <c r="Q602">
        <v>1</v>
      </c>
      <c r="R602">
        <v>12</v>
      </c>
      <c r="S602">
        <v>2</v>
      </c>
      <c r="T602">
        <v>5</v>
      </c>
      <c r="U602">
        <v>1</v>
      </c>
      <c r="V602">
        <v>4</v>
      </c>
      <c r="W602" t="s">
        <v>65</v>
      </c>
      <c r="X602" s="1" t="d">
        <v>2016-05-18</v>
      </c>
      <c r="Z602" t="s">
        <v>63</v>
      </c>
      <c r="AA602" t="s">
        <v>46</v>
      </c>
      <c r="AB602">
        <v>4</v>
      </c>
      <c r="AC602">
        <v>2</v>
      </c>
      <c r="AD602" t="s">
        <v>32</v>
      </c>
      <c r="AE602" t="s">
        <v>60</v>
      </c>
      <c r="AF602" t="s">
        <v>57</v>
      </c>
    </row>
    <row r="603" spans="1:32" x14ac:dyDescent="0.25">
      <c r="A603">
        <v>50</v>
      </c>
      <c r="B603" t="s">
        <v>41</v>
      </c>
      <c r="C603" t="s">
        <v>33</v>
      </c>
      <c r="D603" t="s">
        <v>34</v>
      </c>
      <c r="E603">
        <v>11</v>
      </c>
      <c r="F603" t="s">
        <v>58</v>
      </c>
      <c r="G603">
        <v>3</v>
      </c>
      <c r="H603">
        <v>5</v>
      </c>
      <c r="I603" t="s">
        <v>66</v>
      </c>
      <c r="J603">
        <v>2</v>
      </c>
      <c r="K603" t="s">
        <v>37</v>
      </c>
      <c r="L603">
        <v>19926</v>
      </c>
      <c r="M603">
        <v>3</v>
      </c>
      <c r="N603" t="s">
        <v>41</v>
      </c>
      <c r="O603">
        <v>15</v>
      </c>
      <c r="P603">
        <v>3</v>
      </c>
      <c r="Q603">
        <v>0</v>
      </c>
      <c r="R603">
        <v>21</v>
      </c>
      <c r="S603">
        <v>5</v>
      </c>
      <c r="T603">
        <v>5</v>
      </c>
      <c r="U603">
        <v>4</v>
      </c>
      <c r="V603">
        <v>4</v>
      </c>
      <c r="W603" t="s">
        <v>38</v>
      </c>
      <c r="X603" s="1" t="d">
        <v>2016-05-02</v>
      </c>
      <c r="Z603" t="s">
        <v>45</v>
      </c>
      <c r="AA603" t="s">
        <v>40</v>
      </c>
      <c r="AB603">
        <v>2</v>
      </c>
      <c r="AC603">
        <v>1</v>
      </c>
      <c r="AD603" t="s">
        <v>32</v>
      </c>
      <c r="AE603" t="s">
        <v>60</v>
      </c>
      <c r="AF603" t="s">
        <v>48</v>
      </c>
    </row>
    <row r="604" spans="1:32" x14ac:dyDescent="0.25">
      <c r="A604">
        <v>32</v>
      </c>
      <c r="B604" t="s">
        <v>41</v>
      </c>
      <c r="C604" t="s">
        <v>33</v>
      </c>
      <c r="D604" t="s">
        <v>34</v>
      </c>
      <c r="E604">
        <v>6</v>
      </c>
      <c r="F604" t="s">
        <v>35</v>
      </c>
      <c r="G604">
        <v>3</v>
      </c>
      <c r="H604">
        <v>1</v>
      </c>
      <c r="I604" t="s">
        <v>44</v>
      </c>
      <c r="J604">
        <v>3</v>
      </c>
      <c r="K604" t="s">
        <v>37</v>
      </c>
      <c r="L604">
        <v>3038</v>
      </c>
      <c r="M604">
        <v>3</v>
      </c>
      <c r="N604" t="s">
        <v>41</v>
      </c>
      <c r="O604">
        <v>20</v>
      </c>
      <c r="P604">
        <v>4</v>
      </c>
      <c r="Q604">
        <v>0</v>
      </c>
      <c r="R604">
        <v>8</v>
      </c>
      <c r="S604">
        <v>2</v>
      </c>
      <c r="T604">
        <v>5</v>
      </c>
      <c r="U604">
        <v>1</v>
      </c>
      <c r="V604">
        <v>4</v>
      </c>
      <c r="W604" t="s">
        <v>56</v>
      </c>
      <c r="X604" s="1" t="d">
        <v>2016-01-10</v>
      </c>
      <c r="Z604" t="s">
        <v>59</v>
      </c>
      <c r="AA604" t="s">
        <v>40</v>
      </c>
      <c r="AB604">
        <v>4</v>
      </c>
      <c r="AC604">
        <v>1</v>
      </c>
      <c r="AD604" t="s">
        <v>41</v>
      </c>
      <c r="AE604" t="s">
        <v>60</v>
      </c>
      <c r="AF604" t="s">
        <v>48</v>
      </c>
    </row>
    <row r="605" spans="1:32" x14ac:dyDescent="0.25">
      <c r="A605">
        <v>27</v>
      </c>
      <c r="B605" t="s">
        <v>41</v>
      </c>
      <c r="C605" t="s">
        <v>33</v>
      </c>
      <c r="D605" t="s">
        <v>34</v>
      </c>
      <c r="E605">
        <v>17</v>
      </c>
      <c r="F605" t="s">
        <v>35</v>
      </c>
      <c r="G605">
        <v>3</v>
      </c>
      <c r="H605">
        <v>1</v>
      </c>
      <c r="I605" t="s">
        <v>44</v>
      </c>
      <c r="J605">
        <v>2</v>
      </c>
      <c r="K605" t="s">
        <v>50</v>
      </c>
      <c r="L605">
        <v>3058</v>
      </c>
      <c r="M605">
        <v>0</v>
      </c>
      <c r="N605" t="s">
        <v>32</v>
      </c>
      <c r="O605">
        <v>16</v>
      </c>
      <c r="P605">
        <v>3</v>
      </c>
      <c r="Q605">
        <v>1</v>
      </c>
      <c r="R605">
        <v>6</v>
      </c>
      <c r="S605">
        <v>3</v>
      </c>
      <c r="T605">
        <v>5</v>
      </c>
      <c r="U605">
        <v>1</v>
      </c>
      <c r="V605">
        <v>1</v>
      </c>
      <c r="W605" t="s">
        <v>65</v>
      </c>
      <c r="X605" s="1" t="d">
        <v>2016-04-22</v>
      </c>
      <c r="Z605" t="s">
        <v>45</v>
      </c>
      <c r="AA605" t="s">
        <v>46</v>
      </c>
      <c r="AB605">
        <v>3</v>
      </c>
      <c r="AC605">
        <v>2</v>
      </c>
      <c r="AD605" t="s">
        <v>41</v>
      </c>
      <c r="AE605" t="s">
        <v>62</v>
      </c>
      <c r="AF605" t="s">
        <v>43</v>
      </c>
    </row>
    <row r="606" spans="1:32" x14ac:dyDescent="0.25">
      <c r="A606">
        <v>45</v>
      </c>
      <c r="B606" t="s">
        <v>41</v>
      </c>
      <c r="C606" t="s">
        <v>33</v>
      </c>
      <c r="D606" t="s">
        <v>53</v>
      </c>
      <c r="E606">
        <v>4</v>
      </c>
      <c r="F606" t="s">
        <v>58</v>
      </c>
      <c r="G606">
        <v>3</v>
      </c>
      <c r="H606">
        <v>2</v>
      </c>
      <c r="I606" t="s">
        <v>64</v>
      </c>
      <c r="J606">
        <v>1</v>
      </c>
      <c r="K606" t="s">
        <v>55</v>
      </c>
      <c r="L606">
        <v>5006</v>
      </c>
      <c r="M606">
        <v>4</v>
      </c>
      <c r="N606" t="s">
        <v>32</v>
      </c>
      <c r="O606">
        <v>11</v>
      </c>
      <c r="P606">
        <v>3</v>
      </c>
      <c r="Q606">
        <v>1</v>
      </c>
      <c r="R606">
        <v>9</v>
      </c>
      <c r="S606">
        <v>3</v>
      </c>
      <c r="T606">
        <v>5</v>
      </c>
      <c r="U606">
        <v>0</v>
      </c>
      <c r="V606">
        <v>3</v>
      </c>
      <c r="W606" t="s">
        <v>56</v>
      </c>
      <c r="X606" s="1" t="d">
        <v>2016-04-05</v>
      </c>
      <c r="Z606" t="s">
        <v>63</v>
      </c>
      <c r="AA606" t="s">
        <v>46</v>
      </c>
      <c r="AB606">
        <v>2</v>
      </c>
      <c r="AC606">
        <v>3</v>
      </c>
      <c r="AD606" t="s">
        <v>41</v>
      </c>
      <c r="AE606" t="s">
        <v>42</v>
      </c>
      <c r="AF606" t="s">
        <v>43</v>
      </c>
    </row>
    <row r="607" spans="1:32" x14ac:dyDescent="0.25">
      <c r="A607">
        <v>43</v>
      </c>
      <c r="B607" t="s">
        <v>41</v>
      </c>
      <c r="C607" t="s">
        <v>68</v>
      </c>
      <c r="D607" t="s">
        <v>34</v>
      </c>
      <c r="E607">
        <v>7</v>
      </c>
      <c r="F607" t="s">
        <v>35</v>
      </c>
      <c r="G607">
        <v>4</v>
      </c>
      <c r="H607">
        <v>1</v>
      </c>
      <c r="I607" t="s">
        <v>44</v>
      </c>
      <c r="J607">
        <v>4</v>
      </c>
      <c r="K607" t="s">
        <v>55</v>
      </c>
      <c r="L607">
        <v>2089</v>
      </c>
      <c r="M607">
        <v>4</v>
      </c>
      <c r="N607" t="s">
        <v>41</v>
      </c>
      <c r="O607">
        <v>14</v>
      </c>
      <c r="P607">
        <v>3</v>
      </c>
      <c r="Q607">
        <v>3</v>
      </c>
      <c r="R607">
        <v>7</v>
      </c>
      <c r="S607">
        <v>3</v>
      </c>
      <c r="T607">
        <v>5</v>
      </c>
      <c r="U607">
        <v>2</v>
      </c>
      <c r="V607">
        <v>2</v>
      </c>
      <c r="W607" t="s">
        <v>65</v>
      </c>
      <c r="X607" s="1" t="d">
        <v>2016-01-04</v>
      </c>
      <c r="Z607" t="s">
        <v>59</v>
      </c>
      <c r="AA607" t="s">
        <v>46</v>
      </c>
      <c r="AB607">
        <v>3</v>
      </c>
      <c r="AC607">
        <v>3</v>
      </c>
      <c r="AD607" t="s">
        <v>41</v>
      </c>
      <c r="AE607" t="s">
        <v>47</v>
      </c>
      <c r="AF607" t="s">
        <v>57</v>
      </c>
    </row>
    <row r="608" spans="1:32" x14ac:dyDescent="0.25">
      <c r="A608">
        <v>42</v>
      </c>
      <c r="B608" t="s">
        <v>41</v>
      </c>
      <c r="C608" t="s">
        <v>68</v>
      </c>
      <c r="D608" t="s">
        <v>34</v>
      </c>
      <c r="E608">
        <v>21</v>
      </c>
      <c r="F608" t="s">
        <v>58</v>
      </c>
      <c r="G608">
        <v>3</v>
      </c>
      <c r="H608">
        <v>2</v>
      </c>
      <c r="I608" t="s">
        <v>67</v>
      </c>
      <c r="J608">
        <v>3</v>
      </c>
      <c r="K608" t="s">
        <v>55</v>
      </c>
      <c r="L608">
        <v>5265</v>
      </c>
      <c r="M608">
        <v>2</v>
      </c>
      <c r="N608" t="s">
        <v>41</v>
      </c>
      <c r="O608">
        <v>16</v>
      </c>
      <c r="P608">
        <v>3</v>
      </c>
      <c r="Q608">
        <v>1</v>
      </c>
      <c r="R608">
        <v>11</v>
      </c>
      <c r="S608">
        <v>5</v>
      </c>
      <c r="T608">
        <v>5</v>
      </c>
      <c r="U608">
        <v>0</v>
      </c>
      <c r="V608">
        <v>2</v>
      </c>
      <c r="W608" t="s">
        <v>65</v>
      </c>
      <c r="X608" s="1" t="d">
        <v>2016-06-02</v>
      </c>
      <c r="Z608" t="s">
        <v>59</v>
      </c>
      <c r="AA608" t="s">
        <v>46</v>
      </c>
      <c r="AB608">
        <v>2</v>
      </c>
      <c r="AC608">
        <v>0</v>
      </c>
      <c r="AD608" t="s">
        <v>41</v>
      </c>
      <c r="AE608" t="s">
        <v>62</v>
      </c>
      <c r="AF608" t="s">
        <v>43</v>
      </c>
    </row>
    <row r="609" spans="1:32" x14ac:dyDescent="0.25">
      <c r="A609">
        <v>34</v>
      </c>
      <c r="B609" t="s">
        <v>41</v>
      </c>
      <c r="C609" t="s">
        <v>61</v>
      </c>
      <c r="D609" t="s">
        <v>34</v>
      </c>
      <c r="E609">
        <v>10</v>
      </c>
      <c r="F609" t="s">
        <v>35</v>
      </c>
      <c r="G609">
        <v>3</v>
      </c>
      <c r="H609">
        <v>1</v>
      </c>
      <c r="I609" t="s">
        <v>44</v>
      </c>
      <c r="J609">
        <v>3</v>
      </c>
      <c r="K609" t="s">
        <v>55</v>
      </c>
      <c r="L609">
        <v>3815</v>
      </c>
      <c r="M609">
        <v>1</v>
      </c>
      <c r="N609" t="s">
        <v>32</v>
      </c>
      <c r="O609">
        <v>17</v>
      </c>
      <c r="P609">
        <v>3</v>
      </c>
      <c r="Q609">
        <v>1</v>
      </c>
      <c r="R609">
        <v>5</v>
      </c>
      <c r="S609">
        <v>4</v>
      </c>
      <c r="T609">
        <v>5</v>
      </c>
      <c r="U609">
        <v>2</v>
      </c>
      <c r="V609">
        <v>0</v>
      </c>
      <c r="W609" t="s">
        <v>56</v>
      </c>
      <c r="X609" s="1" t="d">
        <v>2016-03-15</v>
      </c>
      <c r="Z609" t="s">
        <v>39</v>
      </c>
      <c r="AA609" t="s">
        <v>40</v>
      </c>
      <c r="AB609">
        <v>0</v>
      </c>
      <c r="AC609">
        <v>2</v>
      </c>
      <c r="AD609" t="s">
        <v>32</v>
      </c>
      <c r="AE609" t="s">
        <v>42</v>
      </c>
      <c r="AF609" t="s">
        <v>43</v>
      </c>
    </row>
    <row r="610" spans="1:32" x14ac:dyDescent="0.25">
      <c r="A610">
        <v>30</v>
      </c>
      <c r="B610" t="s">
        <v>32</v>
      </c>
      <c r="C610" t="s">
        <v>33</v>
      </c>
      <c r="D610" t="s">
        <v>34</v>
      </c>
      <c r="E610">
        <v>3</v>
      </c>
      <c r="F610" t="s">
        <v>58</v>
      </c>
      <c r="G610">
        <v>3</v>
      </c>
      <c r="H610">
        <v>1</v>
      </c>
      <c r="I610" t="s">
        <v>44</v>
      </c>
      <c r="J610">
        <v>1</v>
      </c>
      <c r="K610" t="s">
        <v>37</v>
      </c>
      <c r="L610">
        <v>2657</v>
      </c>
      <c r="M610">
        <v>5</v>
      </c>
      <c r="N610" t="s">
        <v>32</v>
      </c>
      <c r="O610">
        <v>11</v>
      </c>
      <c r="P610">
        <v>3</v>
      </c>
      <c r="Q610">
        <v>0</v>
      </c>
      <c r="R610">
        <v>8</v>
      </c>
      <c r="S610">
        <v>5</v>
      </c>
      <c r="T610">
        <v>5</v>
      </c>
      <c r="U610">
        <v>0</v>
      </c>
      <c r="V610">
        <v>4</v>
      </c>
      <c r="W610" t="s">
        <v>38</v>
      </c>
      <c r="X610" s="1" t="d">
        <v>2016-01-28</v>
      </c>
      <c r="Z610" t="s">
        <v>45</v>
      </c>
      <c r="AA610" t="s">
        <v>40</v>
      </c>
      <c r="AB610">
        <v>4</v>
      </c>
      <c r="AC610">
        <v>0</v>
      </c>
      <c r="AD610" t="s">
        <v>41</v>
      </c>
      <c r="AE610" t="s">
        <v>62</v>
      </c>
      <c r="AF610" t="s">
        <v>43</v>
      </c>
    </row>
    <row r="611" spans="1:32" x14ac:dyDescent="0.25">
      <c r="A611">
        <v>31</v>
      </c>
      <c r="B611" t="s">
        <v>41</v>
      </c>
      <c r="C611" t="s">
        <v>68</v>
      </c>
      <c r="D611" t="s">
        <v>34</v>
      </c>
      <c r="E611">
        <v>1</v>
      </c>
      <c r="F611" t="s">
        <v>35</v>
      </c>
      <c r="G611">
        <v>1</v>
      </c>
      <c r="H611">
        <v>2</v>
      </c>
      <c r="I611" t="s">
        <v>67</v>
      </c>
      <c r="J611">
        <v>3</v>
      </c>
      <c r="K611" t="s">
        <v>50</v>
      </c>
      <c r="L611">
        <v>4345</v>
      </c>
      <c r="M611">
        <v>0</v>
      </c>
      <c r="N611" t="s">
        <v>41</v>
      </c>
      <c r="O611">
        <v>12</v>
      </c>
      <c r="P611">
        <v>3</v>
      </c>
      <c r="Q611">
        <v>1</v>
      </c>
      <c r="R611">
        <v>6</v>
      </c>
      <c r="S611">
        <v>2</v>
      </c>
      <c r="T611">
        <v>5</v>
      </c>
      <c r="U611">
        <v>1</v>
      </c>
      <c r="V611">
        <v>4</v>
      </c>
      <c r="W611" t="s">
        <v>51</v>
      </c>
      <c r="X611" s="1" t="d">
        <v>2016-01-17</v>
      </c>
      <c r="Z611" t="s">
        <v>59</v>
      </c>
      <c r="AA611" t="s">
        <v>46</v>
      </c>
      <c r="AB611">
        <v>5</v>
      </c>
      <c r="AC611">
        <v>1</v>
      </c>
      <c r="AD611" t="s">
        <v>41</v>
      </c>
      <c r="AE611" t="s">
        <v>60</v>
      </c>
      <c r="AF611" t="s">
        <v>48</v>
      </c>
    </row>
    <row r="612" spans="1:32" x14ac:dyDescent="0.25">
      <c r="A612">
        <v>33</v>
      </c>
      <c r="B612" t="s">
        <v>32</v>
      </c>
      <c r="C612" t="s">
        <v>33</v>
      </c>
      <c r="D612" t="s">
        <v>34</v>
      </c>
      <c r="E612">
        <v>14</v>
      </c>
      <c r="F612" t="s">
        <v>35</v>
      </c>
      <c r="G612">
        <v>3</v>
      </c>
      <c r="H612">
        <v>1</v>
      </c>
      <c r="I612" t="s">
        <v>36</v>
      </c>
      <c r="J612">
        <v>4</v>
      </c>
      <c r="K612" t="s">
        <v>50</v>
      </c>
      <c r="L612">
        <v>2436</v>
      </c>
      <c r="M612">
        <v>5</v>
      </c>
      <c r="N612" t="s">
        <v>32</v>
      </c>
      <c r="O612">
        <v>13</v>
      </c>
      <c r="P612">
        <v>3</v>
      </c>
      <c r="Q612">
        <v>1</v>
      </c>
      <c r="R612">
        <v>8</v>
      </c>
      <c r="S612">
        <v>2</v>
      </c>
      <c r="T612">
        <v>5</v>
      </c>
      <c r="U612">
        <v>0</v>
      </c>
      <c r="V612">
        <v>4</v>
      </c>
      <c r="W612" t="s">
        <v>56</v>
      </c>
      <c r="X612" s="1" t="d">
        <v>2016-06-08</v>
      </c>
      <c r="Z612" t="s">
        <v>39</v>
      </c>
      <c r="AA612" t="s">
        <v>46</v>
      </c>
      <c r="AB612">
        <v>1</v>
      </c>
      <c r="AC612">
        <v>1</v>
      </c>
      <c r="AD612" t="s">
        <v>32</v>
      </c>
      <c r="AE612" t="s">
        <v>60</v>
      </c>
      <c r="AF612" t="s">
        <v>43</v>
      </c>
    </row>
    <row r="613" spans="1:32" x14ac:dyDescent="0.25">
      <c r="A613">
        <v>31</v>
      </c>
      <c r="B613" t="s">
        <v>32</v>
      </c>
      <c r="C613" t="s">
        <v>61</v>
      </c>
      <c r="D613" t="s">
        <v>34</v>
      </c>
      <c r="E613">
        <v>29</v>
      </c>
      <c r="F613" t="s">
        <v>35</v>
      </c>
      <c r="G613">
        <v>2</v>
      </c>
      <c r="H613">
        <v>1</v>
      </c>
      <c r="I613" t="s">
        <v>36</v>
      </c>
      <c r="J613">
        <v>2</v>
      </c>
      <c r="K613" t="s">
        <v>37</v>
      </c>
      <c r="L613">
        <v>3479</v>
      </c>
      <c r="M613">
        <v>0</v>
      </c>
      <c r="N613" t="s">
        <v>41</v>
      </c>
      <c r="O613">
        <v>11</v>
      </c>
      <c r="P613">
        <v>3</v>
      </c>
      <c r="Q613">
        <v>0</v>
      </c>
      <c r="R613">
        <v>6</v>
      </c>
      <c r="S613">
        <v>2</v>
      </c>
      <c r="T613">
        <v>5</v>
      </c>
      <c r="U613">
        <v>1</v>
      </c>
      <c r="V613">
        <v>4</v>
      </c>
      <c r="W613" t="s">
        <v>51</v>
      </c>
      <c r="X613" s="1" t="d">
        <v>2016-06-11</v>
      </c>
      <c r="Z613" t="s">
        <v>45</v>
      </c>
      <c r="AA613" t="s">
        <v>46</v>
      </c>
      <c r="AB613">
        <v>3</v>
      </c>
      <c r="AC613">
        <v>2</v>
      </c>
      <c r="AD613" t="s">
        <v>41</v>
      </c>
      <c r="AE613" t="s">
        <v>42</v>
      </c>
      <c r="AF613" t="s">
        <v>43</v>
      </c>
    </row>
    <row r="614" spans="1:32" x14ac:dyDescent="0.25">
      <c r="A614">
        <v>32</v>
      </c>
      <c r="B614" t="s">
        <v>41</v>
      </c>
      <c r="C614" t="s">
        <v>61</v>
      </c>
      <c r="D614" t="s">
        <v>34</v>
      </c>
      <c r="E614">
        <v>7</v>
      </c>
      <c r="F614" t="s">
        <v>35</v>
      </c>
      <c r="G614">
        <v>4</v>
      </c>
      <c r="H614">
        <v>1</v>
      </c>
      <c r="I614" t="s">
        <v>36</v>
      </c>
      <c r="J614">
        <v>2</v>
      </c>
      <c r="K614" t="s">
        <v>50</v>
      </c>
      <c r="L614">
        <v>2794</v>
      </c>
      <c r="M614">
        <v>1</v>
      </c>
      <c r="N614" t="s">
        <v>41</v>
      </c>
      <c r="O614">
        <v>20</v>
      </c>
      <c r="P614">
        <v>4</v>
      </c>
      <c r="Q614">
        <v>0</v>
      </c>
      <c r="R614">
        <v>5</v>
      </c>
      <c r="S614">
        <v>3</v>
      </c>
      <c r="T614">
        <v>5</v>
      </c>
      <c r="U614">
        <v>0</v>
      </c>
      <c r="V614">
        <v>3</v>
      </c>
      <c r="W614" t="s">
        <v>56</v>
      </c>
      <c r="X614" s="1" t="d">
        <v>2016-01-02</v>
      </c>
      <c r="Z614" t="s">
        <v>39</v>
      </c>
      <c r="AA614" t="s">
        <v>46</v>
      </c>
      <c r="AB614">
        <v>4</v>
      </c>
      <c r="AC614">
        <v>1</v>
      </c>
      <c r="AD614" t="s">
        <v>41</v>
      </c>
      <c r="AE614" t="s">
        <v>62</v>
      </c>
      <c r="AF614" t="s">
        <v>48</v>
      </c>
    </row>
    <row r="615" spans="1:32" x14ac:dyDescent="0.25">
      <c r="A615">
        <v>28</v>
      </c>
      <c r="B615" t="s">
        <v>41</v>
      </c>
      <c r="C615" t="s">
        <v>33</v>
      </c>
      <c r="D615" t="s">
        <v>34</v>
      </c>
      <c r="E615">
        <v>9</v>
      </c>
      <c r="F615" t="s">
        <v>35</v>
      </c>
      <c r="G615">
        <v>3</v>
      </c>
      <c r="H615">
        <v>1</v>
      </c>
      <c r="I615" t="s">
        <v>44</v>
      </c>
      <c r="J615">
        <v>4</v>
      </c>
      <c r="K615" t="s">
        <v>50</v>
      </c>
      <c r="L615">
        <v>2070</v>
      </c>
      <c r="M615">
        <v>1</v>
      </c>
      <c r="N615" t="s">
        <v>41</v>
      </c>
      <c r="O615">
        <v>23</v>
      </c>
      <c r="P615">
        <v>4</v>
      </c>
      <c r="Q615">
        <v>1</v>
      </c>
      <c r="R615">
        <v>5</v>
      </c>
      <c r="S615">
        <v>3</v>
      </c>
      <c r="T615">
        <v>5</v>
      </c>
      <c r="U615">
        <v>0</v>
      </c>
      <c r="V615">
        <v>4</v>
      </c>
      <c r="W615" t="s">
        <v>51</v>
      </c>
      <c r="X615" s="1" t="d">
        <v>2016-06-08</v>
      </c>
      <c r="Z615" t="s">
        <v>39</v>
      </c>
      <c r="AA615" t="s">
        <v>46</v>
      </c>
      <c r="AB615">
        <v>5</v>
      </c>
      <c r="AC615">
        <v>0</v>
      </c>
      <c r="AD615" t="s">
        <v>41</v>
      </c>
      <c r="AE615" t="s">
        <v>42</v>
      </c>
      <c r="AF615" t="s">
        <v>57</v>
      </c>
    </row>
    <row r="616" spans="1:32" x14ac:dyDescent="0.25">
      <c r="A616">
        <v>37</v>
      </c>
      <c r="B616" t="s">
        <v>41</v>
      </c>
      <c r="C616" t="s">
        <v>33</v>
      </c>
      <c r="D616" t="s">
        <v>53</v>
      </c>
      <c r="E616">
        <v>6</v>
      </c>
      <c r="F616" t="s">
        <v>35</v>
      </c>
      <c r="G616">
        <v>3</v>
      </c>
      <c r="H616">
        <v>2</v>
      </c>
      <c r="I616" t="s">
        <v>64</v>
      </c>
      <c r="J616">
        <v>4</v>
      </c>
      <c r="K616" t="s">
        <v>50</v>
      </c>
      <c r="L616">
        <v>6502</v>
      </c>
      <c r="M616">
        <v>4</v>
      </c>
      <c r="N616" t="s">
        <v>41</v>
      </c>
      <c r="O616">
        <v>14</v>
      </c>
      <c r="P616">
        <v>3</v>
      </c>
      <c r="Q616">
        <v>1</v>
      </c>
      <c r="R616">
        <v>7</v>
      </c>
      <c r="S616">
        <v>5</v>
      </c>
      <c r="T616">
        <v>5</v>
      </c>
      <c r="U616">
        <v>0</v>
      </c>
      <c r="V616">
        <v>1</v>
      </c>
      <c r="W616" t="s">
        <v>65</v>
      </c>
      <c r="X616" s="1" t="d">
        <v>2016-05-08</v>
      </c>
      <c r="Z616" t="s">
        <v>52</v>
      </c>
      <c r="AA616" t="s">
        <v>46</v>
      </c>
      <c r="AB616">
        <v>3</v>
      </c>
      <c r="AC616">
        <v>2</v>
      </c>
      <c r="AD616" t="s">
        <v>32</v>
      </c>
      <c r="AE616" t="s">
        <v>62</v>
      </c>
      <c r="AF616" t="s">
        <v>43</v>
      </c>
    </row>
    <row r="617" spans="1:32" x14ac:dyDescent="0.25">
      <c r="A617">
        <v>37</v>
      </c>
      <c r="B617" t="s">
        <v>41</v>
      </c>
      <c r="C617" t="s">
        <v>68</v>
      </c>
      <c r="D617" t="s">
        <v>34</v>
      </c>
      <c r="E617">
        <v>1</v>
      </c>
      <c r="F617" t="s">
        <v>58</v>
      </c>
      <c r="G617">
        <v>3</v>
      </c>
      <c r="H617">
        <v>3</v>
      </c>
      <c r="I617" t="s">
        <v>49</v>
      </c>
      <c r="J617">
        <v>4</v>
      </c>
      <c r="K617" t="s">
        <v>55</v>
      </c>
      <c r="L617">
        <v>13603</v>
      </c>
      <c r="M617">
        <v>2</v>
      </c>
      <c r="N617" t="s">
        <v>32</v>
      </c>
      <c r="O617">
        <v>18</v>
      </c>
      <c r="P617">
        <v>3</v>
      </c>
      <c r="Q617">
        <v>2</v>
      </c>
      <c r="R617">
        <v>15</v>
      </c>
      <c r="S617">
        <v>2</v>
      </c>
      <c r="T617">
        <v>5</v>
      </c>
      <c r="U617">
        <v>0</v>
      </c>
      <c r="V617">
        <v>2</v>
      </c>
      <c r="W617" t="s">
        <v>56</v>
      </c>
      <c r="X617" s="1" t="d">
        <v>2016-05-13</v>
      </c>
      <c r="Z617" t="s">
        <v>39</v>
      </c>
      <c r="AA617" t="s">
        <v>40</v>
      </c>
      <c r="AB617">
        <v>2</v>
      </c>
      <c r="AC617">
        <v>2</v>
      </c>
      <c r="AD617" t="s">
        <v>41</v>
      </c>
      <c r="AE617" t="s">
        <v>62</v>
      </c>
      <c r="AF617" t="s">
        <v>48</v>
      </c>
    </row>
    <row r="618" spans="1:32" x14ac:dyDescent="0.25">
      <c r="A618">
        <v>53</v>
      </c>
      <c r="B618" t="s">
        <v>41</v>
      </c>
      <c r="C618" t="s">
        <v>33</v>
      </c>
      <c r="D618" t="s">
        <v>34</v>
      </c>
      <c r="E618">
        <v>3</v>
      </c>
      <c r="F618" t="s">
        <v>35</v>
      </c>
      <c r="G618">
        <v>3</v>
      </c>
      <c r="H618">
        <v>4</v>
      </c>
      <c r="I618" t="s">
        <v>49</v>
      </c>
      <c r="J618">
        <v>3</v>
      </c>
      <c r="K618" t="s">
        <v>50</v>
      </c>
      <c r="L618">
        <v>17584</v>
      </c>
      <c r="M618">
        <v>3</v>
      </c>
      <c r="N618" t="s">
        <v>32</v>
      </c>
      <c r="O618">
        <v>16</v>
      </c>
      <c r="P618">
        <v>3</v>
      </c>
      <c r="Q618">
        <v>3</v>
      </c>
      <c r="R618">
        <v>21</v>
      </c>
      <c r="S618">
        <v>5</v>
      </c>
      <c r="T618">
        <v>5</v>
      </c>
      <c r="U618">
        <v>1</v>
      </c>
      <c r="V618">
        <v>3</v>
      </c>
      <c r="W618" t="s">
        <v>65</v>
      </c>
      <c r="X618" s="1" t="d">
        <v>2016-06-23</v>
      </c>
      <c r="Z618" t="s">
        <v>59</v>
      </c>
      <c r="AA618" t="s">
        <v>40</v>
      </c>
      <c r="AB618">
        <v>0</v>
      </c>
      <c r="AC618">
        <v>0</v>
      </c>
      <c r="AD618" t="s">
        <v>32</v>
      </c>
      <c r="AE618" t="s">
        <v>42</v>
      </c>
      <c r="AF618" t="s">
        <v>48</v>
      </c>
    </row>
    <row r="619" spans="1:32" x14ac:dyDescent="0.25">
      <c r="A619">
        <v>26</v>
      </c>
      <c r="B619" t="s">
        <v>41</v>
      </c>
      <c r="C619" t="s">
        <v>61</v>
      </c>
      <c r="D619" t="s">
        <v>34</v>
      </c>
      <c r="E619">
        <v>11</v>
      </c>
      <c r="F619" t="s">
        <v>35</v>
      </c>
      <c r="G619">
        <v>3</v>
      </c>
      <c r="H619">
        <v>2</v>
      </c>
      <c r="I619" t="s">
        <v>69</v>
      </c>
      <c r="J619">
        <v>1</v>
      </c>
      <c r="K619" t="s">
        <v>50</v>
      </c>
      <c r="L619">
        <v>4741</v>
      </c>
      <c r="M619">
        <v>1</v>
      </c>
      <c r="N619" t="s">
        <v>32</v>
      </c>
      <c r="O619">
        <v>13</v>
      </c>
      <c r="P619">
        <v>3</v>
      </c>
      <c r="Q619">
        <v>1</v>
      </c>
      <c r="R619">
        <v>5</v>
      </c>
      <c r="S619">
        <v>3</v>
      </c>
      <c r="T619">
        <v>5</v>
      </c>
      <c r="U619">
        <v>3</v>
      </c>
      <c r="V619">
        <v>3</v>
      </c>
      <c r="W619" t="s">
        <v>56</v>
      </c>
      <c r="X619" s="1" t="d">
        <v>2016-03-06</v>
      </c>
      <c r="Z619" t="s">
        <v>52</v>
      </c>
      <c r="AA619" t="s">
        <v>46</v>
      </c>
      <c r="AB619">
        <v>4</v>
      </c>
      <c r="AC619">
        <v>1</v>
      </c>
      <c r="AD619" t="s">
        <v>32</v>
      </c>
      <c r="AE619" t="s">
        <v>62</v>
      </c>
      <c r="AF619" t="s">
        <v>48</v>
      </c>
    </row>
    <row r="620" spans="1:32" x14ac:dyDescent="0.25">
      <c r="A620">
        <v>28</v>
      </c>
      <c r="B620" t="s">
        <v>41</v>
      </c>
      <c r="C620" t="s">
        <v>33</v>
      </c>
      <c r="D620" t="s">
        <v>34</v>
      </c>
      <c r="E620">
        <v>8</v>
      </c>
      <c r="F620" t="s">
        <v>58</v>
      </c>
      <c r="G620">
        <v>3</v>
      </c>
      <c r="H620">
        <v>1</v>
      </c>
      <c r="I620" t="s">
        <v>44</v>
      </c>
      <c r="J620">
        <v>4</v>
      </c>
      <c r="K620" t="s">
        <v>37</v>
      </c>
      <c r="L620">
        <v>3310</v>
      </c>
      <c r="M620">
        <v>1</v>
      </c>
      <c r="N620" t="s">
        <v>41</v>
      </c>
      <c r="O620">
        <v>21</v>
      </c>
      <c r="P620">
        <v>4</v>
      </c>
      <c r="Q620">
        <v>0</v>
      </c>
      <c r="R620">
        <v>5</v>
      </c>
      <c r="S620">
        <v>3</v>
      </c>
      <c r="T620">
        <v>5</v>
      </c>
      <c r="U620">
        <v>0</v>
      </c>
      <c r="V620">
        <v>2</v>
      </c>
      <c r="W620" t="s">
        <v>65</v>
      </c>
      <c r="X620" s="1" t="d">
        <v>2016-06-25</v>
      </c>
      <c r="Z620" t="s">
        <v>45</v>
      </c>
      <c r="AA620" t="s">
        <v>46</v>
      </c>
      <c r="AB620">
        <v>5</v>
      </c>
      <c r="AC620">
        <v>3</v>
      </c>
      <c r="AD620" t="s">
        <v>32</v>
      </c>
      <c r="AE620" t="s">
        <v>42</v>
      </c>
      <c r="AF620" t="s">
        <v>57</v>
      </c>
    </row>
    <row r="621" spans="1:32" x14ac:dyDescent="0.25">
      <c r="A621">
        <v>58</v>
      </c>
      <c r="B621" t="s">
        <v>41</v>
      </c>
      <c r="C621" t="s">
        <v>68</v>
      </c>
      <c r="D621" t="s">
        <v>34</v>
      </c>
      <c r="E621">
        <v>1</v>
      </c>
      <c r="F621" t="s">
        <v>35</v>
      </c>
      <c r="G621">
        <v>1</v>
      </c>
      <c r="H621">
        <v>2</v>
      </c>
      <c r="I621" t="s">
        <v>69</v>
      </c>
      <c r="J621">
        <v>3</v>
      </c>
      <c r="K621" t="s">
        <v>55</v>
      </c>
      <c r="L621">
        <v>5660</v>
      </c>
      <c r="M621">
        <v>2</v>
      </c>
      <c r="N621" t="s">
        <v>32</v>
      </c>
      <c r="O621">
        <v>13</v>
      </c>
      <c r="P621">
        <v>3</v>
      </c>
      <c r="Q621">
        <v>1</v>
      </c>
      <c r="R621">
        <v>12</v>
      </c>
      <c r="S621">
        <v>2</v>
      </c>
      <c r="T621">
        <v>5</v>
      </c>
      <c r="U621">
        <v>1</v>
      </c>
      <c r="V621">
        <v>2</v>
      </c>
      <c r="W621" t="s">
        <v>65</v>
      </c>
      <c r="X621" s="1" t="d">
        <v>2016-01-10</v>
      </c>
      <c r="Z621" t="s">
        <v>52</v>
      </c>
      <c r="AA621" t="s">
        <v>40</v>
      </c>
      <c r="AB621">
        <v>4</v>
      </c>
      <c r="AC621">
        <v>2</v>
      </c>
      <c r="AD621" t="s">
        <v>32</v>
      </c>
      <c r="AE621" t="s">
        <v>62</v>
      </c>
      <c r="AF621" t="s">
        <v>48</v>
      </c>
    </row>
    <row r="622" spans="1:32" x14ac:dyDescent="0.25">
      <c r="A622">
        <v>31</v>
      </c>
      <c r="B622" t="s">
        <v>41</v>
      </c>
      <c r="C622" t="s">
        <v>33</v>
      </c>
      <c r="D622" t="s">
        <v>34</v>
      </c>
      <c r="E622">
        <v>5</v>
      </c>
      <c r="F622" t="s">
        <v>35</v>
      </c>
      <c r="G622">
        <v>3</v>
      </c>
      <c r="H622">
        <v>1</v>
      </c>
      <c r="I622" t="s">
        <v>44</v>
      </c>
      <c r="J622">
        <v>4</v>
      </c>
      <c r="K622" t="s">
        <v>50</v>
      </c>
      <c r="L622">
        <v>4821</v>
      </c>
      <c r="M622">
        <v>0</v>
      </c>
      <c r="N622" t="s">
        <v>32</v>
      </c>
      <c r="O622">
        <v>12</v>
      </c>
      <c r="P622">
        <v>3</v>
      </c>
      <c r="Q622">
        <v>1</v>
      </c>
      <c r="R622">
        <v>6</v>
      </c>
      <c r="S622">
        <v>4</v>
      </c>
      <c r="T622">
        <v>5</v>
      </c>
      <c r="U622">
        <v>0</v>
      </c>
      <c r="V622">
        <v>3</v>
      </c>
      <c r="W622" t="s">
        <v>38</v>
      </c>
      <c r="X622" s="1" t="d">
        <v>2016-05-24</v>
      </c>
      <c r="Z622" t="s">
        <v>52</v>
      </c>
      <c r="AA622" t="s">
        <v>46</v>
      </c>
      <c r="AB622">
        <v>1</v>
      </c>
      <c r="AC622">
        <v>0</v>
      </c>
      <c r="AD622" t="s">
        <v>32</v>
      </c>
      <c r="AE622" t="s">
        <v>47</v>
      </c>
      <c r="AF622" t="s">
        <v>48</v>
      </c>
    </row>
    <row r="623" spans="1:32" x14ac:dyDescent="0.25">
      <c r="A623">
        <v>27</v>
      </c>
      <c r="B623" t="s">
        <v>41</v>
      </c>
      <c r="C623" t="s">
        <v>33</v>
      </c>
      <c r="D623" t="s">
        <v>53</v>
      </c>
      <c r="E623">
        <v>2</v>
      </c>
      <c r="F623" t="s">
        <v>35</v>
      </c>
      <c r="G623">
        <v>3</v>
      </c>
      <c r="H623">
        <v>2</v>
      </c>
      <c r="I623" t="s">
        <v>64</v>
      </c>
      <c r="J623">
        <v>3</v>
      </c>
      <c r="K623" t="s">
        <v>37</v>
      </c>
      <c r="L623">
        <v>4478</v>
      </c>
      <c r="M623">
        <v>1</v>
      </c>
      <c r="N623" t="s">
        <v>32</v>
      </c>
      <c r="O623">
        <v>11</v>
      </c>
      <c r="P623">
        <v>3</v>
      </c>
      <c r="Q623">
        <v>0</v>
      </c>
      <c r="R623">
        <v>5</v>
      </c>
      <c r="S623">
        <v>3</v>
      </c>
      <c r="T623">
        <v>5</v>
      </c>
      <c r="U623">
        <v>0</v>
      </c>
      <c r="V623">
        <v>4</v>
      </c>
      <c r="W623" t="s">
        <v>65</v>
      </c>
      <c r="X623" s="1" t="d">
        <v>2016-03-24</v>
      </c>
      <c r="Z623" t="s">
        <v>59</v>
      </c>
      <c r="AA623" t="s">
        <v>46</v>
      </c>
      <c r="AB623">
        <v>5</v>
      </c>
      <c r="AC623">
        <v>2</v>
      </c>
      <c r="AD623" t="s">
        <v>32</v>
      </c>
      <c r="AE623" t="s">
        <v>60</v>
      </c>
      <c r="AF623" t="s">
        <v>48</v>
      </c>
    </row>
    <row r="624" spans="1:32" x14ac:dyDescent="0.25">
      <c r="A624">
        <v>27</v>
      </c>
      <c r="B624" t="s">
        <v>41</v>
      </c>
      <c r="C624" t="s">
        <v>68</v>
      </c>
      <c r="D624" t="s">
        <v>53</v>
      </c>
      <c r="E624">
        <v>1</v>
      </c>
      <c r="F624" t="s">
        <v>35</v>
      </c>
      <c r="G624">
        <v>3</v>
      </c>
      <c r="H624">
        <v>2</v>
      </c>
      <c r="I624" t="s">
        <v>64</v>
      </c>
      <c r="J624">
        <v>2</v>
      </c>
      <c r="K624" t="s">
        <v>50</v>
      </c>
      <c r="L624">
        <v>6349</v>
      </c>
      <c r="M624">
        <v>0</v>
      </c>
      <c r="N624" t="s">
        <v>32</v>
      </c>
      <c r="O624">
        <v>13</v>
      </c>
      <c r="P624">
        <v>3</v>
      </c>
      <c r="Q624">
        <v>1</v>
      </c>
      <c r="R624">
        <v>6</v>
      </c>
      <c r="S624">
        <v>0</v>
      </c>
      <c r="T624">
        <v>5</v>
      </c>
      <c r="U624">
        <v>1</v>
      </c>
      <c r="V624">
        <v>4</v>
      </c>
      <c r="W624" t="s">
        <v>56</v>
      </c>
      <c r="X624" s="1" t="d">
        <v>2016-03-28</v>
      </c>
      <c r="Z624" t="s">
        <v>39</v>
      </c>
      <c r="AA624" t="s">
        <v>40</v>
      </c>
      <c r="AB624">
        <v>2</v>
      </c>
      <c r="AC624">
        <v>2</v>
      </c>
      <c r="AD624" t="s">
        <v>41</v>
      </c>
      <c r="AE624" t="s">
        <v>47</v>
      </c>
      <c r="AF624" t="s">
        <v>57</v>
      </c>
    </row>
    <row r="625" spans="1:32" x14ac:dyDescent="0.25">
      <c r="A625">
        <v>41</v>
      </c>
      <c r="B625" t="s">
        <v>41</v>
      </c>
      <c r="C625" t="s">
        <v>33</v>
      </c>
      <c r="D625" t="s">
        <v>34</v>
      </c>
      <c r="E625">
        <v>6</v>
      </c>
      <c r="F625" t="s">
        <v>35</v>
      </c>
      <c r="G625">
        <v>2</v>
      </c>
      <c r="H625">
        <v>2</v>
      </c>
      <c r="I625" t="s">
        <v>67</v>
      </c>
      <c r="J625">
        <v>2</v>
      </c>
      <c r="K625" t="s">
        <v>37</v>
      </c>
      <c r="L625">
        <v>6032</v>
      </c>
      <c r="M625">
        <v>6</v>
      </c>
      <c r="N625" t="s">
        <v>32</v>
      </c>
      <c r="O625">
        <v>15</v>
      </c>
      <c r="P625">
        <v>3</v>
      </c>
      <c r="Q625">
        <v>0</v>
      </c>
      <c r="R625">
        <v>8</v>
      </c>
      <c r="S625">
        <v>3</v>
      </c>
      <c r="T625">
        <v>5</v>
      </c>
      <c r="U625">
        <v>1</v>
      </c>
      <c r="V625">
        <v>2</v>
      </c>
      <c r="W625" t="s">
        <v>65</v>
      </c>
      <c r="X625" s="1" t="d">
        <v>2016-05-13</v>
      </c>
      <c r="Z625" t="s">
        <v>52</v>
      </c>
      <c r="AA625" t="s">
        <v>46</v>
      </c>
      <c r="AB625">
        <v>1</v>
      </c>
      <c r="AC625">
        <v>1</v>
      </c>
      <c r="AD625" t="s">
        <v>41</v>
      </c>
      <c r="AE625" t="s">
        <v>60</v>
      </c>
      <c r="AF625" t="s">
        <v>48</v>
      </c>
    </row>
    <row r="626" spans="1:32" x14ac:dyDescent="0.25">
      <c r="A626">
        <v>37</v>
      </c>
      <c r="B626" t="s">
        <v>41</v>
      </c>
      <c r="C626" t="s">
        <v>33</v>
      </c>
      <c r="D626" t="s">
        <v>34</v>
      </c>
      <c r="E626">
        <v>10</v>
      </c>
      <c r="F626" t="s">
        <v>58</v>
      </c>
      <c r="G626">
        <v>3</v>
      </c>
      <c r="H626">
        <v>1</v>
      </c>
      <c r="I626" t="s">
        <v>36</v>
      </c>
      <c r="J626">
        <v>1</v>
      </c>
      <c r="K626" t="s">
        <v>50</v>
      </c>
      <c r="L626">
        <v>3452</v>
      </c>
      <c r="M626">
        <v>6</v>
      </c>
      <c r="N626" t="s">
        <v>41</v>
      </c>
      <c r="O626">
        <v>20</v>
      </c>
      <c r="P626">
        <v>4</v>
      </c>
      <c r="Q626">
        <v>1</v>
      </c>
      <c r="R626">
        <v>17</v>
      </c>
      <c r="S626">
        <v>3</v>
      </c>
      <c r="T626">
        <v>5</v>
      </c>
      <c r="U626">
        <v>0</v>
      </c>
      <c r="V626">
        <v>3</v>
      </c>
      <c r="W626" t="s">
        <v>56</v>
      </c>
      <c r="X626" s="1" t="d">
        <v>2016-03-15</v>
      </c>
      <c r="Z626" t="s">
        <v>39</v>
      </c>
      <c r="AA626" t="s">
        <v>40</v>
      </c>
      <c r="AB626">
        <v>4</v>
      </c>
      <c r="AC626">
        <v>1</v>
      </c>
      <c r="AD626" t="s">
        <v>41</v>
      </c>
      <c r="AE626" t="s">
        <v>60</v>
      </c>
      <c r="AF626" t="s">
        <v>43</v>
      </c>
    </row>
    <row r="627" spans="1:32" x14ac:dyDescent="0.25">
      <c r="A627">
        <v>27</v>
      </c>
      <c r="B627" t="s">
        <v>41</v>
      </c>
      <c r="C627" t="s">
        <v>33</v>
      </c>
      <c r="D627" t="s">
        <v>34</v>
      </c>
      <c r="E627">
        <v>1</v>
      </c>
      <c r="F627" t="s">
        <v>35</v>
      </c>
      <c r="G627">
        <v>3</v>
      </c>
      <c r="H627">
        <v>1</v>
      </c>
      <c r="I627" t="s">
        <v>36</v>
      </c>
      <c r="J627">
        <v>2</v>
      </c>
      <c r="K627" t="s">
        <v>55</v>
      </c>
      <c r="L627">
        <v>3816</v>
      </c>
      <c r="M627">
        <v>1</v>
      </c>
      <c r="N627" t="s">
        <v>41</v>
      </c>
      <c r="O627">
        <v>11</v>
      </c>
      <c r="P627">
        <v>3</v>
      </c>
      <c r="Q627">
        <v>1</v>
      </c>
      <c r="R627">
        <v>5</v>
      </c>
      <c r="S627">
        <v>2</v>
      </c>
      <c r="T627">
        <v>5</v>
      </c>
      <c r="U627">
        <v>0</v>
      </c>
      <c r="V627">
        <v>4</v>
      </c>
      <c r="W627" t="s">
        <v>65</v>
      </c>
      <c r="X627" s="1" t="d">
        <v>2016-04-26</v>
      </c>
      <c r="Z627" t="s">
        <v>52</v>
      </c>
      <c r="AA627" t="s">
        <v>46</v>
      </c>
      <c r="AB627">
        <v>5</v>
      </c>
      <c r="AC627">
        <v>0</v>
      </c>
      <c r="AD627" t="s">
        <v>32</v>
      </c>
      <c r="AE627" t="s">
        <v>60</v>
      </c>
      <c r="AF627" t="s">
        <v>43</v>
      </c>
    </row>
    <row r="628" spans="1:32" x14ac:dyDescent="0.25">
      <c r="A628">
        <v>49</v>
      </c>
      <c r="B628" t="s">
        <v>41</v>
      </c>
      <c r="C628" t="s">
        <v>33</v>
      </c>
      <c r="D628" t="s">
        <v>34</v>
      </c>
      <c r="E628">
        <v>7</v>
      </c>
      <c r="F628" t="s">
        <v>35</v>
      </c>
      <c r="G628">
        <v>2</v>
      </c>
      <c r="H628">
        <v>3</v>
      </c>
      <c r="I628" t="s">
        <v>69</v>
      </c>
      <c r="J628">
        <v>3</v>
      </c>
      <c r="K628" t="s">
        <v>37</v>
      </c>
      <c r="L628">
        <v>10965</v>
      </c>
      <c r="M628">
        <v>8</v>
      </c>
      <c r="N628" t="s">
        <v>41</v>
      </c>
      <c r="O628">
        <v>24</v>
      </c>
      <c r="P628">
        <v>4</v>
      </c>
      <c r="Q628">
        <v>0</v>
      </c>
      <c r="R628">
        <v>26</v>
      </c>
      <c r="S628">
        <v>2</v>
      </c>
      <c r="T628">
        <v>5</v>
      </c>
      <c r="U628">
        <v>0</v>
      </c>
      <c r="V628">
        <v>0</v>
      </c>
      <c r="W628" t="s">
        <v>38</v>
      </c>
      <c r="X628" s="1" t="d">
        <v>2016-04-07</v>
      </c>
      <c r="Z628" t="s">
        <v>52</v>
      </c>
      <c r="AA628" t="s">
        <v>40</v>
      </c>
      <c r="AB628">
        <v>3</v>
      </c>
      <c r="AC628">
        <v>0</v>
      </c>
      <c r="AD628" t="s">
        <v>32</v>
      </c>
      <c r="AE628" t="s">
        <v>62</v>
      </c>
      <c r="AF628" t="s">
        <v>48</v>
      </c>
    </row>
    <row r="629" spans="1:32" x14ac:dyDescent="0.25">
      <c r="A629">
        <v>34</v>
      </c>
      <c r="B629" t="s">
        <v>32</v>
      </c>
      <c r="C629" t="s">
        <v>68</v>
      </c>
      <c r="D629" t="s">
        <v>53</v>
      </c>
      <c r="E629">
        <v>19</v>
      </c>
      <c r="F629" t="s">
        <v>35</v>
      </c>
      <c r="G629">
        <v>4</v>
      </c>
      <c r="H629">
        <v>2</v>
      </c>
      <c r="I629" t="s">
        <v>64</v>
      </c>
      <c r="J629">
        <v>4</v>
      </c>
      <c r="K629" t="s">
        <v>37</v>
      </c>
      <c r="L629">
        <v>5304</v>
      </c>
      <c r="M629">
        <v>8</v>
      </c>
      <c r="N629" t="s">
        <v>32</v>
      </c>
      <c r="O629">
        <v>13</v>
      </c>
      <c r="P629">
        <v>3</v>
      </c>
      <c r="Q629">
        <v>0</v>
      </c>
      <c r="R629">
        <v>9</v>
      </c>
      <c r="S629">
        <v>3</v>
      </c>
      <c r="T629">
        <v>5</v>
      </c>
      <c r="U629">
        <v>0</v>
      </c>
      <c r="V629">
        <v>4</v>
      </c>
      <c r="W629" t="s">
        <v>65</v>
      </c>
      <c r="X629" s="1" t="d">
        <v>2016-04-01</v>
      </c>
      <c r="Z629" t="s">
        <v>59</v>
      </c>
      <c r="AA629" t="s">
        <v>46</v>
      </c>
      <c r="AB629">
        <v>0</v>
      </c>
      <c r="AC629">
        <v>3</v>
      </c>
      <c r="AD629" t="s">
        <v>32</v>
      </c>
      <c r="AE629" t="s">
        <v>42</v>
      </c>
      <c r="AF629" t="s">
        <v>43</v>
      </c>
    </row>
    <row r="630" spans="1:32" x14ac:dyDescent="0.25">
      <c r="A630">
        <v>55</v>
      </c>
      <c r="B630" t="s">
        <v>41</v>
      </c>
      <c r="C630" t="s">
        <v>33</v>
      </c>
      <c r="D630" t="s">
        <v>34</v>
      </c>
      <c r="E630">
        <v>2</v>
      </c>
      <c r="F630" t="s">
        <v>58</v>
      </c>
      <c r="G630">
        <v>3</v>
      </c>
      <c r="H630">
        <v>4</v>
      </c>
      <c r="I630" t="s">
        <v>66</v>
      </c>
      <c r="J630">
        <v>4</v>
      </c>
      <c r="K630" t="s">
        <v>37</v>
      </c>
      <c r="L630">
        <v>16659</v>
      </c>
      <c r="M630">
        <v>2</v>
      </c>
      <c r="N630" t="s">
        <v>32</v>
      </c>
      <c r="O630">
        <v>13</v>
      </c>
      <c r="P630">
        <v>3</v>
      </c>
      <c r="Q630">
        <v>0</v>
      </c>
      <c r="R630">
        <v>30</v>
      </c>
      <c r="S630">
        <v>2</v>
      </c>
      <c r="T630">
        <v>5</v>
      </c>
      <c r="U630">
        <v>1</v>
      </c>
      <c r="V630">
        <v>2</v>
      </c>
      <c r="W630" t="s">
        <v>38</v>
      </c>
      <c r="X630" s="1" t="d">
        <v>2016-01-07</v>
      </c>
      <c r="Z630" t="s">
        <v>39</v>
      </c>
      <c r="AA630" t="s">
        <v>40</v>
      </c>
      <c r="AB630">
        <v>0</v>
      </c>
      <c r="AC630">
        <v>3</v>
      </c>
      <c r="AD630" t="s">
        <v>32</v>
      </c>
      <c r="AE630" t="s">
        <v>60</v>
      </c>
      <c r="AF630" t="s">
        <v>57</v>
      </c>
    </row>
    <row r="631" spans="1:32" x14ac:dyDescent="0.25">
      <c r="A631">
        <v>24</v>
      </c>
      <c r="B631" t="s">
        <v>41</v>
      </c>
      <c r="C631" t="s">
        <v>33</v>
      </c>
      <c r="D631" t="s">
        <v>53</v>
      </c>
      <c r="E631">
        <v>10</v>
      </c>
      <c r="F631" t="s">
        <v>58</v>
      </c>
      <c r="G631">
        <v>3</v>
      </c>
      <c r="H631">
        <v>2</v>
      </c>
      <c r="I631" t="s">
        <v>64</v>
      </c>
      <c r="J631">
        <v>3</v>
      </c>
      <c r="K631" t="s">
        <v>55</v>
      </c>
      <c r="L631">
        <v>4260</v>
      </c>
      <c r="M631">
        <v>1</v>
      </c>
      <c r="N631" t="s">
        <v>32</v>
      </c>
      <c r="O631">
        <v>12</v>
      </c>
      <c r="P631">
        <v>3</v>
      </c>
      <c r="Q631">
        <v>1</v>
      </c>
      <c r="R631">
        <v>5</v>
      </c>
      <c r="S631">
        <v>2</v>
      </c>
      <c r="T631">
        <v>5</v>
      </c>
      <c r="U631">
        <v>0</v>
      </c>
      <c r="V631">
        <v>3</v>
      </c>
      <c r="W631" t="s">
        <v>65</v>
      </c>
      <c r="X631" s="1" t="d">
        <v>2016-01-08</v>
      </c>
      <c r="Z631" t="s">
        <v>59</v>
      </c>
      <c r="AA631" t="s">
        <v>46</v>
      </c>
      <c r="AB631">
        <v>2</v>
      </c>
      <c r="AC631">
        <v>0</v>
      </c>
      <c r="AD631" t="s">
        <v>41</v>
      </c>
      <c r="AE631" t="s">
        <v>60</v>
      </c>
      <c r="AF631" t="s">
        <v>57</v>
      </c>
    </row>
    <row r="632" spans="1:32" x14ac:dyDescent="0.25">
      <c r="A632">
        <v>40</v>
      </c>
      <c r="B632" t="s">
        <v>41</v>
      </c>
      <c r="C632" t="s">
        <v>33</v>
      </c>
      <c r="D632" t="s">
        <v>53</v>
      </c>
      <c r="E632">
        <v>2</v>
      </c>
      <c r="F632" t="s">
        <v>58</v>
      </c>
      <c r="G632">
        <v>3</v>
      </c>
      <c r="H632">
        <v>2</v>
      </c>
      <c r="I632" t="s">
        <v>64</v>
      </c>
      <c r="J632">
        <v>2</v>
      </c>
      <c r="K632" t="s">
        <v>55</v>
      </c>
      <c r="L632">
        <v>5715</v>
      </c>
      <c r="M632">
        <v>7</v>
      </c>
      <c r="N632" t="s">
        <v>41</v>
      </c>
      <c r="O632">
        <v>12</v>
      </c>
      <c r="P632">
        <v>3</v>
      </c>
      <c r="Q632">
        <v>2</v>
      </c>
      <c r="R632">
        <v>8</v>
      </c>
      <c r="S632">
        <v>5</v>
      </c>
      <c r="T632">
        <v>5</v>
      </c>
      <c r="U632">
        <v>1</v>
      </c>
      <c r="V632">
        <v>3</v>
      </c>
      <c r="W632" t="s">
        <v>56</v>
      </c>
      <c r="X632" s="1" t="d">
        <v>2016-02-09</v>
      </c>
      <c r="Z632" t="s">
        <v>59</v>
      </c>
      <c r="AA632" t="s">
        <v>46</v>
      </c>
      <c r="AB632">
        <v>3</v>
      </c>
      <c r="AC632">
        <v>3</v>
      </c>
      <c r="AD632" t="s">
        <v>32</v>
      </c>
      <c r="AE632" t="s">
        <v>47</v>
      </c>
      <c r="AF632" t="s">
        <v>57</v>
      </c>
    </row>
    <row r="633" spans="1:32" x14ac:dyDescent="0.25">
      <c r="A633">
        <v>42</v>
      </c>
      <c r="B633" t="s">
        <v>41</v>
      </c>
      <c r="C633" t="s">
        <v>33</v>
      </c>
      <c r="D633" t="s">
        <v>34</v>
      </c>
      <c r="E633">
        <v>1</v>
      </c>
      <c r="F633" t="s">
        <v>58</v>
      </c>
      <c r="G633">
        <v>3</v>
      </c>
      <c r="H633">
        <v>1</v>
      </c>
      <c r="I633" t="s">
        <v>36</v>
      </c>
      <c r="J633">
        <v>1</v>
      </c>
      <c r="K633" t="s">
        <v>55</v>
      </c>
      <c r="L633">
        <v>2576</v>
      </c>
      <c r="M633">
        <v>3</v>
      </c>
      <c r="N633" t="s">
        <v>41</v>
      </c>
      <c r="O633">
        <v>16</v>
      </c>
      <c r="P633">
        <v>3</v>
      </c>
      <c r="Q633">
        <v>1</v>
      </c>
      <c r="R633">
        <v>8</v>
      </c>
      <c r="S633">
        <v>5</v>
      </c>
      <c r="T633">
        <v>5</v>
      </c>
      <c r="U633">
        <v>1</v>
      </c>
      <c r="V633">
        <v>2</v>
      </c>
      <c r="W633" t="s">
        <v>38</v>
      </c>
      <c r="X633" s="1" t="d">
        <v>2016-04-17</v>
      </c>
      <c r="Z633" t="s">
        <v>63</v>
      </c>
      <c r="AA633" t="s">
        <v>46</v>
      </c>
      <c r="AB633">
        <v>4</v>
      </c>
      <c r="AC633">
        <v>2</v>
      </c>
      <c r="AD633" t="s">
        <v>41</v>
      </c>
      <c r="AE633" t="s">
        <v>42</v>
      </c>
      <c r="AF633" t="s">
        <v>43</v>
      </c>
    </row>
    <row r="634" spans="1:32" x14ac:dyDescent="0.25">
      <c r="A634">
        <v>43</v>
      </c>
      <c r="B634" t="s">
        <v>41</v>
      </c>
      <c r="C634" t="s">
        <v>33</v>
      </c>
      <c r="D634" t="s">
        <v>34</v>
      </c>
      <c r="E634">
        <v>8</v>
      </c>
      <c r="F634" t="s">
        <v>58</v>
      </c>
      <c r="G634">
        <v>3</v>
      </c>
      <c r="H634">
        <v>2</v>
      </c>
      <c r="I634" t="s">
        <v>69</v>
      </c>
      <c r="J634">
        <v>3</v>
      </c>
      <c r="K634" t="s">
        <v>55</v>
      </c>
      <c r="L634">
        <v>4522</v>
      </c>
      <c r="M634">
        <v>4</v>
      </c>
      <c r="N634" t="s">
        <v>32</v>
      </c>
      <c r="O634">
        <v>14</v>
      </c>
      <c r="P634">
        <v>3</v>
      </c>
      <c r="Q634">
        <v>0</v>
      </c>
      <c r="R634">
        <v>8</v>
      </c>
      <c r="S634">
        <v>3</v>
      </c>
      <c r="T634">
        <v>5</v>
      </c>
      <c r="U634">
        <v>0</v>
      </c>
      <c r="V634">
        <v>2</v>
      </c>
      <c r="W634" t="s">
        <v>65</v>
      </c>
      <c r="X634" s="1" t="d">
        <v>2016-02-24</v>
      </c>
      <c r="Z634" t="s">
        <v>45</v>
      </c>
      <c r="AA634" t="s">
        <v>40</v>
      </c>
      <c r="AB634">
        <v>3</v>
      </c>
      <c r="AC634">
        <v>2</v>
      </c>
      <c r="AD634" t="s">
        <v>41</v>
      </c>
      <c r="AE634" t="s">
        <v>60</v>
      </c>
      <c r="AF634" t="s">
        <v>43</v>
      </c>
    </row>
    <row r="635" spans="1:32" x14ac:dyDescent="0.25">
      <c r="A635">
        <v>25</v>
      </c>
      <c r="B635" t="s">
        <v>41</v>
      </c>
      <c r="C635" t="s">
        <v>33</v>
      </c>
      <c r="D635" t="s">
        <v>53</v>
      </c>
      <c r="E635">
        <v>4</v>
      </c>
      <c r="F635" t="s">
        <v>58</v>
      </c>
      <c r="G635">
        <v>2</v>
      </c>
      <c r="H635">
        <v>2</v>
      </c>
      <c r="I635" t="s">
        <v>64</v>
      </c>
      <c r="J635">
        <v>4</v>
      </c>
      <c r="K635" t="s">
        <v>37</v>
      </c>
      <c r="L635">
        <v>4487</v>
      </c>
      <c r="M635">
        <v>1</v>
      </c>
      <c r="N635" t="s">
        <v>32</v>
      </c>
      <c r="O635">
        <v>11</v>
      </c>
      <c r="P635">
        <v>3</v>
      </c>
      <c r="Q635">
        <v>0</v>
      </c>
      <c r="R635">
        <v>5</v>
      </c>
      <c r="S635">
        <v>3</v>
      </c>
      <c r="T635">
        <v>5</v>
      </c>
      <c r="U635">
        <v>1</v>
      </c>
      <c r="V635">
        <v>3</v>
      </c>
      <c r="W635" t="s">
        <v>51</v>
      </c>
      <c r="X635" s="1" t="d">
        <v>2016-04-18</v>
      </c>
      <c r="Z635" t="s">
        <v>39</v>
      </c>
      <c r="AA635" t="s">
        <v>46</v>
      </c>
      <c r="AB635">
        <v>1</v>
      </c>
      <c r="AC635">
        <v>1</v>
      </c>
      <c r="AD635" t="s">
        <v>32</v>
      </c>
      <c r="AE635" t="s">
        <v>47</v>
      </c>
      <c r="AF635" t="s">
        <v>48</v>
      </c>
    </row>
    <row r="636" spans="1:32" x14ac:dyDescent="0.25">
      <c r="A636">
        <v>30</v>
      </c>
      <c r="B636" t="s">
        <v>41</v>
      </c>
      <c r="C636" t="s">
        <v>33</v>
      </c>
      <c r="D636" t="s">
        <v>53</v>
      </c>
      <c r="E636">
        <v>12</v>
      </c>
      <c r="F636" t="s">
        <v>58</v>
      </c>
      <c r="G636">
        <v>3</v>
      </c>
      <c r="H636">
        <v>2</v>
      </c>
      <c r="I636" t="s">
        <v>64</v>
      </c>
      <c r="J636">
        <v>3</v>
      </c>
      <c r="K636" t="s">
        <v>37</v>
      </c>
      <c r="L636">
        <v>6577</v>
      </c>
      <c r="M636">
        <v>0</v>
      </c>
      <c r="N636" t="s">
        <v>41</v>
      </c>
      <c r="O636">
        <v>11</v>
      </c>
      <c r="P636">
        <v>3</v>
      </c>
      <c r="Q636">
        <v>0</v>
      </c>
      <c r="R636">
        <v>6</v>
      </c>
      <c r="S636">
        <v>6</v>
      </c>
      <c r="T636">
        <v>5</v>
      </c>
      <c r="U636">
        <v>4</v>
      </c>
      <c r="V636">
        <v>4</v>
      </c>
      <c r="W636" t="s">
        <v>56</v>
      </c>
      <c r="X636" s="1" t="d">
        <v>2016-01-30</v>
      </c>
      <c r="Z636" t="s">
        <v>39</v>
      </c>
      <c r="AA636" t="s">
        <v>46</v>
      </c>
      <c r="AB636">
        <v>1</v>
      </c>
      <c r="AC636">
        <v>1</v>
      </c>
      <c r="AD636" t="s">
        <v>32</v>
      </c>
      <c r="AE636" t="s">
        <v>42</v>
      </c>
      <c r="AF636" t="s">
        <v>43</v>
      </c>
    </row>
    <row r="637" spans="1:32" x14ac:dyDescent="0.25">
      <c r="A637">
        <v>52</v>
      </c>
      <c r="B637" t="s">
        <v>41</v>
      </c>
      <c r="C637" t="s">
        <v>33</v>
      </c>
      <c r="D637" t="s">
        <v>34</v>
      </c>
      <c r="E637">
        <v>3</v>
      </c>
      <c r="F637" t="s">
        <v>35</v>
      </c>
      <c r="G637">
        <v>2</v>
      </c>
      <c r="H637">
        <v>3</v>
      </c>
      <c r="I637" t="s">
        <v>67</v>
      </c>
      <c r="J637">
        <v>3</v>
      </c>
      <c r="K637" t="s">
        <v>50</v>
      </c>
      <c r="L637">
        <v>7969</v>
      </c>
      <c r="M637">
        <v>2</v>
      </c>
      <c r="N637" t="s">
        <v>32</v>
      </c>
      <c r="O637">
        <v>14</v>
      </c>
      <c r="P637">
        <v>3</v>
      </c>
      <c r="Q637">
        <v>0</v>
      </c>
      <c r="R637">
        <v>28</v>
      </c>
      <c r="S637">
        <v>4</v>
      </c>
      <c r="T637">
        <v>5</v>
      </c>
      <c r="U637">
        <v>0</v>
      </c>
      <c r="V637">
        <v>4</v>
      </c>
      <c r="W637" t="s">
        <v>56</v>
      </c>
      <c r="X637" s="1" t="d">
        <v>2016-01-15</v>
      </c>
      <c r="Z637" t="s">
        <v>39</v>
      </c>
      <c r="AA637" t="s">
        <v>46</v>
      </c>
      <c r="AB637">
        <v>5</v>
      </c>
      <c r="AC637">
        <v>1</v>
      </c>
      <c r="AD637" t="s">
        <v>32</v>
      </c>
      <c r="AE637" t="s">
        <v>62</v>
      </c>
      <c r="AF637" t="s">
        <v>57</v>
      </c>
    </row>
    <row r="638" spans="1:32" x14ac:dyDescent="0.25">
      <c r="A638">
        <v>52</v>
      </c>
      <c r="B638" t="s">
        <v>41</v>
      </c>
      <c r="C638" t="s">
        <v>33</v>
      </c>
      <c r="D638" t="s">
        <v>34</v>
      </c>
      <c r="E638">
        <v>4</v>
      </c>
      <c r="F638" t="s">
        <v>58</v>
      </c>
      <c r="G638">
        <v>3</v>
      </c>
      <c r="H638">
        <v>4</v>
      </c>
      <c r="I638" t="s">
        <v>66</v>
      </c>
      <c r="J638">
        <v>4</v>
      </c>
      <c r="K638" t="s">
        <v>50</v>
      </c>
      <c r="L638">
        <v>16555</v>
      </c>
      <c r="M638">
        <v>2</v>
      </c>
      <c r="N638" t="s">
        <v>41</v>
      </c>
      <c r="O638">
        <v>13</v>
      </c>
      <c r="P638">
        <v>3</v>
      </c>
      <c r="Q638">
        <v>0</v>
      </c>
      <c r="R638">
        <v>31</v>
      </c>
      <c r="S638">
        <v>2</v>
      </c>
      <c r="T638">
        <v>5</v>
      </c>
      <c r="U638">
        <v>1</v>
      </c>
      <c r="V638">
        <v>4</v>
      </c>
      <c r="W638" t="s">
        <v>56</v>
      </c>
      <c r="X638" s="1" t="d">
        <v>2016-04-01</v>
      </c>
      <c r="Z638" t="s">
        <v>45</v>
      </c>
      <c r="AA638" t="s">
        <v>46</v>
      </c>
      <c r="AB638">
        <v>5</v>
      </c>
      <c r="AC638">
        <v>2</v>
      </c>
      <c r="AD638" t="s">
        <v>32</v>
      </c>
      <c r="AE638" t="s">
        <v>47</v>
      </c>
      <c r="AF638" t="s">
        <v>48</v>
      </c>
    </row>
    <row r="639" spans="1:32" x14ac:dyDescent="0.25">
      <c r="A639">
        <v>42</v>
      </c>
      <c r="B639" t="s">
        <v>41</v>
      </c>
      <c r="C639" t="s">
        <v>61</v>
      </c>
      <c r="D639" t="s">
        <v>34</v>
      </c>
      <c r="E639">
        <v>29</v>
      </c>
      <c r="F639" t="s">
        <v>58</v>
      </c>
      <c r="G639">
        <v>3</v>
      </c>
      <c r="H639">
        <v>2</v>
      </c>
      <c r="I639" t="s">
        <v>44</v>
      </c>
      <c r="J639">
        <v>3</v>
      </c>
      <c r="K639" t="s">
        <v>55</v>
      </c>
      <c r="L639">
        <v>4556</v>
      </c>
      <c r="M639">
        <v>2</v>
      </c>
      <c r="N639" t="s">
        <v>41</v>
      </c>
      <c r="O639">
        <v>11</v>
      </c>
      <c r="P639">
        <v>3</v>
      </c>
      <c r="Q639">
        <v>1</v>
      </c>
      <c r="R639">
        <v>19</v>
      </c>
      <c r="S639">
        <v>3</v>
      </c>
      <c r="T639">
        <v>5</v>
      </c>
      <c r="U639">
        <v>0</v>
      </c>
      <c r="V639">
        <v>2</v>
      </c>
      <c r="W639" t="s">
        <v>56</v>
      </c>
      <c r="X639" s="1" t="d">
        <v>2016-02-12</v>
      </c>
      <c r="Z639" t="s">
        <v>52</v>
      </c>
      <c r="AA639" t="s">
        <v>46</v>
      </c>
      <c r="AB639">
        <v>0</v>
      </c>
      <c r="AC639">
        <v>2</v>
      </c>
      <c r="AD639" t="s">
        <v>41</v>
      </c>
      <c r="AE639" t="s">
        <v>62</v>
      </c>
      <c r="AF639" t="s">
        <v>48</v>
      </c>
    </row>
    <row r="640" spans="1:32" x14ac:dyDescent="0.25">
      <c r="A640">
        <v>30</v>
      </c>
      <c r="B640" t="s">
        <v>41</v>
      </c>
      <c r="C640" t="s">
        <v>33</v>
      </c>
      <c r="D640" t="s">
        <v>34</v>
      </c>
      <c r="E640">
        <v>2</v>
      </c>
      <c r="F640" t="s">
        <v>58</v>
      </c>
      <c r="G640">
        <v>1</v>
      </c>
      <c r="H640">
        <v>2</v>
      </c>
      <c r="I640" t="s">
        <v>67</v>
      </c>
      <c r="J640">
        <v>4</v>
      </c>
      <c r="K640" t="s">
        <v>37</v>
      </c>
      <c r="L640">
        <v>6091</v>
      </c>
      <c r="M640">
        <v>2</v>
      </c>
      <c r="N640" t="s">
        <v>41</v>
      </c>
      <c r="O640">
        <v>20</v>
      </c>
      <c r="P640">
        <v>4</v>
      </c>
      <c r="Q640">
        <v>0</v>
      </c>
      <c r="R640">
        <v>11</v>
      </c>
      <c r="S640">
        <v>2</v>
      </c>
      <c r="T640">
        <v>5</v>
      </c>
      <c r="U640">
        <v>0</v>
      </c>
      <c r="V640">
        <v>2</v>
      </c>
      <c r="W640" t="s">
        <v>65</v>
      </c>
      <c r="X640" s="1" t="d">
        <v>2016-06-27</v>
      </c>
      <c r="Z640" t="s">
        <v>52</v>
      </c>
      <c r="AA640" t="s">
        <v>46</v>
      </c>
      <c r="AB640">
        <v>4</v>
      </c>
      <c r="AC640">
        <v>2</v>
      </c>
      <c r="AD640" t="s">
        <v>32</v>
      </c>
      <c r="AE640" t="s">
        <v>47</v>
      </c>
      <c r="AF640" t="s">
        <v>57</v>
      </c>
    </row>
    <row r="641" spans="1:32" x14ac:dyDescent="0.25">
      <c r="A641">
        <v>24</v>
      </c>
      <c r="B641" t="s">
        <v>32</v>
      </c>
      <c r="C641" t="s">
        <v>33</v>
      </c>
      <c r="D641" t="s">
        <v>53</v>
      </c>
      <c r="E641">
        <v>1</v>
      </c>
      <c r="F641" t="s">
        <v>58</v>
      </c>
      <c r="G641">
        <v>3</v>
      </c>
      <c r="H641">
        <v>1</v>
      </c>
      <c r="I641" t="s">
        <v>54</v>
      </c>
      <c r="J641">
        <v>2</v>
      </c>
      <c r="K641" t="s">
        <v>37</v>
      </c>
      <c r="L641">
        <v>3202</v>
      </c>
      <c r="M641">
        <v>1</v>
      </c>
      <c r="N641" t="s">
        <v>32</v>
      </c>
      <c r="O641">
        <v>16</v>
      </c>
      <c r="P641">
        <v>3</v>
      </c>
      <c r="Q641">
        <v>0</v>
      </c>
      <c r="R641">
        <v>6</v>
      </c>
      <c r="S641">
        <v>4</v>
      </c>
      <c r="T641">
        <v>5</v>
      </c>
      <c r="U641">
        <v>1</v>
      </c>
      <c r="V641">
        <v>4</v>
      </c>
      <c r="W641" t="s">
        <v>38</v>
      </c>
      <c r="X641" s="1" t="d">
        <v>2016-06-22</v>
      </c>
      <c r="Z641" t="s">
        <v>52</v>
      </c>
      <c r="AA641" t="s">
        <v>46</v>
      </c>
      <c r="AB641">
        <v>4</v>
      </c>
      <c r="AC641">
        <v>3</v>
      </c>
      <c r="AD641" t="s">
        <v>41</v>
      </c>
      <c r="AE641" t="s">
        <v>47</v>
      </c>
      <c r="AF641" t="s">
        <v>57</v>
      </c>
    </row>
    <row r="642" spans="1:32" x14ac:dyDescent="0.25">
      <c r="A642">
        <v>30</v>
      </c>
      <c r="B642" t="s">
        <v>41</v>
      </c>
      <c r="C642" t="s">
        <v>68</v>
      </c>
      <c r="D642" t="s">
        <v>34</v>
      </c>
      <c r="E642">
        <v>3</v>
      </c>
      <c r="F642" t="s">
        <v>35</v>
      </c>
      <c r="G642">
        <v>3</v>
      </c>
      <c r="H642">
        <v>1</v>
      </c>
      <c r="I642" t="s">
        <v>36</v>
      </c>
      <c r="J642">
        <v>4</v>
      </c>
      <c r="K642" t="s">
        <v>50</v>
      </c>
      <c r="L642">
        <v>2097</v>
      </c>
      <c r="M642">
        <v>4</v>
      </c>
      <c r="N642" t="s">
        <v>41</v>
      </c>
      <c r="O642">
        <v>15</v>
      </c>
      <c r="P642">
        <v>3</v>
      </c>
      <c r="Q642">
        <v>1</v>
      </c>
      <c r="R642">
        <v>9</v>
      </c>
      <c r="S642">
        <v>3</v>
      </c>
      <c r="T642">
        <v>5</v>
      </c>
      <c r="U642">
        <v>1</v>
      </c>
      <c r="V642">
        <v>4</v>
      </c>
      <c r="W642" t="s">
        <v>38</v>
      </c>
      <c r="X642" s="1" t="d">
        <v>2016-05-28</v>
      </c>
      <c r="Z642" t="s">
        <v>45</v>
      </c>
      <c r="AA642" t="s">
        <v>40</v>
      </c>
      <c r="AB642">
        <v>3</v>
      </c>
      <c r="AC642">
        <v>3</v>
      </c>
      <c r="AD642" t="s">
        <v>32</v>
      </c>
      <c r="AE642" t="s">
        <v>62</v>
      </c>
      <c r="AF642" t="s">
        <v>48</v>
      </c>
    </row>
    <row r="643" spans="1:32" x14ac:dyDescent="0.25">
      <c r="A643">
        <v>47</v>
      </c>
      <c r="B643" t="s">
        <v>41</v>
      </c>
      <c r="C643" t="s">
        <v>33</v>
      </c>
      <c r="D643" t="s">
        <v>34</v>
      </c>
      <c r="E643">
        <v>2</v>
      </c>
      <c r="F643" t="s">
        <v>58</v>
      </c>
      <c r="G643">
        <v>3</v>
      </c>
      <c r="H643">
        <v>2</v>
      </c>
      <c r="I643" t="s">
        <v>67</v>
      </c>
      <c r="J643">
        <v>4</v>
      </c>
      <c r="K643" t="s">
        <v>55</v>
      </c>
      <c r="L643">
        <v>5070</v>
      </c>
      <c r="M643">
        <v>5</v>
      </c>
      <c r="N643" t="s">
        <v>41</v>
      </c>
      <c r="O643">
        <v>13</v>
      </c>
      <c r="P643">
        <v>3</v>
      </c>
      <c r="Q643">
        <v>3</v>
      </c>
      <c r="R643">
        <v>20</v>
      </c>
      <c r="S643">
        <v>2</v>
      </c>
      <c r="T643">
        <v>5</v>
      </c>
      <c r="U643">
        <v>0</v>
      </c>
      <c r="V643">
        <v>4</v>
      </c>
      <c r="W643" t="s">
        <v>38</v>
      </c>
      <c r="X643" s="1" t="d">
        <v>2016-03-27</v>
      </c>
      <c r="Z643" t="s">
        <v>63</v>
      </c>
      <c r="AA643" t="s">
        <v>46</v>
      </c>
      <c r="AB643">
        <v>3</v>
      </c>
      <c r="AC643">
        <v>3</v>
      </c>
      <c r="AD643" t="s">
        <v>32</v>
      </c>
      <c r="AE643" t="s">
        <v>42</v>
      </c>
      <c r="AF643" t="s">
        <v>57</v>
      </c>
    </row>
    <row r="644" spans="1:32" x14ac:dyDescent="0.25">
      <c r="A644">
        <v>35</v>
      </c>
      <c r="B644" t="s">
        <v>41</v>
      </c>
      <c r="C644" t="s">
        <v>33</v>
      </c>
      <c r="D644" t="s">
        <v>34</v>
      </c>
      <c r="E644">
        <v>22</v>
      </c>
      <c r="F644" t="s">
        <v>35</v>
      </c>
      <c r="G644">
        <v>1</v>
      </c>
      <c r="H644">
        <v>1</v>
      </c>
      <c r="I644" t="s">
        <v>36</v>
      </c>
      <c r="J644">
        <v>3</v>
      </c>
      <c r="K644" t="s">
        <v>37</v>
      </c>
      <c r="L644">
        <v>4230</v>
      </c>
      <c r="M644">
        <v>0</v>
      </c>
      <c r="N644" t="s">
        <v>41</v>
      </c>
      <c r="O644">
        <v>15</v>
      </c>
      <c r="P644">
        <v>3</v>
      </c>
      <c r="Q644">
        <v>0</v>
      </c>
      <c r="R644">
        <v>6</v>
      </c>
      <c r="S644">
        <v>2</v>
      </c>
      <c r="T644">
        <v>5</v>
      </c>
      <c r="U644">
        <v>4</v>
      </c>
      <c r="V644">
        <v>3</v>
      </c>
      <c r="W644" t="s">
        <v>51</v>
      </c>
      <c r="X644" s="1" t="d">
        <v>2016-05-21</v>
      </c>
      <c r="Z644" t="s">
        <v>39</v>
      </c>
      <c r="AA644" t="s">
        <v>46</v>
      </c>
      <c r="AB644">
        <v>3</v>
      </c>
      <c r="AC644">
        <v>1</v>
      </c>
      <c r="AD644" t="s">
        <v>32</v>
      </c>
      <c r="AE644" t="s">
        <v>60</v>
      </c>
      <c r="AF644" t="s">
        <v>48</v>
      </c>
    </row>
    <row r="645" spans="1:32" x14ac:dyDescent="0.25">
      <c r="A645">
        <v>31</v>
      </c>
      <c r="B645" t="s">
        <v>41</v>
      </c>
      <c r="C645" t="s">
        <v>33</v>
      </c>
      <c r="D645" t="s">
        <v>53</v>
      </c>
      <c r="E645">
        <v>7</v>
      </c>
      <c r="F645" t="s">
        <v>35</v>
      </c>
      <c r="G645">
        <v>2</v>
      </c>
      <c r="H645">
        <v>3</v>
      </c>
      <c r="I645" t="s">
        <v>66</v>
      </c>
      <c r="J645">
        <v>4</v>
      </c>
      <c r="K645" t="s">
        <v>55</v>
      </c>
      <c r="L645">
        <v>11557</v>
      </c>
      <c r="M645">
        <v>9</v>
      </c>
      <c r="N645" t="s">
        <v>41</v>
      </c>
      <c r="O645">
        <v>21</v>
      </c>
      <c r="P645">
        <v>4</v>
      </c>
      <c r="Q645">
        <v>1</v>
      </c>
      <c r="R645">
        <v>10</v>
      </c>
      <c r="S645">
        <v>3</v>
      </c>
      <c r="T645">
        <v>5</v>
      </c>
      <c r="U645">
        <v>0</v>
      </c>
      <c r="V645">
        <v>1</v>
      </c>
      <c r="W645" t="s">
        <v>56</v>
      </c>
      <c r="X645" s="1" t="d">
        <v>2016-04-24</v>
      </c>
      <c r="Z645" t="s">
        <v>52</v>
      </c>
      <c r="AA645" t="s">
        <v>46</v>
      </c>
      <c r="AB645">
        <v>0</v>
      </c>
      <c r="AC645">
        <v>0</v>
      </c>
      <c r="AD645" t="s">
        <v>41</v>
      </c>
      <c r="AE645" t="s">
        <v>42</v>
      </c>
      <c r="AF645" t="s">
        <v>43</v>
      </c>
    </row>
    <row r="646" spans="1:32" x14ac:dyDescent="0.25">
      <c r="A646">
        <v>35</v>
      </c>
      <c r="B646" t="s">
        <v>41</v>
      </c>
      <c r="C646" t="s">
        <v>33</v>
      </c>
      <c r="D646" t="s">
        <v>53</v>
      </c>
      <c r="E646">
        <v>1</v>
      </c>
      <c r="F646" t="s">
        <v>58</v>
      </c>
      <c r="G646">
        <v>3</v>
      </c>
      <c r="H646">
        <v>2</v>
      </c>
      <c r="I646" t="s">
        <v>64</v>
      </c>
      <c r="J646">
        <v>3</v>
      </c>
      <c r="K646" t="s">
        <v>37</v>
      </c>
      <c r="L646">
        <v>4859</v>
      </c>
      <c r="M646">
        <v>1</v>
      </c>
      <c r="N646" t="s">
        <v>41</v>
      </c>
      <c r="O646">
        <v>16</v>
      </c>
      <c r="P646">
        <v>3</v>
      </c>
      <c r="Q646">
        <v>0</v>
      </c>
      <c r="R646">
        <v>5</v>
      </c>
      <c r="S646">
        <v>3</v>
      </c>
      <c r="T646">
        <v>5</v>
      </c>
      <c r="U646">
        <v>0</v>
      </c>
      <c r="V646">
        <v>3</v>
      </c>
      <c r="W646" t="s">
        <v>51</v>
      </c>
      <c r="X646" s="1" t="d">
        <v>2016-04-06</v>
      </c>
      <c r="Z646" t="s">
        <v>59</v>
      </c>
      <c r="AA646" t="s">
        <v>46</v>
      </c>
      <c r="AB646">
        <v>3</v>
      </c>
      <c r="AC646">
        <v>2</v>
      </c>
      <c r="AD646" t="s">
        <v>41</v>
      </c>
      <c r="AE646" t="s">
        <v>47</v>
      </c>
      <c r="AF646" t="s">
        <v>48</v>
      </c>
    </row>
    <row r="647" spans="1:32" x14ac:dyDescent="0.25">
      <c r="A647">
        <v>26</v>
      </c>
      <c r="B647" t="s">
        <v>41</v>
      </c>
      <c r="C647" t="s">
        <v>33</v>
      </c>
      <c r="D647" t="s">
        <v>53</v>
      </c>
      <c r="E647">
        <v>28</v>
      </c>
      <c r="F647" t="s">
        <v>35</v>
      </c>
      <c r="G647">
        <v>3</v>
      </c>
      <c r="H647">
        <v>2</v>
      </c>
      <c r="I647" t="s">
        <v>64</v>
      </c>
      <c r="J647">
        <v>2</v>
      </c>
      <c r="K647" t="s">
        <v>50</v>
      </c>
      <c r="L647">
        <v>6272</v>
      </c>
      <c r="M647">
        <v>1</v>
      </c>
      <c r="N647" t="s">
        <v>41</v>
      </c>
      <c r="O647">
        <v>20</v>
      </c>
      <c r="P647">
        <v>4</v>
      </c>
      <c r="Q647">
        <v>2</v>
      </c>
      <c r="R647">
        <v>6</v>
      </c>
      <c r="S647">
        <v>5</v>
      </c>
      <c r="T647">
        <v>5</v>
      </c>
      <c r="U647">
        <v>1</v>
      </c>
      <c r="V647">
        <v>4</v>
      </c>
      <c r="W647" t="s">
        <v>38</v>
      </c>
      <c r="X647" s="1" t="d">
        <v>2016-05-27</v>
      </c>
      <c r="Z647" t="s">
        <v>59</v>
      </c>
      <c r="AA647" t="s">
        <v>46</v>
      </c>
      <c r="AB647">
        <v>3</v>
      </c>
      <c r="AC647">
        <v>1</v>
      </c>
      <c r="AD647" t="s">
        <v>32</v>
      </c>
      <c r="AE647" t="s">
        <v>62</v>
      </c>
      <c r="AF647" t="s">
        <v>43</v>
      </c>
    </row>
    <row r="648" spans="1:32" x14ac:dyDescent="0.25">
      <c r="A648">
        <v>27</v>
      </c>
      <c r="B648" t="s">
        <v>41</v>
      </c>
      <c r="C648" t="s">
        <v>33</v>
      </c>
      <c r="D648" t="s">
        <v>34</v>
      </c>
      <c r="E648">
        <v>6</v>
      </c>
      <c r="F648" t="s">
        <v>58</v>
      </c>
      <c r="G648">
        <v>2</v>
      </c>
      <c r="H648">
        <v>1</v>
      </c>
      <c r="I648" t="s">
        <v>44</v>
      </c>
      <c r="J648">
        <v>3</v>
      </c>
      <c r="K648" t="s">
        <v>55</v>
      </c>
      <c r="L648">
        <v>2187</v>
      </c>
      <c r="M648">
        <v>0</v>
      </c>
      <c r="N648" t="s">
        <v>41</v>
      </c>
      <c r="O648">
        <v>12</v>
      </c>
      <c r="P648">
        <v>3</v>
      </c>
      <c r="Q648">
        <v>2</v>
      </c>
      <c r="R648">
        <v>6</v>
      </c>
      <c r="S648">
        <v>5</v>
      </c>
      <c r="T648">
        <v>5</v>
      </c>
      <c r="U648">
        <v>0</v>
      </c>
      <c r="V648">
        <v>3</v>
      </c>
      <c r="W648" t="s">
        <v>56</v>
      </c>
      <c r="X648" s="1" t="d">
        <v>2016-02-15</v>
      </c>
      <c r="Z648" t="s">
        <v>45</v>
      </c>
      <c r="AA648" t="s">
        <v>40</v>
      </c>
      <c r="AB648">
        <v>3</v>
      </c>
      <c r="AC648">
        <v>2</v>
      </c>
      <c r="AD648" t="s">
        <v>32</v>
      </c>
      <c r="AE648" t="s">
        <v>47</v>
      </c>
      <c r="AF648" t="s">
        <v>57</v>
      </c>
    </row>
    <row r="649" spans="1:32" x14ac:dyDescent="0.25">
      <c r="A649">
        <v>33</v>
      </c>
      <c r="B649" t="s">
        <v>41</v>
      </c>
      <c r="C649" t="s">
        <v>33</v>
      </c>
      <c r="D649" t="s">
        <v>53</v>
      </c>
      <c r="E649">
        <v>8</v>
      </c>
      <c r="F649" t="s">
        <v>35</v>
      </c>
      <c r="G649">
        <v>3</v>
      </c>
      <c r="H649">
        <v>2</v>
      </c>
      <c r="I649" t="s">
        <v>64</v>
      </c>
      <c r="J649">
        <v>3</v>
      </c>
      <c r="K649" t="s">
        <v>55</v>
      </c>
      <c r="L649">
        <v>7104</v>
      </c>
      <c r="M649">
        <v>0</v>
      </c>
      <c r="N649" t="s">
        <v>41</v>
      </c>
      <c r="O649">
        <v>12</v>
      </c>
      <c r="P649">
        <v>3</v>
      </c>
      <c r="Q649">
        <v>0</v>
      </c>
      <c r="R649">
        <v>6</v>
      </c>
      <c r="S649">
        <v>3</v>
      </c>
      <c r="T649">
        <v>5</v>
      </c>
      <c r="U649">
        <v>1</v>
      </c>
      <c r="V649">
        <v>2</v>
      </c>
      <c r="W649" t="s">
        <v>65</v>
      </c>
      <c r="X649" s="1" t="d">
        <v>2016-05-24</v>
      </c>
      <c r="Z649" t="s">
        <v>39</v>
      </c>
      <c r="AA649" t="s">
        <v>40</v>
      </c>
      <c r="AB649">
        <v>1</v>
      </c>
      <c r="AC649">
        <v>0</v>
      </c>
      <c r="AD649" t="s">
        <v>41</v>
      </c>
      <c r="AE649" t="s">
        <v>47</v>
      </c>
      <c r="AF649" t="s">
        <v>57</v>
      </c>
    </row>
    <row r="650" spans="1:32" x14ac:dyDescent="0.25">
      <c r="A650">
        <v>53</v>
      </c>
      <c r="B650" t="s">
        <v>41</v>
      </c>
      <c r="C650" t="s">
        <v>33</v>
      </c>
      <c r="D650" t="s">
        <v>34</v>
      </c>
      <c r="E650">
        <v>7</v>
      </c>
      <c r="F650" t="s">
        <v>35</v>
      </c>
      <c r="G650">
        <v>4</v>
      </c>
      <c r="H650">
        <v>4</v>
      </c>
      <c r="I650" t="s">
        <v>49</v>
      </c>
      <c r="J650">
        <v>3</v>
      </c>
      <c r="K650" t="s">
        <v>50</v>
      </c>
      <c r="L650">
        <v>14814</v>
      </c>
      <c r="M650">
        <v>3</v>
      </c>
      <c r="N650" t="s">
        <v>41</v>
      </c>
      <c r="O650">
        <v>19</v>
      </c>
      <c r="P650">
        <v>3</v>
      </c>
      <c r="Q650">
        <v>0</v>
      </c>
      <c r="R650">
        <v>32</v>
      </c>
      <c r="S650">
        <v>3</v>
      </c>
      <c r="T650">
        <v>5</v>
      </c>
      <c r="U650">
        <v>1</v>
      </c>
      <c r="V650">
        <v>3</v>
      </c>
      <c r="W650" t="s">
        <v>65</v>
      </c>
      <c r="X650" s="1" t="d">
        <v>2016-01-27</v>
      </c>
      <c r="Z650" t="s">
        <v>59</v>
      </c>
      <c r="AA650" t="s">
        <v>46</v>
      </c>
      <c r="AB650">
        <v>5</v>
      </c>
      <c r="AC650">
        <v>0</v>
      </c>
      <c r="AD650" t="s">
        <v>32</v>
      </c>
      <c r="AE650" t="s">
        <v>62</v>
      </c>
      <c r="AF650" t="s">
        <v>57</v>
      </c>
    </row>
    <row r="651" spans="1:32" x14ac:dyDescent="0.25">
      <c r="A651">
        <v>44</v>
      </c>
      <c r="B651" t="s">
        <v>41</v>
      </c>
      <c r="C651" t="s">
        <v>68</v>
      </c>
      <c r="D651" t="s">
        <v>34</v>
      </c>
      <c r="E651">
        <v>24</v>
      </c>
      <c r="F651" t="s">
        <v>35</v>
      </c>
      <c r="G651">
        <v>1</v>
      </c>
      <c r="H651">
        <v>1</v>
      </c>
      <c r="I651" t="s">
        <v>36</v>
      </c>
      <c r="J651">
        <v>3</v>
      </c>
      <c r="K651" t="s">
        <v>37</v>
      </c>
      <c r="L651">
        <v>3708</v>
      </c>
      <c r="M651">
        <v>2</v>
      </c>
      <c r="N651" t="s">
        <v>41</v>
      </c>
      <c r="O651">
        <v>14</v>
      </c>
      <c r="P651">
        <v>3</v>
      </c>
      <c r="Q651">
        <v>0</v>
      </c>
      <c r="R651">
        <v>9</v>
      </c>
      <c r="S651">
        <v>5</v>
      </c>
      <c r="T651">
        <v>5</v>
      </c>
      <c r="U651">
        <v>1</v>
      </c>
      <c r="V651">
        <v>4</v>
      </c>
      <c r="W651" t="s">
        <v>51</v>
      </c>
      <c r="X651" s="1" t="d">
        <v>2016-03-22</v>
      </c>
      <c r="Z651" t="s">
        <v>52</v>
      </c>
      <c r="AA651" t="s">
        <v>46</v>
      </c>
      <c r="AB651">
        <v>0</v>
      </c>
      <c r="AC651">
        <v>1</v>
      </c>
      <c r="AD651" t="s">
        <v>41</v>
      </c>
      <c r="AE651" t="s">
        <v>42</v>
      </c>
      <c r="AF651" t="s">
        <v>57</v>
      </c>
    </row>
    <row r="652" spans="1:32" x14ac:dyDescent="0.25">
      <c r="A652">
        <v>34</v>
      </c>
      <c r="B652" t="s">
        <v>41</v>
      </c>
      <c r="C652" t="s">
        <v>33</v>
      </c>
      <c r="D652" t="s">
        <v>34</v>
      </c>
      <c r="E652">
        <v>8</v>
      </c>
      <c r="F652" t="s">
        <v>58</v>
      </c>
      <c r="G652">
        <v>3</v>
      </c>
      <c r="H652">
        <v>2</v>
      </c>
      <c r="I652" t="s">
        <v>69</v>
      </c>
      <c r="J652">
        <v>3</v>
      </c>
      <c r="K652" t="s">
        <v>37</v>
      </c>
      <c r="L652">
        <v>6142</v>
      </c>
      <c r="M652">
        <v>3</v>
      </c>
      <c r="N652" t="s">
        <v>41</v>
      </c>
      <c r="O652">
        <v>11</v>
      </c>
      <c r="P652">
        <v>3</v>
      </c>
      <c r="Q652">
        <v>0</v>
      </c>
      <c r="R652">
        <v>10</v>
      </c>
      <c r="S652">
        <v>2</v>
      </c>
      <c r="T652">
        <v>5</v>
      </c>
      <c r="U652">
        <v>4</v>
      </c>
      <c r="V652">
        <v>3</v>
      </c>
      <c r="W652" t="s">
        <v>38</v>
      </c>
      <c r="X652" s="1" t="d">
        <v>2016-01-12</v>
      </c>
      <c r="Z652" t="s">
        <v>59</v>
      </c>
      <c r="AA652" t="s">
        <v>40</v>
      </c>
      <c r="AB652">
        <v>5</v>
      </c>
      <c r="AC652">
        <v>1</v>
      </c>
      <c r="AD652" t="s">
        <v>32</v>
      </c>
      <c r="AE652" t="s">
        <v>42</v>
      </c>
      <c r="AF652" t="s">
        <v>43</v>
      </c>
    </row>
    <row r="653" spans="1:32" x14ac:dyDescent="0.25">
      <c r="A653">
        <v>47</v>
      </c>
      <c r="B653" t="s">
        <v>32</v>
      </c>
      <c r="C653" t="s">
        <v>61</v>
      </c>
      <c r="D653" t="s">
        <v>53</v>
      </c>
      <c r="E653">
        <v>27</v>
      </c>
      <c r="F653" t="s">
        <v>58</v>
      </c>
      <c r="G653">
        <v>4</v>
      </c>
      <c r="H653">
        <v>2</v>
      </c>
      <c r="I653" t="s">
        <v>64</v>
      </c>
      <c r="J653">
        <v>3</v>
      </c>
      <c r="K653" t="s">
        <v>37</v>
      </c>
      <c r="L653">
        <v>6397</v>
      </c>
      <c r="M653">
        <v>4</v>
      </c>
      <c r="N653" t="s">
        <v>32</v>
      </c>
      <c r="O653">
        <v>12</v>
      </c>
      <c r="P653">
        <v>3</v>
      </c>
      <c r="Q653">
        <v>0</v>
      </c>
      <c r="R653">
        <v>8</v>
      </c>
      <c r="S653">
        <v>2</v>
      </c>
      <c r="T653">
        <v>5</v>
      </c>
      <c r="U653">
        <v>1</v>
      </c>
      <c r="V653">
        <v>3</v>
      </c>
      <c r="W653" t="s">
        <v>56</v>
      </c>
      <c r="X653" s="1" t="d">
        <v>2016-03-20</v>
      </c>
      <c r="Z653" t="s">
        <v>59</v>
      </c>
      <c r="AA653" t="s">
        <v>46</v>
      </c>
      <c r="AB653">
        <v>0</v>
      </c>
      <c r="AC653">
        <v>0</v>
      </c>
      <c r="AD653" t="s">
        <v>41</v>
      </c>
      <c r="AE653" t="s">
        <v>62</v>
      </c>
      <c r="AF653" t="s">
        <v>48</v>
      </c>
    </row>
    <row r="654" spans="1:32" x14ac:dyDescent="0.25">
      <c r="A654">
        <v>55</v>
      </c>
      <c r="B654" t="s">
        <v>32</v>
      </c>
      <c r="C654" t="s">
        <v>33</v>
      </c>
      <c r="D654" t="s">
        <v>34</v>
      </c>
      <c r="E654">
        <v>2</v>
      </c>
      <c r="F654" t="s">
        <v>35</v>
      </c>
      <c r="G654">
        <v>3</v>
      </c>
      <c r="H654">
        <v>5</v>
      </c>
      <c r="I654" t="s">
        <v>66</v>
      </c>
      <c r="J654">
        <v>1</v>
      </c>
      <c r="K654" t="s">
        <v>50</v>
      </c>
      <c r="L654">
        <v>19859</v>
      </c>
      <c r="M654">
        <v>5</v>
      </c>
      <c r="N654" t="s">
        <v>32</v>
      </c>
      <c r="O654">
        <v>13</v>
      </c>
      <c r="P654">
        <v>3</v>
      </c>
      <c r="Q654">
        <v>1</v>
      </c>
      <c r="R654">
        <v>24</v>
      </c>
      <c r="S654">
        <v>2</v>
      </c>
      <c r="T654">
        <v>5</v>
      </c>
      <c r="U654">
        <v>1</v>
      </c>
      <c r="V654">
        <v>4</v>
      </c>
      <c r="W654" t="s">
        <v>51</v>
      </c>
      <c r="X654" s="1" t="d">
        <v>2016-05-17</v>
      </c>
      <c r="Z654" t="s">
        <v>45</v>
      </c>
      <c r="AA654" t="s">
        <v>40</v>
      </c>
      <c r="AB654">
        <v>5</v>
      </c>
      <c r="AC654">
        <v>2</v>
      </c>
      <c r="AD654" t="s">
        <v>32</v>
      </c>
      <c r="AE654" t="s">
        <v>62</v>
      </c>
      <c r="AF654" t="s">
        <v>57</v>
      </c>
    </row>
    <row r="655" spans="1:32" x14ac:dyDescent="0.25">
      <c r="A655">
        <v>54</v>
      </c>
      <c r="B655" t="s">
        <v>41</v>
      </c>
      <c r="C655" t="s">
        <v>33</v>
      </c>
      <c r="D655" t="s">
        <v>34</v>
      </c>
      <c r="E655">
        <v>19</v>
      </c>
      <c r="F655" t="s">
        <v>58</v>
      </c>
      <c r="G655">
        <v>3</v>
      </c>
      <c r="H655">
        <v>2</v>
      </c>
      <c r="I655" t="s">
        <v>67</v>
      </c>
      <c r="J655">
        <v>1</v>
      </c>
      <c r="K655" t="s">
        <v>55</v>
      </c>
      <c r="L655">
        <v>5485</v>
      </c>
      <c r="M655">
        <v>9</v>
      </c>
      <c r="N655" t="s">
        <v>32</v>
      </c>
      <c r="O655">
        <v>11</v>
      </c>
      <c r="P655">
        <v>3</v>
      </c>
      <c r="Q655">
        <v>2</v>
      </c>
      <c r="R655">
        <v>9</v>
      </c>
      <c r="S655">
        <v>4</v>
      </c>
      <c r="T655">
        <v>5</v>
      </c>
      <c r="U655">
        <v>1</v>
      </c>
      <c r="V655">
        <v>4</v>
      </c>
      <c r="W655" t="s">
        <v>51</v>
      </c>
      <c r="X655" s="1" t="d">
        <v>2016-03-14</v>
      </c>
      <c r="Z655" t="s">
        <v>52</v>
      </c>
      <c r="AA655" t="s">
        <v>40</v>
      </c>
      <c r="AB655">
        <v>4</v>
      </c>
      <c r="AC655">
        <v>1</v>
      </c>
      <c r="AD655" t="s">
        <v>41</v>
      </c>
      <c r="AE655" t="s">
        <v>47</v>
      </c>
      <c r="AF655" t="s">
        <v>48</v>
      </c>
    </row>
    <row r="656" spans="1:32" x14ac:dyDescent="0.25">
      <c r="A656">
        <v>37</v>
      </c>
      <c r="B656" t="s">
        <v>41</v>
      </c>
      <c r="C656" t="s">
        <v>33</v>
      </c>
      <c r="D656" t="s">
        <v>34</v>
      </c>
      <c r="E656">
        <v>10</v>
      </c>
      <c r="F656" t="s">
        <v>58</v>
      </c>
      <c r="G656">
        <v>3</v>
      </c>
      <c r="H656">
        <v>1</v>
      </c>
      <c r="I656" t="s">
        <v>44</v>
      </c>
      <c r="J656">
        <v>1</v>
      </c>
      <c r="K656" t="s">
        <v>55</v>
      </c>
      <c r="L656">
        <v>2782</v>
      </c>
      <c r="M656">
        <v>0</v>
      </c>
      <c r="N656" t="s">
        <v>32</v>
      </c>
      <c r="O656">
        <v>13</v>
      </c>
      <c r="P656">
        <v>3</v>
      </c>
      <c r="Q656">
        <v>2</v>
      </c>
      <c r="R656">
        <v>6</v>
      </c>
      <c r="S656">
        <v>3</v>
      </c>
      <c r="T656">
        <v>5</v>
      </c>
      <c r="U656">
        <v>4</v>
      </c>
      <c r="V656">
        <v>3</v>
      </c>
      <c r="W656" t="s">
        <v>38</v>
      </c>
      <c r="X656" s="1" t="d">
        <v>2016-04-13</v>
      </c>
      <c r="Z656" t="s">
        <v>39</v>
      </c>
      <c r="AA656" t="s">
        <v>46</v>
      </c>
      <c r="AB656">
        <v>1</v>
      </c>
      <c r="AC656">
        <v>1</v>
      </c>
      <c r="AD656" t="s">
        <v>41</v>
      </c>
      <c r="AE656" t="s">
        <v>47</v>
      </c>
      <c r="AF656" t="s">
        <v>48</v>
      </c>
    </row>
    <row r="657" spans="1:32" x14ac:dyDescent="0.25">
      <c r="A657">
        <v>52</v>
      </c>
      <c r="B657" t="s">
        <v>41</v>
      </c>
      <c r="C657" t="s">
        <v>33</v>
      </c>
      <c r="D657" t="s">
        <v>34</v>
      </c>
      <c r="E657">
        <v>11</v>
      </c>
      <c r="F657" t="s">
        <v>58</v>
      </c>
      <c r="G657">
        <v>3</v>
      </c>
      <c r="H657">
        <v>2</v>
      </c>
      <c r="I657" t="s">
        <v>36</v>
      </c>
      <c r="J657">
        <v>3</v>
      </c>
      <c r="K657" t="s">
        <v>50</v>
      </c>
      <c r="L657">
        <v>3149</v>
      </c>
      <c r="M657">
        <v>8</v>
      </c>
      <c r="N657" t="s">
        <v>41</v>
      </c>
      <c r="O657">
        <v>20</v>
      </c>
      <c r="P657">
        <v>4</v>
      </c>
      <c r="Q657">
        <v>1</v>
      </c>
      <c r="R657">
        <v>9</v>
      </c>
      <c r="S657">
        <v>3</v>
      </c>
      <c r="T657">
        <v>5</v>
      </c>
      <c r="U657">
        <v>1</v>
      </c>
      <c r="V657">
        <v>4</v>
      </c>
      <c r="W657" t="s">
        <v>65</v>
      </c>
      <c r="X657" s="1" t="d">
        <v>2016-02-18</v>
      </c>
      <c r="Z657" t="s">
        <v>63</v>
      </c>
      <c r="AA657" t="s">
        <v>40</v>
      </c>
      <c r="AB657">
        <v>1</v>
      </c>
      <c r="AC657">
        <v>3</v>
      </c>
      <c r="AD657" t="s">
        <v>41</v>
      </c>
      <c r="AE657" t="s">
        <v>62</v>
      </c>
      <c r="AF657" t="s">
        <v>57</v>
      </c>
    </row>
    <row r="658" spans="1:32" x14ac:dyDescent="0.25">
      <c r="A658">
        <v>36</v>
      </c>
      <c r="B658" t="s">
        <v>41</v>
      </c>
      <c r="C658" t="s">
        <v>33</v>
      </c>
      <c r="D658" t="s">
        <v>70</v>
      </c>
      <c r="E658">
        <v>13</v>
      </c>
      <c r="F658" t="s">
        <v>35</v>
      </c>
      <c r="G658">
        <v>3</v>
      </c>
      <c r="H658">
        <v>1</v>
      </c>
      <c r="I658" t="s">
        <v>70</v>
      </c>
      <c r="J658">
        <v>2</v>
      </c>
      <c r="K658" t="s">
        <v>50</v>
      </c>
      <c r="L658">
        <v>2143</v>
      </c>
      <c r="M658">
        <v>4</v>
      </c>
      <c r="N658" t="s">
        <v>41</v>
      </c>
      <c r="O658">
        <v>13</v>
      </c>
      <c r="P658">
        <v>3</v>
      </c>
      <c r="Q658">
        <v>1</v>
      </c>
      <c r="R658">
        <v>8</v>
      </c>
      <c r="S658">
        <v>2</v>
      </c>
      <c r="T658">
        <v>5</v>
      </c>
      <c r="U658">
        <v>0</v>
      </c>
      <c r="V658">
        <v>4</v>
      </c>
      <c r="W658" t="s">
        <v>65</v>
      </c>
      <c r="X658" s="1" t="d">
        <v>2016-05-11</v>
      </c>
      <c r="Z658" t="s">
        <v>45</v>
      </c>
      <c r="AA658" t="s">
        <v>40</v>
      </c>
      <c r="AB658">
        <v>5</v>
      </c>
      <c r="AC658">
        <v>3</v>
      </c>
      <c r="AD658" t="s">
        <v>32</v>
      </c>
      <c r="AE658" t="s">
        <v>62</v>
      </c>
      <c r="AF658" t="s">
        <v>43</v>
      </c>
    </row>
    <row r="659" spans="1:32" x14ac:dyDescent="0.25">
      <c r="A659">
        <v>34</v>
      </c>
      <c r="B659" t="s">
        <v>41</v>
      </c>
      <c r="C659" t="s">
        <v>61</v>
      </c>
      <c r="D659" t="s">
        <v>34</v>
      </c>
      <c r="E659">
        <v>16</v>
      </c>
      <c r="F659" t="s">
        <v>58</v>
      </c>
      <c r="G659">
        <v>2</v>
      </c>
      <c r="H659">
        <v>1</v>
      </c>
      <c r="I659" t="s">
        <v>44</v>
      </c>
      <c r="J659">
        <v>4</v>
      </c>
      <c r="K659" t="s">
        <v>37</v>
      </c>
      <c r="L659">
        <v>2553</v>
      </c>
      <c r="M659">
        <v>1</v>
      </c>
      <c r="N659" t="s">
        <v>41</v>
      </c>
      <c r="O659">
        <v>16</v>
      </c>
      <c r="P659">
        <v>3</v>
      </c>
      <c r="Q659">
        <v>0</v>
      </c>
      <c r="R659">
        <v>6</v>
      </c>
      <c r="S659">
        <v>3</v>
      </c>
      <c r="T659">
        <v>5</v>
      </c>
      <c r="U659">
        <v>1</v>
      </c>
      <c r="V659">
        <v>3</v>
      </c>
      <c r="W659" t="s">
        <v>65</v>
      </c>
      <c r="X659" s="1" t="d">
        <v>2016-01-14</v>
      </c>
      <c r="Z659" t="s">
        <v>45</v>
      </c>
      <c r="AA659" t="s">
        <v>46</v>
      </c>
      <c r="AB659">
        <v>4</v>
      </c>
      <c r="AC659">
        <v>3</v>
      </c>
      <c r="AD659" t="s">
        <v>32</v>
      </c>
      <c r="AE659" t="s">
        <v>47</v>
      </c>
      <c r="AF659" t="s">
        <v>48</v>
      </c>
    </row>
    <row r="660" spans="1:32" x14ac:dyDescent="0.25">
      <c r="A660">
        <v>44</v>
      </c>
      <c r="B660" t="s">
        <v>41</v>
      </c>
      <c r="C660" t="s">
        <v>33</v>
      </c>
      <c r="D660" t="s">
        <v>34</v>
      </c>
      <c r="E660">
        <v>4</v>
      </c>
      <c r="F660" t="s">
        <v>35</v>
      </c>
      <c r="G660">
        <v>3</v>
      </c>
      <c r="H660">
        <v>2</v>
      </c>
      <c r="I660" t="s">
        <v>69</v>
      </c>
      <c r="J660">
        <v>2</v>
      </c>
      <c r="K660" t="s">
        <v>37</v>
      </c>
      <c r="L660">
        <v>5933</v>
      </c>
      <c r="M660">
        <v>9</v>
      </c>
      <c r="N660" t="s">
        <v>41</v>
      </c>
      <c r="O660">
        <v>12</v>
      </c>
      <c r="P660">
        <v>3</v>
      </c>
      <c r="Q660">
        <v>0</v>
      </c>
      <c r="R660">
        <v>10</v>
      </c>
      <c r="S660">
        <v>2</v>
      </c>
      <c r="T660">
        <v>5</v>
      </c>
      <c r="U660">
        <v>2</v>
      </c>
      <c r="V660">
        <v>3</v>
      </c>
      <c r="W660" t="s">
        <v>51</v>
      </c>
      <c r="X660" s="1" t="d">
        <v>2016-06-23</v>
      </c>
      <c r="Z660" t="s">
        <v>63</v>
      </c>
      <c r="AA660" t="s">
        <v>40</v>
      </c>
      <c r="AB660">
        <v>1</v>
      </c>
      <c r="AC660">
        <v>2</v>
      </c>
      <c r="AD660" t="s">
        <v>41</v>
      </c>
      <c r="AE660" t="s">
        <v>47</v>
      </c>
      <c r="AF660" t="s">
        <v>57</v>
      </c>
    </row>
    <row r="661" spans="1:32" x14ac:dyDescent="0.25">
      <c r="A661">
        <v>32</v>
      </c>
      <c r="B661" t="s">
        <v>41</v>
      </c>
      <c r="C661" t="s">
        <v>33</v>
      </c>
      <c r="D661" t="s">
        <v>53</v>
      </c>
      <c r="E661">
        <v>13</v>
      </c>
      <c r="F661" t="s">
        <v>35</v>
      </c>
      <c r="G661">
        <v>3</v>
      </c>
      <c r="H661">
        <v>2</v>
      </c>
      <c r="I661" t="s">
        <v>64</v>
      </c>
      <c r="J661">
        <v>4</v>
      </c>
      <c r="K661" t="s">
        <v>55</v>
      </c>
      <c r="L661">
        <v>4403</v>
      </c>
      <c r="M661">
        <v>2</v>
      </c>
      <c r="N661" t="s">
        <v>41</v>
      </c>
      <c r="O661">
        <v>11</v>
      </c>
      <c r="P661">
        <v>3</v>
      </c>
      <c r="Q661">
        <v>1</v>
      </c>
      <c r="R661">
        <v>8</v>
      </c>
      <c r="S661">
        <v>3</v>
      </c>
      <c r="T661">
        <v>5</v>
      </c>
      <c r="U661">
        <v>0</v>
      </c>
      <c r="V661">
        <v>3</v>
      </c>
      <c r="W661" t="s">
        <v>51</v>
      </c>
      <c r="X661" s="1" t="d">
        <v>2016-01-12</v>
      </c>
      <c r="Z661" t="s">
        <v>39</v>
      </c>
      <c r="AA661" t="s">
        <v>40</v>
      </c>
      <c r="AB661">
        <v>0</v>
      </c>
      <c r="AC661">
        <v>1</v>
      </c>
      <c r="AD661" t="s">
        <v>32</v>
      </c>
      <c r="AE661" t="s">
        <v>60</v>
      </c>
      <c r="AF661" t="s">
        <v>48</v>
      </c>
    </row>
    <row r="662" spans="1:32" x14ac:dyDescent="0.25">
      <c r="A662">
        <v>30</v>
      </c>
      <c r="B662" t="s">
        <v>41</v>
      </c>
      <c r="C662" t="s">
        <v>61</v>
      </c>
      <c r="D662" t="s">
        <v>34</v>
      </c>
      <c r="E662">
        <v>5</v>
      </c>
      <c r="F662" t="s">
        <v>35</v>
      </c>
      <c r="G662">
        <v>2</v>
      </c>
      <c r="H662">
        <v>1</v>
      </c>
      <c r="I662" t="s">
        <v>44</v>
      </c>
      <c r="J662">
        <v>4</v>
      </c>
      <c r="K662" t="s">
        <v>55</v>
      </c>
      <c r="L662">
        <v>3761</v>
      </c>
      <c r="M662">
        <v>9</v>
      </c>
      <c r="N662" t="s">
        <v>41</v>
      </c>
      <c r="O662">
        <v>12</v>
      </c>
      <c r="P662">
        <v>3</v>
      </c>
      <c r="Q662">
        <v>1</v>
      </c>
      <c r="R662">
        <v>10</v>
      </c>
      <c r="S662">
        <v>3</v>
      </c>
      <c r="T662">
        <v>5</v>
      </c>
      <c r="U662">
        <v>0</v>
      </c>
      <c r="V662">
        <v>3</v>
      </c>
      <c r="W662" t="s">
        <v>38</v>
      </c>
      <c r="X662" s="1" t="d">
        <v>2016-03-15</v>
      </c>
      <c r="Z662" t="s">
        <v>52</v>
      </c>
      <c r="AA662" t="s">
        <v>46</v>
      </c>
      <c r="AB662">
        <v>4</v>
      </c>
      <c r="AC662">
        <v>1</v>
      </c>
      <c r="AD662" t="s">
        <v>32</v>
      </c>
      <c r="AE662" t="s">
        <v>62</v>
      </c>
      <c r="AF662" t="s">
        <v>43</v>
      </c>
    </row>
    <row r="663" spans="1:32" x14ac:dyDescent="0.25">
      <c r="A663">
        <v>53</v>
      </c>
      <c r="B663" t="s">
        <v>41</v>
      </c>
      <c r="C663" t="s">
        <v>33</v>
      </c>
      <c r="D663" t="s">
        <v>53</v>
      </c>
      <c r="E663">
        <v>7</v>
      </c>
      <c r="F663" t="s">
        <v>58</v>
      </c>
      <c r="G663">
        <v>2</v>
      </c>
      <c r="H663">
        <v>3</v>
      </c>
      <c r="I663" t="s">
        <v>64</v>
      </c>
      <c r="J663">
        <v>4</v>
      </c>
      <c r="K663" t="s">
        <v>50</v>
      </c>
      <c r="L663">
        <v>10934</v>
      </c>
      <c r="M663">
        <v>7</v>
      </c>
      <c r="N663" t="s">
        <v>32</v>
      </c>
      <c r="O663">
        <v>18</v>
      </c>
      <c r="P663">
        <v>3</v>
      </c>
      <c r="Q663">
        <v>1</v>
      </c>
      <c r="R663">
        <v>35</v>
      </c>
      <c r="S663">
        <v>3</v>
      </c>
      <c r="T663">
        <v>5</v>
      </c>
      <c r="U663">
        <v>0</v>
      </c>
      <c r="V663">
        <v>4</v>
      </c>
      <c r="W663" t="s">
        <v>65</v>
      </c>
      <c r="X663" s="1" t="d">
        <v>2016-01-16</v>
      </c>
      <c r="Z663" t="s">
        <v>59</v>
      </c>
      <c r="AA663" t="s">
        <v>46</v>
      </c>
      <c r="AB663">
        <v>2</v>
      </c>
      <c r="AC663">
        <v>0</v>
      </c>
      <c r="AD663" t="s">
        <v>32</v>
      </c>
      <c r="AE663" t="s">
        <v>42</v>
      </c>
      <c r="AF663" t="s">
        <v>57</v>
      </c>
    </row>
    <row r="664" spans="1:32" x14ac:dyDescent="0.25">
      <c r="A664">
        <v>45</v>
      </c>
      <c r="B664" t="s">
        <v>41</v>
      </c>
      <c r="C664" t="s">
        <v>33</v>
      </c>
      <c r="D664" t="s">
        <v>53</v>
      </c>
      <c r="E664">
        <v>9</v>
      </c>
      <c r="F664" t="s">
        <v>35</v>
      </c>
      <c r="G664">
        <v>3</v>
      </c>
      <c r="H664">
        <v>3</v>
      </c>
      <c r="I664" t="s">
        <v>64</v>
      </c>
      <c r="J664">
        <v>1</v>
      </c>
      <c r="K664" t="s">
        <v>55</v>
      </c>
      <c r="L664">
        <v>10761</v>
      </c>
      <c r="M664">
        <v>4</v>
      </c>
      <c r="N664" t="s">
        <v>32</v>
      </c>
      <c r="O664">
        <v>12</v>
      </c>
      <c r="P664">
        <v>3</v>
      </c>
      <c r="Q664">
        <v>1</v>
      </c>
      <c r="R664">
        <v>18</v>
      </c>
      <c r="S664">
        <v>2</v>
      </c>
      <c r="T664">
        <v>5</v>
      </c>
      <c r="U664">
        <v>0</v>
      </c>
      <c r="V664">
        <v>2</v>
      </c>
      <c r="W664" t="s">
        <v>56</v>
      </c>
      <c r="X664" s="1" t="d">
        <v>2016-05-24</v>
      </c>
      <c r="Z664" t="s">
        <v>39</v>
      </c>
      <c r="AA664" t="s">
        <v>46</v>
      </c>
      <c r="AB664">
        <v>4</v>
      </c>
      <c r="AC664">
        <v>1</v>
      </c>
      <c r="AD664" t="s">
        <v>32</v>
      </c>
      <c r="AE664" t="s">
        <v>47</v>
      </c>
      <c r="AF664" t="s">
        <v>43</v>
      </c>
    </row>
    <row r="665" spans="1:32" x14ac:dyDescent="0.25">
      <c r="A665">
        <v>32</v>
      </c>
      <c r="B665" t="s">
        <v>41</v>
      </c>
      <c r="C665" t="s">
        <v>33</v>
      </c>
      <c r="D665" t="s">
        <v>34</v>
      </c>
      <c r="E665">
        <v>8</v>
      </c>
      <c r="F665" t="s">
        <v>58</v>
      </c>
      <c r="G665">
        <v>4</v>
      </c>
      <c r="H665">
        <v>2</v>
      </c>
      <c r="I665" t="s">
        <v>44</v>
      </c>
      <c r="J665">
        <v>3</v>
      </c>
      <c r="K665" t="s">
        <v>50</v>
      </c>
      <c r="L665">
        <v>5175</v>
      </c>
      <c r="M665">
        <v>5</v>
      </c>
      <c r="N665" t="s">
        <v>41</v>
      </c>
      <c r="O665">
        <v>12</v>
      </c>
      <c r="P665">
        <v>3</v>
      </c>
      <c r="Q665">
        <v>1</v>
      </c>
      <c r="R665">
        <v>9</v>
      </c>
      <c r="S665">
        <v>3</v>
      </c>
      <c r="T665">
        <v>5</v>
      </c>
      <c r="U665">
        <v>1</v>
      </c>
      <c r="V665">
        <v>3</v>
      </c>
      <c r="W665" t="s">
        <v>56</v>
      </c>
      <c r="X665" s="1" t="d">
        <v>2016-01-18</v>
      </c>
      <c r="Z665" t="s">
        <v>45</v>
      </c>
      <c r="AA665" t="s">
        <v>46</v>
      </c>
      <c r="AB665">
        <v>5</v>
      </c>
      <c r="AC665">
        <v>1</v>
      </c>
      <c r="AD665" t="s">
        <v>32</v>
      </c>
      <c r="AE665" t="s">
        <v>47</v>
      </c>
      <c r="AF665" t="s">
        <v>57</v>
      </c>
    </row>
    <row r="666" spans="1:32" x14ac:dyDescent="0.25">
      <c r="A666">
        <v>28</v>
      </c>
      <c r="B666" t="s">
        <v>41</v>
      </c>
      <c r="C666" t="s">
        <v>33</v>
      </c>
      <c r="D666" t="s">
        <v>70</v>
      </c>
      <c r="E666">
        <v>8</v>
      </c>
      <c r="F666" t="s">
        <v>35</v>
      </c>
      <c r="G666">
        <v>2</v>
      </c>
      <c r="H666">
        <v>1</v>
      </c>
      <c r="I666" t="s">
        <v>70</v>
      </c>
      <c r="J666">
        <v>4</v>
      </c>
      <c r="K666" t="s">
        <v>55</v>
      </c>
      <c r="L666">
        <v>4936</v>
      </c>
      <c r="M666">
        <v>1</v>
      </c>
      <c r="N666" t="s">
        <v>41</v>
      </c>
      <c r="O666">
        <v>13</v>
      </c>
      <c r="P666">
        <v>3</v>
      </c>
      <c r="Q666">
        <v>1</v>
      </c>
      <c r="R666">
        <v>6</v>
      </c>
      <c r="S666">
        <v>6</v>
      </c>
      <c r="T666">
        <v>5</v>
      </c>
      <c r="U666">
        <v>0</v>
      </c>
      <c r="V666">
        <v>4</v>
      </c>
      <c r="W666" t="s">
        <v>56</v>
      </c>
      <c r="X666" s="1" t="d">
        <v>2016-02-20</v>
      </c>
      <c r="Z666" t="s">
        <v>63</v>
      </c>
      <c r="AA666" t="s">
        <v>46</v>
      </c>
      <c r="AB666">
        <v>1</v>
      </c>
      <c r="AC666">
        <v>0</v>
      </c>
      <c r="AD666" t="s">
        <v>41</v>
      </c>
      <c r="AE666" t="s">
        <v>42</v>
      </c>
      <c r="AF666" t="s">
        <v>57</v>
      </c>
    </row>
    <row r="667" spans="1:32" x14ac:dyDescent="0.25">
      <c r="A667">
        <v>36</v>
      </c>
      <c r="B667" t="s">
        <v>41</v>
      </c>
      <c r="C667" t="s">
        <v>33</v>
      </c>
      <c r="D667" t="s">
        <v>70</v>
      </c>
      <c r="E667">
        <v>8</v>
      </c>
      <c r="F667" t="s">
        <v>35</v>
      </c>
      <c r="G667">
        <v>2</v>
      </c>
      <c r="H667">
        <v>1</v>
      </c>
      <c r="I667" t="s">
        <v>70</v>
      </c>
      <c r="J667">
        <v>1</v>
      </c>
      <c r="K667" t="s">
        <v>50</v>
      </c>
      <c r="L667">
        <v>2342</v>
      </c>
      <c r="M667">
        <v>0</v>
      </c>
      <c r="N667" t="s">
        <v>41</v>
      </c>
      <c r="O667">
        <v>21</v>
      </c>
      <c r="P667">
        <v>4</v>
      </c>
      <c r="Q667">
        <v>0</v>
      </c>
      <c r="R667">
        <v>6</v>
      </c>
      <c r="S667">
        <v>3</v>
      </c>
      <c r="T667">
        <v>5</v>
      </c>
      <c r="U667">
        <v>0</v>
      </c>
      <c r="V667">
        <v>3</v>
      </c>
      <c r="W667" t="s">
        <v>56</v>
      </c>
      <c r="X667" s="1" t="d">
        <v>2016-04-22</v>
      </c>
      <c r="Z667" t="s">
        <v>63</v>
      </c>
      <c r="AA667" t="s">
        <v>40</v>
      </c>
      <c r="AB667">
        <v>4</v>
      </c>
      <c r="AC667">
        <v>0</v>
      </c>
      <c r="AD667" t="s">
        <v>32</v>
      </c>
      <c r="AE667" t="s">
        <v>60</v>
      </c>
      <c r="AF667" t="s">
        <v>48</v>
      </c>
    </row>
    <row r="668" spans="1:32" x14ac:dyDescent="0.25">
      <c r="A668">
        <v>25</v>
      </c>
      <c r="B668" t="s">
        <v>41</v>
      </c>
      <c r="C668" t="s">
        <v>33</v>
      </c>
      <c r="D668" t="s">
        <v>53</v>
      </c>
      <c r="E668">
        <v>3</v>
      </c>
      <c r="F668" t="s">
        <v>35</v>
      </c>
      <c r="G668">
        <v>3</v>
      </c>
      <c r="H668">
        <v>2</v>
      </c>
      <c r="I668" t="s">
        <v>64</v>
      </c>
      <c r="J668">
        <v>1</v>
      </c>
      <c r="K668" t="s">
        <v>50</v>
      </c>
      <c r="L668">
        <v>4194</v>
      </c>
      <c r="M668">
        <v>1</v>
      </c>
      <c r="N668" t="s">
        <v>32</v>
      </c>
      <c r="O668">
        <v>18</v>
      </c>
      <c r="P668">
        <v>3</v>
      </c>
      <c r="Q668">
        <v>0</v>
      </c>
      <c r="R668">
        <v>5</v>
      </c>
      <c r="S668">
        <v>3</v>
      </c>
      <c r="T668">
        <v>5</v>
      </c>
      <c r="U668">
        <v>0</v>
      </c>
      <c r="V668">
        <v>3</v>
      </c>
      <c r="W668" t="s">
        <v>38</v>
      </c>
      <c r="X668" s="1" t="d">
        <v>2016-01-14</v>
      </c>
      <c r="Z668" t="s">
        <v>45</v>
      </c>
      <c r="AA668" t="s">
        <v>46</v>
      </c>
      <c r="AB668">
        <v>2</v>
      </c>
      <c r="AC668">
        <v>2</v>
      </c>
      <c r="AD668" t="s">
        <v>32</v>
      </c>
      <c r="AE668" t="s">
        <v>42</v>
      </c>
      <c r="AF668" t="s">
        <v>48</v>
      </c>
    </row>
    <row r="669" spans="1:32" x14ac:dyDescent="0.25">
      <c r="A669">
        <v>25</v>
      </c>
      <c r="B669" t="s">
        <v>41</v>
      </c>
      <c r="C669" t="s">
        <v>33</v>
      </c>
      <c r="D669" t="s">
        <v>53</v>
      </c>
      <c r="E669">
        <v>4</v>
      </c>
      <c r="F669" t="s">
        <v>35</v>
      </c>
      <c r="G669">
        <v>2</v>
      </c>
      <c r="H669">
        <v>2</v>
      </c>
      <c r="I669" t="s">
        <v>64</v>
      </c>
      <c r="J669">
        <v>1</v>
      </c>
      <c r="K669" t="s">
        <v>50</v>
      </c>
      <c r="L669">
        <v>4256</v>
      </c>
      <c r="M669">
        <v>1</v>
      </c>
      <c r="N669" t="s">
        <v>41</v>
      </c>
      <c r="O669">
        <v>12</v>
      </c>
      <c r="P669">
        <v>3</v>
      </c>
      <c r="Q669">
        <v>0</v>
      </c>
      <c r="R669">
        <v>5</v>
      </c>
      <c r="S669">
        <v>1</v>
      </c>
      <c r="T669">
        <v>5</v>
      </c>
      <c r="U669">
        <v>0</v>
      </c>
      <c r="V669">
        <v>3</v>
      </c>
      <c r="W669" t="s">
        <v>65</v>
      </c>
      <c r="X669" s="1" t="d">
        <v>2016-05-13</v>
      </c>
      <c r="Z669" t="s">
        <v>52</v>
      </c>
      <c r="AA669" t="s">
        <v>46</v>
      </c>
      <c r="AB669">
        <v>2</v>
      </c>
      <c r="AC669">
        <v>1</v>
      </c>
      <c r="AD669" t="s">
        <v>32</v>
      </c>
      <c r="AE669" t="s">
        <v>47</v>
      </c>
      <c r="AF669" t="s">
        <v>48</v>
      </c>
    </row>
    <row r="670" spans="1:32" x14ac:dyDescent="0.25">
      <c r="A670">
        <v>24</v>
      </c>
      <c r="B670" t="s">
        <v>41</v>
      </c>
      <c r="C670" t="s">
        <v>68</v>
      </c>
      <c r="D670" t="s">
        <v>34</v>
      </c>
      <c r="E670">
        <v>4</v>
      </c>
      <c r="F670" t="s">
        <v>35</v>
      </c>
      <c r="G670">
        <v>2</v>
      </c>
      <c r="H670">
        <v>1</v>
      </c>
      <c r="I670" t="s">
        <v>36</v>
      </c>
      <c r="J670">
        <v>4</v>
      </c>
      <c r="K670" t="s">
        <v>50</v>
      </c>
      <c r="L670">
        <v>3162</v>
      </c>
      <c r="M670">
        <v>0</v>
      </c>
      <c r="N670" t="s">
        <v>41</v>
      </c>
      <c r="O670">
        <v>17</v>
      </c>
      <c r="P670">
        <v>3</v>
      </c>
      <c r="Q670">
        <v>0</v>
      </c>
      <c r="R670">
        <v>6</v>
      </c>
      <c r="S670">
        <v>2</v>
      </c>
      <c r="T670">
        <v>5</v>
      </c>
      <c r="U670">
        <v>3</v>
      </c>
      <c r="V670">
        <v>4</v>
      </c>
      <c r="W670" t="s">
        <v>56</v>
      </c>
      <c r="X670" s="1" t="d">
        <v>2016-03-31</v>
      </c>
      <c r="Z670" t="s">
        <v>39</v>
      </c>
      <c r="AA670" t="s">
        <v>40</v>
      </c>
      <c r="AB670">
        <v>4</v>
      </c>
      <c r="AC670">
        <v>3</v>
      </c>
      <c r="AD670" t="s">
        <v>41</v>
      </c>
      <c r="AE670" t="s">
        <v>60</v>
      </c>
      <c r="AF670" t="s">
        <v>48</v>
      </c>
    </row>
    <row r="671" spans="1:32" x14ac:dyDescent="0.25">
      <c r="A671">
        <v>42</v>
      </c>
      <c r="B671" t="s">
        <v>41</v>
      </c>
      <c r="C671" t="s">
        <v>33</v>
      </c>
      <c r="D671" t="s">
        <v>34</v>
      </c>
      <c r="E671">
        <v>3</v>
      </c>
      <c r="F671" t="s">
        <v>58</v>
      </c>
      <c r="G671">
        <v>4</v>
      </c>
      <c r="H671">
        <v>2</v>
      </c>
      <c r="I671" t="s">
        <v>36</v>
      </c>
      <c r="J671">
        <v>4</v>
      </c>
      <c r="K671" t="s">
        <v>50</v>
      </c>
      <c r="L671">
        <v>5231</v>
      </c>
      <c r="M671">
        <v>2</v>
      </c>
      <c r="N671" t="s">
        <v>32</v>
      </c>
      <c r="O671">
        <v>13</v>
      </c>
      <c r="P671">
        <v>3</v>
      </c>
      <c r="Q671">
        <v>1</v>
      </c>
      <c r="R671">
        <v>17</v>
      </c>
      <c r="S671">
        <v>1</v>
      </c>
      <c r="T671">
        <v>5</v>
      </c>
      <c r="U671">
        <v>1</v>
      </c>
      <c r="V671">
        <v>3</v>
      </c>
      <c r="W671" t="s">
        <v>56</v>
      </c>
      <c r="X671" s="1" t="d">
        <v>2016-03-26</v>
      </c>
      <c r="Z671" t="s">
        <v>63</v>
      </c>
      <c r="AA671" t="s">
        <v>40</v>
      </c>
      <c r="AB671">
        <v>4</v>
      </c>
      <c r="AC671">
        <v>2</v>
      </c>
      <c r="AD671" t="s">
        <v>41</v>
      </c>
      <c r="AE671" t="s">
        <v>62</v>
      </c>
      <c r="AF671" t="s">
        <v>57</v>
      </c>
    </row>
    <row r="672" spans="1:32" x14ac:dyDescent="0.25">
      <c r="A672">
        <v>37</v>
      </c>
      <c r="B672" t="s">
        <v>41</v>
      </c>
      <c r="C672" t="s">
        <v>61</v>
      </c>
      <c r="D672" t="s">
        <v>53</v>
      </c>
      <c r="E672">
        <v>21</v>
      </c>
      <c r="F672" t="s">
        <v>58</v>
      </c>
      <c r="G672">
        <v>3</v>
      </c>
      <c r="H672">
        <v>1</v>
      </c>
      <c r="I672" t="s">
        <v>54</v>
      </c>
      <c r="J672">
        <v>4</v>
      </c>
      <c r="K672" t="s">
        <v>50</v>
      </c>
      <c r="L672">
        <v>2973</v>
      </c>
      <c r="M672">
        <v>5</v>
      </c>
      <c r="N672" t="s">
        <v>41</v>
      </c>
      <c r="O672">
        <v>15</v>
      </c>
      <c r="P672">
        <v>3</v>
      </c>
      <c r="Q672">
        <v>1</v>
      </c>
      <c r="R672">
        <v>10</v>
      </c>
      <c r="S672">
        <v>3</v>
      </c>
      <c r="T672">
        <v>5</v>
      </c>
      <c r="U672">
        <v>0</v>
      </c>
      <c r="V672">
        <v>0</v>
      </c>
      <c r="W672" t="s">
        <v>51</v>
      </c>
      <c r="X672" s="1" t="d">
        <v>2016-03-11</v>
      </c>
      <c r="Z672" t="s">
        <v>39</v>
      </c>
      <c r="AA672" t="s">
        <v>46</v>
      </c>
      <c r="AB672">
        <v>1</v>
      </c>
      <c r="AC672">
        <v>1</v>
      </c>
      <c r="AD672" t="s">
        <v>32</v>
      </c>
      <c r="AE672" t="s">
        <v>62</v>
      </c>
      <c r="AF672" t="s">
        <v>43</v>
      </c>
    </row>
    <row r="673" spans="1:32" x14ac:dyDescent="0.25">
      <c r="A673">
        <v>43</v>
      </c>
      <c r="B673" t="s">
        <v>41</v>
      </c>
      <c r="C673" t="s">
        <v>61</v>
      </c>
      <c r="D673" t="s">
        <v>34</v>
      </c>
      <c r="E673">
        <v>1</v>
      </c>
      <c r="F673" t="s">
        <v>58</v>
      </c>
      <c r="G673">
        <v>3</v>
      </c>
      <c r="H673">
        <v>2</v>
      </c>
      <c r="I673" t="s">
        <v>69</v>
      </c>
      <c r="J673">
        <v>4</v>
      </c>
      <c r="K673" t="s">
        <v>50</v>
      </c>
      <c r="L673">
        <v>5562</v>
      </c>
      <c r="M673">
        <v>4</v>
      </c>
      <c r="N673" t="s">
        <v>41</v>
      </c>
      <c r="O673">
        <v>13</v>
      </c>
      <c r="P673">
        <v>3</v>
      </c>
      <c r="Q673">
        <v>1</v>
      </c>
      <c r="R673">
        <v>12</v>
      </c>
      <c r="S673">
        <v>2</v>
      </c>
      <c r="T673">
        <v>5</v>
      </c>
      <c r="U673">
        <v>2</v>
      </c>
      <c r="V673">
        <v>2</v>
      </c>
      <c r="W673" t="s">
        <v>65</v>
      </c>
      <c r="X673" s="1" t="d">
        <v>2016-04-19</v>
      </c>
      <c r="Z673" t="s">
        <v>52</v>
      </c>
      <c r="AA673" t="s">
        <v>46</v>
      </c>
      <c r="AB673">
        <v>3</v>
      </c>
      <c r="AC673">
        <v>0</v>
      </c>
      <c r="AD673" t="s">
        <v>41</v>
      </c>
      <c r="AE673" t="s">
        <v>42</v>
      </c>
      <c r="AF673" t="s">
        <v>43</v>
      </c>
    </row>
    <row r="674" spans="1:32" x14ac:dyDescent="0.25">
      <c r="A674">
        <v>39</v>
      </c>
      <c r="B674" t="s">
        <v>41</v>
      </c>
      <c r="C674" t="s">
        <v>33</v>
      </c>
      <c r="D674" t="s">
        <v>70</v>
      </c>
      <c r="E674">
        <v>2</v>
      </c>
      <c r="F674" t="s">
        <v>58</v>
      </c>
      <c r="G674">
        <v>2</v>
      </c>
      <c r="H674">
        <v>2</v>
      </c>
      <c r="I674" t="s">
        <v>70</v>
      </c>
      <c r="J674">
        <v>4</v>
      </c>
      <c r="K674" t="s">
        <v>50</v>
      </c>
      <c r="L674">
        <v>5204</v>
      </c>
      <c r="M674">
        <v>8</v>
      </c>
      <c r="N674" t="s">
        <v>41</v>
      </c>
      <c r="O674">
        <v>11</v>
      </c>
      <c r="P674">
        <v>3</v>
      </c>
      <c r="Q674">
        <v>2</v>
      </c>
      <c r="R674">
        <v>13</v>
      </c>
      <c r="S674">
        <v>2</v>
      </c>
      <c r="T674">
        <v>5</v>
      </c>
      <c r="U674">
        <v>0</v>
      </c>
      <c r="V674">
        <v>4</v>
      </c>
      <c r="W674" t="s">
        <v>51</v>
      </c>
      <c r="X674" s="1" t="d">
        <v>2016-01-21</v>
      </c>
      <c r="Z674" t="s">
        <v>63</v>
      </c>
      <c r="AA674" t="s">
        <v>40</v>
      </c>
      <c r="AB674">
        <v>4</v>
      </c>
      <c r="AC674">
        <v>0</v>
      </c>
      <c r="AD674" t="s">
        <v>41</v>
      </c>
      <c r="AE674" t="s">
        <v>60</v>
      </c>
      <c r="AF674" t="s">
        <v>43</v>
      </c>
    </row>
    <row r="675" spans="1:32" x14ac:dyDescent="0.25">
      <c r="A675">
        <v>42</v>
      </c>
      <c r="B675" t="s">
        <v>41</v>
      </c>
      <c r="C675" t="s">
        <v>33</v>
      </c>
      <c r="D675" t="s">
        <v>53</v>
      </c>
      <c r="E675">
        <v>14</v>
      </c>
      <c r="F675" t="s">
        <v>58</v>
      </c>
      <c r="G675">
        <v>2</v>
      </c>
      <c r="H675">
        <v>2</v>
      </c>
      <c r="I675" t="s">
        <v>64</v>
      </c>
      <c r="J675">
        <v>3</v>
      </c>
      <c r="K675" t="s">
        <v>37</v>
      </c>
      <c r="L675">
        <v>6244</v>
      </c>
      <c r="M675">
        <v>7</v>
      </c>
      <c r="N675" t="s">
        <v>41</v>
      </c>
      <c r="O675">
        <v>17</v>
      </c>
      <c r="P675">
        <v>3</v>
      </c>
      <c r="Q675">
        <v>0</v>
      </c>
      <c r="R675">
        <v>10</v>
      </c>
      <c r="S675">
        <v>6</v>
      </c>
      <c r="T675">
        <v>5</v>
      </c>
      <c r="U675">
        <v>0</v>
      </c>
      <c r="V675">
        <v>3</v>
      </c>
      <c r="W675" t="s">
        <v>65</v>
      </c>
      <c r="X675" s="1" t="d">
        <v>2016-06-24</v>
      </c>
      <c r="Z675" t="s">
        <v>39</v>
      </c>
      <c r="AA675" t="s">
        <v>40</v>
      </c>
      <c r="AB675">
        <v>5</v>
      </c>
      <c r="AC675">
        <v>3</v>
      </c>
      <c r="AD675" t="s">
        <v>41</v>
      </c>
      <c r="AE675" t="s">
        <v>62</v>
      </c>
      <c r="AF675" t="s">
        <v>57</v>
      </c>
    </row>
    <row r="676" spans="1:32" x14ac:dyDescent="0.25">
      <c r="A676">
        <v>33</v>
      </c>
      <c r="B676" t="s">
        <v>41</v>
      </c>
      <c r="C676" t="s">
        <v>33</v>
      </c>
      <c r="D676" t="s">
        <v>34</v>
      </c>
      <c r="E676">
        <v>1</v>
      </c>
      <c r="F676" t="s">
        <v>58</v>
      </c>
      <c r="G676">
        <v>2</v>
      </c>
      <c r="H676">
        <v>2</v>
      </c>
      <c r="I676" t="s">
        <v>69</v>
      </c>
      <c r="J676">
        <v>4</v>
      </c>
      <c r="K676" t="s">
        <v>37</v>
      </c>
      <c r="L676">
        <v>6949</v>
      </c>
      <c r="M676">
        <v>0</v>
      </c>
      <c r="N676" t="s">
        <v>41</v>
      </c>
      <c r="O676">
        <v>14</v>
      </c>
      <c r="P676">
        <v>3</v>
      </c>
      <c r="Q676">
        <v>0</v>
      </c>
      <c r="R676">
        <v>6</v>
      </c>
      <c r="S676">
        <v>3</v>
      </c>
      <c r="T676">
        <v>5</v>
      </c>
      <c r="U676">
        <v>1</v>
      </c>
      <c r="V676">
        <v>4</v>
      </c>
      <c r="W676" t="s">
        <v>38</v>
      </c>
      <c r="X676" s="1" t="d">
        <v>2016-03-04</v>
      </c>
      <c r="Z676" t="s">
        <v>39</v>
      </c>
      <c r="AA676" t="s">
        <v>40</v>
      </c>
      <c r="AB676">
        <v>3</v>
      </c>
      <c r="AC676">
        <v>0</v>
      </c>
      <c r="AD676" t="s">
        <v>32</v>
      </c>
      <c r="AE676" t="s">
        <v>42</v>
      </c>
      <c r="AF676" t="s">
        <v>48</v>
      </c>
    </row>
    <row r="677" spans="1:32" x14ac:dyDescent="0.25">
      <c r="A677">
        <v>35</v>
      </c>
      <c r="B677" t="s">
        <v>41</v>
      </c>
      <c r="C677" t="s">
        <v>33</v>
      </c>
      <c r="D677" t="s">
        <v>53</v>
      </c>
      <c r="E677">
        <v>18</v>
      </c>
      <c r="F677" t="s">
        <v>58</v>
      </c>
      <c r="G677">
        <v>3</v>
      </c>
      <c r="H677">
        <v>2</v>
      </c>
      <c r="I677" t="s">
        <v>64</v>
      </c>
      <c r="J677">
        <v>3</v>
      </c>
      <c r="K677" t="s">
        <v>50</v>
      </c>
      <c r="L677">
        <v>4601</v>
      </c>
      <c r="M677">
        <v>1</v>
      </c>
      <c r="N677" t="s">
        <v>41</v>
      </c>
      <c r="O677">
        <v>16</v>
      </c>
      <c r="P677">
        <v>3</v>
      </c>
      <c r="Q677">
        <v>0</v>
      </c>
      <c r="R677">
        <v>5</v>
      </c>
      <c r="S677">
        <v>3</v>
      </c>
      <c r="T677">
        <v>5</v>
      </c>
      <c r="U677">
        <v>1</v>
      </c>
      <c r="V677">
        <v>0</v>
      </c>
      <c r="W677" t="s">
        <v>51</v>
      </c>
      <c r="X677" s="1" t="d">
        <v>2016-05-28</v>
      </c>
      <c r="Z677" t="s">
        <v>45</v>
      </c>
      <c r="AA677" t="s">
        <v>46</v>
      </c>
      <c r="AB677">
        <v>3</v>
      </c>
      <c r="AC677">
        <v>3</v>
      </c>
      <c r="AD677" t="s">
        <v>41</v>
      </c>
      <c r="AE677" t="s">
        <v>60</v>
      </c>
      <c r="AF677" t="s">
        <v>57</v>
      </c>
    </row>
    <row r="678" spans="1:32" x14ac:dyDescent="0.25">
      <c r="A678">
        <v>38</v>
      </c>
      <c r="B678" t="s">
        <v>41</v>
      </c>
      <c r="C678" t="s">
        <v>68</v>
      </c>
      <c r="D678" t="s">
        <v>53</v>
      </c>
      <c r="E678">
        <v>10</v>
      </c>
      <c r="F678" t="s">
        <v>58</v>
      </c>
      <c r="G678">
        <v>3</v>
      </c>
      <c r="H678">
        <v>2</v>
      </c>
      <c r="I678" t="s">
        <v>64</v>
      </c>
      <c r="J678">
        <v>4</v>
      </c>
      <c r="K678" t="s">
        <v>37</v>
      </c>
      <c r="L678">
        <v>5666</v>
      </c>
      <c r="M678">
        <v>1</v>
      </c>
      <c r="N678" t="s">
        <v>32</v>
      </c>
      <c r="O678">
        <v>13</v>
      </c>
      <c r="P678">
        <v>3</v>
      </c>
      <c r="Q678">
        <v>0</v>
      </c>
      <c r="R678">
        <v>6</v>
      </c>
      <c r="S678">
        <v>1</v>
      </c>
      <c r="T678">
        <v>5</v>
      </c>
      <c r="U678">
        <v>1</v>
      </c>
      <c r="V678">
        <v>3</v>
      </c>
      <c r="W678" t="s">
        <v>51</v>
      </c>
      <c r="X678" s="1" t="d">
        <v>2016-02-17</v>
      </c>
      <c r="Z678" t="s">
        <v>39</v>
      </c>
      <c r="AA678" t="s">
        <v>40</v>
      </c>
      <c r="AB678">
        <v>2</v>
      </c>
      <c r="AC678">
        <v>0</v>
      </c>
      <c r="AD678" t="s">
        <v>41</v>
      </c>
      <c r="AE678" t="s">
        <v>62</v>
      </c>
      <c r="AF678" t="s">
        <v>57</v>
      </c>
    </row>
    <row r="679" spans="1:32" x14ac:dyDescent="0.25">
      <c r="A679">
        <v>45</v>
      </c>
      <c r="B679" t="s">
        <v>41</v>
      </c>
      <c r="C679" t="s">
        <v>33</v>
      </c>
      <c r="D679" t="s">
        <v>34</v>
      </c>
      <c r="E679">
        <v>1</v>
      </c>
      <c r="F679" t="s">
        <v>58</v>
      </c>
      <c r="G679">
        <v>3</v>
      </c>
      <c r="H679">
        <v>1</v>
      </c>
      <c r="I679" t="s">
        <v>36</v>
      </c>
      <c r="J679">
        <v>4</v>
      </c>
      <c r="K679" t="s">
        <v>55</v>
      </c>
      <c r="L679">
        <v>2270</v>
      </c>
      <c r="M679">
        <v>3</v>
      </c>
      <c r="N679" t="s">
        <v>41</v>
      </c>
      <c r="O679">
        <v>14</v>
      </c>
      <c r="P679">
        <v>3</v>
      </c>
      <c r="Q679">
        <v>2</v>
      </c>
      <c r="R679">
        <v>8</v>
      </c>
      <c r="S679">
        <v>2</v>
      </c>
      <c r="T679">
        <v>5</v>
      </c>
      <c r="U679">
        <v>0</v>
      </c>
      <c r="V679">
        <v>2</v>
      </c>
      <c r="W679" t="s">
        <v>65</v>
      </c>
      <c r="X679" s="1" t="d">
        <v>2016-05-22</v>
      </c>
      <c r="Z679" t="s">
        <v>39</v>
      </c>
      <c r="AA679" t="s">
        <v>40</v>
      </c>
      <c r="AB679">
        <v>1</v>
      </c>
      <c r="AC679">
        <v>3</v>
      </c>
      <c r="AD679" t="s">
        <v>41</v>
      </c>
      <c r="AE679" t="s">
        <v>62</v>
      </c>
      <c r="AF679" t="s">
        <v>48</v>
      </c>
    </row>
    <row r="680" spans="1:32" x14ac:dyDescent="0.25">
      <c r="A680">
        <v>50</v>
      </c>
      <c r="B680" t="s">
        <v>41</v>
      </c>
      <c r="C680" t="s">
        <v>33</v>
      </c>
      <c r="D680" t="s">
        <v>34</v>
      </c>
      <c r="E680">
        <v>1</v>
      </c>
      <c r="F680" t="s">
        <v>35</v>
      </c>
      <c r="G680">
        <v>3</v>
      </c>
      <c r="H680">
        <v>4</v>
      </c>
      <c r="I680" t="s">
        <v>49</v>
      </c>
      <c r="J680">
        <v>4</v>
      </c>
      <c r="K680" t="s">
        <v>55</v>
      </c>
      <c r="L680">
        <v>17399</v>
      </c>
      <c r="M680">
        <v>9</v>
      </c>
      <c r="N680" t="s">
        <v>41</v>
      </c>
      <c r="O680">
        <v>22</v>
      </c>
      <c r="P680">
        <v>4</v>
      </c>
      <c r="Q680">
        <v>1</v>
      </c>
      <c r="R680">
        <v>32</v>
      </c>
      <c r="S680">
        <v>1</v>
      </c>
      <c r="T680">
        <v>5</v>
      </c>
      <c r="U680">
        <v>1</v>
      </c>
      <c r="V680">
        <v>3</v>
      </c>
      <c r="W680" t="s">
        <v>56</v>
      </c>
      <c r="X680" s="1" t="d">
        <v>2016-05-31</v>
      </c>
      <c r="Z680" t="s">
        <v>59</v>
      </c>
      <c r="AA680" t="s">
        <v>46</v>
      </c>
      <c r="AB680">
        <v>2</v>
      </c>
      <c r="AC680">
        <v>1</v>
      </c>
      <c r="AD680" t="s">
        <v>41</v>
      </c>
      <c r="AE680" t="s">
        <v>42</v>
      </c>
      <c r="AF680" t="s">
        <v>48</v>
      </c>
    </row>
    <row r="681" spans="1:32" x14ac:dyDescent="0.25">
      <c r="A681">
        <v>30</v>
      </c>
      <c r="B681" t="s">
        <v>32</v>
      </c>
      <c r="C681" t="s">
        <v>33</v>
      </c>
      <c r="D681" t="s">
        <v>34</v>
      </c>
      <c r="E681">
        <v>22</v>
      </c>
      <c r="F681" t="s">
        <v>58</v>
      </c>
      <c r="G681">
        <v>3</v>
      </c>
      <c r="H681">
        <v>1</v>
      </c>
      <c r="I681" t="s">
        <v>44</v>
      </c>
      <c r="J681">
        <v>3</v>
      </c>
      <c r="K681" t="s">
        <v>50</v>
      </c>
      <c r="L681">
        <v>2132</v>
      </c>
      <c r="M681">
        <v>4</v>
      </c>
      <c r="N681" t="s">
        <v>32</v>
      </c>
      <c r="O681">
        <v>11</v>
      </c>
      <c r="P681">
        <v>3</v>
      </c>
      <c r="Q681">
        <v>0</v>
      </c>
      <c r="R681">
        <v>7</v>
      </c>
      <c r="S681">
        <v>2</v>
      </c>
      <c r="T681">
        <v>5</v>
      </c>
      <c r="U681">
        <v>0</v>
      </c>
      <c r="V681">
        <v>1</v>
      </c>
      <c r="W681" t="s">
        <v>38</v>
      </c>
      <c r="X681" s="1" t="d">
        <v>2016-04-08</v>
      </c>
      <c r="Z681" t="s">
        <v>45</v>
      </c>
      <c r="AA681" t="s">
        <v>40</v>
      </c>
      <c r="AB681">
        <v>3</v>
      </c>
      <c r="AC681">
        <v>0</v>
      </c>
      <c r="AD681" t="s">
        <v>41</v>
      </c>
      <c r="AE681" t="s">
        <v>62</v>
      </c>
      <c r="AF681" t="s">
        <v>43</v>
      </c>
    </row>
    <row r="682" spans="1:32" x14ac:dyDescent="0.25">
      <c r="A682">
        <v>59</v>
      </c>
      <c r="B682" t="s">
        <v>41</v>
      </c>
      <c r="C682" t="s">
        <v>33</v>
      </c>
      <c r="D682" t="s">
        <v>34</v>
      </c>
      <c r="E682">
        <v>2</v>
      </c>
      <c r="F682" t="s">
        <v>58</v>
      </c>
      <c r="G682">
        <v>2</v>
      </c>
      <c r="H682">
        <v>4</v>
      </c>
      <c r="I682" t="s">
        <v>67</v>
      </c>
      <c r="J682">
        <v>4</v>
      </c>
      <c r="K682" t="s">
        <v>37</v>
      </c>
      <c r="L682">
        <v>13726</v>
      </c>
      <c r="M682">
        <v>3</v>
      </c>
      <c r="N682" t="s">
        <v>32</v>
      </c>
      <c r="O682">
        <v>13</v>
      </c>
      <c r="P682">
        <v>3</v>
      </c>
      <c r="Q682">
        <v>0</v>
      </c>
      <c r="R682">
        <v>30</v>
      </c>
      <c r="S682">
        <v>4</v>
      </c>
      <c r="T682">
        <v>5</v>
      </c>
      <c r="U682">
        <v>4</v>
      </c>
      <c r="V682">
        <v>3</v>
      </c>
      <c r="W682" t="s">
        <v>65</v>
      </c>
      <c r="X682" s="1" t="d">
        <v>2016-02-29</v>
      </c>
      <c r="Z682" t="s">
        <v>39</v>
      </c>
      <c r="AA682" t="s">
        <v>46</v>
      </c>
      <c r="AB682">
        <v>5</v>
      </c>
      <c r="AC682">
        <v>1</v>
      </c>
      <c r="AD682" t="s">
        <v>32</v>
      </c>
      <c r="AE682" t="s">
        <v>42</v>
      </c>
      <c r="AF682" t="s">
        <v>48</v>
      </c>
    </row>
    <row r="683" spans="1:32" x14ac:dyDescent="0.25">
      <c r="A683">
        <v>26</v>
      </c>
      <c r="B683" t="s">
        <v>41</v>
      </c>
      <c r="C683" t="s">
        <v>61</v>
      </c>
      <c r="D683" t="s">
        <v>34</v>
      </c>
      <c r="E683">
        <v>1</v>
      </c>
      <c r="F683" t="s">
        <v>58</v>
      </c>
      <c r="G683">
        <v>2</v>
      </c>
      <c r="H683">
        <v>1</v>
      </c>
      <c r="I683" t="s">
        <v>44</v>
      </c>
      <c r="J683">
        <v>3</v>
      </c>
      <c r="K683" t="s">
        <v>55</v>
      </c>
      <c r="L683">
        <v>2007</v>
      </c>
      <c r="M683">
        <v>1</v>
      </c>
      <c r="N683" t="s">
        <v>41</v>
      </c>
      <c r="O683">
        <v>13</v>
      </c>
      <c r="P683">
        <v>3</v>
      </c>
      <c r="Q683">
        <v>2</v>
      </c>
      <c r="R683">
        <v>5</v>
      </c>
      <c r="S683">
        <v>5</v>
      </c>
      <c r="T683">
        <v>5</v>
      </c>
      <c r="U683">
        <v>1</v>
      </c>
      <c r="V683">
        <v>3</v>
      </c>
      <c r="W683" t="s">
        <v>65</v>
      </c>
      <c r="X683" s="1" t="d">
        <v>2016-03-31</v>
      </c>
      <c r="Z683" t="s">
        <v>59</v>
      </c>
      <c r="AA683" t="s">
        <v>40</v>
      </c>
      <c r="AB683">
        <v>1</v>
      </c>
      <c r="AC683">
        <v>0</v>
      </c>
      <c r="AD683" t="s">
        <v>32</v>
      </c>
      <c r="AE683" t="s">
        <v>62</v>
      </c>
      <c r="AF683" t="s">
        <v>43</v>
      </c>
    </row>
    <row r="684" spans="1:32" x14ac:dyDescent="0.25">
      <c r="A684">
        <v>56</v>
      </c>
      <c r="B684" t="s">
        <v>41</v>
      </c>
      <c r="C684" t="s">
        <v>61</v>
      </c>
      <c r="D684" t="s">
        <v>34</v>
      </c>
      <c r="E684">
        <v>9</v>
      </c>
      <c r="F684" t="s">
        <v>58</v>
      </c>
      <c r="G684">
        <v>3</v>
      </c>
      <c r="H684">
        <v>1</v>
      </c>
      <c r="I684" t="s">
        <v>44</v>
      </c>
      <c r="J684">
        <v>3</v>
      </c>
      <c r="K684" t="s">
        <v>50</v>
      </c>
      <c r="L684">
        <v>2942</v>
      </c>
      <c r="M684">
        <v>2</v>
      </c>
      <c r="N684" t="s">
        <v>41</v>
      </c>
      <c r="O684">
        <v>19</v>
      </c>
      <c r="P684">
        <v>3</v>
      </c>
      <c r="Q684">
        <v>1</v>
      </c>
      <c r="R684">
        <v>18</v>
      </c>
      <c r="S684">
        <v>4</v>
      </c>
      <c r="T684">
        <v>5</v>
      </c>
      <c r="U684">
        <v>0</v>
      </c>
      <c r="V684">
        <v>3</v>
      </c>
      <c r="W684" t="s">
        <v>51</v>
      </c>
      <c r="X684" s="1" t="d">
        <v>2016-05-29</v>
      </c>
      <c r="Z684" t="s">
        <v>59</v>
      </c>
      <c r="AA684" t="s">
        <v>46</v>
      </c>
      <c r="AB684">
        <v>3</v>
      </c>
      <c r="AC684">
        <v>1</v>
      </c>
      <c r="AD684" t="s">
        <v>32</v>
      </c>
      <c r="AE684" t="s">
        <v>60</v>
      </c>
      <c r="AF684" t="s">
        <v>43</v>
      </c>
    </row>
    <row r="685" spans="1:32" x14ac:dyDescent="0.25">
      <c r="A685">
        <v>26</v>
      </c>
      <c r="B685" t="s">
        <v>41</v>
      </c>
      <c r="C685" t="s">
        <v>33</v>
      </c>
      <c r="D685" t="s">
        <v>34</v>
      </c>
      <c r="E685">
        <v>1</v>
      </c>
      <c r="F685" t="s">
        <v>35</v>
      </c>
      <c r="G685">
        <v>2</v>
      </c>
      <c r="H685">
        <v>1</v>
      </c>
      <c r="I685" t="s">
        <v>36</v>
      </c>
      <c r="J685">
        <v>1</v>
      </c>
      <c r="K685" t="s">
        <v>50</v>
      </c>
      <c r="L685">
        <v>3955</v>
      </c>
      <c r="M685">
        <v>1</v>
      </c>
      <c r="N685" t="s">
        <v>41</v>
      </c>
      <c r="O685">
        <v>16</v>
      </c>
      <c r="P685">
        <v>3</v>
      </c>
      <c r="Q685">
        <v>2</v>
      </c>
      <c r="R685">
        <v>6</v>
      </c>
      <c r="S685">
        <v>2</v>
      </c>
      <c r="T685">
        <v>5</v>
      </c>
      <c r="U685">
        <v>1</v>
      </c>
      <c r="V685">
        <v>3</v>
      </c>
      <c r="W685" t="s">
        <v>65</v>
      </c>
      <c r="X685" s="1" t="d">
        <v>2016-05-04</v>
      </c>
      <c r="Z685" t="s">
        <v>63</v>
      </c>
      <c r="AA685" t="s">
        <v>40</v>
      </c>
      <c r="AB685">
        <v>5</v>
      </c>
      <c r="AC685">
        <v>3</v>
      </c>
      <c r="AD685" t="s">
        <v>32</v>
      </c>
      <c r="AE685" t="s">
        <v>60</v>
      </c>
      <c r="AF685" t="s">
        <v>57</v>
      </c>
    </row>
    <row r="686" spans="1:32" x14ac:dyDescent="0.25">
      <c r="A686">
        <v>48</v>
      </c>
      <c r="B686" t="s">
        <v>41</v>
      </c>
      <c r="C686" t="s">
        <v>68</v>
      </c>
      <c r="D686" t="s">
        <v>34</v>
      </c>
      <c r="E686">
        <v>1</v>
      </c>
      <c r="F686" t="s">
        <v>35</v>
      </c>
      <c r="G686">
        <v>4</v>
      </c>
      <c r="H686">
        <v>4</v>
      </c>
      <c r="I686" t="s">
        <v>66</v>
      </c>
      <c r="J686">
        <v>4</v>
      </c>
      <c r="K686" t="s">
        <v>37</v>
      </c>
      <c r="L686">
        <v>16885</v>
      </c>
      <c r="M686">
        <v>2</v>
      </c>
      <c r="N686" t="s">
        <v>41</v>
      </c>
      <c r="O686">
        <v>22</v>
      </c>
      <c r="P686">
        <v>4</v>
      </c>
      <c r="Q686">
        <v>0</v>
      </c>
      <c r="R686">
        <v>27</v>
      </c>
      <c r="S686">
        <v>3</v>
      </c>
      <c r="T686">
        <v>5</v>
      </c>
      <c r="U686">
        <v>2</v>
      </c>
      <c r="V686">
        <v>1</v>
      </c>
      <c r="W686" t="s">
        <v>56</v>
      </c>
      <c r="X686" s="1" t="d">
        <v>2016-04-08</v>
      </c>
      <c r="Z686" t="s">
        <v>39</v>
      </c>
      <c r="AA686" t="s">
        <v>46</v>
      </c>
      <c r="AB686">
        <v>1</v>
      </c>
      <c r="AC686">
        <v>2</v>
      </c>
      <c r="AD686" t="s">
        <v>41</v>
      </c>
      <c r="AE686" t="s">
        <v>62</v>
      </c>
      <c r="AF686" t="s">
        <v>48</v>
      </c>
    </row>
    <row r="687" spans="1:32" x14ac:dyDescent="0.25">
      <c r="A687">
        <v>39</v>
      </c>
      <c r="B687" t="s">
        <v>41</v>
      </c>
      <c r="C687" t="s">
        <v>68</v>
      </c>
      <c r="D687" t="s">
        <v>34</v>
      </c>
      <c r="E687">
        <v>9</v>
      </c>
      <c r="F687" t="s">
        <v>35</v>
      </c>
      <c r="G687">
        <v>3</v>
      </c>
      <c r="H687">
        <v>2</v>
      </c>
      <c r="I687" t="s">
        <v>36</v>
      </c>
      <c r="J687">
        <v>2</v>
      </c>
      <c r="K687" t="s">
        <v>37</v>
      </c>
      <c r="L687">
        <v>6782</v>
      </c>
      <c r="M687">
        <v>9</v>
      </c>
      <c r="N687" t="s">
        <v>41</v>
      </c>
      <c r="O687">
        <v>15</v>
      </c>
      <c r="P687">
        <v>3</v>
      </c>
      <c r="Q687">
        <v>0</v>
      </c>
      <c r="R687">
        <v>9</v>
      </c>
      <c r="S687">
        <v>2</v>
      </c>
      <c r="T687">
        <v>5</v>
      </c>
      <c r="U687">
        <v>0</v>
      </c>
      <c r="V687">
        <v>3</v>
      </c>
      <c r="W687" t="s">
        <v>56</v>
      </c>
      <c r="X687" s="1" t="d">
        <v>2016-04-10</v>
      </c>
      <c r="Z687" t="s">
        <v>52</v>
      </c>
      <c r="AA687" t="s">
        <v>40</v>
      </c>
      <c r="AB687">
        <v>1</v>
      </c>
      <c r="AC687">
        <v>3</v>
      </c>
      <c r="AD687" t="s">
        <v>41</v>
      </c>
      <c r="AE687" t="s">
        <v>60</v>
      </c>
      <c r="AF687" t="s">
        <v>57</v>
      </c>
    </row>
    <row r="688" spans="1:32" x14ac:dyDescent="0.25">
      <c r="A688">
        <v>28</v>
      </c>
      <c r="B688" t="s">
        <v>41</v>
      </c>
      <c r="C688" t="s">
        <v>33</v>
      </c>
      <c r="D688" t="s">
        <v>34</v>
      </c>
      <c r="E688">
        <v>2</v>
      </c>
      <c r="F688" t="s">
        <v>35</v>
      </c>
      <c r="G688">
        <v>2</v>
      </c>
      <c r="H688">
        <v>1</v>
      </c>
      <c r="I688" t="s">
        <v>44</v>
      </c>
      <c r="J688">
        <v>2</v>
      </c>
      <c r="K688" t="s">
        <v>50</v>
      </c>
      <c r="L688">
        <v>3201</v>
      </c>
      <c r="M688">
        <v>0</v>
      </c>
      <c r="N688" t="s">
        <v>41</v>
      </c>
      <c r="O688">
        <v>17</v>
      </c>
      <c r="P688">
        <v>3</v>
      </c>
      <c r="Q688">
        <v>0</v>
      </c>
      <c r="R688">
        <v>6</v>
      </c>
      <c r="S688">
        <v>2</v>
      </c>
      <c r="T688">
        <v>5</v>
      </c>
      <c r="U688">
        <v>0</v>
      </c>
      <c r="V688">
        <v>4</v>
      </c>
      <c r="W688" t="s">
        <v>51</v>
      </c>
      <c r="X688" s="1" t="d">
        <v>2016-06-02</v>
      </c>
      <c r="Z688" t="s">
        <v>45</v>
      </c>
      <c r="AA688" t="s">
        <v>40</v>
      </c>
      <c r="AB688">
        <v>3</v>
      </c>
      <c r="AC688">
        <v>0</v>
      </c>
      <c r="AD688" t="s">
        <v>32</v>
      </c>
      <c r="AE688" t="s">
        <v>42</v>
      </c>
      <c r="AF688" t="s">
        <v>43</v>
      </c>
    </row>
    <row r="689" spans="1:32" x14ac:dyDescent="0.25">
      <c r="A689">
        <v>35</v>
      </c>
      <c r="B689" t="s">
        <v>41</v>
      </c>
      <c r="C689" t="s">
        <v>61</v>
      </c>
      <c r="D689" t="s">
        <v>53</v>
      </c>
      <c r="E689">
        <v>11</v>
      </c>
      <c r="F689" t="s">
        <v>35</v>
      </c>
      <c r="G689">
        <v>3</v>
      </c>
      <c r="H689">
        <v>2</v>
      </c>
      <c r="I689" t="s">
        <v>64</v>
      </c>
      <c r="J689">
        <v>4</v>
      </c>
      <c r="K689" t="s">
        <v>55</v>
      </c>
      <c r="L689">
        <v>4968</v>
      </c>
      <c r="M689">
        <v>1</v>
      </c>
      <c r="N689" t="s">
        <v>41</v>
      </c>
      <c r="O689">
        <v>11</v>
      </c>
      <c r="P689">
        <v>3</v>
      </c>
      <c r="Q689">
        <v>1</v>
      </c>
      <c r="R689">
        <v>5</v>
      </c>
      <c r="S689">
        <v>3</v>
      </c>
      <c r="T689">
        <v>5</v>
      </c>
      <c r="U689">
        <v>0</v>
      </c>
      <c r="V689">
        <v>2</v>
      </c>
      <c r="W689" t="s">
        <v>56</v>
      </c>
      <c r="X689" s="1" t="d">
        <v>2016-04-05</v>
      </c>
      <c r="Z689" t="s">
        <v>59</v>
      </c>
      <c r="AA689" t="s">
        <v>40</v>
      </c>
      <c r="AB689">
        <v>4</v>
      </c>
      <c r="AC689">
        <v>3</v>
      </c>
      <c r="AD689" t="s">
        <v>32</v>
      </c>
      <c r="AE689" t="s">
        <v>60</v>
      </c>
      <c r="AF689" t="s">
        <v>57</v>
      </c>
    </row>
    <row r="690" spans="1:32" x14ac:dyDescent="0.25">
      <c r="A690">
        <v>33</v>
      </c>
      <c r="B690" t="s">
        <v>32</v>
      </c>
      <c r="C690" t="s">
        <v>33</v>
      </c>
      <c r="D690" t="s">
        <v>53</v>
      </c>
      <c r="E690">
        <v>9</v>
      </c>
      <c r="F690" t="s">
        <v>58</v>
      </c>
      <c r="G690">
        <v>3</v>
      </c>
      <c r="H690">
        <v>2</v>
      </c>
      <c r="I690" t="s">
        <v>64</v>
      </c>
      <c r="J690">
        <v>1</v>
      </c>
      <c r="K690" t="s">
        <v>37</v>
      </c>
      <c r="L690">
        <v>8224</v>
      </c>
      <c r="M690">
        <v>0</v>
      </c>
      <c r="N690" t="s">
        <v>32</v>
      </c>
      <c r="O690">
        <v>17</v>
      </c>
      <c r="P690">
        <v>3</v>
      </c>
      <c r="Q690">
        <v>0</v>
      </c>
      <c r="R690">
        <v>6</v>
      </c>
      <c r="S690">
        <v>3</v>
      </c>
      <c r="T690">
        <v>5</v>
      </c>
      <c r="U690">
        <v>0</v>
      </c>
      <c r="V690">
        <v>3</v>
      </c>
      <c r="W690" t="s">
        <v>56</v>
      </c>
      <c r="X690" s="1" t="d">
        <v>2016-05-01</v>
      </c>
      <c r="Z690" t="s">
        <v>59</v>
      </c>
      <c r="AA690" t="s">
        <v>46</v>
      </c>
      <c r="AB690">
        <v>2</v>
      </c>
      <c r="AC690">
        <v>2</v>
      </c>
      <c r="AD690" t="s">
        <v>32</v>
      </c>
      <c r="AE690" t="s">
        <v>42</v>
      </c>
      <c r="AF690" t="s">
        <v>57</v>
      </c>
    </row>
    <row r="691" spans="1:32" x14ac:dyDescent="0.25">
      <c r="A691">
        <v>35</v>
      </c>
      <c r="B691" t="s">
        <v>41</v>
      </c>
      <c r="C691" t="s">
        <v>33</v>
      </c>
      <c r="D691" t="s">
        <v>70</v>
      </c>
      <c r="E691">
        <v>8</v>
      </c>
      <c r="F691" t="s">
        <v>35</v>
      </c>
      <c r="G691">
        <v>3</v>
      </c>
      <c r="H691">
        <v>1</v>
      </c>
      <c r="I691" t="s">
        <v>70</v>
      </c>
      <c r="J691">
        <v>3</v>
      </c>
      <c r="K691" t="s">
        <v>37</v>
      </c>
      <c r="L691">
        <v>4323</v>
      </c>
      <c r="M691">
        <v>1</v>
      </c>
      <c r="N691" t="s">
        <v>41</v>
      </c>
      <c r="O691">
        <v>17</v>
      </c>
      <c r="P691">
        <v>3</v>
      </c>
      <c r="Q691">
        <v>0</v>
      </c>
      <c r="R691">
        <v>6</v>
      </c>
      <c r="S691">
        <v>2</v>
      </c>
      <c r="T691">
        <v>5</v>
      </c>
      <c r="U691">
        <v>1</v>
      </c>
      <c r="V691">
        <v>4</v>
      </c>
      <c r="W691" t="s">
        <v>51</v>
      </c>
      <c r="X691" s="1" t="d">
        <v>2016-04-04</v>
      </c>
      <c r="Z691" t="s">
        <v>45</v>
      </c>
      <c r="AA691" t="s">
        <v>40</v>
      </c>
      <c r="AB691">
        <v>2</v>
      </c>
      <c r="AC691">
        <v>1</v>
      </c>
      <c r="AD691" t="s">
        <v>32</v>
      </c>
      <c r="AE691" t="s">
        <v>62</v>
      </c>
      <c r="AF691" t="s">
        <v>57</v>
      </c>
    </row>
    <row r="692" spans="1:32" x14ac:dyDescent="0.25">
      <c r="A692">
        <v>56</v>
      </c>
      <c r="B692" t="s">
        <v>41</v>
      </c>
      <c r="C692" t="s">
        <v>33</v>
      </c>
      <c r="D692" t="s">
        <v>34</v>
      </c>
      <c r="E692">
        <v>4</v>
      </c>
      <c r="F692" t="s">
        <v>58</v>
      </c>
      <c r="G692">
        <v>3</v>
      </c>
      <c r="H692">
        <v>5</v>
      </c>
      <c r="I692" t="s">
        <v>66</v>
      </c>
      <c r="J692">
        <v>1</v>
      </c>
      <c r="K692" t="s">
        <v>55</v>
      </c>
      <c r="L692">
        <v>19943</v>
      </c>
      <c r="M692">
        <v>4</v>
      </c>
      <c r="N692" t="s">
        <v>41</v>
      </c>
      <c r="O692">
        <v>13</v>
      </c>
      <c r="P692">
        <v>3</v>
      </c>
      <c r="Q692">
        <v>1</v>
      </c>
      <c r="R692">
        <v>28</v>
      </c>
      <c r="S692">
        <v>2</v>
      </c>
      <c r="T692">
        <v>5</v>
      </c>
      <c r="U692">
        <v>4</v>
      </c>
      <c r="V692">
        <v>2</v>
      </c>
      <c r="W692" t="s">
        <v>51</v>
      </c>
      <c r="X692" s="1" t="d">
        <v>2016-05-30</v>
      </c>
      <c r="Z692" t="s">
        <v>45</v>
      </c>
      <c r="AA692" t="s">
        <v>40</v>
      </c>
      <c r="AB692">
        <v>4</v>
      </c>
      <c r="AC692">
        <v>1</v>
      </c>
      <c r="AD692" t="s">
        <v>41</v>
      </c>
      <c r="AE692" t="s">
        <v>60</v>
      </c>
      <c r="AF692" t="s">
        <v>57</v>
      </c>
    </row>
    <row r="693" spans="1:32" x14ac:dyDescent="0.25">
      <c r="A693">
        <v>29</v>
      </c>
      <c r="B693" t="s">
        <v>41</v>
      </c>
      <c r="C693" t="s">
        <v>33</v>
      </c>
      <c r="D693" t="s">
        <v>34</v>
      </c>
      <c r="E693">
        <v>15</v>
      </c>
      <c r="F693" t="s">
        <v>58</v>
      </c>
      <c r="G693">
        <v>1</v>
      </c>
      <c r="H693">
        <v>1</v>
      </c>
      <c r="I693" t="s">
        <v>44</v>
      </c>
      <c r="J693">
        <v>4</v>
      </c>
      <c r="K693" t="s">
        <v>50</v>
      </c>
      <c r="L693">
        <v>2168</v>
      </c>
      <c r="M693">
        <v>0</v>
      </c>
      <c r="N693" t="s">
        <v>32</v>
      </c>
      <c r="O693">
        <v>18</v>
      </c>
      <c r="P693">
        <v>3</v>
      </c>
      <c r="Q693">
        <v>1</v>
      </c>
      <c r="R693">
        <v>6</v>
      </c>
      <c r="S693">
        <v>2</v>
      </c>
      <c r="T693">
        <v>5</v>
      </c>
      <c r="U693">
        <v>1</v>
      </c>
      <c r="V693">
        <v>3</v>
      </c>
      <c r="W693" t="s">
        <v>65</v>
      </c>
      <c r="X693" s="1" t="d">
        <v>2016-04-06</v>
      </c>
      <c r="Z693" t="s">
        <v>59</v>
      </c>
      <c r="AA693" t="s">
        <v>46</v>
      </c>
      <c r="AB693">
        <v>3</v>
      </c>
      <c r="AC693">
        <v>0</v>
      </c>
      <c r="AD693" t="s">
        <v>41</v>
      </c>
      <c r="AE693" t="s">
        <v>47</v>
      </c>
      <c r="AF693" t="s">
        <v>43</v>
      </c>
    </row>
    <row r="694" spans="1:32" x14ac:dyDescent="0.25">
      <c r="A694">
        <v>33</v>
      </c>
      <c r="B694" t="s">
        <v>41</v>
      </c>
      <c r="C694" t="s">
        <v>33</v>
      </c>
      <c r="D694" t="s">
        <v>70</v>
      </c>
      <c r="E694">
        <v>2</v>
      </c>
      <c r="F694" t="s">
        <v>35</v>
      </c>
      <c r="G694">
        <v>3</v>
      </c>
      <c r="H694">
        <v>1</v>
      </c>
      <c r="I694" t="s">
        <v>70</v>
      </c>
      <c r="J694">
        <v>3</v>
      </c>
      <c r="K694" t="s">
        <v>50</v>
      </c>
      <c r="L694">
        <v>3600</v>
      </c>
      <c r="M694">
        <v>1</v>
      </c>
      <c r="N694" t="s">
        <v>41</v>
      </c>
      <c r="O694">
        <v>13</v>
      </c>
      <c r="P694">
        <v>3</v>
      </c>
      <c r="Q694">
        <v>1</v>
      </c>
      <c r="R694">
        <v>5</v>
      </c>
      <c r="S694">
        <v>2</v>
      </c>
      <c r="T694">
        <v>5</v>
      </c>
      <c r="U694">
        <v>1</v>
      </c>
      <c r="V694">
        <v>4</v>
      </c>
      <c r="W694" t="s">
        <v>56</v>
      </c>
      <c r="X694" s="1" t="d">
        <v>2016-05-09</v>
      </c>
      <c r="Z694" t="s">
        <v>59</v>
      </c>
      <c r="AA694" t="s">
        <v>46</v>
      </c>
      <c r="AB694">
        <v>3</v>
      </c>
      <c r="AC694">
        <v>2</v>
      </c>
      <c r="AD694" t="s">
        <v>41</v>
      </c>
      <c r="AE694" t="s">
        <v>60</v>
      </c>
      <c r="AF694" t="s">
        <v>43</v>
      </c>
    </row>
    <row r="695" spans="1:32" x14ac:dyDescent="0.25">
      <c r="A695">
        <v>40</v>
      </c>
      <c r="B695" t="s">
        <v>41</v>
      </c>
      <c r="C695" t="s">
        <v>33</v>
      </c>
      <c r="D695" t="s">
        <v>53</v>
      </c>
      <c r="E695">
        <v>10</v>
      </c>
      <c r="F695" t="s">
        <v>58</v>
      </c>
      <c r="G695">
        <v>2</v>
      </c>
      <c r="H695">
        <v>2</v>
      </c>
      <c r="I695" t="s">
        <v>64</v>
      </c>
      <c r="J695">
        <v>2</v>
      </c>
      <c r="K695" t="s">
        <v>55</v>
      </c>
      <c r="L695">
        <v>6852</v>
      </c>
      <c r="M695">
        <v>7</v>
      </c>
      <c r="N695" t="s">
        <v>41</v>
      </c>
      <c r="O695">
        <v>12</v>
      </c>
      <c r="P695">
        <v>3</v>
      </c>
      <c r="Q695">
        <v>1</v>
      </c>
      <c r="R695">
        <v>7</v>
      </c>
      <c r="S695">
        <v>2</v>
      </c>
      <c r="T695">
        <v>5</v>
      </c>
      <c r="U695">
        <v>1</v>
      </c>
      <c r="V695">
        <v>3</v>
      </c>
      <c r="W695" t="s">
        <v>51</v>
      </c>
      <c r="X695" s="1" t="d">
        <v>2016-04-29</v>
      </c>
      <c r="Z695" t="s">
        <v>52</v>
      </c>
      <c r="AA695" t="s">
        <v>40</v>
      </c>
      <c r="AB695">
        <v>2</v>
      </c>
      <c r="AC695">
        <v>3</v>
      </c>
      <c r="AD695" t="s">
        <v>32</v>
      </c>
      <c r="AE695" t="s">
        <v>60</v>
      </c>
      <c r="AF695" t="s">
        <v>48</v>
      </c>
    </row>
    <row r="696" spans="1:32" x14ac:dyDescent="0.25">
      <c r="A696">
        <v>54</v>
      </c>
      <c r="B696" t="s">
        <v>41</v>
      </c>
      <c r="C696" t="s">
        <v>61</v>
      </c>
      <c r="D696" t="s">
        <v>34</v>
      </c>
      <c r="E696">
        <v>1</v>
      </c>
      <c r="F696" t="s">
        <v>58</v>
      </c>
      <c r="G696">
        <v>3</v>
      </c>
      <c r="H696">
        <v>3</v>
      </c>
      <c r="I696" t="s">
        <v>67</v>
      </c>
      <c r="J696">
        <v>3</v>
      </c>
      <c r="K696" t="s">
        <v>55</v>
      </c>
      <c r="L696">
        <v>10502</v>
      </c>
      <c r="M696">
        <v>7</v>
      </c>
      <c r="N696" t="s">
        <v>41</v>
      </c>
      <c r="O696">
        <v>17</v>
      </c>
      <c r="P696">
        <v>3</v>
      </c>
      <c r="Q696">
        <v>1</v>
      </c>
      <c r="R696">
        <v>33</v>
      </c>
      <c r="S696">
        <v>2</v>
      </c>
      <c r="T696">
        <v>5</v>
      </c>
      <c r="U696">
        <v>1</v>
      </c>
      <c r="V696">
        <v>4</v>
      </c>
      <c r="W696" t="s">
        <v>51</v>
      </c>
      <c r="X696" s="1" t="d">
        <v>2016-03-22</v>
      </c>
      <c r="Z696" t="s">
        <v>63</v>
      </c>
      <c r="AA696" t="s">
        <v>46</v>
      </c>
      <c r="AB696">
        <v>3</v>
      </c>
      <c r="AC696">
        <v>1</v>
      </c>
      <c r="AD696" t="s">
        <v>41</v>
      </c>
      <c r="AE696" t="s">
        <v>60</v>
      </c>
      <c r="AF696" t="s">
        <v>43</v>
      </c>
    </row>
    <row r="697" spans="1:32" x14ac:dyDescent="0.25">
      <c r="A697">
        <v>27</v>
      </c>
      <c r="B697" t="s">
        <v>41</v>
      </c>
      <c r="C697" t="s">
        <v>33</v>
      </c>
      <c r="D697" t="s">
        <v>34</v>
      </c>
      <c r="E697">
        <v>4</v>
      </c>
      <c r="F697" t="s">
        <v>35</v>
      </c>
      <c r="G697">
        <v>3</v>
      </c>
      <c r="H697">
        <v>1</v>
      </c>
      <c r="I697" t="s">
        <v>44</v>
      </c>
      <c r="J697">
        <v>3</v>
      </c>
      <c r="K697" t="s">
        <v>55</v>
      </c>
      <c r="L697">
        <v>2517</v>
      </c>
      <c r="M697">
        <v>1</v>
      </c>
      <c r="N697" t="s">
        <v>41</v>
      </c>
      <c r="O697">
        <v>11</v>
      </c>
      <c r="P697">
        <v>3</v>
      </c>
      <c r="Q697">
        <v>3</v>
      </c>
      <c r="R697">
        <v>5</v>
      </c>
      <c r="S697">
        <v>2</v>
      </c>
      <c r="T697">
        <v>5</v>
      </c>
      <c r="U697">
        <v>0</v>
      </c>
      <c r="V697">
        <v>3</v>
      </c>
      <c r="W697" t="s">
        <v>51</v>
      </c>
      <c r="X697" s="1" t="d">
        <v>2016-01-17</v>
      </c>
      <c r="Z697" t="s">
        <v>39</v>
      </c>
      <c r="AA697" t="s">
        <v>40</v>
      </c>
      <c r="AB697">
        <v>0</v>
      </c>
      <c r="AC697">
        <v>3</v>
      </c>
      <c r="AD697" t="s">
        <v>41</v>
      </c>
      <c r="AE697" t="s">
        <v>60</v>
      </c>
      <c r="AF697" t="s">
        <v>57</v>
      </c>
    </row>
    <row r="698" spans="1:32" x14ac:dyDescent="0.25">
      <c r="A698">
        <v>39</v>
      </c>
      <c r="B698" t="s">
        <v>32</v>
      </c>
      <c r="C698" t="s">
        <v>33</v>
      </c>
      <c r="D698" t="s">
        <v>34</v>
      </c>
      <c r="E698">
        <v>23</v>
      </c>
      <c r="F698" t="s">
        <v>35</v>
      </c>
      <c r="G698">
        <v>3</v>
      </c>
      <c r="H698">
        <v>1</v>
      </c>
      <c r="I698" t="s">
        <v>44</v>
      </c>
      <c r="J698">
        <v>1</v>
      </c>
      <c r="K698" t="s">
        <v>37</v>
      </c>
      <c r="L698">
        <v>3904</v>
      </c>
      <c r="M698">
        <v>0</v>
      </c>
      <c r="N698" t="s">
        <v>41</v>
      </c>
      <c r="O698">
        <v>13</v>
      </c>
      <c r="P698">
        <v>3</v>
      </c>
      <c r="Q698">
        <v>0</v>
      </c>
      <c r="R698">
        <v>6</v>
      </c>
      <c r="S698">
        <v>2</v>
      </c>
      <c r="T698">
        <v>5</v>
      </c>
      <c r="U698">
        <v>0</v>
      </c>
      <c r="V698">
        <v>3</v>
      </c>
      <c r="W698" t="s">
        <v>56</v>
      </c>
      <c r="X698" s="1" t="d">
        <v>2016-03-30</v>
      </c>
      <c r="Z698" t="s">
        <v>45</v>
      </c>
      <c r="AA698" t="s">
        <v>40</v>
      </c>
      <c r="AB698">
        <v>5</v>
      </c>
      <c r="AC698">
        <v>1</v>
      </c>
      <c r="AD698" t="s">
        <v>41</v>
      </c>
      <c r="AE698" t="s">
        <v>60</v>
      </c>
      <c r="AF698" t="s">
        <v>43</v>
      </c>
    </row>
    <row r="699" spans="1:32" x14ac:dyDescent="0.25">
      <c r="A699">
        <v>40</v>
      </c>
      <c r="B699" t="s">
        <v>32</v>
      </c>
      <c r="C699" t="s">
        <v>33</v>
      </c>
      <c r="D699" t="s">
        <v>53</v>
      </c>
      <c r="E699">
        <v>25</v>
      </c>
      <c r="F699" t="s">
        <v>35</v>
      </c>
      <c r="G699">
        <v>2</v>
      </c>
      <c r="H699">
        <v>3</v>
      </c>
      <c r="I699" t="s">
        <v>64</v>
      </c>
      <c r="J699">
        <v>2</v>
      </c>
      <c r="K699" t="s">
        <v>37</v>
      </c>
      <c r="L699">
        <v>9094</v>
      </c>
      <c r="M699">
        <v>2</v>
      </c>
      <c r="N699" t="s">
        <v>32</v>
      </c>
      <c r="O699">
        <v>12</v>
      </c>
      <c r="P699">
        <v>3</v>
      </c>
      <c r="Q699">
        <v>0</v>
      </c>
      <c r="R699">
        <v>9</v>
      </c>
      <c r="S699">
        <v>2</v>
      </c>
      <c r="T699">
        <v>5</v>
      </c>
      <c r="U699">
        <v>1</v>
      </c>
      <c r="V699">
        <v>0</v>
      </c>
      <c r="W699" t="s">
        <v>65</v>
      </c>
      <c r="X699" s="1" t="d">
        <v>2016-01-01</v>
      </c>
      <c r="Z699" t="s">
        <v>45</v>
      </c>
      <c r="AA699" t="s">
        <v>46</v>
      </c>
      <c r="AB699">
        <v>1</v>
      </c>
      <c r="AC699">
        <v>0</v>
      </c>
      <c r="AD699" t="s">
        <v>41</v>
      </c>
      <c r="AE699" t="s">
        <v>42</v>
      </c>
      <c r="AF699" t="s">
        <v>48</v>
      </c>
    </row>
    <row r="700" spans="1:32" x14ac:dyDescent="0.25">
      <c r="A700">
        <v>51</v>
      </c>
      <c r="B700" t="s">
        <v>41</v>
      </c>
      <c r="C700" t="s">
        <v>33</v>
      </c>
      <c r="D700" t="s">
        <v>34</v>
      </c>
      <c r="E700">
        <v>11</v>
      </c>
      <c r="F700" t="s">
        <v>58</v>
      </c>
      <c r="G700">
        <v>2</v>
      </c>
      <c r="H700">
        <v>4</v>
      </c>
      <c r="I700" t="s">
        <v>67</v>
      </c>
      <c r="J700">
        <v>2</v>
      </c>
      <c r="K700" t="s">
        <v>37</v>
      </c>
      <c r="L700">
        <v>13142</v>
      </c>
      <c r="M700">
        <v>3</v>
      </c>
      <c r="N700" t="s">
        <v>41</v>
      </c>
      <c r="O700">
        <v>16</v>
      </c>
      <c r="P700">
        <v>3</v>
      </c>
      <c r="Q700">
        <v>0</v>
      </c>
      <c r="R700">
        <v>29</v>
      </c>
      <c r="S700">
        <v>1</v>
      </c>
      <c r="T700">
        <v>5</v>
      </c>
      <c r="U700">
        <v>0</v>
      </c>
      <c r="V700">
        <v>3</v>
      </c>
      <c r="W700" t="s">
        <v>65</v>
      </c>
      <c r="X700" s="1" t="d">
        <v>2016-05-05</v>
      </c>
      <c r="Z700" t="s">
        <v>52</v>
      </c>
      <c r="AA700" t="s">
        <v>46</v>
      </c>
      <c r="AB700">
        <v>1</v>
      </c>
      <c r="AC700">
        <v>1</v>
      </c>
      <c r="AD700" t="s">
        <v>41</v>
      </c>
      <c r="AE700" t="s">
        <v>47</v>
      </c>
      <c r="AF700" t="s">
        <v>57</v>
      </c>
    </row>
    <row r="701" spans="1:32" x14ac:dyDescent="0.25">
      <c r="A701">
        <v>34</v>
      </c>
      <c r="B701" t="s">
        <v>41</v>
      </c>
      <c r="C701" t="s">
        <v>68</v>
      </c>
      <c r="D701" t="s">
        <v>34</v>
      </c>
      <c r="E701">
        <v>26</v>
      </c>
      <c r="F701" t="s">
        <v>58</v>
      </c>
      <c r="G701">
        <v>2</v>
      </c>
      <c r="H701">
        <v>1</v>
      </c>
      <c r="I701" t="s">
        <v>44</v>
      </c>
      <c r="J701">
        <v>3</v>
      </c>
      <c r="K701" t="s">
        <v>55</v>
      </c>
      <c r="L701">
        <v>2029</v>
      </c>
      <c r="M701">
        <v>1</v>
      </c>
      <c r="N701" t="s">
        <v>41</v>
      </c>
      <c r="O701">
        <v>20</v>
      </c>
      <c r="P701">
        <v>4</v>
      </c>
      <c r="Q701">
        <v>3</v>
      </c>
      <c r="R701">
        <v>5</v>
      </c>
      <c r="S701">
        <v>2</v>
      </c>
      <c r="T701">
        <v>5</v>
      </c>
      <c r="U701">
        <v>0</v>
      </c>
      <c r="V701">
        <v>0</v>
      </c>
      <c r="W701" t="s">
        <v>56</v>
      </c>
      <c r="X701" s="1" t="d">
        <v>2016-03-26</v>
      </c>
      <c r="Z701" t="s">
        <v>52</v>
      </c>
      <c r="AA701" t="s">
        <v>40</v>
      </c>
      <c r="AB701">
        <v>2</v>
      </c>
      <c r="AC701">
        <v>0</v>
      </c>
      <c r="AD701" t="s">
        <v>41</v>
      </c>
      <c r="AE701" t="s">
        <v>47</v>
      </c>
      <c r="AF701" t="s">
        <v>48</v>
      </c>
    </row>
    <row r="702" spans="1:32" x14ac:dyDescent="0.25">
      <c r="A702">
        <v>28</v>
      </c>
      <c r="B702" t="s">
        <v>41</v>
      </c>
      <c r="C702" t="s">
        <v>33</v>
      </c>
      <c r="D702" t="s">
        <v>53</v>
      </c>
      <c r="E702">
        <v>26</v>
      </c>
      <c r="F702" t="s">
        <v>35</v>
      </c>
      <c r="G702">
        <v>2</v>
      </c>
      <c r="H702">
        <v>2</v>
      </c>
      <c r="I702" t="s">
        <v>64</v>
      </c>
      <c r="J702">
        <v>1</v>
      </c>
      <c r="K702" t="s">
        <v>50</v>
      </c>
      <c r="L702">
        <v>4724</v>
      </c>
      <c r="M702">
        <v>1</v>
      </c>
      <c r="N702" t="s">
        <v>41</v>
      </c>
      <c r="O702">
        <v>11</v>
      </c>
      <c r="P702">
        <v>3</v>
      </c>
      <c r="Q702">
        <v>1</v>
      </c>
      <c r="R702">
        <v>5</v>
      </c>
      <c r="S702">
        <v>0</v>
      </c>
      <c r="T702">
        <v>5</v>
      </c>
      <c r="U702">
        <v>0</v>
      </c>
      <c r="V702">
        <v>4</v>
      </c>
      <c r="W702" t="s">
        <v>56</v>
      </c>
      <c r="X702" s="1" t="d">
        <v>2016-02-15</v>
      </c>
      <c r="Z702" t="s">
        <v>45</v>
      </c>
      <c r="AA702" t="s">
        <v>40</v>
      </c>
      <c r="AB702">
        <v>0</v>
      </c>
      <c r="AC702">
        <v>3</v>
      </c>
      <c r="AD702" t="s">
        <v>32</v>
      </c>
      <c r="AE702" t="s">
        <v>47</v>
      </c>
      <c r="AF702" t="s">
        <v>48</v>
      </c>
    </row>
    <row r="703" spans="1:32" x14ac:dyDescent="0.25">
      <c r="A703">
        <v>39</v>
      </c>
      <c r="B703" t="s">
        <v>41</v>
      </c>
      <c r="C703" t="s">
        <v>33</v>
      </c>
      <c r="D703" t="s">
        <v>53</v>
      </c>
      <c r="E703">
        <v>21</v>
      </c>
      <c r="F703" t="s">
        <v>35</v>
      </c>
      <c r="G703">
        <v>2</v>
      </c>
      <c r="H703">
        <v>2</v>
      </c>
      <c r="I703" t="s">
        <v>64</v>
      </c>
      <c r="J703">
        <v>4</v>
      </c>
      <c r="K703" t="s">
        <v>50</v>
      </c>
      <c r="L703">
        <v>6120</v>
      </c>
      <c r="M703">
        <v>3</v>
      </c>
      <c r="N703" t="s">
        <v>32</v>
      </c>
      <c r="O703">
        <v>12</v>
      </c>
      <c r="P703">
        <v>3</v>
      </c>
      <c r="Q703">
        <v>2</v>
      </c>
      <c r="R703">
        <v>8</v>
      </c>
      <c r="S703">
        <v>2</v>
      </c>
      <c r="T703">
        <v>5</v>
      </c>
      <c r="U703">
        <v>1</v>
      </c>
      <c r="V703">
        <v>4</v>
      </c>
      <c r="W703" t="s">
        <v>56</v>
      </c>
      <c r="X703" s="1" t="d">
        <v>2016-03-04</v>
      </c>
      <c r="Z703" t="s">
        <v>45</v>
      </c>
      <c r="AA703" t="s">
        <v>46</v>
      </c>
      <c r="AB703">
        <v>4</v>
      </c>
      <c r="AC703">
        <v>2</v>
      </c>
      <c r="AD703" t="s">
        <v>32</v>
      </c>
      <c r="AE703" t="s">
        <v>42</v>
      </c>
      <c r="AF703" t="s">
        <v>57</v>
      </c>
    </row>
    <row r="704" spans="1:32" x14ac:dyDescent="0.25">
      <c r="A704">
        <v>33</v>
      </c>
      <c r="B704" t="s">
        <v>41</v>
      </c>
      <c r="C704" t="s">
        <v>61</v>
      </c>
      <c r="D704" t="s">
        <v>53</v>
      </c>
      <c r="E704">
        <v>5</v>
      </c>
      <c r="F704" t="s">
        <v>35</v>
      </c>
      <c r="G704">
        <v>3</v>
      </c>
      <c r="H704">
        <v>2</v>
      </c>
      <c r="I704" t="s">
        <v>64</v>
      </c>
      <c r="J704">
        <v>4</v>
      </c>
      <c r="K704" t="s">
        <v>50</v>
      </c>
      <c r="L704">
        <v>9998</v>
      </c>
      <c r="M704">
        <v>6</v>
      </c>
      <c r="N704" t="s">
        <v>41</v>
      </c>
      <c r="O704">
        <v>13</v>
      </c>
      <c r="P704">
        <v>3</v>
      </c>
      <c r="Q704">
        <v>0</v>
      </c>
      <c r="R704">
        <v>8</v>
      </c>
      <c r="S704">
        <v>2</v>
      </c>
      <c r="T704">
        <v>5</v>
      </c>
      <c r="U704">
        <v>1</v>
      </c>
      <c r="V704">
        <v>2</v>
      </c>
      <c r="W704" t="s">
        <v>38</v>
      </c>
      <c r="X704" s="1" t="d">
        <v>2016-02-16</v>
      </c>
      <c r="Z704" t="s">
        <v>59</v>
      </c>
      <c r="AA704" t="s">
        <v>40</v>
      </c>
      <c r="AB704">
        <v>3</v>
      </c>
      <c r="AC704">
        <v>1</v>
      </c>
      <c r="AD704" t="s">
        <v>32</v>
      </c>
      <c r="AE704" t="s">
        <v>60</v>
      </c>
      <c r="AF704" t="s">
        <v>48</v>
      </c>
    </row>
    <row r="705" spans="1:32" x14ac:dyDescent="0.25">
      <c r="A705">
        <v>52</v>
      </c>
      <c r="B705" t="s">
        <v>41</v>
      </c>
      <c r="C705" t="s">
        <v>61</v>
      </c>
      <c r="D705" t="s">
        <v>34</v>
      </c>
      <c r="E705">
        <v>28</v>
      </c>
      <c r="F705" t="s">
        <v>58</v>
      </c>
      <c r="G705">
        <v>4</v>
      </c>
      <c r="H705">
        <v>4</v>
      </c>
      <c r="I705" t="s">
        <v>67</v>
      </c>
      <c r="J705">
        <v>3</v>
      </c>
      <c r="K705" t="s">
        <v>50</v>
      </c>
      <c r="L705">
        <v>13247</v>
      </c>
      <c r="M705">
        <v>2</v>
      </c>
      <c r="N705" t="s">
        <v>32</v>
      </c>
      <c r="O705">
        <v>11</v>
      </c>
      <c r="P705">
        <v>3</v>
      </c>
      <c r="Q705">
        <v>1</v>
      </c>
      <c r="R705">
        <v>24</v>
      </c>
      <c r="S705">
        <v>3</v>
      </c>
      <c r="T705">
        <v>5</v>
      </c>
      <c r="U705">
        <v>0</v>
      </c>
      <c r="V705">
        <v>2</v>
      </c>
      <c r="W705" t="s">
        <v>38</v>
      </c>
      <c r="X705" s="1" t="d">
        <v>2016-02-22</v>
      </c>
      <c r="Z705" t="s">
        <v>59</v>
      </c>
      <c r="AA705" t="s">
        <v>40</v>
      </c>
      <c r="AB705">
        <v>3</v>
      </c>
      <c r="AC705">
        <v>3</v>
      </c>
      <c r="AD705" t="s">
        <v>32</v>
      </c>
      <c r="AE705" t="s">
        <v>42</v>
      </c>
      <c r="AF705" t="s">
        <v>57</v>
      </c>
    </row>
    <row r="706" spans="1:32" x14ac:dyDescent="0.25">
      <c r="A706">
        <v>52</v>
      </c>
      <c r="B706" t="s">
        <v>41</v>
      </c>
      <c r="C706" t="s">
        <v>33</v>
      </c>
      <c r="D706" t="s">
        <v>34</v>
      </c>
      <c r="E706">
        <v>8</v>
      </c>
      <c r="F706" t="s">
        <v>58</v>
      </c>
      <c r="G706">
        <v>3</v>
      </c>
      <c r="H706">
        <v>1</v>
      </c>
      <c r="I706" t="s">
        <v>36</v>
      </c>
      <c r="J706">
        <v>1</v>
      </c>
      <c r="K706" t="s">
        <v>50</v>
      </c>
      <c r="L706">
        <v>2950</v>
      </c>
      <c r="M706">
        <v>9</v>
      </c>
      <c r="N706" t="s">
        <v>41</v>
      </c>
      <c r="O706">
        <v>13</v>
      </c>
      <c r="P706">
        <v>3</v>
      </c>
      <c r="Q706">
        <v>0</v>
      </c>
      <c r="R706">
        <v>12</v>
      </c>
      <c r="S706">
        <v>2</v>
      </c>
      <c r="T706">
        <v>5</v>
      </c>
      <c r="U706">
        <v>0</v>
      </c>
      <c r="V706">
        <v>4</v>
      </c>
      <c r="W706" t="s">
        <v>51</v>
      </c>
      <c r="X706" s="1" t="d">
        <v>2016-06-01</v>
      </c>
      <c r="Z706" t="s">
        <v>63</v>
      </c>
      <c r="AA706" t="s">
        <v>40</v>
      </c>
      <c r="AB706">
        <v>2</v>
      </c>
      <c r="AC706">
        <v>3</v>
      </c>
      <c r="AD706" t="s">
        <v>32</v>
      </c>
      <c r="AE706" t="s">
        <v>47</v>
      </c>
      <c r="AF706" t="s">
        <v>57</v>
      </c>
    </row>
    <row r="707" spans="1:32" x14ac:dyDescent="0.25">
      <c r="A707">
        <v>36</v>
      </c>
      <c r="B707" t="s">
        <v>41</v>
      </c>
      <c r="C707" t="s">
        <v>33</v>
      </c>
      <c r="D707" t="s">
        <v>53</v>
      </c>
      <c r="E707">
        <v>3</v>
      </c>
      <c r="F707" t="s">
        <v>58</v>
      </c>
      <c r="G707">
        <v>3</v>
      </c>
      <c r="H707">
        <v>2</v>
      </c>
      <c r="I707" t="s">
        <v>64</v>
      </c>
      <c r="J707">
        <v>2</v>
      </c>
      <c r="K707" t="s">
        <v>37</v>
      </c>
      <c r="L707">
        <v>9278</v>
      </c>
      <c r="M707">
        <v>3</v>
      </c>
      <c r="N707" t="s">
        <v>32</v>
      </c>
      <c r="O707">
        <v>16</v>
      </c>
      <c r="P707">
        <v>3</v>
      </c>
      <c r="Q707">
        <v>0</v>
      </c>
      <c r="R707">
        <v>15</v>
      </c>
      <c r="S707">
        <v>3</v>
      </c>
      <c r="T707">
        <v>5</v>
      </c>
      <c r="U707">
        <v>0</v>
      </c>
      <c r="V707">
        <v>1</v>
      </c>
      <c r="W707" t="s">
        <v>38</v>
      </c>
      <c r="X707" s="1" t="d">
        <v>2016-01-01</v>
      </c>
      <c r="Z707" t="s">
        <v>45</v>
      </c>
      <c r="AA707" t="s">
        <v>46</v>
      </c>
      <c r="AB707">
        <v>0</v>
      </c>
      <c r="AC707">
        <v>2</v>
      </c>
      <c r="AD707" t="s">
        <v>41</v>
      </c>
      <c r="AE707" t="s">
        <v>42</v>
      </c>
      <c r="AF707" t="s">
        <v>57</v>
      </c>
    </row>
    <row r="708" spans="1:32" x14ac:dyDescent="0.25">
      <c r="A708">
        <v>27</v>
      </c>
      <c r="B708" t="s">
        <v>41</v>
      </c>
      <c r="C708" t="s">
        <v>33</v>
      </c>
      <c r="D708" t="s">
        <v>34</v>
      </c>
      <c r="E708">
        <v>11</v>
      </c>
      <c r="F708" t="s">
        <v>35</v>
      </c>
      <c r="G708">
        <v>3</v>
      </c>
      <c r="H708">
        <v>1</v>
      </c>
      <c r="I708" t="s">
        <v>36</v>
      </c>
      <c r="J708">
        <v>1</v>
      </c>
      <c r="K708" t="s">
        <v>50</v>
      </c>
      <c r="L708">
        <v>2099</v>
      </c>
      <c r="M708">
        <v>0</v>
      </c>
      <c r="N708" t="s">
        <v>41</v>
      </c>
      <c r="O708">
        <v>14</v>
      </c>
      <c r="P708">
        <v>3</v>
      </c>
      <c r="Q708">
        <v>0</v>
      </c>
      <c r="R708">
        <v>6</v>
      </c>
      <c r="S708">
        <v>3</v>
      </c>
      <c r="T708">
        <v>5</v>
      </c>
      <c r="U708">
        <v>1</v>
      </c>
      <c r="V708">
        <v>4</v>
      </c>
      <c r="W708" t="s">
        <v>38</v>
      </c>
      <c r="X708" s="1" t="d">
        <v>2016-04-23</v>
      </c>
      <c r="Z708" t="s">
        <v>52</v>
      </c>
      <c r="AA708" t="s">
        <v>40</v>
      </c>
      <c r="AB708">
        <v>2</v>
      </c>
      <c r="AC708">
        <v>0</v>
      </c>
      <c r="AD708" t="s">
        <v>41</v>
      </c>
      <c r="AE708" t="s">
        <v>62</v>
      </c>
      <c r="AF708" t="s">
        <v>43</v>
      </c>
    </row>
    <row r="709" spans="1:32" x14ac:dyDescent="0.25">
      <c r="A709">
        <v>24</v>
      </c>
      <c r="B709" t="s">
        <v>41</v>
      </c>
      <c r="C709" t="s">
        <v>33</v>
      </c>
      <c r="D709" t="s">
        <v>53</v>
      </c>
      <c r="E709">
        <v>4</v>
      </c>
      <c r="F709" t="s">
        <v>58</v>
      </c>
      <c r="G709">
        <v>3</v>
      </c>
      <c r="H709">
        <v>2</v>
      </c>
      <c r="I709" t="s">
        <v>64</v>
      </c>
      <c r="J709">
        <v>3</v>
      </c>
      <c r="K709" t="s">
        <v>50</v>
      </c>
      <c r="L709">
        <v>4162</v>
      </c>
      <c r="M709">
        <v>1</v>
      </c>
      <c r="N709" t="s">
        <v>32</v>
      </c>
      <c r="O709">
        <v>12</v>
      </c>
      <c r="P709">
        <v>3</v>
      </c>
      <c r="Q709">
        <v>2</v>
      </c>
      <c r="R709">
        <v>5</v>
      </c>
      <c r="S709">
        <v>3</v>
      </c>
      <c r="T709">
        <v>5</v>
      </c>
      <c r="U709">
        <v>0</v>
      </c>
      <c r="V709">
        <v>3</v>
      </c>
      <c r="W709" t="s">
        <v>56</v>
      </c>
      <c r="X709" s="1" t="d">
        <v>2016-04-10</v>
      </c>
      <c r="Z709" t="s">
        <v>45</v>
      </c>
      <c r="AA709" t="s">
        <v>40</v>
      </c>
      <c r="AB709">
        <v>4</v>
      </c>
      <c r="AC709">
        <v>1</v>
      </c>
      <c r="AD709" t="s">
        <v>32</v>
      </c>
      <c r="AE709" t="s">
        <v>60</v>
      </c>
      <c r="AF709" t="s">
        <v>48</v>
      </c>
    </row>
    <row r="710" spans="1:32" x14ac:dyDescent="0.25">
      <c r="A710">
        <v>34</v>
      </c>
      <c r="B710" t="s">
        <v>41</v>
      </c>
      <c r="C710" t="s">
        <v>33</v>
      </c>
      <c r="D710" t="s">
        <v>34</v>
      </c>
      <c r="E710">
        <v>1</v>
      </c>
      <c r="F710" t="s">
        <v>58</v>
      </c>
      <c r="G710">
        <v>2</v>
      </c>
      <c r="H710">
        <v>1</v>
      </c>
      <c r="I710" t="s">
        <v>36</v>
      </c>
      <c r="J710">
        <v>2</v>
      </c>
      <c r="K710" t="s">
        <v>50</v>
      </c>
      <c r="L710">
        <v>3294</v>
      </c>
      <c r="M710">
        <v>5</v>
      </c>
      <c r="N710" t="s">
        <v>41</v>
      </c>
      <c r="O710">
        <v>17</v>
      </c>
      <c r="P710">
        <v>3</v>
      </c>
      <c r="Q710">
        <v>1</v>
      </c>
      <c r="R710">
        <v>7</v>
      </c>
      <c r="S710">
        <v>2</v>
      </c>
      <c r="T710">
        <v>5</v>
      </c>
      <c r="U710">
        <v>0</v>
      </c>
      <c r="V710">
        <v>2</v>
      </c>
      <c r="W710" t="s">
        <v>51</v>
      </c>
      <c r="X710" s="1" t="d">
        <v>2016-01-06</v>
      </c>
      <c r="Z710" t="s">
        <v>45</v>
      </c>
      <c r="AA710" t="s">
        <v>40</v>
      </c>
      <c r="AB710">
        <v>5</v>
      </c>
      <c r="AC710">
        <v>0</v>
      </c>
      <c r="AD710" t="s">
        <v>32</v>
      </c>
      <c r="AE710" t="s">
        <v>60</v>
      </c>
      <c r="AF710" t="s">
        <v>48</v>
      </c>
    </row>
    <row r="711" spans="1:32" x14ac:dyDescent="0.25">
      <c r="A711">
        <v>28</v>
      </c>
      <c r="B711" t="s">
        <v>41</v>
      </c>
      <c r="C711" t="s">
        <v>33</v>
      </c>
      <c r="D711" t="s">
        <v>53</v>
      </c>
      <c r="E711">
        <v>5</v>
      </c>
      <c r="F711" t="s">
        <v>35</v>
      </c>
      <c r="G711">
        <v>3</v>
      </c>
      <c r="H711">
        <v>2</v>
      </c>
      <c r="I711" t="s">
        <v>64</v>
      </c>
      <c r="J711">
        <v>1</v>
      </c>
      <c r="K711" t="s">
        <v>37</v>
      </c>
      <c r="L711">
        <v>8463</v>
      </c>
      <c r="M711">
        <v>0</v>
      </c>
      <c r="N711" t="s">
        <v>41</v>
      </c>
      <c r="O711">
        <v>18</v>
      </c>
      <c r="P711">
        <v>3</v>
      </c>
      <c r="Q711">
        <v>0</v>
      </c>
      <c r="R711">
        <v>6</v>
      </c>
      <c r="S711">
        <v>4</v>
      </c>
      <c r="T711">
        <v>5</v>
      </c>
      <c r="U711">
        <v>1</v>
      </c>
      <c r="V711">
        <v>3</v>
      </c>
      <c r="W711" t="s">
        <v>38</v>
      </c>
      <c r="X711" s="1" t="d">
        <v>2016-03-05</v>
      </c>
      <c r="Z711" t="s">
        <v>59</v>
      </c>
      <c r="AA711" t="s">
        <v>46</v>
      </c>
      <c r="AB711">
        <v>3</v>
      </c>
      <c r="AC711">
        <v>1</v>
      </c>
      <c r="AD711" t="s">
        <v>41</v>
      </c>
      <c r="AE711" t="s">
        <v>42</v>
      </c>
      <c r="AF711" t="s">
        <v>57</v>
      </c>
    </row>
    <row r="712" spans="1:32" x14ac:dyDescent="0.25">
      <c r="A712">
        <v>44</v>
      </c>
      <c r="B712" t="s">
        <v>41</v>
      </c>
      <c r="C712" t="s">
        <v>68</v>
      </c>
      <c r="D712" t="s">
        <v>34</v>
      </c>
      <c r="E712">
        <v>5</v>
      </c>
      <c r="F712" t="s">
        <v>35</v>
      </c>
      <c r="G712">
        <v>2</v>
      </c>
      <c r="H712">
        <v>1</v>
      </c>
      <c r="I712" t="s">
        <v>36</v>
      </c>
      <c r="J712">
        <v>3</v>
      </c>
      <c r="K712" t="s">
        <v>37</v>
      </c>
      <c r="L712">
        <v>3162</v>
      </c>
      <c r="M712">
        <v>3</v>
      </c>
      <c r="N712" t="s">
        <v>41</v>
      </c>
      <c r="O712">
        <v>14</v>
      </c>
      <c r="P712">
        <v>3</v>
      </c>
      <c r="Q712">
        <v>0</v>
      </c>
      <c r="R712">
        <v>7</v>
      </c>
      <c r="S712">
        <v>5</v>
      </c>
      <c r="T712">
        <v>5</v>
      </c>
      <c r="U712">
        <v>0</v>
      </c>
      <c r="V712">
        <v>3</v>
      </c>
      <c r="W712" t="s">
        <v>65</v>
      </c>
      <c r="X712" s="1" t="d">
        <v>2016-01-11</v>
      </c>
      <c r="Z712" t="s">
        <v>39</v>
      </c>
      <c r="AA712" t="s">
        <v>46</v>
      </c>
      <c r="AB712">
        <v>3</v>
      </c>
      <c r="AC712">
        <v>3</v>
      </c>
      <c r="AD712" t="s">
        <v>32</v>
      </c>
      <c r="AE712" t="s">
        <v>62</v>
      </c>
      <c r="AF712" t="s">
        <v>48</v>
      </c>
    </row>
    <row r="713" spans="1:32" x14ac:dyDescent="0.25">
      <c r="A713">
        <v>44</v>
      </c>
      <c r="B713" t="s">
        <v>41</v>
      </c>
      <c r="C713" t="s">
        <v>33</v>
      </c>
      <c r="D713" t="s">
        <v>34</v>
      </c>
      <c r="E713">
        <v>20</v>
      </c>
      <c r="F713" t="s">
        <v>35</v>
      </c>
      <c r="G713">
        <v>3</v>
      </c>
      <c r="H713">
        <v>1</v>
      </c>
      <c r="I713" t="s">
        <v>44</v>
      </c>
      <c r="J713">
        <v>2</v>
      </c>
      <c r="K713" t="s">
        <v>37</v>
      </c>
      <c r="L713">
        <v>3420</v>
      </c>
      <c r="M713">
        <v>1</v>
      </c>
      <c r="N713" t="s">
        <v>41</v>
      </c>
      <c r="O713">
        <v>13</v>
      </c>
      <c r="P713">
        <v>3</v>
      </c>
      <c r="Q713">
        <v>0</v>
      </c>
      <c r="R713">
        <v>6</v>
      </c>
      <c r="S713">
        <v>3</v>
      </c>
      <c r="T713">
        <v>5</v>
      </c>
      <c r="U713">
        <v>1</v>
      </c>
      <c r="V713">
        <v>3</v>
      </c>
      <c r="W713" t="s">
        <v>38</v>
      </c>
      <c r="X713" s="1" t="d">
        <v>2016-02-22</v>
      </c>
      <c r="Z713" t="s">
        <v>45</v>
      </c>
      <c r="AA713" t="s">
        <v>40</v>
      </c>
      <c r="AB713">
        <v>1</v>
      </c>
      <c r="AC713">
        <v>0</v>
      </c>
      <c r="AD713" t="s">
        <v>32</v>
      </c>
      <c r="AE713" t="s">
        <v>47</v>
      </c>
      <c r="AF713" t="s">
        <v>57</v>
      </c>
    </row>
    <row r="714" spans="1:32" x14ac:dyDescent="0.25">
      <c r="A714">
        <v>29</v>
      </c>
      <c r="B714" t="s">
        <v>32</v>
      </c>
      <c r="C714" t="s">
        <v>61</v>
      </c>
      <c r="D714" t="s">
        <v>53</v>
      </c>
      <c r="E714">
        <v>13</v>
      </c>
      <c r="F714" t="s">
        <v>58</v>
      </c>
      <c r="G714">
        <v>3</v>
      </c>
      <c r="H714">
        <v>2</v>
      </c>
      <c r="I714" t="s">
        <v>64</v>
      </c>
      <c r="J714">
        <v>2</v>
      </c>
      <c r="K714" t="s">
        <v>37</v>
      </c>
      <c r="L714">
        <v>5765</v>
      </c>
      <c r="M714">
        <v>5</v>
      </c>
      <c r="N714" t="s">
        <v>41</v>
      </c>
      <c r="O714">
        <v>11</v>
      </c>
      <c r="P714">
        <v>3</v>
      </c>
      <c r="Q714">
        <v>0</v>
      </c>
      <c r="R714">
        <v>7</v>
      </c>
      <c r="S714">
        <v>4</v>
      </c>
      <c r="T714">
        <v>5</v>
      </c>
      <c r="U714">
        <v>0</v>
      </c>
      <c r="V714">
        <v>0</v>
      </c>
      <c r="W714" t="s">
        <v>56</v>
      </c>
      <c r="X714" s="1" t="d">
        <v>2016-03-28</v>
      </c>
      <c r="Z714" t="s">
        <v>45</v>
      </c>
      <c r="AA714" t="s">
        <v>46</v>
      </c>
      <c r="AB714">
        <v>4</v>
      </c>
      <c r="AC714">
        <v>2</v>
      </c>
      <c r="AD714" t="s">
        <v>41</v>
      </c>
      <c r="AE714" t="s">
        <v>62</v>
      </c>
      <c r="AF714" t="s">
        <v>43</v>
      </c>
    </row>
    <row r="715" spans="1:32" x14ac:dyDescent="0.25">
      <c r="A715">
        <v>30</v>
      </c>
      <c r="B715" t="s">
        <v>41</v>
      </c>
      <c r="C715" t="s">
        <v>33</v>
      </c>
      <c r="D715" t="s">
        <v>70</v>
      </c>
      <c r="E715">
        <v>1</v>
      </c>
      <c r="F715" t="s">
        <v>35</v>
      </c>
      <c r="G715">
        <v>3</v>
      </c>
      <c r="H715">
        <v>1</v>
      </c>
      <c r="I715" t="s">
        <v>70</v>
      </c>
      <c r="J715">
        <v>3</v>
      </c>
      <c r="K715" t="s">
        <v>55</v>
      </c>
      <c r="L715">
        <v>2064</v>
      </c>
      <c r="M715">
        <v>0</v>
      </c>
      <c r="N715" t="s">
        <v>41</v>
      </c>
      <c r="O715">
        <v>21</v>
      </c>
      <c r="P715">
        <v>4</v>
      </c>
      <c r="Q715">
        <v>1</v>
      </c>
      <c r="R715">
        <v>6</v>
      </c>
      <c r="S715">
        <v>3</v>
      </c>
      <c r="T715">
        <v>5</v>
      </c>
      <c r="U715">
        <v>1</v>
      </c>
      <c r="V715">
        <v>3</v>
      </c>
      <c r="W715" t="s">
        <v>65</v>
      </c>
      <c r="X715" s="1" t="d">
        <v>2016-02-18</v>
      </c>
      <c r="Z715" t="s">
        <v>45</v>
      </c>
      <c r="AA715" t="s">
        <v>40</v>
      </c>
      <c r="AB715">
        <v>2</v>
      </c>
      <c r="AC715">
        <v>0</v>
      </c>
      <c r="AD715" t="s">
        <v>32</v>
      </c>
      <c r="AE715" t="s">
        <v>47</v>
      </c>
      <c r="AF715" t="s">
        <v>48</v>
      </c>
    </row>
    <row r="716" spans="1:32" x14ac:dyDescent="0.25">
      <c r="A716">
        <v>33</v>
      </c>
      <c r="B716" t="s">
        <v>41</v>
      </c>
      <c r="C716" t="s">
        <v>33</v>
      </c>
      <c r="D716" t="s">
        <v>34</v>
      </c>
      <c r="E716">
        <v>4</v>
      </c>
      <c r="F716" t="s">
        <v>58</v>
      </c>
      <c r="G716">
        <v>2</v>
      </c>
      <c r="H716">
        <v>1</v>
      </c>
      <c r="I716" t="s">
        <v>36</v>
      </c>
      <c r="J716">
        <v>2</v>
      </c>
      <c r="K716" t="s">
        <v>50</v>
      </c>
      <c r="L716">
        <v>3838</v>
      </c>
      <c r="M716">
        <v>8</v>
      </c>
      <c r="N716" t="s">
        <v>41</v>
      </c>
      <c r="O716">
        <v>11</v>
      </c>
      <c r="P716">
        <v>3</v>
      </c>
      <c r="Q716">
        <v>0</v>
      </c>
      <c r="R716">
        <v>8</v>
      </c>
      <c r="S716">
        <v>5</v>
      </c>
      <c r="T716">
        <v>5</v>
      </c>
      <c r="U716">
        <v>0</v>
      </c>
      <c r="V716">
        <v>2</v>
      </c>
      <c r="W716" t="s">
        <v>38</v>
      </c>
      <c r="X716" s="1" t="d">
        <v>2016-02-28</v>
      </c>
      <c r="Z716" t="s">
        <v>63</v>
      </c>
      <c r="AA716" t="s">
        <v>46</v>
      </c>
      <c r="AB716">
        <v>0</v>
      </c>
      <c r="AC716">
        <v>1</v>
      </c>
      <c r="AD716" t="s">
        <v>32</v>
      </c>
      <c r="AE716" t="s">
        <v>60</v>
      </c>
      <c r="AF716" t="s">
        <v>48</v>
      </c>
    </row>
    <row r="717" spans="1:32" x14ac:dyDescent="0.25">
      <c r="A717">
        <v>47</v>
      </c>
      <c r="B717" t="s">
        <v>41</v>
      </c>
      <c r="C717" t="s">
        <v>33</v>
      </c>
      <c r="D717" t="s">
        <v>53</v>
      </c>
      <c r="E717">
        <v>14</v>
      </c>
      <c r="F717" t="s">
        <v>58</v>
      </c>
      <c r="G717">
        <v>3</v>
      </c>
      <c r="H717">
        <v>2</v>
      </c>
      <c r="I717" t="s">
        <v>64</v>
      </c>
      <c r="J717">
        <v>3</v>
      </c>
      <c r="K717" t="s">
        <v>50</v>
      </c>
      <c r="L717">
        <v>4591</v>
      </c>
      <c r="M717">
        <v>3</v>
      </c>
      <c r="N717" t="s">
        <v>32</v>
      </c>
      <c r="O717">
        <v>17</v>
      </c>
      <c r="P717">
        <v>3</v>
      </c>
      <c r="Q717">
        <v>1</v>
      </c>
      <c r="R717">
        <v>11</v>
      </c>
      <c r="S717">
        <v>4</v>
      </c>
      <c r="T717">
        <v>5</v>
      </c>
      <c r="U717">
        <v>1</v>
      </c>
      <c r="V717">
        <v>2</v>
      </c>
      <c r="W717" t="s">
        <v>56</v>
      </c>
      <c r="X717" s="1" t="d">
        <v>2016-03-27</v>
      </c>
      <c r="Z717" t="s">
        <v>45</v>
      </c>
      <c r="AA717" t="s">
        <v>46</v>
      </c>
      <c r="AB717">
        <v>4</v>
      </c>
      <c r="AC717">
        <v>1</v>
      </c>
      <c r="AD717" t="s">
        <v>32</v>
      </c>
      <c r="AE717" t="s">
        <v>42</v>
      </c>
      <c r="AF717" t="s">
        <v>48</v>
      </c>
    </row>
    <row r="718" spans="1:32" x14ac:dyDescent="0.25">
      <c r="A718">
        <v>32</v>
      </c>
      <c r="B718" t="s">
        <v>41</v>
      </c>
      <c r="C718" t="s">
        <v>33</v>
      </c>
      <c r="D718" t="s">
        <v>34</v>
      </c>
      <c r="E718">
        <v>10</v>
      </c>
      <c r="F718" t="s">
        <v>35</v>
      </c>
      <c r="G718">
        <v>3</v>
      </c>
      <c r="H718">
        <v>3</v>
      </c>
      <c r="I718" t="s">
        <v>66</v>
      </c>
      <c r="J718">
        <v>4</v>
      </c>
      <c r="K718" t="s">
        <v>37</v>
      </c>
      <c r="L718">
        <v>11244</v>
      </c>
      <c r="M718">
        <v>2</v>
      </c>
      <c r="N718" t="s">
        <v>41</v>
      </c>
      <c r="O718">
        <v>25</v>
      </c>
      <c r="P718">
        <v>4</v>
      </c>
      <c r="Q718">
        <v>0</v>
      </c>
      <c r="R718">
        <v>10</v>
      </c>
      <c r="S718">
        <v>5</v>
      </c>
      <c r="T718">
        <v>5</v>
      </c>
      <c r="U718">
        <v>0</v>
      </c>
      <c r="V718">
        <v>0</v>
      </c>
      <c r="W718" t="s">
        <v>56</v>
      </c>
      <c r="X718" s="1" t="d">
        <v>2016-01-29</v>
      </c>
      <c r="Z718" t="s">
        <v>59</v>
      </c>
      <c r="AA718" t="s">
        <v>40</v>
      </c>
      <c r="AB718">
        <v>0</v>
      </c>
      <c r="AC718">
        <v>2</v>
      </c>
      <c r="AD718" t="s">
        <v>41</v>
      </c>
      <c r="AE718" t="s">
        <v>42</v>
      </c>
      <c r="AF718" t="s">
        <v>57</v>
      </c>
    </row>
    <row r="719" spans="1:32" x14ac:dyDescent="0.25">
      <c r="A719">
        <v>40</v>
      </c>
      <c r="B719" t="s">
        <v>32</v>
      </c>
      <c r="C719" t="s">
        <v>33</v>
      </c>
      <c r="D719" t="s">
        <v>34</v>
      </c>
      <c r="E719">
        <v>9</v>
      </c>
      <c r="F719" t="s">
        <v>35</v>
      </c>
      <c r="G719">
        <v>3</v>
      </c>
      <c r="H719">
        <v>1</v>
      </c>
      <c r="I719" t="s">
        <v>36</v>
      </c>
      <c r="J719">
        <v>1</v>
      </c>
      <c r="K719" t="s">
        <v>37</v>
      </c>
      <c r="L719">
        <v>2018</v>
      </c>
      <c r="M719">
        <v>3</v>
      </c>
      <c r="N719" t="s">
        <v>41</v>
      </c>
      <c r="O719">
        <v>14</v>
      </c>
      <c r="P719">
        <v>3</v>
      </c>
      <c r="Q719">
        <v>0</v>
      </c>
      <c r="R719">
        <v>15</v>
      </c>
      <c r="S719">
        <v>3</v>
      </c>
      <c r="T719">
        <v>5</v>
      </c>
      <c r="U719">
        <v>1</v>
      </c>
      <c r="V719">
        <v>0</v>
      </c>
      <c r="W719" t="s">
        <v>51</v>
      </c>
      <c r="X719" s="1" t="d">
        <v>2016-03-08</v>
      </c>
      <c r="Z719" t="s">
        <v>63</v>
      </c>
      <c r="AA719" t="s">
        <v>46</v>
      </c>
      <c r="AB719">
        <v>2</v>
      </c>
      <c r="AC719">
        <v>0</v>
      </c>
      <c r="AD719" t="s">
        <v>32</v>
      </c>
      <c r="AE719" t="s">
        <v>42</v>
      </c>
      <c r="AF719" t="s">
        <v>43</v>
      </c>
    </row>
    <row r="720" spans="1:32" x14ac:dyDescent="0.25">
      <c r="A720">
        <v>33</v>
      </c>
      <c r="B720" t="s">
        <v>41</v>
      </c>
      <c r="C720" t="s">
        <v>33</v>
      </c>
      <c r="D720" t="s">
        <v>34</v>
      </c>
      <c r="E720">
        <v>25</v>
      </c>
      <c r="F720" t="s">
        <v>35</v>
      </c>
      <c r="G720">
        <v>2</v>
      </c>
      <c r="H720">
        <v>2</v>
      </c>
      <c r="I720" t="s">
        <v>67</v>
      </c>
      <c r="J720">
        <v>2</v>
      </c>
      <c r="K720" t="s">
        <v>37</v>
      </c>
      <c r="L720">
        <v>4320</v>
      </c>
      <c r="M720">
        <v>1</v>
      </c>
      <c r="N720" t="s">
        <v>41</v>
      </c>
      <c r="O720">
        <v>13</v>
      </c>
      <c r="P720">
        <v>3</v>
      </c>
      <c r="Q720">
        <v>0</v>
      </c>
      <c r="R720">
        <v>5</v>
      </c>
      <c r="S720">
        <v>2</v>
      </c>
      <c r="T720">
        <v>5</v>
      </c>
      <c r="U720">
        <v>0</v>
      </c>
      <c r="V720">
        <v>2</v>
      </c>
      <c r="W720" t="s">
        <v>65</v>
      </c>
      <c r="X720" s="1" t="d">
        <v>2016-04-14</v>
      </c>
      <c r="Z720" t="s">
        <v>39</v>
      </c>
      <c r="AA720" t="s">
        <v>46</v>
      </c>
      <c r="AB720">
        <v>0</v>
      </c>
      <c r="AC720">
        <v>3</v>
      </c>
      <c r="AD720" t="s">
        <v>32</v>
      </c>
      <c r="AE720" t="s">
        <v>42</v>
      </c>
      <c r="AF720" t="s">
        <v>57</v>
      </c>
    </row>
    <row r="721" spans="1:32" x14ac:dyDescent="0.25">
      <c r="A721">
        <v>45</v>
      </c>
      <c r="B721" t="s">
        <v>41</v>
      </c>
      <c r="C721" t="s">
        <v>33</v>
      </c>
      <c r="D721" t="s">
        <v>34</v>
      </c>
      <c r="E721">
        <v>28</v>
      </c>
      <c r="F721" t="s">
        <v>35</v>
      </c>
      <c r="G721">
        <v>3</v>
      </c>
      <c r="H721">
        <v>1</v>
      </c>
      <c r="I721" t="s">
        <v>44</v>
      </c>
      <c r="J721">
        <v>4</v>
      </c>
      <c r="K721" t="s">
        <v>50</v>
      </c>
      <c r="L721">
        <v>2132</v>
      </c>
      <c r="M721">
        <v>4</v>
      </c>
      <c r="N721" t="s">
        <v>41</v>
      </c>
      <c r="O721">
        <v>20</v>
      </c>
      <c r="P721">
        <v>4</v>
      </c>
      <c r="Q721">
        <v>1</v>
      </c>
      <c r="R721">
        <v>8</v>
      </c>
      <c r="S721">
        <v>3</v>
      </c>
      <c r="T721">
        <v>5</v>
      </c>
      <c r="U721">
        <v>0</v>
      </c>
      <c r="V721">
        <v>3</v>
      </c>
      <c r="W721" t="s">
        <v>38</v>
      </c>
      <c r="X721" s="1" t="d">
        <v>2016-02-01</v>
      </c>
      <c r="Z721" t="s">
        <v>59</v>
      </c>
      <c r="AA721" t="s">
        <v>40</v>
      </c>
      <c r="AB721">
        <v>3</v>
      </c>
      <c r="AC721">
        <v>3</v>
      </c>
      <c r="AD721" t="s">
        <v>32</v>
      </c>
      <c r="AE721" t="s">
        <v>62</v>
      </c>
      <c r="AF721" t="s">
        <v>48</v>
      </c>
    </row>
    <row r="722" spans="1:32" x14ac:dyDescent="0.25">
      <c r="A722">
        <v>35</v>
      </c>
      <c r="B722" t="s">
        <v>41</v>
      </c>
      <c r="C722" t="s">
        <v>33</v>
      </c>
      <c r="D722" t="s">
        <v>53</v>
      </c>
      <c r="E722">
        <v>28</v>
      </c>
      <c r="F722" t="s">
        <v>58</v>
      </c>
      <c r="G722">
        <v>2</v>
      </c>
      <c r="H722">
        <v>1</v>
      </c>
      <c r="I722" t="s">
        <v>54</v>
      </c>
      <c r="J722">
        <v>3</v>
      </c>
      <c r="K722" t="s">
        <v>50</v>
      </c>
      <c r="L722">
        <v>2430</v>
      </c>
      <c r="M722">
        <v>0</v>
      </c>
      <c r="N722" t="s">
        <v>41</v>
      </c>
      <c r="O722">
        <v>23</v>
      </c>
      <c r="P722">
        <v>4</v>
      </c>
      <c r="Q722">
        <v>2</v>
      </c>
      <c r="R722">
        <v>6</v>
      </c>
      <c r="S722">
        <v>5</v>
      </c>
      <c r="T722">
        <v>5</v>
      </c>
      <c r="U722">
        <v>4</v>
      </c>
      <c r="V722">
        <v>2</v>
      </c>
      <c r="W722" t="s">
        <v>65</v>
      </c>
      <c r="X722" s="1" t="d">
        <v>2016-03-14</v>
      </c>
      <c r="Z722" t="s">
        <v>63</v>
      </c>
      <c r="AA722" t="s">
        <v>40</v>
      </c>
      <c r="AB722">
        <v>4</v>
      </c>
      <c r="AC722">
        <v>3</v>
      </c>
      <c r="AD722" t="s">
        <v>41</v>
      </c>
      <c r="AE722" t="s">
        <v>60</v>
      </c>
      <c r="AF722" t="s">
        <v>43</v>
      </c>
    </row>
    <row r="723" spans="1:32" x14ac:dyDescent="0.25">
      <c r="A723">
        <v>38</v>
      </c>
      <c r="B723" t="s">
        <v>32</v>
      </c>
      <c r="C723" t="s">
        <v>33</v>
      </c>
      <c r="D723" t="s">
        <v>34</v>
      </c>
      <c r="E723">
        <v>2</v>
      </c>
      <c r="F723" t="s">
        <v>35</v>
      </c>
      <c r="G723">
        <v>3</v>
      </c>
      <c r="H723">
        <v>2</v>
      </c>
      <c r="I723" t="s">
        <v>67</v>
      </c>
      <c r="J723">
        <v>2</v>
      </c>
      <c r="K723" t="s">
        <v>50</v>
      </c>
      <c r="L723">
        <v>4855</v>
      </c>
      <c r="M723">
        <v>4</v>
      </c>
      <c r="N723" t="s">
        <v>41</v>
      </c>
      <c r="O723">
        <v>11</v>
      </c>
      <c r="P723">
        <v>3</v>
      </c>
      <c r="Q723">
        <v>2</v>
      </c>
      <c r="R723">
        <v>7</v>
      </c>
      <c r="S723">
        <v>2</v>
      </c>
      <c r="T723">
        <v>5</v>
      </c>
      <c r="U723">
        <v>1</v>
      </c>
      <c r="V723">
        <v>4</v>
      </c>
      <c r="W723" t="s">
        <v>38</v>
      </c>
      <c r="X723" s="1" t="d">
        <v>2016-02-16</v>
      </c>
      <c r="Z723" t="s">
        <v>59</v>
      </c>
      <c r="AA723" t="s">
        <v>40</v>
      </c>
      <c r="AB723">
        <v>4</v>
      </c>
      <c r="AC723">
        <v>1</v>
      </c>
      <c r="AD723" t="s">
        <v>32</v>
      </c>
      <c r="AE723" t="s">
        <v>62</v>
      </c>
      <c r="AF723" t="s">
        <v>57</v>
      </c>
    </row>
    <row r="724" spans="1:32" x14ac:dyDescent="0.25">
      <c r="A724">
        <v>35</v>
      </c>
      <c r="B724" t="s">
        <v>41</v>
      </c>
      <c r="C724" t="s">
        <v>33</v>
      </c>
      <c r="D724" t="s">
        <v>34</v>
      </c>
      <c r="E724">
        <v>10</v>
      </c>
      <c r="F724" t="s">
        <v>58</v>
      </c>
      <c r="G724">
        <v>3</v>
      </c>
      <c r="H724">
        <v>2</v>
      </c>
      <c r="I724" t="s">
        <v>69</v>
      </c>
      <c r="J724">
        <v>3</v>
      </c>
      <c r="K724" t="s">
        <v>37</v>
      </c>
      <c r="L724">
        <v>6142</v>
      </c>
      <c r="M724">
        <v>3</v>
      </c>
      <c r="N724" t="s">
        <v>32</v>
      </c>
      <c r="O724">
        <v>16</v>
      </c>
      <c r="P724">
        <v>3</v>
      </c>
      <c r="Q724">
        <v>0</v>
      </c>
      <c r="R724">
        <v>10</v>
      </c>
      <c r="S724">
        <v>4</v>
      </c>
      <c r="T724">
        <v>5</v>
      </c>
      <c r="U724">
        <v>0</v>
      </c>
      <c r="V724">
        <v>4</v>
      </c>
      <c r="W724" t="s">
        <v>65</v>
      </c>
      <c r="X724" s="1" t="d">
        <v>2016-01-12</v>
      </c>
      <c r="Z724" t="s">
        <v>59</v>
      </c>
      <c r="AA724" t="s">
        <v>40</v>
      </c>
      <c r="AB724">
        <v>0</v>
      </c>
      <c r="AC724">
        <v>3</v>
      </c>
      <c r="AD724" t="s">
        <v>32</v>
      </c>
      <c r="AE724" t="s">
        <v>47</v>
      </c>
      <c r="AF724" t="s">
        <v>48</v>
      </c>
    </row>
    <row r="725" spans="1:32" x14ac:dyDescent="0.25">
      <c r="A725">
        <v>40</v>
      </c>
      <c r="B725" t="s">
        <v>41</v>
      </c>
      <c r="C725" t="s">
        <v>33</v>
      </c>
      <c r="D725" t="s">
        <v>53</v>
      </c>
      <c r="E725">
        <v>14</v>
      </c>
      <c r="F725" t="s">
        <v>58</v>
      </c>
      <c r="G725">
        <v>3</v>
      </c>
      <c r="H725">
        <v>2</v>
      </c>
      <c r="I725" t="s">
        <v>64</v>
      </c>
      <c r="J725">
        <v>1</v>
      </c>
      <c r="K725" t="s">
        <v>50</v>
      </c>
      <c r="L725">
        <v>4639</v>
      </c>
      <c r="M725">
        <v>1</v>
      </c>
      <c r="N725" t="s">
        <v>41</v>
      </c>
      <c r="O725">
        <v>15</v>
      </c>
      <c r="P725">
        <v>3</v>
      </c>
      <c r="Q725">
        <v>1</v>
      </c>
      <c r="R725">
        <v>5</v>
      </c>
      <c r="S725">
        <v>2</v>
      </c>
      <c r="T725">
        <v>5</v>
      </c>
      <c r="U725">
        <v>1</v>
      </c>
      <c r="V725">
        <v>2</v>
      </c>
      <c r="W725" t="s">
        <v>38</v>
      </c>
      <c r="X725" s="1" t="d">
        <v>2016-03-14</v>
      </c>
      <c r="Z725" t="s">
        <v>63</v>
      </c>
      <c r="AA725" t="s">
        <v>40</v>
      </c>
      <c r="AB725">
        <v>0</v>
      </c>
      <c r="AC725">
        <v>2</v>
      </c>
      <c r="AD725" t="s">
        <v>41</v>
      </c>
      <c r="AE725" t="s">
        <v>47</v>
      </c>
      <c r="AF725" t="s">
        <v>57</v>
      </c>
    </row>
    <row r="726" spans="1:32" x14ac:dyDescent="0.25">
      <c r="A726">
        <v>31</v>
      </c>
      <c r="B726" t="s">
        <v>41</v>
      </c>
      <c r="C726" t="s">
        <v>61</v>
      </c>
      <c r="D726" t="s">
        <v>53</v>
      </c>
      <c r="E726">
        <v>2</v>
      </c>
      <c r="F726" t="s">
        <v>35</v>
      </c>
      <c r="G726">
        <v>3</v>
      </c>
      <c r="H726">
        <v>2</v>
      </c>
      <c r="I726" t="s">
        <v>64</v>
      </c>
      <c r="J726">
        <v>1</v>
      </c>
      <c r="K726" t="s">
        <v>37</v>
      </c>
      <c r="L726">
        <v>5332</v>
      </c>
      <c r="M726">
        <v>7</v>
      </c>
      <c r="N726" t="s">
        <v>41</v>
      </c>
      <c r="O726">
        <v>13</v>
      </c>
      <c r="P726">
        <v>3</v>
      </c>
      <c r="Q726">
        <v>0</v>
      </c>
      <c r="R726">
        <v>10</v>
      </c>
      <c r="S726">
        <v>3</v>
      </c>
      <c r="T726">
        <v>5</v>
      </c>
      <c r="U726">
        <v>0</v>
      </c>
      <c r="V726">
        <v>3</v>
      </c>
      <c r="W726" t="s">
        <v>65</v>
      </c>
      <c r="X726" s="1" t="d">
        <v>2016-06-05</v>
      </c>
      <c r="Z726" t="s">
        <v>45</v>
      </c>
      <c r="AA726" t="s">
        <v>40</v>
      </c>
      <c r="AB726">
        <v>0</v>
      </c>
      <c r="AC726">
        <v>0</v>
      </c>
      <c r="AD726" t="s">
        <v>41</v>
      </c>
      <c r="AE726" t="s">
        <v>62</v>
      </c>
      <c r="AF726" t="s">
        <v>57</v>
      </c>
    </row>
    <row r="727" spans="1:32" x14ac:dyDescent="0.25">
      <c r="A727">
        <v>28</v>
      </c>
      <c r="B727" t="s">
        <v>41</v>
      </c>
      <c r="C727" t="s">
        <v>33</v>
      </c>
      <c r="D727" t="s">
        <v>34</v>
      </c>
      <c r="E727">
        <v>27</v>
      </c>
      <c r="F727" t="s">
        <v>58</v>
      </c>
      <c r="G727">
        <v>1</v>
      </c>
      <c r="H727">
        <v>2</v>
      </c>
      <c r="I727" t="s">
        <v>67</v>
      </c>
      <c r="J727">
        <v>1</v>
      </c>
      <c r="K727" t="s">
        <v>55</v>
      </c>
      <c r="L727">
        <v>4877</v>
      </c>
      <c r="M727">
        <v>0</v>
      </c>
      <c r="N727" t="s">
        <v>41</v>
      </c>
      <c r="O727">
        <v>21</v>
      </c>
      <c r="P727">
        <v>4</v>
      </c>
      <c r="Q727">
        <v>1</v>
      </c>
      <c r="R727">
        <v>6</v>
      </c>
      <c r="S727">
        <v>5</v>
      </c>
      <c r="T727">
        <v>5</v>
      </c>
      <c r="U727">
        <v>0</v>
      </c>
      <c r="V727">
        <v>0</v>
      </c>
      <c r="W727" t="s">
        <v>65</v>
      </c>
      <c r="X727" s="1" t="d">
        <v>2016-03-03</v>
      </c>
      <c r="Z727" t="s">
        <v>52</v>
      </c>
      <c r="AA727" t="s">
        <v>40</v>
      </c>
      <c r="AB727">
        <v>0</v>
      </c>
      <c r="AC727">
        <v>1</v>
      </c>
      <c r="AD727" t="s">
        <v>41</v>
      </c>
      <c r="AE727" t="s">
        <v>47</v>
      </c>
      <c r="AF727" t="s">
        <v>43</v>
      </c>
    </row>
    <row r="728" spans="1:32" x14ac:dyDescent="0.25">
      <c r="A728">
        <v>47</v>
      </c>
      <c r="B728" t="s">
        <v>41</v>
      </c>
      <c r="C728" t="s">
        <v>33</v>
      </c>
      <c r="D728" t="s">
        <v>70</v>
      </c>
      <c r="E728">
        <v>26</v>
      </c>
      <c r="F728" t="s">
        <v>58</v>
      </c>
      <c r="G728">
        <v>3</v>
      </c>
      <c r="H728">
        <v>5</v>
      </c>
      <c r="I728" t="s">
        <v>66</v>
      </c>
      <c r="J728">
        <v>3</v>
      </c>
      <c r="K728" t="s">
        <v>50</v>
      </c>
      <c r="L728">
        <v>19658</v>
      </c>
      <c r="M728">
        <v>3</v>
      </c>
      <c r="N728" t="s">
        <v>41</v>
      </c>
      <c r="O728">
        <v>11</v>
      </c>
      <c r="P728">
        <v>3</v>
      </c>
      <c r="Q728">
        <v>1</v>
      </c>
      <c r="R728">
        <v>27</v>
      </c>
      <c r="S728">
        <v>2</v>
      </c>
      <c r="T728">
        <v>5</v>
      </c>
      <c r="U728">
        <v>1</v>
      </c>
      <c r="V728">
        <v>0</v>
      </c>
      <c r="W728" t="s">
        <v>38</v>
      </c>
      <c r="X728" s="1" t="d">
        <v>2016-05-26</v>
      </c>
      <c r="Z728" t="s">
        <v>63</v>
      </c>
      <c r="AA728" t="s">
        <v>46</v>
      </c>
      <c r="AB728">
        <v>5</v>
      </c>
      <c r="AC728">
        <v>1</v>
      </c>
      <c r="AD728" t="s">
        <v>41</v>
      </c>
      <c r="AE728" t="s">
        <v>47</v>
      </c>
      <c r="AF728" t="s">
        <v>48</v>
      </c>
    </row>
    <row r="729" spans="1:32" x14ac:dyDescent="0.25">
      <c r="A729">
        <v>38</v>
      </c>
      <c r="B729" t="s">
        <v>41</v>
      </c>
      <c r="C729" t="s">
        <v>33</v>
      </c>
      <c r="D729" t="s">
        <v>34</v>
      </c>
      <c r="E729">
        <v>2</v>
      </c>
      <c r="F729" t="s">
        <v>58</v>
      </c>
      <c r="G729">
        <v>2</v>
      </c>
      <c r="H729">
        <v>3</v>
      </c>
      <c r="I729" t="s">
        <v>67</v>
      </c>
      <c r="J729">
        <v>3</v>
      </c>
      <c r="K729" t="s">
        <v>50</v>
      </c>
      <c r="L729">
        <v>7756</v>
      </c>
      <c r="M729">
        <v>3</v>
      </c>
      <c r="N729" t="s">
        <v>32</v>
      </c>
      <c r="O729">
        <v>19</v>
      </c>
      <c r="P729">
        <v>3</v>
      </c>
      <c r="Q729">
        <v>1</v>
      </c>
      <c r="R729">
        <v>10</v>
      </c>
      <c r="S729">
        <v>6</v>
      </c>
      <c r="T729">
        <v>5</v>
      </c>
      <c r="U729">
        <v>0</v>
      </c>
      <c r="V729">
        <v>2</v>
      </c>
      <c r="W729" t="s">
        <v>38</v>
      </c>
      <c r="X729" s="1" t="d">
        <v>2016-01-13</v>
      </c>
      <c r="Z729" t="s">
        <v>63</v>
      </c>
      <c r="AA729" t="s">
        <v>40</v>
      </c>
      <c r="AB729">
        <v>4</v>
      </c>
      <c r="AC729">
        <v>3</v>
      </c>
      <c r="AD729" t="s">
        <v>32</v>
      </c>
      <c r="AE729" t="s">
        <v>47</v>
      </c>
      <c r="AF729" t="s">
        <v>48</v>
      </c>
    </row>
    <row r="730" spans="1:32" x14ac:dyDescent="0.25">
      <c r="A730">
        <v>29</v>
      </c>
      <c r="B730" t="s">
        <v>41</v>
      </c>
      <c r="C730" t="s">
        <v>33</v>
      </c>
      <c r="D730" t="s">
        <v>53</v>
      </c>
      <c r="E730">
        <v>10</v>
      </c>
      <c r="F730" t="s">
        <v>35</v>
      </c>
      <c r="G730">
        <v>2</v>
      </c>
      <c r="H730">
        <v>2</v>
      </c>
      <c r="I730" t="s">
        <v>64</v>
      </c>
      <c r="J730">
        <v>3</v>
      </c>
      <c r="K730" t="s">
        <v>37</v>
      </c>
      <c r="L730">
        <v>5869</v>
      </c>
      <c r="M730">
        <v>9</v>
      </c>
      <c r="N730" t="s">
        <v>41</v>
      </c>
      <c r="O730">
        <v>11</v>
      </c>
      <c r="P730">
        <v>3</v>
      </c>
      <c r="Q730">
        <v>0</v>
      </c>
      <c r="R730">
        <v>8</v>
      </c>
      <c r="S730">
        <v>2</v>
      </c>
      <c r="T730">
        <v>5</v>
      </c>
      <c r="U730">
        <v>1</v>
      </c>
      <c r="V730">
        <v>4</v>
      </c>
      <c r="W730" t="s">
        <v>65</v>
      </c>
      <c r="X730" s="1" t="d">
        <v>2016-01-10</v>
      </c>
      <c r="Z730" t="s">
        <v>63</v>
      </c>
      <c r="AA730" t="s">
        <v>46</v>
      </c>
      <c r="AB730">
        <v>1</v>
      </c>
      <c r="AC730">
        <v>1</v>
      </c>
      <c r="AD730" t="s">
        <v>41</v>
      </c>
      <c r="AE730" t="s">
        <v>60</v>
      </c>
      <c r="AF730" t="s">
        <v>57</v>
      </c>
    </row>
    <row r="731" spans="1:32" x14ac:dyDescent="0.25">
      <c r="A731">
        <v>39</v>
      </c>
      <c r="B731" t="s">
        <v>41</v>
      </c>
      <c r="C731" t="s">
        <v>33</v>
      </c>
      <c r="D731" t="s">
        <v>34</v>
      </c>
      <c r="E731">
        <v>12</v>
      </c>
      <c r="F731" t="s">
        <v>35</v>
      </c>
      <c r="G731">
        <v>3</v>
      </c>
      <c r="H731">
        <v>2</v>
      </c>
      <c r="I731" t="s">
        <v>67</v>
      </c>
      <c r="J731">
        <v>2</v>
      </c>
      <c r="K731" t="s">
        <v>50</v>
      </c>
      <c r="L731">
        <v>5295</v>
      </c>
      <c r="M731">
        <v>4</v>
      </c>
      <c r="N731" t="s">
        <v>41</v>
      </c>
      <c r="O731">
        <v>21</v>
      </c>
      <c r="P731">
        <v>4</v>
      </c>
      <c r="Q731">
        <v>0</v>
      </c>
      <c r="R731">
        <v>7</v>
      </c>
      <c r="S731">
        <v>3</v>
      </c>
      <c r="T731">
        <v>5</v>
      </c>
      <c r="U731">
        <v>1</v>
      </c>
      <c r="V731">
        <v>0</v>
      </c>
      <c r="W731" t="s">
        <v>38</v>
      </c>
      <c r="X731" s="1" t="d">
        <v>2016-01-10</v>
      </c>
      <c r="Z731" t="s">
        <v>59</v>
      </c>
      <c r="AA731" t="s">
        <v>40</v>
      </c>
      <c r="AB731">
        <v>0</v>
      </c>
      <c r="AC731">
        <v>2</v>
      </c>
      <c r="AD731" t="s">
        <v>41</v>
      </c>
      <c r="AE731" t="s">
        <v>47</v>
      </c>
      <c r="AF731" t="s">
        <v>43</v>
      </c>
    </row>
    <row r="732" spans="1:32" x14ac:dyDescent="0.25">
      <c r="A732">
        <v>36</v>
      </c>
      <c r="B732" t="s">
        <v>41</v>
      </c>
      <c r="C732" t="s">
        <v>33</v>
      </c>
      <c r="D732" t="s">
        <v>34</v>
      </c>
      <c r="E732">
        <v>3</v>
      </c>
      <c r="F732" t="s">
        <v>35</v>
      </c>
      <c r="G732">
        <v>4</v>
      </c>
      <c r="H732">
        <v>2</v>
      </c>
      <c r="I732" t="s">
        <v>69</v>
      </c>
      <c r="J732">
        <v>1</v>
      </c>
      <c r="K732" t="s">
        <v>55</v>
      </c>
      <c r="L732">
        <v>6842</v>
      </c>
      <c r="M732">
        <v>6</v>
      </c>
      <c r="N732" t="s">
        <v>41</v>
      </c>
      <c r="O732">
        <v>20</v>
      </c>
      <c r="P732">
        <v>4</v>
      </c>
      <c r="Q732">
        <v>1</v>
      </c>
      <c r="R732">
        <v>13</v>
      </c>
      <c r="S732">
        <v>3</v>
      </c>
      <c r="T732">
        <v>5</v>
      </c>
      <c r="U732">
        <v>0</v>
      </c>
      <c r="V732">
        <v>4</v>
      </c>
      <c r="W732" t="s">
        <v>38</v>
      </c>
      <c r="X732" s="1" t="d">
        <v>2016-05-14</v>
      </c>
      <c r="Z732" t="s">
        <v>52</v>
      </c>
      <c r="AA732" t="s">
        <v>46</v>
      </c>
      <c r="AB732">
        <v>2</v>
      </c>
      <c r="AC732">
        <v>2</v>
      </c>
      <c r="AD732" t="s">
        <v>41</v>
      </c>
      <c r="AE732" t="s">
        <v>47</v>
      </c>
      <c r="AF732" t="s">
        <v>57</v>
      </c>
    </row>
    <row r="733" spans="1:32" x14ac:dyDescent="0.25">
      <c r="A733">
        <v>23</v>
      </c>
      <c r="B733" t="s">
        <v>32</v>
      </c>
      <c r="C733" t="s">
        <v>33</v>
      </c>
      <c r="D733" t="s">
        <v>34</v>
      </c>
      <c r="E733">
        <v>8</v>
      </c>
      <c r="F733" t="s">
        <v>35</v>
      </c>
      <c r="G733">
        <v>2</v>
      </c>
      <c r="H733">
        <v>1</v>
      </c>
      <c r="I733" t="s">
        <v>36</v>
      </c>
      <c r="J733">
        <v>3</v>
      </c>
      <c r="K733" t="s">
        <v>37</v>
      </c>
      <c r="L733">
        <v>3989</v>
      </c>
      <c r="M733">
        <v>1</v>
      </c>
      <c r="N733" t="s">
        <v>32</v>
      </c>
      <c r="O733">
        <v>11</v>
      </c>
      <c r="P733">
        <v>3</v>
      </c>
      <c r="Q733">
        <v>0</v>
      </c>
      <c r="R733">
        <v>5</v>
      </c>
      <c r="S733">
        <v>2</v>
      </c>
      <c r="T733">
        <v>5</v>
      </c>
      <c r="U733">
        <v>1</v>
      </c>
      <c r="V733">
        <v>2</v>
      </c>
      <c r="W733" t="s">
        <v>38</v>
      </c>
      <c r="X733" s="1" t="d">
        <v>2016-06-03</v>
      </c>
      <c r="Z733" t="s">
        <v>39</v>
      </c>
      <c r="AA733" t="s">
        <v>40</v>
      </c>
      <c r="AB733">
        <v>1</v>
      </c>
      <c r="AC733">
        <v>2</v>
      </c>
      <c r="AD733" t="s">
        <v>41</v>
      </c>
      <c r="AE733" t="s">
        <v>60</v>
      </c>
      <c r="AF733" t="s">
        <v>48</v>
      </c>
    </row>
    <row r="734" spans="1:32" x14ac:dyDescent="0.25">
      <c r="A734">
        <v>35</v>
      </c>
      <c r="B734" t="s">
        <v>41</v>
      </c>
      <c r="C734" t="s">
        <v>61</v>
      </c>
      <c r="D734" t="s">
        <v>34</v>
      </c>
      <c r="E734">
        <v>2</v>
      </c>
      <c r="F734" t="s">
        <v>35</v>
      </c>
      <c r="G734">
        <v>2</v>
      </c>
      <c r="H734">
        <v>1</v>
      </c>
      <c r="I734" t="s">
        <v>44</v>
      </c>
      <c r="J734">
        <v>4</v>
      </c>
      <c r="K734" t="s">
        <v>37</v>
      </c>
      <c r="L734">
        <v>4930</v>
      </c>
      <c r="M734">
        <v>0</v>
      </c>
      <c r="N734" t="s">
        <v>32</v>
      </c>
      <c r="O734">
        <v>14</v>
      </c>
      <c r="P734">
        <v>3</v>
      </c>
      <c r="Q734">
        <v>0</v>
      </c>
      <c r="R734">
        <v>6</v>
      </c>
      <c r="S734">
        <v>2</v>
      </c>
      <c r="T734">
        <v>5</v>
      </c>
      <c r="U734">
        <v>1</v>
      </c>
      <c r="V734">
        <v>4</v>
      </c>
      <c r="W734" t="s">
        <v>38</v>
      </c>
      <c r="X734" s="1" t="d">
        <v>2016-05-19</v>
      </c>
      <c r="Z734" t="s">
        <v>63</v>
      </c>
      <c r="AA734" t="s">
        <v>40</v>
      </c>
      <c r="AB734">
        <v>4</v>
      </c>
      <c r="AC734">
        <v>1</v>
      </c>
      <c r="AD734" t="s">
        <v>41</v>
      </c>
      <c r="AE734" t="s">
        <v>47</v>
      </c>
      <c r="AF734" t="s">
        <v>57</v>
      </c>
    </row>
    <row r="735" spans="1:32" x14ac:dyDescent="0.25">
      <c r="A735">
        <v>24</v>
      </c>
      <c r="B735" t="s">
        <v>41</v>
      </c>
      <c r="C735" t="s">
        <v>33</v>
      </c>
      <c r="D735" t="s">
        <v>34</v>
      </c>
      <c r="E735">
        <v>9</v>
      </c>
      <c r="F735" t="s">
        <v>35</v>
      </c>
      <c r="G735">
        <v>4</v>
      </c>
      <c r="H735">
        <v>1</v>
      </c>
      <c r="I735" t="s">
        <v>44</v>
      </c>
      <c r="J735">
        <v>3</v>
      </c>
      <c r="K735" t="s">
        <v>50</v>
      </c>
      <c r="L735">
        <v>4401</v>
      </c>
      <c r="M735">
        <v>1</v>
      </c>
      <c r="N735" t="s">
        <v>41</v>
      </c>
      <c r="O735">
        <v>16</v>
      </c>
      <c r="P735">
        <v>3</v>
      </c>
      <c r="Q735">
        <v>1</v>
      </c>
      <c r="R735">
        <v>5</v>
      </c>
      <c r="S735">
        <v>1</v>
      </c>
      <c r="T735">
        <v>5</v>
      </c>
      <c r="U735">
        <v>0</v>
      </c>
      <c r="V735">
        <v>4</v>
      </c>
      <c r="W735" t="s">
        <v>56</v>
      </c>
      <c r="X735" s="1" t="d">
        <v>2016-04-26</v>
      </c>
      <c r="Z735" t="s">
        <v>45</v>
      </c>
      <c r="AA735" t="s">
        <v>40</v>
      </c>
      <c r="AB735">
        <v>0</v>
      </c>
      <c r="AC735">
        <v>3</v>
      </c>
      <c r="AD735" t="s">
        <v>41</v>
      </c>
      <c r="AE735" t="s">
        <v>60</v>
      </c>
      <c r="AF735" t="s">
        <v>48</v>
      </c>
    </row>
    <row r="736" spans="1:32" x14ac:dyDescent="0.25">
      <c r="A736">
        <v>29</v>
      </c>
      <c r="B736" t="s">
        <v>41</v>
      </c>
      <c r="C736" t="s">
        <v>33</v>
      </c>
      <c r="D736" t="s">
        <v>34</v>
      </c>
      <c r="E736">
        <v>9</v>
      </c>
      <c r="F736" t="s">
        <v>58</v>
      </c>
      <c r="G736">
        <v>3</v>
      </c>
      <c r="H736">
        <v>1</v>
      </c>
      <c r="I736" t="s">
        <v>36</v>
      </c>
      <c r="J736">
        <v>3</v>
      </c>
      <c r="K736" t="s">
        <v>50</v>
      </c>
      <c r="L736">
        <v>2974</v>
      </c>
      <c r="M736">
        <v>9</v>
      </c>
      <c r="N736" t="s">
        <v>41</v>
      </c>
      <c r="O736">
        <v>17</v>
      </c>
      <c r="P736">
        <v>3</v>
      </c>
      <c r="Q736">
        <v>1</v>
      </c>
      <c r="R736">
        <v>9</v>
      </c>
      <c r="S736">
        <v>2</v>
      </c>
      <c r="T736">
        <v>5</v>
      </c>
      <c r="U736">
        <v>1</v>
      </c>
      <c r="V736">
        <v>2</v>
      </c>
      <c r="W736" t="s">
        <v>56</v>
      </c>
      <c r="X736" s="1" t="d">
        <v>2016-05-17</v>
      </c>
      <c r="Z736" t="s">
        <v>52</v>
      </c>
      <c r="AA736" t="s">
        <v>40</v>
      </c>
      <c r="AB736">
        <v>5</v>
      </c>
      <c r="AC736">
        <v>0</v>
      </c>
      <c r="AD736" t="s">
        <v>32</v>
      </c>
      <c r="AE736" t="s">
        <v>60</v>
      </c>
      <c r="AF736" t="s">
        <v>57</v>
      </c>
    </row>
    <row r="737" spans="1:32" x14ac:dyDescent="0.25">
      <c r="A737">
        <v>32</v>
      </c>
      <c r="B737" t="s">
        <v>41</v>
      </c>
      <c r="C737" t="s">
        <v>61</v>
      </c>
      <c r="D737" t="s">
        <v>34</v>
      </c>
      <c r="E737">
        <v>10</v>
      </c>
      <c r="F737" t="s">
        <v>35</v>
      </c>
      <c r="G737">
        <v>3</v>
      </c>
      <c r="H737">
        <v>1</v>
      </c>
      <c r="I737" t="s">
        <v>44</v>
      </c>
      <c r="J737">
        <v>3</v>
      </c>
      <c r="K737" t="s">
        <v>50</v>
      </c>
      <c r="L737">
        <v>3433</v>
      </c>
      <c r="M737">
        <v>6</v>
      </c>
      <c r="N737" t="s">
        <v>41</v>
      </c>
      <c r="O737">
        <v>13</v>
      </c>
      <c r="P737">
        <v>3</v>
      </c>
      <c r="Q737">
        <v>1</v>
      </c>
      <c r="R737">
        <v>10</v>
      </c>
      <c r="S737">
        <v>3</v>
      </c>
      <c r="T737">
        <v>5</v>
      </c>
      <c r="U737">
        <v>1</v>
      </c>
      <c r="V737">
        <v>3</v>
      </c>
      <c r="W737" t="s">
        <v>56</v>
      </c>
      <c r="X737" s="1" t="d">
        <v>2016-04-05</v>
      </c>
      <c r="Z737" t="s">
        <v>59</v>
      </c>
      <c r="AA737" t="s">
        <v>46</v>
      </c>
      <c r="AB737">
        <v>1</v>
      </c>
      <c r="AC737">
        <v>3</v>
      </c>
      <c r="AD737" t="s">
        <v>41</v>
      </c>
      <c r="AE737" t="s">
        <v>60</v>
      </c>
      <c r="AF737" t="s">
        <v>43</v>
      </c>
    </row>
    <row r="738" spans="1:32" x14ac:dyDescent="0.25">
      <c r="A738">
        <v>31</v>
      </c>
      <c r="B738" t="s">
        <v>41</v>
      </c>
      <c r="C738" t="s">
        <v>33</v>
      </c>
      <c r="D738" t="s">
        <v>34</v>
      </c>
      <c r="E738">
        <v>2</v>
      </c>
      <c r="F738" t="s">
        <v>35</v>
      </c>
      <c r="G738">
        <v>3</v>
      </c>
      <c r="H738">
        <v>1</v>
      </c>
      <c r="I738" t="s">
        <v>36</v>
      </c>
      <c r="J738">
        <v>3</v>
      </c>
      <c r="K738" t="s">
        <v>50</v>
      </c>
      <c r="L738">
        <v>3477</v>
      </c>
      <c r="M738">
        <v>1</v>
      </c>
      <c r="N738" t="s">
        <v>41</v>
      </c>
      <c r="O738">
        <v>14</v>
      </c>
      <c r="P738">
        <v>3</v>
      </c>
      <c r="Q738">
        <v>1</v>
      </c>
      <c r="R738">
        <v>6</v>
      </c>
      <c r="S738">
        <v>2</v>
      </c>
      <c r="T738">
        <v>5</v>
      </c>
      <c r="U738">
        <v>0</v>
      </c>
      <c r="V738">
        <v>3</v>
      </c>
      <c r="W738" t="s">
        <v>51</v>
      </c>
      <c r="X738" s="1" t="d">
        <v>2016-01-28</v>
      </c>
      <c r="Z738" t="s">
        <v>52</v>
      </c>
      <c r="AA738" t="s">
        <v>40</v>
      </c>
      <c r="AB738">
        <v>3</v>
      </c>
      <c r="AC738">
        <v>3</v>
      </c>
      <c r="AD738" t="s">
        <v>32</v>
      </c>
      <c r="AE738" t="s">
        <v>42</v>
      </c>
      <c r="AF738" t="s">
        <v>57</v>
      </c>
    </row>
    <row r="739" spans="1:32" x14ac:dyDescent="0.25">
      <c r="A739">
        <v>31</v>
      </c>
      <c r="B739" t="s">
        <v>41</v>
      </c>
      <c r="C739" t="s">
        <v>61</v>
      </c>
      <c r="D739" t="s">
        <v>34</v>
      </c>
      <c r="E739">
        <v>24</v>
      </c>
      <c r="F739" t="s">
        <v>58</v>
      </c>
      <c r="G739">
        <v>3</v>
      </c>
      <c r="H739">
        <v>2</v>
      </c>
      <c r="I739" t="s">
        <v>67</v>
      </c>
      <c r="J739">
        <v>4</v>
      </c>
      <c r="K739" t="s">
        <v>37</v>
      </c>
      <c r="L739">
        <v>5238</v>
      </c>
      <c r="M739">
        <v>2</v>
      </c>
      <c r="N739" t="s">
        <v>41</v>
      </c>
      <c r="O739">
        <v>20</v>
      </c>
      <c r="P739">
        <v>4</v>
      </c>
      <c r="Q739">
        <v>0</v>
      </c>
      <c r="R739">
        <v>9</v>
      </c>
      <c r="S739">
        <v>3</v>
      </c>
      <c r="T739">
        <v>5</v>
      </c>
      <c r="U739">
        <v>1</v>
      </c>
      <c r="V739">
        <v>4</v>
      </c>
      <c r="W739" t="s">
        <v>56</v>
      </c>
      <c r="X739" s="1" t="d">
        <v>2016-04-14</v>
      </c>
      <c r="Z739" t="s">
        <v>63</v>
      </c>
      <c r="AA739" t="s">
        <v>46</v>
      </c>
      <c r="AB739">
        <v>2</v>
      </c>
      <c r="AC739">
        <v>0</v>
      </c>
      <c r="AD739" t="s">
        <v>41</v>
      </c>
      <c r="AE739" t="s">
        <v>42</v>
      </c>
      <c r="AF739" t="s">
        <v>43</v>
      </c>
    </row>
    <row r="740" spans="1:32" x14ac:dyDescent="0.25">
      <c r="A740">
        <v>45</v>
      </c>
      <c r="B740" t="s">
        <v>41</v>
      </c>
      <c r="C740" t="s">
        <v>33</v>
      </c>
      <c r="D740" t="s">
        <v>70</v>
      </c>
      <c r="E740">
        <v>4</v>
      </c>
      <c r="F740" t="s">
        <v>58</v>
      </c>
      <c r="G740">
        <v>1</v>
      </c>
      <c r="H740">
        <v>3</v>
      </c>
      <c r="I740" t="s">
        <v>70</v>
      </c>
      <c r="J740">
        <v>3</v>
      </c>
      <c r="K740" t="s">
        <v>50</v>
      </c>
      <c r="L740">
        <v>9756</v>
      </c>
      <c r="M740">
        <v>4</v>
      </c>
      <c r="N740" t="s">
        <v>41</v>
      </c>
      <c r="O740">
        <v>21</v>
      </c>
      <c r="P740">
        <v>4</v>
      </c>
      <c r="Q740">
        <v>2</v>
      </c>
      <c r="R740">
        <v>9</v>
      </c>
      <c r="S740">
        <v>2</v>
      </c>
      <c r="T740">
        <v>5</v>
      </c>
      <c r="U740">
        <v>0</v>
      </c>
      <c r="V740">
        <v>3</v>
      </c>
      <c r="W740" t="s">
        <v>38</v>
      </c>
      <c r="X740" s="1" t="d">
        <v>2016-05-12</v>
      </c>
      <c r="Z740" t="s">
        <v>59</v>
      </c>
      <c r="AA740" t="s">
        <v>46</v>
      </c>
      <c r="AB740">
        <v>1</v>
      </c>
      <c r="AC740">
        <v>0</v>
      </c>
      <c r="AD740" t="s">
        <v>41</v>
      </c>
      <c r="AE740" t="s">
        <v>62</v>
      </c>
      <c r="AF740" t="s">
        <v>57</v>
      </c>
    </row>
    <row r="741" spans="1:32" x14ac:dyDescent="0.25">
      <c r="A741">
        <v>31</v>
      </c>
      <c r="B741" t="s">
        <v>41</v>
      </c>
      <c r="C741" t="s">
        <v>33</v>
      </c>
      <c r="D741" t="s">
        <v>53</v>
      </c>
      <c r="E741">
        <v>5</v>
      </c>
      <c r="F741" t="s">
        <v>35</v>
      </c>
      <c r="G741">
        <v>3</v>
      </c>
      <c r="H741">
        <v>2</v>
      </c>
      <c r="I741" t="s">
        <v>64</v>
      </c>
      <c r="J741">
        <v>3</v>
      </c>
      <c r="K741" t="s">
        <v>50</v>
      </c>
      <c r="L741">
        <v>8346</v>
      </c>
      <c r="M741">
        <v>1</v>
      </c>
      <c r="N741" t="s">
        <v>41</v>
      </c>
      <c r="O741">
        <v>19</v>
      </c>
      <c r="P741">
        <v>3</v>
      </c>
      <c r="Q741">
        <v>1</v>
      </c>
      <c r="R741">
        <v>6</v>
      </c>
      <c r="S741">
        <v>3</v>
      </c>
      <c r="T741">
        <v>5</v>
      </c>
      <c r="U741">
        <v>0</v>
      </c>
      <c r="V741">
        <v>2</v>
      </c>
      <c r="W741" t="s">
        <v>38</v>
      </c>
      <c r="X741" s="1" t="d">
        <v>2016-01-24</v>
      </c>
      <c r="Z741" t="s">
        <v>63</v>
      </c>
      <c r="AA741" t="s">
        <v>40</v>
      </c>
      <c r="AB741">
        <v>4</v>
      </c>
      <c r="AC741">
        <v>1</v>
      </c>
      <c r="AD741" t="s">
        <v>32</v>
      </c>
      <c r="AE741" t="s">
        <v>60</v>
      </c>
      <c r="AF741" t="s">
        <v>48</v>
      </c>
    </row>
    <row r="742" spans="1:32" x14ac:dyDescent="0.25">
      <c r="A742">
        <v>34</v>
      </c>
      <c r="B742" t="s">
        <v>41</v>
      </c>
      <c r="C742" t="s">
        <v>33</v>
      </c>
      <c r="D742" t="s">
        <v>34</v>
      </c>
      <c r="E742">
        <v>2</v>
      </c>
      <c r="F742" t="s">
        <v>35</v>
      </c>
      <c r="G742">
        <v>4</v>
      </c>
      <c r="H742">
        <v>1</v>
      </c>
      <c r="I742" t="s">
        <v>44</v>
      </c>
      <c r="J742">
        <v>4</v>
      </c>
      <c r="K742" t="s">
        <v>50</v>
      </c>
      <c r="L742">
        <v>2932</v>
      </c>
      <c r="M742">
        <v>0</v>
      </c>
      <c r="N742" t="s">
        <v>32</v>
      </c>
      <c r="O742">
        <v>14</v>
      </c>
      <c r="P742">
        <v>3</v>
      </c>
      <c r="Q742">
        <v>3</v>
      </c>
      <c r="R742">
        <v>6</v>
      </c>
      <c r="S742">
        <v>3</v>
      </c>
      <c r="T742">
        <v>5</v>
      </c>
      <c r="U742">
        <v>1</v>
      </c>
      <c r="V742">
        <v>2</v>
      </c>
      <c r="W742" t="s">
        <v>51</v>
      </c>
      <c r="X742" s="1" t="d">
        <v>2016-03-01</v>
      </c>
      <c r="Z742" t="s">
        <v>63</v>
      </c>
      <c r="AA742" t="s">
        <v>40</v>
      </c>
      <c r="AB742">
        <v>0</v>
      </c>
      <c r="AC742">
        <v>0</v>
      </c>
      <c r="AD742" t="s">
        <v>41</v>
      </c>
      <c r="AE742" t="s">
        <v>47</v>
      </c>
      <c r="AF742" t="s">
        <v>57</v>
      </c>
    </row>
    <row r="743" spans="1:32" x14ac:dyDescent="0.25">
      <c r="A743">
        <v>49</v>
      </c>
      <c r="B743" t="s">
        <v>41</v>
      </c>
      <c r="C743" t="s">
        <v>33</v>
      </c>
      <c r="D743" t="s">
        <v>53</v>
      </c>
      <c r="E743">
        <v>11</v>
      </c>
      <c r="F743" t="s">
        <v>58</v>
      </c>
      <c r="G743">
        <v>3</v>
      </c>
      <c r="H743">
        <v>2</v>
      </c>
      <c r="I743" t="s">
        <v>64</v>
      </c>
      <c r="J743">
        <v>4</v>
      </c>
      <c r="K743" t="s">
        <v>37</v>
      </c>
      <c r="L743">
        <v>4507</v>
      </c>
      <c r="M743">
        <v>3</v>
      </c>
      <c r="N743" t="s">
        <v>41</v>
      </c>
      <c r="O743">
        <v>12</v>
      </c>
      <c r="P743">
        <v>3</v>
      </c>
      <c r="Q743">
        <v>0</v>
      </c>
      <c r="R743">
        <v>8</v>
      </c>
      <c r="S743">
        <v>1</v>
      </c>
      <c r="T743">
        <v>5</v>
      </c>
      <c r="U743">
        <v>0</v>
      </c>
      <c r="V743">
        <v>4</v>
      </c>
      <c r="W743" t="s">
        <v>51</v>
      </c>
      <c r="X743" s="1" t="d">
        <v>2016-03-09</v>
      </c>
      <c r="Z743" t="s">
        <v>59</v>
      </c>
      <c r="AA743" t="s">
        <v>46</v>
      </c>
      <c r="AB743">
        <v>2</v>
      </c>
      <c r="AC743">
        <v>3</v>
      </c>
      <c r="AD743" t="s">
        <v>32</v>
      </c>
      <c r="AE743" t="s">
        <v>60</v>
      </c>
      <c r="AF743" t="s">
        <v>57</v>
      </c>
    </row>
    <row r="744" spans="1:32" x14ac:dyDescent="0.25">
      <c r="A744">
        <v>42</v>
      </c>
      <c r="B744" t="s">
        <v>41</v>
      </c>
      <c r="C744" t="s">
        <v>33</v>
      </c>
      <c r="D744" t="s">
        <v>34</v>
      </c>
      <c r="E744">
        <v>12</v>
      </c>
      <c r="F744" t="s">
        <v>35</v>
      </c>
      <c r="G744">
        <v>3</v>
      </c>
      <c r="H744">
        <v>1</v>
      </c>
      <c r="I744" t="s">
        <v>36</v>
      </c>
      <c r="J744">
        <v>2</v>
      </c>
      <c r="K744" t="s">
        <v>55</v>
      </c>
      <c r="L744">
        <v>2766</v>
      </c>
      <c r="M744">
        <v>8</v>
      </c>
      <c r="N744" t="s">
        <v>41</v>
      </c>
      <c r="O744">
        <v>22</v>
      </c>
      <c r="P744">
        <v>4</v>
      </c>
      <c r="Q744">
        <v>3</v>
      </c>
      <c r="R744">
        <v>7</v>
      </c>
      <c r="S744">
        <v>6</v>
      </c>
      <c r="T744">
        <v>5</v>
      </c>
      <c r="U744">
        <v>0</v>
      </c>
      <c r="V744">
        <v>4</v>
      </c>
      <c r="W744" t="s">
        <v>56</v>
      </c>
      <c r="X744" s="1" t="d">
        <v>2016-05-13</v>
      </c>
      <c r="Z744" t="s">
        <v>45</v>
      </c>
      <c r="AA744" t="s">
        <v>40</v>
      </c>
      <c r="AB744">
        <v>5</v>
      </c>
      <c r="AC744">
        <v>1</v>
      </c>
      <c r="AD744" t="s">
        <v>32</v>
      </c>
      <c r="AE744" t="s">
        <v>42</v>
      </c>
      <c r="AF744" t="s">
        <v>57</v>
      </c>
    </row>
    <row r="745" spans="1:32" x14ac:dyDescent="0.25">
      <c r="A745">
        <v>41</v>
      </c>
      <c r="B745" t="s">
        <v>41</v>
      </c>
      <c r="C745" t="s">
        <v>33</v>
      </c>
      <c r="D745" t="s">
        <v>34</v>
      </c>
      <c r="E745">
        <v>9</v>
      </c>
      <c r="F745" t="s">
        <v>35</v>
      </c>
      <c r="G745">
        <v>3</v>
      </c>
      <c r="H745">
        <v>1</v>
      </c>
      <c r="I745" t="s">
        <v>36</v>
      </c>
      <c r="J745">
        <v>1</v>
      </c>
      <c r="K745" t="s">
        <v>55</v>
      </c>
      <c r="L745">
        <v>2289</v>
      </c>
      <c r="M745">
        <v>1</v>
      </c>
      <c r="N745" t="s">
        <v>41</v>
      </c>
      <c r="O745">
        <v>20</v>
      </c>
      <c r="P745">
        <v>4</v>
      </c>
      <c r="Q745">
        <v>2</v>
      </c>
      <c r="R745">
        <v>5</v>
      </c>
      <c r="S745">
        <v>2</v>
      </c>
      <c r="T745">
        <v>5</v>
      </c>
      <c r="U745">
        <v>0</v>
      </c>
      <c r="V745">
        <v>4</v>
      </c>
      <c r="W745" t="s">
        <v>51</v>
      </c>
      <c r="X745" s="1" t="d">
        <v>2016-05-25</v>
      </c>
      <c r="Z745" t="s">
        <v>63</v>
      </c>
      <c r="AA745" t="s">
        <v>40</v>
      </c>
      <c r="AB745">
        <v>4</v>
      </c>
      <c r="AC745">
        <v>0</v>
      </c>
      <c r="AD745" t="s">
        <v>41</v>
      </c>
      <c r="AE745" t="s">
        <v>62</v>
      </c>
      <c r="AF745" t="s">
        <v>57</v>
      </c>
    </row>
    <row r="746" spans="1:32" x14ac:dyDescent="0.25">
      <c r="A746">
        <v>38</v>
      </c>
      <c r="B746" t="s">
        <v>41</v>
      </c>
      <c r="C746" t="s">
        <v>33</v>
      </c>
      <c r="D746" t="s">
        <v>34</v>
      </c>
      <c r="E746">
        <v>6</v>
      </c>
      <c r="F746" t="s">
        <v>58</v>
      </c>
      <c r="G746">
        <v>2</v>
      </c>
      <c r="H746">
        <v>1</v>
      </c>
      <c r="I746" t="s">
        <v>36</v>
      </c>
      <c r="J746">
        <v>3</v>
      </c>
      <c r="K746" t="s">
        <v>50</v>
      </c>
      <c r="L746">
        <v>3702</v>
      </c>
      <c r="M746">
        <v>1</v>
      </c>
      <c r="N746" t="s">
        <v>41</v>
      </c>
      <c r="O746">
        <v>11</v>
      </c>
      <c r="P746">
        <v>3</v>
      </c>
      <c r="Q746">
        <v>1</v>
      </c>
      <c r="R746">
        <v>5</v>
      </c>
      <c r="S746">
        <v>3</v>
      </c>
      <c r="T746">
        <v>5</v>
      </c>
      <c r="U746">
        <v>0</v>
      </c>
      <c r="V746">
        <v>4</v>
      </c>
      <c r="W746" t="s">
        <v>65</v>
      </c>
      <c r="X746" s="1" t="d">
        <v>2016-05-07</v>
      </c>
      <c r="Z746" t="s">
        <v>59</v>
      </c>
      <c r="AA746" t="s">
        <v>46</v>
      </c>
      <c r="AB746">
        <v>3</v>
      </c>
      <c r="AC746">
        <v>2</v>
      </c>
      <c r="AD746" t="s">
        <v>41</v>
      </c>
      <c r="AE746" t="s">
        <v>60</v>
      </c>
      <c r="AF746" t="s">
        <v>48</v>
      </c>
    </row>
    <row r="747" spans="1:32" x14ac:dyDescent="0.25">
      <c r="A747">
        <v>37</v>
      </c>
      <c r="B747" t="s">
        <v>41</v>
      </c>
      <c r="C747" t="s">
        <v>33</v>
      </c>
      <c r="D747" t="s">
        <v>53</v>
      </c>
      <c r="E747">
        <v>9</v>
      </c>
      <c r="F747" t="s">
        <v>35</v>
      </c>
      <c r="G747">
        <v>2</v>
      </c>
      <c r="H747">
        <v>2</v>
      </c>
      <c r="I747" t="s">
        <v>64</v>
      </c>
      <c r="J747">
        <v>2</v>
      </c>
      <c r="K747" t="s">
        <v>50</v>
      </c>
      <c r="L747">
        <v>4189</v>
      </c>
      <c r="M747">
        <v>1</v>
      </c>
      <c r="N747" t="s">
        <v>41</v>
      </c>
      <c r="O747">
        <v>14</v>
      </c>
      <c r="P747">
        <v>3</v>
      </c>
      <c r="Q747">
        <v>2</v>
      </c>
      <c r="R747">
        <v>5</v>
      </c>
      <c r="S747">
        <v>2</v>
      </c>
      <c r="T747">
        <v>5</v>
      </c>
      <c r="U747">
        <v>0</v>
      </c>
      <c r="V747">
        <v>3</v>
      </c>
      <c r="W747" t="s">
        <v>51</v>
      </c>
      <c r="X747" s="1" t="d">
        <v>2016-02-17</v>
      </c>
      <c r="Z747" t="s">
        <v>59</v>
      </c>
      <c r="AA747" t="s">
        <v>46</v>
      </c>
      <c r="AB747">
        <v>2</v>
      </c>
      <c r="AC747">
        <v>1</v>
      </c>
      <c r="AD747" t="s">
        <v>32</v>
      </c>
      <c r="AE747" t="s">
        <v>47</v>
      </c>
      <c r="AF747" t="s">
        <v>48</v>
      </c>
    </row>
    <row r="748" spans="1:32" x14ac:dyDescent="0.25">
      <c r="A748">
        <v>44</v>
      </c>
      <c r="B748" t="s">
        <v>32</v>
      </c>
      <c r="C748" t="s">
        <v>61</v>
      </c>
      <c r="D748" t="s">
        <v>34</v>
      </c>
      <c r="E748">
        <v>1</v>
      </c>
      <c r="F748" t="s">
        <v>35</v>
      </c>
      <c r="G748">
        <v>3</v>
      </c>
      <c r="H748">
        <v>1</v>
      </c>
      <c r="I748" t="s">
        <v>44</v>
      </c>
      <c r="J748">
        <v>2</v>
      </c>
      <c r="K748" t="s">
        <v>55</v>
      </c>
      <c r="L748">
        <v>2342</v>
      </c>
      <c r="M748">
        <v>1</v>
      </c>
      <c r="N748" t="s">
        <v>32</v>
      </c>
      <c r="O748">
        <v>12</v>
      </c>
      <c r="P748">
        <v>3</v>
      </c>
      <c r="Q748">
        <v>3</v>
      </c>
      <c r="R748">
        <v>6</v>
      </c>
      <c r="S748">
        <v>2</v>
      </c>
      <c r="T748">
        <v>5</v>
      </c>
      <c r="U748">
        <v>2</v>
      </c>
      <c r="V748">
        <v>3</v>
      </c>
      <c r="W748" t="s">
        <v>56</v>
      </c>
      <c r="X748" s="1" t="d">
        <v>2016-06-03</v>
      </c>
      <c r="Z748" t="s">
        <v>63</v>
      </c>
      <c r="AA748" t="s">
        <v>40</v>
      </c>
      <c r="AB748">
        <v>3</v>
      </c>
      <c r="AC748">
        <v>1</v>
      </c>
      <c r="AD748" t="s">
        <v>41</v>
      </c>
      <c r="AE748" t="s">
        <v>60</v>
      </c>
      <c r="AF748" t="s">
        <v>43</v>
      </c>
    </row>
    <row r="749" spans="1:32" x14ac:dyDescent="0.25">
      <c r="A749">
        <v>28</v>
      </c>
      <c r="B749" t="s">
        <v>41</v>
      </c>
      <c r="C749" t="s">
        <v>33</v>
      </c>
      <c r="D749" t="s">
        <v>34</v>
      </c>
      <c r="E749">
        <v>1</v>
      </c>
      <c r="F749" t="s">
        <v>35</v>
      </c>
      <c r="G749">
        <v>3</v>
      </c>
      <c r="H749">
        <v>1</v>
      </c>
      <c r="I749" t="s">
        <v>44</v>
      </c>
      <c r="J749">
        <v>4</v>
      </c>
      <c r="K749" t="s">
        <v>50</v>
      </c>
      <c r="L749">
        <v>2044</v>
      </c>
      <c r="M749">
        <v>1</v>
      </c>
      <c r="N749" t="s">
        <v>41</v>
      </c>
      <c r="O749">
        <v>11</v>
      </c>
      <c r="P749">
        <v>3</v>
      </c>
      <c r="Q749">
        <v>1</v>
      </c>
      <c r="R749">
        <v>5</v>
      </c>
      <c r="S749">
        <v>6</v>
      </c>
      <c r="T749">
        <v>5</v>
      </c>
      <c r="U749">
        <v>0</v>
      </c>
      <c r="V749">
        <v>3</v>
      </c>
      <c r="W749" t="s">
        <v>51</v>
      </c>
      <c r="X749" s="1" t="d">
        <v>2016-06-22</v>
      </c>
      <c r="Z749" t="s">
        <v>52</v>
      </c>
      <c r="AA749" t="s">
        <v>46</v>
      </c>
      <c r="AB749">
        <v>3</v>
      </c>
      <c r="AC749">
        <v>1</v>
      </c>
      <c r="AD749" t="s">
        <v>41</v>
      </c>
      <c r="AE749" t="s">
        <v>62</v>
      </c>
      <c r="AF749" t="s">
        <v>43</v>
      </c>
    </row>
    <row r="750" spans="1:32" x14ac:dyDescent="0.25">
      <c r="A750">
        <v>26</v>
      </c>
      <c r="B750" t="s">
        <v>32</v>
      </c>
      <c r="C750" t="s">
        <v>33</v>
      </c>
      <c r="D750" t="s">
        <v>70</v>
      </c>
      <c r="E750">
        <v>20</v>
      </c>
      <c r="F750" t="s">
        <v>58</v>
      </c>
      <c r="G750">
        <v>3</v>
      </c>
      <c r="H750">
        <v>1</v>
      </c>
      <c r="I750" t="s">
        <v>70</v>
      </c>
      <c r="J750">
        <v>2</v>
      </c>
      <c r="K750" t="s">
        <v>50</v>
      </c>
      <c r="L750">
        <v>2148</v>
      </c>
      <c r="M750">
        <v>0</v>
      </c>
      <c r="N750" t="s">
        <v>32</v>
      </c>
      <c r="O750">
        <v>11</v>
      </c>
      <c r="P750">
        <v>3</v>
      </c>
      <c r="Q750">
        <v>0</v>
      </c>
      <c r="R750">
        <v>6</v>
      </c>
      <c r="S750">
        <v>3</v>
      </c>
      <c r="T750">
        <v>5</v>
      </c>
      <c r="U750">
        <v>1</v>
      </c>
      <c r="V750">
        <v>4</v>
      </c>
      <c r="W750" t="s">
        <v>65</v>
      </c>
      <c r="X750" s="1" t="d">
        <v>2016-01-09</v>
      </c>
      <c r="Z750" t="s">
        <v>39</v>
      </c>
      <c r="AA750" t="s">
        <v>46</v>
      </c>
      <c r="AB750">
        <v>1</v>
      </c>
      <c r="AC750">
        <v>1</v>
      </c>
      <c r="AD750" t="s">
        <v>41</v>
      </c>
      <c r="AE750" t="s">
        <v>60</v>
      </c>
      <c r="AF750" t="s">
        <v>57</v>
      </c>
    </row>
    <row r="751" spans="1:32" x14ac:dyDescent="0.25">
      <c r="A751">
        <v>40</v>
      </c>
      <c r="B751" t="s">
        <v>41</v>
      </c>
      <c r="C751" t="s">
        <v>33</v>
      </c>
      <c r="D751" t="s">
        <v>34</v>
      </c>
      <c r="E751">
        <v>1</v>
      </c>
      <c r="F751" t="s">
        <v>58</v>
      </c>
      <c r="G751">
        <v>3</v>
      </c>
      <c r="H751">
        <v>2</v>
      </c>
      <c r="I751" t="s">
        <v>69</v>
      </c>
      <c r="J751">
        <v>4</v>
      </c>
      <c r="K751" t="s">
        <v>55</v>
      </c>
      <c r="L751">
        <v>6513</v>
      </c>
      <c r="M751">
        <v>4</v>
      </c>
      <c r="N751" t="s">
        <v>41</v>
      </c>
      <c r="O751">
        <v>17</v>
      </c>
      <c r="P751">
        <v>3</v>
      </c>
      <c r="Q751">
        <v>1</v>
      </c>
      <c r="R751">
        <v>12</v>
      </c>
      <c r="S751">
        <v>3</v>
      </c>
      <c r="T751">
        <v>5</v>
      </c>
      <c r="U751">
        <v>0</v>
      </c>
      <c r="V751">
        <v>3</v>
      </c>
      <c r="W751" t="s">
        <v>65</v>
      </c>
      <c r="X751" s="1" t="d">
        <v>2016-03-09</v>
      </c>
      <c r="Z751" t="s">
        <v>52</v>
      </c>
      <c r="AA751" t="s">
        <v>46</v>
      </c>
      <c r="AB751">
        <v>4</v>
      </c>
      <c r="AC751">
        <v>2</v>
      </c>
      <c r="AD751" t="s">
        <v>32</v>
      </c>
      <c r="AE751" t="s">
        <v>47</v>
      </c>
      <c r="AF751" t="s">
        <v>43</v>
      </c>
    </row>
    <row r="752" spans="1:32" x14ac:dyDescent="0.25">
      <c r="A752">
        <v>35</v>
      </c>
      <c r="B752" t="s">
        <v>41</v>
      </c>
      <c r="C752" t="s">
        <v>33</v>
      </c>
      <c r="D752" t="s">
        <v>34</v>
      </c>
      <c r="E752">
        <v>23</v>
      </c>
      <c r="F752" t="s">
        <v>35</v>
      </c>
      <c r="G752">
        <v>1</v>
      </c>
      <c r="H752">
        <v>1</v>
      </c>
      <c r="I752" t="s">
        <v>36</v>
      </c>
      <c r="J752">
        <v>3</v>
      </c>
      <c r="K752" t="s">
        <v>50</v>
      </c>
      <c r="L752">
        <v>2705</v>
      </c>
      <c r="M752">
        <v>0</v>
      </c>
      <c r="N752" t="s">
        <v>41</v>
      </c>
      <c r="O752">
        <v>16</v>
      </c>
      <c r="P752">
        <v>3</v>
      </c>
      <c r="Q752">
        <v>1</v>
      </c>
      <c r="R752">
        <v>6</v>
      </c>
      <c r="S752">
        <v>2</v>
      </c>
      <c r="T752">
        <v>5</v>
      </c>
      <c r="U752">
        <v>0</v>
      </c>
      <c r="V752">
        <v>3</v>
      </c>
      <c r="W752" t="s">
        <v>38</v>
      </c>
      <c r="X752" s="1" t="d">
        <v>2016-01-03</v>
      </c>
      <c r="Z752" t="s">
        <v>63</v>
      </c>
      <c r="AA752" t="s">
        <v>40</v>
      </c>
      <c r="AB752">
        <v>3</v>
      </c>
      <c r="AC752">
        <v>2</v>
      </c>
      <c r="AD752" t="s">
        <v>32</v>
      </c>
      <c r="AE752" t="s">
        <v>62</v>
      </c>
      <c r="AF752" t="s">
        <v>57</v>
      </c>
    </row>
    <row r="753" spans="1:32" x14ac:dyDescent="0.25">
      <c r="A753">
        <v>26</v>
      </c>
      <c r="B753" t="s">
        <v>41</v>
      </c>
      <c r="C753" t="s">
        <v>33</v>
      </c>
      <c r="D753" t="s">
        <v>53</v>
      </c>
      <c r="E753">
        <v>10</v>
      </c>
      <c r="F753" t="s">
        <v>35</v>
      </c>
      <c r="G753">
        <v>3</v>
      </c>
      <c r="H753">
        <v>2</v>
      </c>
      <c r="I753" t="s">
        <v>64</v>
      </c>
      <c r="J753">
        <v>4</v>
      </c>
      <c r="K753" t="s">
        <v>37</v>
      </c>
      <c r="L753">
        <v>4684</v>
      </c>
      <c r="M753">
        <v>1</v>
      </c>
      <c r="N753" t="s">
        <v>41</v>
      </c>
      <c r="O753">
        <v>13</v>
      </c>
      <c r="P753">
        <v>3</v>
      </c>
      <c r="Q753">
        <v>0</v>
      </c>
      <c r="R753">
        <v>5</v>
      </c>
      <c r="S753">
        <v>4</v>
      </c>
      <c r="T753">
        <v>5</v>
      </c>
      <c r="U753">
        <v>1</v>
      </c>
      <c r="V753">
        <v>2</v>
      </c>
      <c r="W753" t="s">
        <v>38</v>
      </c>
      <c r="X753" s="1" t="d">
        <v>2016-05-24</v>
      </c>
      <c r="Z753" t="s">
        <v>59</v>
      </c>
      <c r="AA753" t="s">
        <v>46</v>
      </c>
      <c r="AB753">
        <v>2</v>
      </c>
      <c r="AC753">
        <v>3</v>
      </c>
      <c r="AD753" t="s">
        <v>41</v>
      </c>
      <c r="AE753" t="s">
        <v>42</v>
      </c>
      <c r="AF753" t="s">
        <v>57</v>
      </c>
    </row>
    <row r="754" spans="1:32" x14ac:dyDescent="0.25">
      <c r="A754">
        <v>27</v>
      </c>
      <c r="B754" t="s">
        <v>41</v>
      </c>
      <c r="C754" t="s">
        <v>61</v>
      </c>
      <c r="D754" t="s">
        <v>34</v>
      </c>
      <c r="E754">
        <v>5</v>
      </c>
      <c r="F754" t="s">
        <v>58</v>
      </c>
      <c r="G754">
        <v>3</v>
      </c>
      <c r="H754">
        <v>1</v>
      </c>
      <c r="I754" t="s">
        <v>36</v>
      </c>
      <c r="J754">
        <v>4</v>
      </c>
      <c r="K754" t="s">
        <v>37</v>
      </c>
      <c r="L754">
        <v>2379</v>
      </c>
      <c r="M754">
        <v>0</v>
      </c>
      <c r="N754" t="s">
        <v>32</v>
      </c>
      <c r="O754">
        <v>14</v>
      </c>
      <c r="P754">
        <v>3</v>
      </c>
      <c r="Q754">
        <v>0</v>
      </c>
      <c r="R754">
        <v>6</v>
      </c>
      <c r="S754">
        <v>3</v>
      </c>
      <c r="T754">
        <v>5</v>
      </c>
      <c r="U754">
        <v>0</v>
      </c>
      <c r="V754">
        <v>2</v>
      </c>
      <c r="W754" t="s">
        <v>51</v>
      </c>
      <c r="X754" s="1" t="d">
        <v>2016-02-26</v>
      </c>
      <c r="Z754" t="s">
        <v>39</v>
      </c>
      <c r="AA754" t="s">
        <v>46</v>
      </c>
      <c r="AB754">
        <v>1</v>
      </c>
      <c r="AC754">
        <v>2</v>
      </c>
      <c r="AD754" t="s">
        <v>32</v>
      </c>
      <c r="AE754" t="s">
        <v>62</v>
      </c>
      <c r="AF754" t="s">
        <v>43</v>
      </c>
    </row>
    <row r="755" spans="1:32" x14ac:dyDescent="0.25">
      <c r="A755">
        <v>55</v>
      </c>
      <c r="B755" t="s">
        <v>41</v>
      </c>
      <c r="C755" t="s">
        <v>33</v>
      </c>
      <c r="D755" t="s">
        <v>34</v>
      </c>
      <c r="E755">
        <v>2</v>
      </c>
      <c r="F755" t="s">
        <v>35</v>
      </c>
      <c r="G755">
        <v>2</v>
      </c>
      <c r="H755">
        <v>1</v>
      </c>
      <c r="I755" t="s">
        <v>44</v>
      </c>
      <c r="J755">
        <v>4</v>
      </c>
      <c r="K755" t="s">
        <v>50</v>
      </c>
      <c r="L755">
        <v>2662</v>
      </c>
      <c r="M755">
        <v>8</v>
      </c>
      <c r="N755" t="s">
        <v>41</v>
      </c>
      <c r="O755">
        <v>20</v>
      </c>
      <c r="P755">
        <v>4</v>
      </c>
      <c r="Q755">
        <v>1</v>
      </c>
      <c r="R755">
        <v>19</v>
      </c>
      <c r="S755">
        <v>2</v>
      </c>
      <c r="T755">
        <v>5</v>
      </c>
      <c r="U755">
        <v>0</v>
      </c>
      <c r="V755">
        <v>4</v>
      </c>
      <c r="W755" t="s">
        <v>56</v>
      </c>
      <c r="X755" s="1" t="d">
        <v>2016-02-28</v>
      </c>
      <c r="Z755" t="s">
        <v>39</v>
      </c>
      <c r="AA755" t="s">
        <v>40</v>
      </c>
      <c r="AB755">
        <v>5</v>
      </c>
      <c r="AC755">
        <v>3</v>
      </c>
      <c r="AD755" t="s">
        <v>41</v>
      </c>
      <c r="AE755" t="s">
        <v>47</v>
      </c>
      <c r="AF755" t="s">
        <v>57</v>
      </c>
    </row>
    <row r="756" spans="1:32" x14ac:dyDescent="0.25">
      <c r="A756">
        <v>34</v>
      </c>
      <c r="B756" t="s">
        <v>41</v>
      </c>
      <c r="C756" t="s">
        <v>33</v>
      </c>
      <c r="D756" t="s">
        <v>53</v>
      </c>
      <c r="E756">
        <v>4</v>
      </c>
      <c r="F756" t="s">
        <v>35</v>
      </c>
      <c r="G756">
        <v>3</v>
      </c>
      <c r="H756">
        <v>3</v>
      </c>
      <c r="I756" t="s">
        <v>64</v>
      </c>
      <c r="J756">
        <v>4</v>
      </c>
      <c r="K756" t="s">
        <v>50</v>
      </c>
      <c r="L756">
        <v>9713</v>
      </c>
      <c r="M756">
        <v>2</v>
      </c>
      <c r="N756" t="s">
        <v>32</v>
      </c>
      <c r="O756">
        <v>13</v>
      </c>
      <c r="P756">
        <v>3</v>
      </c>
      <c r="Q756">
        <v>3</v>
      </c>
      <c r="R756">
        <v>9</v>
      </c>
      <c r="S756">
        <v>3</v>
      </c>
      <c r="T756">
        <v>5</v>
      </c>
      <c r="U756">
        <v>1</v>
      </c>
      <c r="V756">
        <v>0</v>
      </c>
      <c r="W756" t="s">
        <v>65</v>
      </c>
      <c r="X756" s="1" t="d">
        <v>2016-05-07</v>
      </c>
      <c r="Z756" t="s">
        <v>39</v>
      </c>
      <c r="AA756" t="s">
        <v>46</v>
      </c>
      <c r="AB756">
        <v>2</v>
      </c>
      <c r="AC756">
        <v>2</v>
      </c>
      <c r="AD756" t="s">
        <v>41</v>
      </c>
      <c r="AE756" t="s">
        <v>47</v>
      </c>
      <c r="AF756" t="s">
        <v>48</v>
      </c>
    </row>
    <row r="757" spans="1:32" x14ac:dyDescent="0.25">
      <c r="A757">
        <v>37</v>
      </c>
      <c r="B757" t="s">
        <v>41</v>
      </c>
      <c r="C757" t="s">
        <v>33</v>
      </c>
      <c r="D757" t="s">
        <v>34</v>
      </c>
      <c r="E757">
        <v>7</v>
      </c>
      <c r="F757" t="s">
        <v>35</v>
      </c>
      <c r="G757">
        <v>3</v>
      </c>
      <c r="H757">
        <v>2</v>
      </c>
      <c r="I757" t="s">
        <v>44</v>
      </c>
      <c r="J757">
        <v>1</v>
      </c>
      <c r="K757" t="s">
        <v>50</v>
      </c>
      <c r="L757">
        <v>4284</v>
      </c>
      <c r="M757">
        <v>5</v>
      </c>
      <c r="N757" t="s">
        <v>32</v>
      </c>
      <c r="O757">
        <v>22</v>
      </c>
      <c r="P757">
        <v>4</v>
      </c>
      <c r="Q757">
        <v>1</v>
      </c>
      <c r="R757">
        <v>16</v>
      </c>
      <c r="S757">
        <v>2</v>
      </c>
      <c r="T757">
        <v>5</v>
      </c>
      <c r="U757">
        <v>0</v>
      </c>
      <c r="V757">
        <v>4</v>
      </c>
      <c r="W757" t="s">
        <v>65</v>
      </c>
      <c r="X757" s="1" t="d">
        <v>2016-03-13</v>
      </c>
      <c r="Z757" t="s">
        <v>59</v>
      </c>
      <c r="AA757" t="s">
        <v>46</v>
      </c>
      <c r="AB757">
        <v>2</v>
      </c>
      <c r="AC757">
        <v>1</v>
      </c>
      <c r="AD757" t="s">
        <v>32</v>
      </c>
      <c r="AE757" t="s">
        <v>42</v>
      </c>
      <c r="AF757" t="s">
        <v>48</v>
      </c>
    </row>
    <row r="758" spans="1:32" x14ac:dyDescent="0.25">
      <c r="A758">
        <v>34</v>
      </c>
      <c r="B758" t="s">
        <v>32</v>
      </c>
      <c r="C758" t="s">
        <v>68</v>
      </c>
      <c r="D758" t="s">
        <v>34</v>
      </c>
      <c r="E758">
        <v>16</v>
      </c>
      <c r="F758" t="s">
        <v>35</v>
      </c>
      <c r="G758">
        <v>1</v>
      </c>
      <c r="H758">
        <v>1</v>
      </c>
      <c r="I758" t="s">
        <v>44</v>
      </c>
      <c r="J758">
        <v>1</v>
      </c>
      <c r="K758" t="s">
        <v>50</v>
      </c>
      <c r="L758">
        <v>2307</v>
      </c>
      <c r="M758">
        <v>1</v>
      </c>
      <c r="N758" t="s">
        <v>32</v>
      </c>
      <c r="O758">
        <v>23</v>
      </c>
      <c r="P758">
        <v>4</v>
      </c>
      <c r="Q758">
        <v>1</v>
      </c>
      <c r="R758">
        <v>5</v>
      </c>
      <c r="S758">
        <v>2</v>
      </c>
      <c r="T758">
        <v>5</v>
      </c>
      <c r="U758">
        <v>3</v>
      </c>
      <c r="V758">
        <v>0</v>
      </c>
      <c r="W758" t="s">
        <v>38</v>
      </c>
      <c r="X758" s="1" t="d">
        <v>2016-02-17</v>
      </c>
      <c r="Z758" t="s">
        <v>45</v>
      </c>
      <c r="AA758" t="s">
        <v>46</v>
      </c>
      <c r="AB758">
        <v>0</v>
      </c>
      <c r="AC758">
        <v>1</v>
      </c>
      <c r="AD758" t="s">
        <v>32</v>
      </c>
      <c r="AE758" t="s">
        <v>60</v>
      </c>
      <c r="AF758" t="s">
        <v>57</v>
      </c>
    </row>
    <row r="759" spans="1:32" x14ac:dyDescent="0.25">
      <c r="A759">
        <v>41</v>
      </c>
      <c r="B759" t="s">
        <v>41</v>
      </c>
      <c r="C759" t="s">
        <v>33</v>
      </c>
      <c r="D759" t="s">
        <v>53</v>
      </c>
      <c r="E759">
        <v>8</v>
      </c>
      <c r="F759" t="s">
        <v>58</v>
      </c>
      <c r="G759">
        <v>3</v>
      </c>
      <c r="H759">
        <v>2</v>
      </c>
      <c r="I759" t="s">
        <v>64</v>
      </c>
      <c r="J759">
        <v>2</v>
      </c>
      <c r="K759" t="s">
        <v>50</v>
      </c>
      <c r="L759">
        <v>4393</v>
      </c>
      <c r="M759">
        <v>5</v>
      </c>
      <c r="N759" t="s">
        <v>41</v>
      </c>
      <c r="O759">
        <v>21</v>
      </c>
      <c r="P759">
        <v>4</v>
      </c>
      <c r="Q759">
        <v>1</v>
      </c>
      <c r="R759">
        <v>14</v>
      </c>
      <c r="S759">
        <v>3</v>
      </c>
      <c r="T759">
        <v>5</v>
      </c>
      <c r="U759">
        <v>1</v>
      </c>
      <c r="V759">
        <v>4</v>
      </c>
      <c r="W759" t="s">
        <v>65</v>
      </c>
      <c r="X759" s="1" t="d">
        <v>2016-01-18</v>
      </c>
      <c r="Z759" t="s">
        <v>39</v>
      </c>
      <c r="AA759" t="s">
        <v>46</v>
      </c>
      <c r="AB759">
        <v>5</v>
      </c>
      <c r="AC759">
        <v>2</v>
      </c>
      <c r="AD759" t="s">
        <v>41</v>
      </c>
      <c r="AE759" t="s">
        <v>42</v>
      </c>
      <c r="AF759" t="s">
        <v>48</v>
      </c>
    </row>
    <row r="760" spans="1:32" x14ac:dyDescent="0.25">
      <c r="A760">
        <v>31</v>
      </c>
      <c r="B760" t="s">
        <v>41</v>
      </c>
      <c r="C760" t="s">
        <v>33</v>
      </c>
      <c r="D760" t="s">
        <v>53</v>
      </c>
      <c r="E760">
        <v>10</v>
      </c>
      <c r="F760" t="s">
        <v>58</v>
      </c>
      <c r="G760">
        <v>3</v>
      </c>
      <c r="H760">
        <v>2</v>
      </c>
      <c r="I760" t="s">
        <v>64</v>
      </c>
      <c r="J760">
        <v>4</v>
      </c>
      <c r="K760" t="s">
        <v>55</v>
      </c>
      <c r="L760">
        <v>6583</v>
      </c>
      <c r="M760">
        <v>2</v>
      </c>
      <c r="N760" t="s">
        <v>32</v>
      </c>
      <c r="O760">
        <v>11</v>
      </c>
      <c r="P760">
        <v>3</v>
      </c>
      <c r="Q760">
        <v>1</v>
      </c>
      <c r="R760">
        <v>8</v>
      </c>
      <c r="S760">
        <v>2</v>
      </c>
      <c r="T760">
        <v>5</v>
      </c>
      <c r="U760">
        <v>1</v>
      </c>
      <c r="V760">
        <v>4</v>
      </c>
      <c r="W760" t="s">
        <v>56</v>
      </c>
      <c r="X760" s="1" t="d">
        <v>2016-06-13</v>
      </c>
      <c r="Z760" t="s">
        <v>63</v>
      </c>
      <c r="AA760" t="s">
        <v>40</v>
      </c>
      <c r="AB760">
        <v>4</v>
      </c>
      <c r="AC760">
        <v>0</v>
      </c>
      <c r="AD760" t="s">
        <v>32</v>
      </c>
      <c r="AE760" t="s">
        <v>60</v>
      </c>
      <c r="AF760" t="s">
        <v>57</v>
      </c>
    </row>
    <row r="761" spans="1:32" x14ac:dyDescent="0.25">
      <c r="A761">
        <v>27</v>
      </c>
      <c r="B761" t="s">
        <v>41</v>
      </c>
      <c r="C761" t="s">
        <v>33</v>
      </c>
      <c r="D761" t="s">
        <v>34</v>
      </c>
      <c r="E761">
        <v>2</v>
      </c>
      <c r="F761" t="s">
        <v>35</v>
      </c>
      <c r="G761">
        <v>3</v>
      </c>
      <c r="H761">
        <v>1</v>
      </c>
      <c r="I761" t="s">
        <v>44</v>
      </c>
      <c r="J761">
        <v>2</v>
      </c>
      <c r="K761" t="s">
        <v>50</v>
      </c>
      <c r="L761">
        <v>2226</v>
      </c>
      <c r="M761">
        <v>1</v>
      </c>
      <c r="N761" t="s">
        <v>41</v>
      </c>
      <c r="O761">
        <v>11</v>
      </c>
      <c r="P761">
        <v>3</v>
      </c>
      <c r="Q761">
        <v>1</v>
      </c>
      <c r="R761">
        <v>6</v>
      </c>
      <c r="S761">
        <v>3</v>
      </c>
      <c r="T761">
        <v>5</v>
      </c>
      <c r="U761">
        <v>1</v>
      </c>
      <c r="V761">
        <v>2</v>
      </c>
      <c r="W761" t="s">
        <v>51</v>
      </c>
      <c r="X761" s="1" t="d">
        <v>2016-03-25</v>
      </c>
      <c r="Z761" t="s">
        <v>52</v>
      </c>
      <c r="AA761" t="s">
        <v>46</v>
      </c>
      <c r="AB761">
        <v>4</v>
      </c>
      <c r="AC761">
        <v>1</v>
      </c>
      <c r="AD761" t="s">
        <v>32</v>
      </c>
      <c r="AE761" t="s">
        <v>47</v>
      </c>
      <c r="AF761" t="s">
        <v>57</v>
      </c>
    </row>
    <row r="762" spans="1:32" x14ac:dyDescent="0.25">
      <c r="A762">
        <v>38</v>
      </c>
      <c r="B762" t="s">
        <v>41</v>
      </c>
      <c r="C762" t="s">
        <v>33</v>
      </c>
      <c r="D762" t="s">
        <v>34</v>
      </c>
      <c r="E762">
        <v>9</v>
      </c>
      <c r="F762" t="s">
        <v>35</v>
      </c>
      <c r="G762">
        <v>3</v>
      </c>
      <c r="H762">
        <v>1</v>
      </c>
      <c r="I762" t="s">
        <v>44</v>
      </c>
      <c r="J762">
        <v>4</v>
      </c>
      <c r="K762" t="s">
        <v>55</v>
      </c>
      <c r="L762">
        <v>4771</v>
      </c>
      <c r="M762">
        <v>2</v>
      </c>
      <c r="N762" t="s">
        <v>41</v>
      </c>
      <c r="O762">
        <v>19</v>
      </c>
      <c r="P762">
        <v>3</v>
      </c>
      <c r="Q762">
        <v>2</v>
      </c>
      <c r="R762">
        <v>10</v>
      </c>
      <c r="S762">
        <v>0</v>
      </c>
      <c r="T762">
        <v>5</v>
      </c>
      <c r="U762">
        <v>0</v>
      </c>
      <c r="V762">
        <v>3</v>
      </c>
      <c r="W762" t="s">
        <v>56</v>
      </c>
      <c r="X762" s="1" t="d">
        <v>2016-05-26</v>
      </c>
      <c r="Z762" t="s">
        <v>45</v>
      </c>
      <c r="AA762" t="s">
        <v>40</v>
      </c>
      <c r="AB762">
        <v>0</v>
      </c>
      <c r="AC762">
        <v>3</v>
      </c>
      <c r="AD762" t="s">
        <v>41</v>
      </c>
      <c r="AE762" t="s">
        <v>47</v>
      </c>
      <c r="AF762" t="s">
        <v>57</v>
      </c>
    </row>
    <row r="763" spans="1:32" x14ac:dyDescent="0.25">
      <c r="A763">
        <v>49</v>
      </c>
      <c r="B763" t="s">
        <v>41</v>
      </c>
      <c r="C763" t="s">
        <v>61</v>
      </c>
      <c r="D763" t="s">
        <v>34</v>
      </c>
      <c r="E763">
        <v>2</v>
      </c>
      <c r="F763" t="s">
        <v>35</v>
      </c>
      <c r="G763">
        <v>3</v>
      </c>
      <c r="H763">
        <v>5</v>
      </c>
      <c r="I763" t="s">
        <v>49</v>
      </c>
      <c r="J763">
        <v>4</v>
      </c>
      <c r="K763" t="s">
        <v>50</v>
      </c>
      <c r="L763">
        <v>19161</v>
      </c>
      <c r="M763">
        <v>3</v>
      </c>
      <c r="N763" t="s">
        <v>41</v>
      </c>
      <c r="O763">
        <v>15</v>
      </c>
      <c r="P763">
        <v>3</v>
      </c>
      <c r="Q763">
        <v>0</v>
      </c>
      <c r="R763">
        <v>28</v>
      </c>
      <c r="S763">
        <v>3</v>
      </c>
      <c r="T763">
        <v>5</v>
      </c>
      <c r="U763">
        <v>4</v>
      </c>
      <c r="V763">
        <v>3</v>
      </c>
      <c r="W763" t="s">
        <v>65</v>
      </c>
      <c r="X763" s="1" t="d">
        <v>2016-04-02</v>
      </c>
      <c r="Z763" t="s">
        <v>39</v>
      </c>
      <c r="AA763" t="s">
        <v>40</v>
      </c>
      <c r="AB763">
        <v>1</v>
      </c>
      <c r="AC763">
        <v>2</v>
      </c>
      <c r="AD763" t="s">
        <v>32</v>
      </c>
      <c r="AE763" t="s">
        <v>62</v>
      </c>
      <c r="AF763" t="s">
        <v>57</v>
      </c>
    </row>
    <row r="764" spans="1:32" x14ac:dyDescent="0.25">
      <c r="A764">
        <v>35</v>
      </c>
      <c r="B764" t="s">
        <v>41</v>
      </c>
      <c r="C764" t="s">
        <v>33</v>
      </c>
      <c r="D764" t="s">
        <v>53</v>
      </c>
      <c r="E764">
        <v>18</v>
      </c>
      <c r="F764" t="s">
        <v>35</v>
      </c>
      <c r="G764">
        <v>3</v>
      </c>
      <c r="H764">
        <v>2</v>
      </c>
      <c r="I764" t="s">
        <v>64</v>
      </c>
      <c r="J764">
        <v>1</v>
      </c>
      <c r="K764" t="s">
        <v>50</v>
      </c>
      <c r="L764">
        <v>5561</v>
      </c>
      <c r="M764">
        <v>0</v>
      </c>
      <c r="N764" t="s">
        <v>41</v>
      </c>
      <c r="O764">
        <v>16</v>
      </c>
      <c r="P764">
        <v>3</v>
      </c>
      <c r="Q764">
        <v>1</v>
      </c>
      <c r="R764">
        <v>6</v>
      </c>
      <c r="S764">
        <v>2</v>
      </c>
      <c r="T764">
        <v>5</v>
      </c>
      <c r="U764">
        <v>0</v>
      </c>
      <c r="V764">
        <v>4</v>
      </c>
      <c r="W764" t="s">
        <v>38</v>
      </c>
      <c r="X764" s="1" t="d">
        <v>2016-03-31</v>
      </c>
      <c r="Z764" t="s">
        <v>63</v>
      </c>
      <c r="AA764" t="s">
        <v>40</v>
      </c>
      <c r="AB764">
        <v>4</v>
      </c>
      <c r="AC764">
        <v>2</v>
      </c>
      <c r="AD764" t="s">
        <v>41</v>
      </c>
      <c r="AE764" t="s">
        <v>62</v>
      </c>
      <c r="AF764" t="s">
        <v>48</v>
      </c>
    </row>
    <row r="765" spans="1:32" x14ac:dyDescent="0.25">
      <c r="A765">
        <v>28</v>
      </c>
      <c r="B765" t="s">
        <v>41</v>
      </c>
      <c r="C765" t="s">
        <v>68</v>
      </c>
      <c r="D765" t="s">
        <v>34</v>
      </c>
      <c r="E765">
        <v>16</v>
      </c>
      <c r="F765" t="s">
        <v>35</v>
      </c>
      <c r="G765">
        <v>3</v>
      </c>
      <c r="H765">
        <v>1</v>
      </c>
      <c r="I765" t="s">
        <v>44</v>
      </c>
      <c r="J765">
        <v>3</v>
      </c>
      <c r="K765" t="s">
        <v>37</v>
      </c>
      <c r="L765">
        <v>2144</v>
      </c>
      <c r="M765">
        <v>1</v>
      </c>
      <c r="N765" t="s">
        <v>41</v>
      </c>
      <c r="O765">
        <v>14</v>
      </c>
      <c r="P765">
        <v>3</v>
      </c>
      <c r="Q765">
        <v>0</v>
      </c>
      <c r="R765">
        <v>5</v>
      </c>
      <c r="S765">
        <v>3</v>
      </c>
      <c r="T765">
        <v>5</v>
      </c>
      <c r="U765">
        <v>1</v>
      </c>
      <c r="V765">
        <v>4</v>
      </c>
      <c r="W765" t="s">
        <v>51</v>
      </c>
      <c r="X765" s="1" t="d">
        <v>2016-05-30</v>
      </c>
      <c r="Z765" t="s">
        <v>39</v>
      </c>
      <c r="AA765" t="s">
        <v>46</v>
      </c>
      <c r="AB765">
        <v>1</v>
      </c>
      <c r="AC765">
        <v>3</v>
      </c>
      <c r="AD765" t="s">
        <v>32</v>
      </c>
      <c r="AE765" t="s">
        <v>42</v>
      </c>
      <c r="AF765" t="s">
        <v>43</v>
      </c>
    </row>
    <row r="766" spans="1:32" x14ac:dyDescent="0.25">
      <c r="A766">
        <v>36</v>
      </c>
      <c r="B766" t="s">
        <v>41</v>
      </c>
      <c r="C766" t="s">
        <v>68</v>
      </c>
      <c r="D766" t="s">
        <v>34</v>
      </c>
      <c r="E766">
        <v>9</v>
      </c>
      <c r="F766" t="s">
        <v>35</v>
      </c>
      <c r="G766">
        <v>4</v>
      </c>
      <c r="H766">
        <v>1</v>
      </c>
      <c r="I766" t="s">
        <v>36</v>
      </c>
      <c r="J766">
        <v>2</v>
      </c>
      <c r="K766" t="s">
        <v>50</v>
      </c>
      <c r="L766">
        <v>2810</v>
      </c>
      <c r="M766">
        <v>1</v>
      </c>
      <c r="N766" t="s">
        <v>41</v>
      </c>
      <c r="O766">
        <v>22</v>
      </c>
      <c r="P766">
        <v>4</v>
      </c>
      <c r="Q766">
        <v>0</v>
      </c>
      <c r="R766">
        <v>5</v>
      </c>
      <c r="S766">
        <v>3</v>
      </c>
      <c r="T766">
        <v>5</v>
      </c>
      <c r="U766">
        <v>0</v>
      </c>
      <c r="V766">
        <v>2</v>
      </c>
      <c r="W766" t="s">
        <v>51</v>
      </c>
      <c r="X766" s="1" t="d">
        <v>2016-04-04</v>
      </c>
      <c r="Z766" t="s">
        <v>52</v>
      </c>
      <c r="AA766" t="s">
        <v>40</v>
      </c>
      <c r="AB766">
        <v>0</v>
      </c>
      <c r="AC766">
        <v>0</v>
      </c>
      <c r="AD766" t="s">
        <v>41</v>
      </c>
      <c r="AE766" t="s">
        <v>60</v>
      </c>
      <c r="AF766" t="s">
        <v>57</v>
      </c>
    </row>
    <row r="767" spans="1:32" x14ac:dyDescent="0.25">
      <c r="A767">
        <v>29</v>
      </c>
      <c r="B767" t="s">
        <v>41</v>
      </c>
      <c r="C767" t="s">
        <v>33</v>
      </c>
      <c r="D767" t="s">
        <v>34</v>
      </c>
      <c r="E767">
        <v>1</v>
      </c>
      <c r="F767" t="s">
        <v>35</v>
      </c>
      <c r="G767">
        <v>3</v>
      </c>
      <c r="H767">
        <v>2</v>
      </c>
      <c r="I767" t="s">
        <v>69</v>
      </c>
      <c r="J767">
        <v>1</v>
      </c>
      <c r="K767" t="s">
        <v>50</v>
      </c>
      <c r="L767">
        <v>5373</v>
      </c>
      <c r="M767">
        <v>0</v>
      </c>
      <c r="N767" t="s">
        <v>41</v>
      </c>
      <c r="O767">
        <v>12</v>
      </c>
      <c r="P767">
        <v>3</v>
      </c>
      <c r="Q767">
        <v>1</v>
      </c>
      <c r="R767">
        <v>6</v>
      </c>
      <c r="S767">
        <v>5</v>
      </c>
      <c r="T767">
        <v>5</v>
      </c>
      <c r="U767">
        <v>0</v>
      </c>
      <c r="V767">
        <v>2</v>
      </c>
      <c r="W767" t="s">
        <v>56</v>
      </c>
      <c r="X767" s="1" t="d">
        <v>2016-02-17</v>
      </c>
      <c r="Z767" t="s">
        <v>63</v>
      </c>
      <c r="AA767" t="s">
        <v>46</v>
      </c>
      <c r="AB767">
        <v>3</v>
      </c>
      <c r="AC767">
        <v>3</v>
      </c>
      <c r="AD767" t="s">
        <v>32</v>
      </c>
      <c r="AE767" t="s">
        <v>42</v>
      </c>
      <c r="AF767" t="s">
        <v>43</v>
      </c>
    </row>
    <row r="768" spans="1:32" x14ac:dyDescent="0.25">
      <c r="A768">
        <v>32</v>
      </c>
      <c r="B768" t="s">
        <v>41</v>
      </c>
      <c r="C768" t="s">
        <v>68</v>
      </c>
      <c r="D768" t="s">
        <v>34</v>
      </c>
      <c r="E768">
        <v>15</v>
      </c>
      <c r="F768" t="s">
        <v>58</v>
      </c>
      <c r="G768">
        <v>3</v>
      </c>
      <c r="H768">
        <v>2</v>
      </c>
      <c r="I768" t="s">
        <v>69</v>
      </c>
      <c r="J768">
        <v>4</v>
      </c>
      <c r="K768" t="s">
        <v>55</v>
      </c>
      <c r="L768">
        <v>6667</v>
      </c>
      <c r="M768">
        <v>5</v>
      </c>
      <c r="N768" t="s">
        <v>41</v>
      </c>
      <c r="O768">
        <v>18</v>
      </c>
      <c r="P768">
        <v>3</v>
      </c>
      <c r="Q768">
        <v>1</v>
      </c>
      <c r="R768">
        <v>9</v>
      </c>
      <c r="S768">
        <v>6</v>
      </c>
      <c r="T768">
        <v>5</v>
      </c>
      <c r="U768">
        <v>1</v>
      </c>
      <c r="V768">
        <v>2</v>
      </c>
      <c r="W768" t="s">
        <v>65</v>
      </c>
      <c r="X768" s="1" t="d">
        <v>2016-03-05</v>
      </c>
      <c r="Z768" t="s">
        <v>63</v>
      </c>
      <c r="AA768" t="s">
        <v>40</v>
      </c>
      <c r="AB768">
        <v>1</v>
      </c>
      <c r="AC768">
        <v>0</v>
      </c>
      <c r="AD768" t="s">
        <v>32</v>
      </c>
      <c r="AE768" t="s">
        <v>60</v>
      </c>
      <c r="AF768" t="s">
        <v>43</v>
      </c>
    </row>
    <row r="769" spans="1:32" x14ac:dyDescent="0.25">
      <c r="A769">
        <v>54</v>
      </c>
      <c r="B769" t="s">
        <v>41</v>
      </c>
      <c r="C769" t="s">
        <v>33</v>
      </c>
      <c r="D769" t="s">
        <v>34</v>
      </c>
      <c r="E769">
        <v>10</v>
      </c>
      <c r="F769" t="s">
        <v>58</v>
      </c>
      <c r="G769">
        <v>3</v>
      </c>
      <c r="H769">
        <v>2</v>
      </c>
      <c r="I769" t="s">
        <v>67</v>
      </c>
      <c r="J769">
        <v>1</v>
      </c>
      <c r="K769" t="s">
        <v>37</v>
      </c>
      <c r="L769">
        <v>4440</v>
      </c>
      <c r="M769">
        <v>6</v>
      </c>
      <c r="N769" t="s">
        <v>32</v>
      </c>
      <c r="O769">
        <v>19</v>
      </c>
      <c r="P769">
        <v>3</v>
      </c>
      <c r="Q769">
        <v>0</v>
      </c>
      <c r="R769">
        <v>9</v>
      </c>
      <c r="S769">
        <v>3</v>
      </c>
      <c r="T769">
        <v>5</v>
      </c>
      <c r="U769">
        <v>1</v>
      </c>
      <c r="V769">
        <v>4</v>
      </c>
      <c r="W769" t="s">
        <v>51</v>
      </c>
      <c r="X769" s="1" t="d">
        <v>2016-01-13</v>
      </c>
      <c r="Z769" t="s">
        <v>59</v>
      </c>
      <c r="AA769" t="s">
        <v>46</v>
      </c>
      <c r="AB769">
        <v>1</v>
      </c>
      <c r="AC769">
        <v>0</v>
      </c>
      <c r="AD769" t="s">
        <v>41</v>
      </c>
      <c r="AE769" t="s">
        <v>42</v>
      </c>
      <c r="AF769" t="s">
        <v>57</v>
      </c>
    </row>
    <row r="770" spans="1:32" x14ac:dyDescent="0.25">
      <c r="A770">
        <v>23</v>
      </c>
      <c r="B770" t="s">
        <v>41</v>
      </c>
      <c r="C770" t="s">
        <v>33</v>
      </c>
      <c r="D770" t="s">
        <v>34</v>
      </c>
      <c r="E770">
        <v>12</v>
      </c>
      <c r="F770" t="s">
        <v>35</v>
      </c>
      <c r="G770">
        <v>3</v>
      </c>
      <c r="H770">
        <v>1</v>
      </c>
      <c r="I770" t="s">
        <v>36</v>
      </c>
      <c r="J770">
        <v>4</v>
      </c>
      <c r="K770" t="s">
        <v>37</v>
      </c>
      <c r="L770">
        <v>2647</v>
      </c>
      <c r="M770">
        <v>1</v>
      </c>
      <c r="N770" t="s">
        <v>41</v>
      </c>
      <c r="O770">
        <v>13</v>
      </c>
      <c r="P770">
        <v>3</v>
      </c>
      <c r="Q770">
        <v>0</v>
      </c>
      <c r="R770">
        <v>5</v>
      </c>
      <c r="S770">
        <v>6</v>
      </c>
      <c r="T770">
        <v>5</v>
      </c>
      <c r="U770">
        <v>1</v>
      </c>
      <c r="V770">
        <v>4</v>
      </c>
      <c r="W770" t="s">
        <v>65</v>
      </c>
      <c r="X770" s="1" t="d">
        <v>2016-04-15</v>
      </c>
      <c r="Z770" t="s">
        <v>59</v>
      </c>
      <c r="AA770" t="s">
        <v>40</v>
      </c>
      <c r="AB770">
        <v>5</v>
      </c>
      <c r="AC770">
        <v>2</v>
      </c>
      <c r="AD770" t="s">
        <v>32</v>
      </c>
      <c r="AE770" t="s">
        <v>42</v>
      </c>
      <c r="AF770" t="s">
        <v>48</v>
      </c>
    </row>
    <row r="771" spans="1:32" x14ac:dyDescent="0.25">
      <c r="A771">
        <v>41</v>
      </c>
      <c r="B771" t="s">
        <v>41</v>
      </c>
      <c r="C771" t="s">
        <v>33</v>
      </c>
      <c r="D771" t="s">
        <v>34</v>
      </c>
      <c r="E771">
        <v>1</v>
      </c>
      <c r="F771" t="s">
        <v>35</v>
      </c>
      <c r="G771">
        <v>3</v>
      </c>
      <c r="H771">
        <v>1</v>
      </c>
      <c r="I771" t="s">
        <v>44</v>
      </c>
      <c r="J771">
        <v>4</v>
      </c>
      <c r="K771" t="s">
        <v>50</v>
      </c>
      <c r="L771">
        <v>2782</v>
      </c>
      <c r="M771">
        <v>3</v>
      </c>
      <c r="N771" t="s">
        <v>41</v>
      </c>
      <c r="O771">
        <v>22</v>
      </c>
      <c r="P771">
        <v>4</v>
      </c>
      <c r="Q771">
        <v>1</v>
      </c>
      <c r="R771">
        <v>12</v>
      </c>
      <c r="S771">
        <v>3</v>
      </c>
      <c r="T771">
        <v>5</v>
      </c>
      <c r="U771">
        <v>1</v>
      </c>
      <c r="V771">
        <v>0</v>
      </c>
      <c r="W771" t="s">
        <v>65</v>
      </c>
      <c r="X771" s="1" t="d">
        <v>2016-03-14</v>
      </c>
      <c r="Z771" t="s">
        <v>63</v>
      </c>
      <c r="AA771" t="s">
        <v>46</v>
      </c>
      <c r="AB771">
        <v>1</v>
      </c>
      <c r="AC771">
        <v>3</v>
      </c>
      <c r="AD771" t="s">
        <v>32</v>
      </c>
      <c r="AE771" t="s">
        <v>42</v>
      </c>
      <c r="AF771" t="s">
        <v>57</v>
      </c>
    </row>
    <row r="772" spans="1:32" x14ac:dyDescent="0.25">
      <c r="A772">
        <v>25</v>
      </c>
      <c r="B772" t="s">
        <v>41</v>
      </c>
      <c r="C772" t="s">
        <v>33</v>
      </c>
      <c r="D772" t="s">
        <v>53</v>
      </c>
      <c r="E772">
        <v>8</v>
      </c>
      <c r="F772" t="s">
        <v>58</v>
      </c>
      <c r="G772">
        <v>3</v>
      </c>
      <c r="H772">
        <v>2</v>
      </c>
      <c r="I772" t="s">
        <v>64</v>
      </c>
      <c r="J772">
        <v>3</v>
      </c>
      <c r="K772" t="s">
        <v>55</v>
      </c>
      <c r="L772">
        <v>4907</v>
      </c>
      <c r="M772">
        <v>0</v>
      </c>
      <c r="N772" t="s">
        <v>32</v>
      </c>
      <c r="O772">
        <v>22</v>
      </c>
      <c r="P772">
        <v>4</v>
      </c>
      <c r="Q772">
        <v>1</v>
      </c>
      <c r="R772">
        <v>6</v>
      </c>
      <c r="S772">
        <v>3</v>
      </c>
      <c r="T772">
        <v>5</v>
      </c>
      <c r="U772">
        <v>0</v>
      </c>
      <c r="V772">
        <v>4</v>
      </c>
      <c r="W772" t="s">
        <v>51</v>
      </c>
      <c r="X772" s="1" t="d">
        <v>2016-01-07</v>
      </c>
      <c r="Z772" t="s">
        <v>45</v>
      </c>
      <c r="AA772" t="s">
        <v>46</v>
      </c>
      <c r="AB772">
        <v>5</v>
      </c>
      <c r="AC772">
        <v>0</v>
      </c>
      <c r="AD772" t="s">
        <v>32</v>
      </c>
      <c r="AE772" t="s">
        <v>62</v>
      </c>
      <c r="AF772" t="s">
        <v>48</v>
      </c>
    </row>
    <row r="773" spans="1:32" x14ac:dyDescent="0.25">
      <c r="A773">
        <v>41</v>
      </c>
      <c r="B773" t="s">
        <v>41</v>
      </c>
      <c r="C773" t="s">
        <v>33</v>
      </c>
      <c r="D773" t="s">
        <v>53</v>
      </c>
      <c r="E773">
        <v>3</v>
      </c>
      <c r="F773" t="s">
        <v>35</v>
      </c>
      <c r="G773">
        <v>2</v>
      </c>
      <c r="H773">
        <v>2</v>
      </c>
      <c r="I773" t="s">
        <v>64</v>
      </c>
      <c r="J773">
        <v>2</v>
      </c>
      <c r="K773" t="s">
        <v>55</v>
      </c>
      <c r="L773">
        <v>8938</v>
      </c>
      <c r="M773">
        <v>2</v>
      </c>
      <c r="N773" t="s">
        <v>41</v>
      </c>
      <c r="O773">
        <v>11</v>
      </c>
      <c r="P773">
        <v>3</v>
      </c>
      <c r="Q773">
        <v>1</v>
      </c>
      <c r="R773">
        <v>14</v>
      </c>
      <c r="S773">
        <v>5</v>
      </c>
      <c r="T773">
        <v>5</v>
      </c>
      <c r="U773">
        <v>0</v>
      </c>
      <c r="V773">
        <v>4</v>
      </c>
      <c r="W773" t="s">
        <v>56</v>
      </c>
      <c r="X773" s="1" t="d">
        <v>2016-06-13</v>
      </c>
      <c r="Z773" t="s">
        <v>52</v>
      </c>
      <c r="AA773" t="s">
        <v>46</v>
      </c>
      <c r="AB773">
        <v>4</v>
      </c>
      <c r="AC773">
        <v>3</v>
      </c>
      <c r="AD773" t="s">
        <v>41</v>
      </c>
      <c r="AE773" t="s">
        <v>42</v>
      </c>
      <c r="AF773" t="s">
        <v>48</v>
      </c>
    </row>
    <row r="774" spans="1:32" x14ac:dyDescent="0.25">
      <c r="A774">
        <v>45</v>
      </c>
      <c r="B774" t="s">
        <v>41</v>
      </c>
      <c r="C774" t="s">
        <v>33</v>
      </c>
      <c r="D774" t="s">
        <v>53</v>
      </c>
      <c r="E774">
        <v>20</v>
      </c>
      <c r="F774" t="s">
        <v>58</v>
      </c>
      <c r="G774">
        <v>3</v>
      </c>
      <c r="H774">
        <v>2</v>
      </c>
      <c r="I774" t="s">
        <v>64</v>
      </c>
      <c r="J774">
        <v>3</v>
      </c>
      <c r="K774" t="s">
        <v>37</v>
      </c>
      <c r="L774">
        <v>4850</v>
      </c>
      <c r="M774">
        <v>8</v>
      </c>
      <c r="N774" t="s">
        <v>41</v>
      </c>
      <c r="O774">
        <v>15</v>
      </c>
      <c r="P774">
        <v>3</v>
      </c>
      <c r="Q774">
        <v>0</v>
      </c>
      <c r="R774">
        <v>8</v>
      </c>
      <c r="S774">
        <v>3</v>
      </c>
      <c r="T774">
        <v>5</v>
      </c>
      <c r="U774">
        <v>0</v>
      </c>
      <c r="V774">
        <v>1</v>
      </c>
      <c r="W774" t="s">
        <v>56</v>
      </c>
      <c r="X774" s="1" t="d">
        <v>2016-03-30</v>
      </c>
      <c r="Z774" t="s">
        <v>45</v>
      </c>
      <c r="AA774" t="s">
        <v>40</v>
      </c>
      <c r="AB774">
        <v>4</v>
      </c>
      <c r="AC774">
        <v>1</v>
      </c>
      <c r="AD774" t="s">
        <v>41</v>
      </c>
      <c r="AE774" t="s">
        <v>60</v>
      </c>
      <c r="AF774" t="s">
        <v>43</v>
      </c>
    </row>
    <row r="775" spans="1:32" x14ac:dyDescent="0.25">
      <c r="A775">
        <v>40</v>
      </c>
      <c r="B775" t="s">
        <v>41</v>
      </c>
      <c r="C775" t="s">
        <v>33</v>
      </c>
      <c r="D775" t="s">
        <v>34</v>
      </c>
      <c r="E775">
        <v>2</v>
      </c>
      <c r="F775" t="s">
        <v>58</v>
      </c>
      <c r="G775">
        <v>3</v>
      </c>
      <c r="H775">
        <v>1</v>
      </c>
      <c r="I775" t="s">
        <v>44</v>
      </c>
      <c r="J775">
        <v>3</v>
      </c>
      <c r="K775" t="s">
        <v>50</v>
      </c>
      <c r="L775">
        <v>2001</v>
      </c>
      <c r="M775">
        <v>2</v>
      </c>
      <c r="N775" t="s">
        <v>41</v>
      </c>
      <c r="O775">
        <v>14</v>
      </c>
      <c r="P775">
        <v>3</v>
      </c>
      <c r="Q775">
        <v>3</v>
      </c>
      <c r="R775">
        <v>20</v>
      </c>
      <c r="S775">
        <v>2</v>
      </c>
      <c r="T775">
        <v>5</v>
      </c>
      <c r="U775">
        <v>0</v>
      </c>
      <c r="V775">
        <v>2</v>
      </c>
      <c r="W775" t="s">
        <v>65</v>
      </c>
      <c r="X775" s="1" t="d">
        <v>2016-04-10</v>
      </c>
      <c r="Z775" t="s">
        <v>39</v>
      </c>
      <c r="AA775" t="s">
        <v>40</v>
      </c>
      <c r="AB775">
        <v>0</v>
      </c>
      <c r="AC775">
        <v>0</v>
      </c>
      <c r="AD775" t="s">
        <v>41</v>
      </c>
      <c r="AE775" t="s">
        <v>42</v>
      </c>
      <c r="AF775" t="s">
        <v>57</v>
      </c>
    </row>
    <row r="776" spans="1:32" x14ac:dyDescent="0.25">
      <c r="A776">
        <v>29</v>
      </c>
      <c r="B776" t="s">
        <v>41</v>
      </c>
      <c r="C776" t="s">
        <v>33</v>
      </c>
      <c r="D776" t="s">
        <v>34</v>
      </c>
      <c r="E776">
        <v>28</v>
      </c>
      <c r="F776" t="s">
        <v>58</v>
      </c>
      <c r="G776">
        <v>2</v>
      </c>
      <c r="H776">
        <v>1</v>
      </c>
      <c r="I776" t="s">
        <v>44</v>
      </c>
      <c r="J776">
        <v>1</v>
      </c>
      <c r="K776" t="s">
        <v>37</v>
      </c>
      <c r="L776">
        <v>3785</v>
      </c>
      <c r="M776">
        <v>1</v>
      </c>
      <c r="N776" t="s">
        <v>41</v>
      </c>
      <c r="O776">
        <v>14</v>
      </c>
      <c r="P776">
        <v>3</v>
      </c>
      <c r="Q776">
        <v>0</v>
      </c>
      <c r="R776">
        <v>5</v>
      </c>
      <c r="S776">
        <v>3</v>
      </c>
      <c r="T776">
        <v>5</v>
      </c>
      <c r="U776">
        <v>0</v>
      </c>
      <c r="V776">
        <v>4</v>
      </c>
      <c r="W776" t="s">
        <v>51</v>
      </c>
      <c r="X776" s="1" t="d">
        <v>2016-01-27</v>
      </c>
      <c r="Z776" t="s">
        <v>39</v>
      </c>
      <c r="AA776" t="s">
        <v>46</v>
      </c>
      <c r="AB776">
        <v>4</v>
      </c>
      <c r="AC776">
        <v>3</v>
      </c>
      <c r="AD776" t="s">
        <v>41</v>
      </c>
      <c r="AE776" t="s">
        <v>62</v>
      </c>
      <c r="AF776" t="s">
        <v>48</v>
      </c>
    </row>
    <row r="777" spans="1:32" x14ac:dyDescent="0.25">
      <c r="A777">
        <v>36</v>
      </c>
      <c r="B777" t="s">
        <v>41</v>
      </c>
      <c r="C777" t="s">
        <v>61</v>
      </c>
      <c r="D777" t="s">
        <v>34</v>
      </c>
      <c r="E777">
        <v>23</v>
      </c>
      <c r="F777" t="s">
        <v>35</v>
      </c>
      <c r="G777">
        <v>4</v>
      </c>
      <c r="H777">
        <v>2</v>
      </c>
      <c r="I777" t="s">
        <v>36</v>
      </c>
      <c r="J777">
        <v>4</v>
      </c>
      <c r="K777" t="s">
        <v>50</v>
      </c>
      <c r="L777">
        <v>2571</v>
      </c>
      <c r="M777">
        <v>4</v>
      </c>
      <c r="N777" t="s">
        <v>41</v>
      </c>
      <c r="O777">
        <v>17</v>
      </c>
      <c r="P777">
        <v>3</v>
      </c>
      <c r="Q777">
        <v>1</v>
      </c>
      <c r="R777">
        <v>17</v>
      </c>
      <c r="S777">
        <v>3</v>
      </c>
      <c r="T777">
        <v>5</v>
      </c>
      <c r="U777">
        <v>0</v>
      </c>
      <c r="V777">
        <v>3</v>
      </c>
      <c r="W777" t="s">
        <v>65</v>
      </c>
      <c r="X777" s="1" t="d">
        <v>2016-04-07</v>
      </c>
      <c r="Z777" t="s">
        <v>63</v>
      </c>
      <c r="AA777" t="s">
        <v>46</v>
      </c>
      <c r="AB777">
        <v>0</v>
      </c>
      <c r="AC777">
        <v>1</v>
      </c>
      <c r="AD777" t="s">
        <v>41</v>
      </c>
      <c r="AE777" t="s">
        <v>42</v>
      </c>
      <c r="AF777" t="s">
        <v>43</v>
      </c>
    </row>
    <row r="778" spans="1:32" x14ac:dyDescent="0.25">
      <c r="A778">
        <v>41</v>
      </c>
      <c r="B778" t="s">
        <v>32</v>
      </c>
      <c r="C778" t="s">
        <v>33</v>
      </c>
      <c r="D778" t="s">
        <v>53</v>
      </c>
      <c r="E778">
        <v>1</v>
      </c>
      <c r="F778" t="s">
        <v>58</v>
      </c>
      <c r="G778">
        <v>3</v>
      </c>
      <c r="H778">
        <v>2</v>
      </c>
      <c r="I778" t="s">
        <v>64</v>
      </c>
      <c r="J778">
        <v>4</v>
      </c>
      <c r="K778" t="s">
        <v>37</v>
      </c>
      <c r="L778">
        <v>5993</v>
      </c>
      <c r="M778">
        <v>8</v>
      </c>
      <c r="N778" t="s">
        <v>32</v>
      </c>
      <c r="O778">
        <v>11</v>
      </c>
      <c r="P778">
        <v>3</v>
      </c>
      <c r="Q778">
        <v>0</v>
      </c>
      <c r="R778">
        <v>8</v>
      </c>
      <c r="S778">
        <v>0</v>
      </c>
      <c r="T778">
        <v>6</v>
      </c>
      <c r="U778">
        <v>0</v>
      </c>
      <c r="V778">
        <v>5</v>
      </c>
      <c r="W778" t="s">
        <v>51</v>
      </c>
      <c r="X778" s="1" t="d">
        <v>2015-05-24</v>
      </c>
      <c r="Z778" t="s">
        <v>39</v>
      </c>
      <c r="AA778" t="s">
        <v>46</v>
      </c>
      <c r="AB778">
        <v>0</v>
      </c>
      <c r="AC778">
        <v>0</v>
      </c>
      <c r="AD778" t="s">
        <v>41</v>
      </c>
      <c r="AE778" t="s">
        <v>60</v>
      </c>
      <c r="AF778" t="s">
        <v>43</v>
      </c>
    </row>
    <row r="779" spans="1:32" x14ac:dyDescent="0.25">
      <c r="A779">
        <v>32</v>
      </c>
      <c r="B779" t="s">
        <v>41</v>
      </c>
      <c r="C779" t="s">
        <v>33</v>
      </c>
      <c r="D779" t="s">
        <v>34</v>
      </c>
      <c r="E779">
        <v>5</v>
      </c>
      <c r="F779" t="s">
        <v>35</v>
      </c>
      <c r="G779">
        <v>4</v>
      </c>
      <c r="H779">
        <v>1</v>
      </c>
      <c r="I779" t="s">
        <v>44</v>
      </c>
      <c r="J779">
        <v>2</v>
      </c>
      <c r="K779" t="s">
        <v>55</v>
      </c>
      <c r="L779">
        <v>3298</v>
      </c>
      <c r="M779">
        <v>0</v>
      </c>
      <c r="N779" t="s">
        <v>32</v>
      </c>
      <c r="O779">
        <v>12</v>
      </c>
      <c r="P779">
        <v>3</v>
      </c>
      <c r="Q779">
        <v>2</v>
      </c>
      <c r="R779">
        <v>7</v>
      </c>
      <c r="S779">
        <v>5</v>
      </c>
      <c r="T779">
        <v>6</v>
      </c>
      <c r="U779">
        <v>0</v>
      </c>
      <c r="V779">
        <v>5</v>
      </c>
      <c r="W779" t="s">
        <v>51</v>
      </c>
      <c r="X779" s="1" t="d">
        <v>2015-01-29</v>
      </c>
      <c r="Z779" t="s">
        <v>59</v>
      </c>
      <c r="AA779" t="s">
        <v>46</v>
      </c>
      <c r="AB779">
        <v>5</v>
      </c>
      <c r="AC779">
        <v>1</v>
      </c>
      <c r="AD779" t="s">
        <v>32</v>
      </c>
      <c r="AE779" t="s">
        <v>47</v>
      </c>
      <c r="AF779" t="s">
        <v>48</v>
      </c>
    </row>
    <row r="780" spans="1:32" x14ac:dyDescent="0.25">
      <c r="A780">
        <v>36</v>
      </c>
      <c r="B780" t="s">
        <v>41</v>
      </c>
      <c r="C780" t="s">
        <v>61</v>
      </c>
      <c r="D780" t="s">
        <v>34</v>
      </c>
      <c r="E780">
        <v>11</v>
      </c>
      <c r="F780" t="s">
        <v>35</v>
      </c>
      <c r="G780">
        <v>2</v>
      </c>
      <c r="H780">
        <v>2</v>
      </c>
      <c r="I780" t="s">
        <v>67</v>
      </c>
      <c r="J780">
        <v>2</v>
      </c>
      <c r="K780" t="s">
        <v>37</v>
      </c>
      <c r="L780">
        <v>6499</v>
      </c>
      <c r="M780">
        <v>1</v>
      </c>
      <c r="N780" t="s">
        <v>41</v>
      </c>
      <c r="O780">
        <v>13</v>
      </c>
      <c r="P780">
        <v>3</v>
      </c>
      <c r="Q780">
        <v>0</v>
      </c>
      <c r="R780">
        <v>6</v>
      </c>
      <c r="S780">
        <v>3</v>
      </c>
      <c r="T780">
        <v>6</v>
      </c>
      <c r="U780">
        <v>0</v>
      </c>
      <c r="V780">
        <v>3</v>
      </c>
      <c r="W780" t="s">
        <v>56</v>
      </c>
      <c r="X780" s="1" t="d">
        <v>2015-03-20</v>
      </c>
      <c r="Z780" t="s">
        <v>63</v>
      </c>
      <c r="AA780" t="s">
        <v>40</v>
      </c>
      <c r="AB780">
        <v>2</v>
      </c>
      <c r="AC780">
        <v>1</v>
      </c>
      <c r="AD780" t="s">
        <v>41</v>
      </c>
      <c r="AE780" t="s">
        <v>47</v>
      </c>
      <c r="AF780" t="s">
        <v>43</v>
      </c>
    </row>
    <row r="781" spans="1:32" x14ac:dyDescent="0.25">
      <c r="A781">
        <v>35</v>
      </c>
      <c r="B781" t="s">
        <v>41</v>
      </c>
      <c r="C781" t="s">
        <v>33</v>
      </c>
      <c r="D781" t="s">
        <v>34</v>
      </c>
      <c r="E781">
        <v>1</v>
      </c>
      <c r="F781" t="s">
        <v>35</v>
      </c>
      <c r="G781">
        <v>2</v>
      </c>
      <c r="H781">
        <v>1</v>
      </c>
      <c r="I781" t="s">
        <v>44</v>
      </c>
      <c r="J781">
        <v>3</v>
      </c>
      <c r="K781" t="s">
        <v>37</v>
      </c>
      <c r="L781">
        <v>2859</v>
      </c>
      <c r="M781">
        <v>1</v>
      </c>
      <c r="N781" t="s">
        <v>41</v>
      </c>
      <c r="O781">
        <v>18</v>
      </c>
      <c r="P781">
        <v>3</v>
      </c>
      <c r="Q781">
        <v>0</v>
      </c>
      <c r="R781">
        <v>6</v>
      </c>
      <c r="S781">
        <v>3</v>
      </c>
      <c r="T781">
        <v>6</v>
      </c>
      <c r="U781">
        <v>0</v>
      </c>
      <c r="V781">
        <v>4</v>
      </c>
      <c r="W781" t="s">
        <v>56</v>
      </c>
      <c r="X781" s="1" t="d">
        <v>2015-05-19</v>
      </c>
      <c r="Z781" t="s">
        <v>39</v>
      </c>
      <c r="AA781" t="s">
        <v>46</v>
      </c>
      <c r="AB781">
        <v>2</v>
      </c>
      <c r="AC781">
        <v>3</v>
      </c>
      <c r="AD781" t="s">
        <v>41</v>
      </c>
      <c r="AE781" t="s">
        <v>60</v>
      </c>
      <c r="AF781" t="s">
        <v>43</v>
      </c>
    </row>
    <row r="782" spans="1:32" x14ac:dyDescent="0.25">
      <c r="A782">
        <v>56</v>
      </c>
      <c r="B782" t="s">
        <v>41</v>
      </c>
      <c r="C782" t="s">
        <v>33</v>
      </c>
      <c r="D782" t="s">
        <v>34</v>
      </c>
      <c r="E782">
        <v>7</v>
      </c>
      <c r="F782" t="s">
        <v>35</v>
      </c>
      <c r="G782">
        <v>1</v>
      </c>
      <c r="H782">
        <v>3</v>
      </c>
      <c r="I782" t="s">
        <v>67</v>
      </c>
      <c r="J782">
        <v>4</v>
      </c>
      <c r="K782" t="s">
        <v>37</v>
      </c>
      <c r="L782">
        <v>7260</v>
      </c>
      <c r="M782">
        <v>4</v>
      </c>
      <c r="N782" t="s">
        <v>41</v>
      </c>
      <c r="O782">
        <v>11</v>
      </c>
      <c r="P782">
        <v>3</v>
      </c>
      <c r="Q782">
        <v>0</v>
      </c>
      <c r="R782">
        <v>37</v>
      </c>
      <c r="S782">
        <v>3</v>
      </c>
      <c r="T782">
        <v>6</v>
      </c>
      <c r="U782">
        <v>0</v>
      </c>
      <c r="V782">
        <v>2</v>
      </c>
      <c r="W782" t="s">
        <v>38</v>
      </c>
      <c r="X782" s="1" t="d">
        <v>2015-03-28</v>
      </c>
      <c r="Z782" t="s">
        <v>45</v>
      </c>
      <c r="AA782" t="s">
        <v>46</v>
      </c>
      <c r="AB782">
        <v>1</v>
      </c>
      <c r="AC782">
        <v>0</v>
      </c>
      <c r="AD782" t="s">
        <v>41</v>
      </c>
      <c r="AE782" t="s">
        <v>62</v>
      </c>
      <c r="AF782" t="s">
        <v>48</v>
      </c>
    </row>
    <row r="783" spans="1:32" x14ac:dyDescent="0.25">
      <c r="A783">
        <v>25</v>
      </c>
      <c r="B783" t="s">
        <v>32</v>
      </c>
      <c r="C783" t="s">
        <v>33</v>
      </c>
      <c r="D783" t="s">
        <v>53</v>
      </c>
      <c r="E783">
        <v>5</v>
      </c>
      <c r="F783" t="s">
        <v>35</v>
      </c>
      <c r="G783">
        <v>2</v>
      </c>
      <c r="H783">
        <v>2</v>
      </c>
      <c r="I783" t="s">
        <v>64</v>
      </c>
      <c r="J783">
        <v>3</v>
      </c>
      <c r="K783" t="s">
        <v>37</v>
      </c>
      <c r="L783">
        <v>5744</v>
      </c>
      <c r="M783">
        <v>1</v>
      </c>
      <c r="N783" t="s">
        <v>32</v>
      </c>
      <c r="O783">
        <v>11</v>
      </c>
      <c r="P783">
        <v>3</v>
      </c>
      <c r="Q783">
        <v>0</v>
      </c>
      <c r="R783">
        <v>6</v>
      </c>
      <c r="S783">
        <v>1</v>
      </c>
      <c r="T783">
        <v>6</v>
      </c>
      <c r="U783">
        <v>0</v>
      </c>
      <c r="V783">
        <v>3</v>
      </c>
      <c r="W783" t="s">
        <v>38</v>
      </c>
      <c r="X783" s="1" t="d">
        <v>2015-04-27</v>
      </c>
      <c r="Z783" t="s">
        <v>59</v>
      </c>
      <c r="AA783" t="s">
        <v>40</v>
      </c>
      <c r="AB783">
        <v>4</v>
      </c>
      <c r="AC783">
        <v>0</v>
      </c>
      <c r="AD783" t="s">
        <v>41</v>
      </c>
      <c r="AE783" t="s">
        <v>42</v>
      </c>
      <c r="AF783" t="s">
        <v>48</v>
      </c>
    </row>
    <row r="784" spans="1:32" x14ac:dyDescent="0.25">
      <c r="A784">
        <v>45</v>
      </c>
      <c r="B784" t="s">
        <v>41</v>
      </c>
      <c r="C784" t="s">
        <v>33</v>
      </c>
      <c r="D784" t="s">
        <v>34</v>
      </c>
      <c r="E784">
        <v>29</v>
      </c>
      <c r="F784" t="s">
        <v>35</v>
      </c>
      <c r="G784">
        <v>3</v>
      </c>
      <c r="H784">
        <v>1</v>
      </c>
      <c r="I784" t="s">
        <v>44</v>
      </c>
      <c r="J784">
        <v>4</v>
      </c>
      <c r="K784" t="s">
        <v>37</v>
      </c>
      <c r="L784">
        <v>3452</v>
      </c>
      <c r="M784">
        <v>5</v>
      </c>
      <c r="N784" t="s">
        <v>41</v>
      </c>
      <c r="O784">
        <v>13</v>
      </c>
      <c r="P784">
        <v>3</v>
      </c>
      <c r="Q784">
        <v>0</v>
      </c>
      <c r="R784">
        <v>9</v>
      </c>
      <c r="S784">
        <v>2</v>
      </c>
      <c r="T784">
        <v>6</v>
      </c>
      <c r="U784">
        <v>0</v>
      </c>
      <c r="V784">
        <v>3</v>
      </c>
      <c r="W784" t="s">
        <v>56</v>
      </c>
      <c r="X784" s="1" t="d">
        <v>2015-02-06</v>
      </c>
      <c r="Z784" t="s">
        <v>63</v>
      </c>
      <c r="AA784" t="s">
        <v>40</v>
      </c>
      <c r="AB784">
        <v>2</v>
      </c>
      <c r="AC784">
        <v>0</v>
      </c>
      <c r="AD784" t="s">
        <v>32</v>
      </c>
      <c r="AE784" t="s">
        <v>60</v>
      </c>
      <c r="AF784" t="s">
        <v>43</v>
      </c>
    </row>
    <row r="785" spans="1:32" x14ac:dyDescent="0.25">
      <c r="A785">
        <v>35</v>
      </c>
      <c r="B785" t="s">
        <v>41</v>
      </c>
      <c r="C785" t="s">
        <v>61</v>
      </c>
      <c r="D785" t="s">
        <v>34</v>
      </c>
      <c r="E785">
        <v>2</v>
      </c>
      <c r="F785" t="s">
        <v>58</v>
      </c>
      <c r="G785">
        <v>3</v>
      </c>
      <c r="H785">
        <v>2</v>
      </c>
      <c r="I785" t="s">
        <v>36</v>
      </c>
      <c r="J785">
        <v>2</v>
      </c>
      <c r="K785" t="s">
        <v>37</v>
      </c>
      <c r="L785">
        <v>4425</v>
      </c>
      <c r="M785">
        <v>5</v>
      </c>
      <c r="N785" t="s">
        <v>41</v>
      </c>
      <c r="O785">
        <v>11</v>
      </c>
      <c r="P785">
        <v>3</v>
      </c>
      <c r="Q785">
        <v>0</v>
      </c>
      <c r="R785">
        <v>10</v>
      </c>
      <c r="S785">
        <v>5</v>
      </c>
      <c r="T785">
        <v>6</v>
      </c>
      <c r="U785">
        <v>1</v>
      </c>
      <c r="V785">
        <v>2</v>
      </c>
      <c r="W785" t="s">
        <v>51</v>
      </c>
      <c r="X785" s="1" t="d">
        <v>2015-01-26</v>
      </c>
      <c r="Z785" t="s">
        <v>52</v>
      </c>
      <c r="AA785" t="s">
        <v>40</v>
      </c>
      <c r="AB785">
        <v>1</v>
      </c>
      <c r="AC785">
        <v>1</v>
      </c>
      <c r="AD785" t="s">
        <v>41</v>
      </c>
      <c r="AE785" t="s">
        <v>62</v>
      </c>
      <c r="AF785" t="s">
        <v>57</v>
      </c>
    </row>
    <row r="786" spans="1:32" x14ac:dyDescent="0.25">
      <c r="A786">
        <v>30</v>
      </c>
      <c r="B786" t="s">
        <v>32</v>
      </c>
      <c r="C786" t="s">
        <v>61</v>
      </c>
      <c r="D786" t="s">
        <v>53</v>
      </c>
      <c r="E786">
        <v>26</v>
      </c>
      <c r="F786" t="s">
        <v>58</v>
      </c>
      <c r="G786">
        <v>2</v>
      </c>
      <c r="H786">
        <v>2</v>
      </c>
      <c r="I786" t="s">
        <v>64</v>
      </c>
      <c r="J786">
        <v>1</v>
      </c>
      <c r="K786" t="s">
        <v>37</v>
      </c>
      <c r="L786">
        <v>6696</v>
      </c>
      <c r="M786">
        <v>5</v>
      </c>
      <c r="N786" t="s">
        <v>41</v>
      </c>
      <c r="O786">
        <v>15</v>
      </c>
      <c r="P786">
        <v>3</v>
      </c>
      <c r="Q786">
        <v>0</v>
      </c>
      <c r="R786">
        <v>9</v>
      </c>
      <c r="S786">
        <v>5</v>
      </c>
      <c r="T786">
        <v>6</v>
      </c>
      <c r="U786">
        <v>0</v>
      </c>
      <c r="V786">
        <v>1</v>
      </c>
      <c r="W786" t="s">
        <v>65</v>
      </c>
      <c r="X786" s="1" t="d">
        <v>2015-05-09</v>
      </c>
      <c r="Z786" t="s">
        <v>45</v>
      </c>
      <c r="AA786" t="s">
        <v>40</v>
      </c>
      <c r="AB786">
        <v>5</v>
      </c>
      <c r="AC786">
        <v>3</v>
      </c>
      <c r="AD786" t="s">
        <v>32</v>
      </c>
      <c r="AE786" t="s">
        <v>60</v>
      </c>
      <c r="AF786" t="s">
        <v>57</v>
      </c>
    </row>
    <row r="787" spans="1:32" x14ac:dyDescent="0.25">
      <c r="A787">
        <v>29</v>
      </c>
      <c r="B787" t="s">
        <v>32</v>
      </c>
      <c r="C787" t="s">
        <v>33</v>
      </c>
      <c r="D787" t="s">
        <v>34</v>
      </c>
      <c r="E787">
        <v>1</v>
      </c>
      <c r="F787" t="s">
        <v>35</v>
      </c>
      <c r="G787">
        <v>3</v>
      </c>
      <c r="H787">
        <v>1</v>
      </c>
      <c r="I787" t="s">
        <v>44</v>
      </c>
      <c r="J787">
        <v>3</v>
      </c>
      <c r="K787" t="s">
        <v>37</v>
      </c>
      <c r="L787">
        <v>2058</v>
      </c>
      <c r="M787">
        <v>0</v>
      </c>
      <c r="N787" t="s">
        <v>41</v>
      </c>
      <c r="O787">
        <v>14</v>
      </c>
      <c r="P787">
        <v>3</v>
      </c>
      <c r="Q787">
        <v>0</v>
      </c>
      <c r="R787">
        <v>7</v>
      </c>
      <c r="S787">
        <v>1</v>
      </c>
      <c r="T787">
        <v>6</v>
      </c>
      <c r="U787">
        <v>1</v>
      </c>
      <c r="V787">
        <v>5</v>
      </c>
      <c r="W787" t="s">
        <v>56</v>
      </c>
      <c r="X787" s="1" t="d">
        <v>2015-01-19</v>
      </c>
      <c r="Z787" t="s">
        <v>59</v>
      </c>
      <c r="AA787" t="s">
        <v>46</v>
      </c>
      <c r="AB787">
        <v>0</v>
      </c>
      <c r="AC787">
        <v>0</v>
      </c>
      <c r="AD787" t="s">
        <v>41</v>
      </c>
      <c r="AE787" t="s">
        <v>47</v>
      </c>
      <c r="AF787" t="s">
        <v>43</v>
      </c>
    </row>
    <row r="788" spans="1:32" x14ac:dyDescent="0.25">
      <c r="A788">
        <v>54</v>
      </c>
      <c r="B788" t="s">
        <v>41</v>
      </c>
      <c r="C788" t="s">
        <v>33</v>
      </c>
      <c r="D788" t="s">
        <v>53</v>
      </c>
      <c r="E788">
        <v>3</v>
      </c>
      <c r="F788" t="s">
        <v>58</v>
      </c>
      <c r="G788">
        <v>3</v>
      </c>
      <c r="H788">
        <v>2</v>
      </c>
      <c r="I788" t="s">
        <v>64</v>
      </c>
      <c r="J788">
        <v>1</v>
      </c>
      <c r="K788" t="s">
        <v>50</v>
      </c>
      <c r="L788">
        <v>5940</v>
      </c>
      <c r="M788">
        <v>2</v>
      </c>
      <c r="N788" t="s">
        <v>41</v>
      </c>
      <c r="O788">
        <v>14</v>
      </c>
      <c r="P788">
        <v>3</v>
      </c>
      <c r="Q788">
        <v>1</v>
      </c>
      <c r="R788">
        <v>16</v>
      </c>
      <c r="S788">
        <v>4</v>
      </c>
      <c r="T788">
        <v>6</v>
      </c>
      <c r="U788">
        <v>0</v>
      </c>
      <c r="V788">
        <v>5</v>
      </c>
      <c r="W788" t="s">
        <v>38</v>
      </c>
      <c r="X788" s="1" t="d">
        <v>2015-05-27</v>
      </c>
      <c r="Z788" t="s">
        <v>52</v>
      </c>
      <c r="AA788" t="s">
        <v>46</v>
      </c>
      <c r="AB788">
        <v>4</v>
      </c>
      <c r="AC788">
        <v>3</v>
      </c>
      <c r="AD788" t="s">
        <v>41</v>
      </c>
      <c r="AE788" t="s">
        <v>42</v>
      </c>
      <c r="AF788" t="s">
        <v>48</v>
      </c>
    </row>
    <row r="789" spans="1:32" x14ac:dyDescent="0.25">
      <c r="A789">
        <v>29</v>
      </c>
      <c r="B789" t="s">
        <v>41</v>
      </c>
      <c r="C789" t="s">
        <v>33</v>
      </c>
      <c r="D789" t="s">
        <v>34</v>
      </c>
      <c r="E789">
        <v>15</v>
      </c>
      <c r="F789" t="s">
        <v>35</v>
      </c>
      <c r="G789">
        <v>3</v>
      </c>
      <c r="H789">
        <v>1</v>
      </c>
      <c r="I789" t="s">
        <v>44</v>
      </c>
      <c r="J789">
        <v>4</v>
      </c>
      <c r="K789" t="s">
        <v>37</v>
      </c>
      <c r="L789">
        <v>2340</v>
      </c>
      <c r="M789">
        <v>1</v>
      </c>
      <c r="N789" t="s">
        <v>41</v>
      </c>
      <c r="O789">
        <v>19</v>
      </c>
      <c r="P789">
        <v>3</v>
      </c>
      <c r="Q789">
        <v>0</v>
      </c>
      <c r="R789">
        <v>6</v>
      </c>
      <c r="S789">
        <v>1</v>
      </c>
      <c r="T789">
        <v>6</v>
      </c>
      <c r="U789">
        <v>1</v>
      </c>
      <c r="V789">
        <v>5</v>
      </c>
      <c r="W789" t="s">
        <v>38</v>
      </c>
      <c r="X789" s="1" t="d">
        <v>2015-04-20</v>
      </c>
      <c r="Z789" t="s">
        <v>63</v>
      </c>
      <c r="AA789" t="s">
        <v>40</v>
      </c>
      <c r="AB789">
        <v>5</v>
      </c>
      <c r="AC789">
        <v>3</v>
      </c>
      <c r="AD789" t="s">
        <v>41</v>
      </c>
      <c r="AE789" t="s">
        <v>60</v>
      </c>
      <c r="AF789" t="s">
        <v>43</v>
      </c>
    </row>
    <row r="790" spans="1:32" x14ac:dyDescent="0.25">
      <c r="A790">
        <v>32</v>
      </c>
      <c r="B790" t="s">
        <v>41</v>
      </c>
      <c r="C790" t="s">
        <v>33</v>
      </c>
      <c r="D790" t="s">
        <v>34</v>
      </c>
      <c r="E790">
        <v>2</v>
      </c>
      <c r="F790" t="s">
        <v>35</v>
      </c>
      <c r="G790">
        <v>2</v>
      </c>
      <c r="H790">
        <v>2</v>
      </c>
      <c r="I790" t="s">
        <v>36</v>
      </c>
      <c r="J790">
        <v>1</v>
      </c>
      <c r="K790" t="s">
        <v>37</v>
      </c>
      <c r="L790">
        <v>2176</v>
      </c>
      <c r="M790">
        <v>4</v>
      </c>
      <c r="N790" t="s">
        <v>41</v>
      </c>
      <c r="O790">
        <v>13</v>
      </c>
      <c r="P790">
        <v>3</v>
      </c>
      <c r="Q790">
        <v>0</v>
      </c>
      <c r="R790">
        <v>9</v>
      </c>
      <c r="S790">
        <v>5</v>
      </c>
      <c r="T790">
        <v>6</v>
      </c>
      <c r="U790">
        <v>0</v>
      </c>
      <c r="V790">
        <v>4</v>
      </c>
      <c r="W790" t="s">
        <v>56</v>
      </c>
      <c r="X790" s="1" t="d">
        <v>2015-04-12</v>
      </c>
      <c r="Z790" t="s">
        <v>59</v>
      </c>
      <c r="AA790" t="s">
        <v>40</v>
      </c>
      <c r="AB790">
        <v>4</v>
      </c>
      <c r="AC790">
        <v>3</v>
      </c>
      <c r="AD790" t="s">
        <v>41</v>
      </c>
      <c r="AE790" t="s">
        <v>42</v>
      </c>
      <c r="AF790" t="s">
        <v>48</v>
      </c>
    </row>
    <row r="791" spans="1:32" x14ac:dyDescent="0.25">
      <c r="A791">
        <v>25</v>
      </c>
      <c r="B791" t="s">
        <v>41</v>
      </c>
      <c r="C791" t="s">
        <v>68</v>
      </c>
      <c r="D791" t="s">
        <v>34</v>
      </c>
      <c r="E791">
        <v>5</v>
      </c>
      <c r="F791" t="s">
        <v>35</v>
      </c>
      <c r="G791">
        <v>4</v>
      </c>
      <c r="H791">
        <v>2</v>
      </c>
      <c r="I791" t="s">
        <v>69</v>
      </c>
      <c r="J791">
        <v>1</v>
      </c>
      <c r="K791" t="s">
        <v>55</v>
      </c>
      <c r="L791">
        <v>4000</v>
      </c>
      <c r="M791">
        <v>1</v>
      </c>
      <c r="N791" t="s">
        <v>41</v>
      </c>
      <c r="O791">
        <v>12</v>
      </c>
      <c r="P791">
        <v>3</v>
      </c>
      <c r="Q791">
        <v>2</v>
      </c>
      <c r="R791">
        <v>6</v>
      </c>
      <c r="S791">
        <v>2</v>
      </c>
      <c r="T791">
        <v>6</v>
      </c>
      <c r="U791">
        <v>1</v>
      </c>
      <c r="V791">
        <v>5</v>
      </c>
      <c r="W791" t="s">
        <v>65</v>
      </c>
      <c r="X791" s="1" t="d">
        <v>2015-04-04</v>
      </c>
      <c r="Z791" t="s">
        <v>63</v>
      </c>
      <c r="AA791" t="s">
        <v>46</v>
      </c>
      <c r="AB791">
        <v>3</v>
      </c>
      <c r="AC791">
        <v>1</v>
      </c>
      <c r="AD791" t="s">
        <v>32</v>
      </c>
      <c r="AE791" t="s">
        <v>42</v>
      </c>
      <c r="AF791" t="s">
        <v>57</v>
      </c>
    </row>
    <row r="792" spans="1:32" x14ac:dyDescent="0.25">
      <c r="A792">
        <v>26</v>
      </c>
      <c r="B792" t="s">
        <v>41</v>
      </c>
      <c r="C792" t="s">
        <v>61</v>
      </c>
      <c r="D792" t="s">
        <v>34</v>
      </c>
      <c r="E792">
        <v>1</v>
      </c>
      <c r="F792" t="s">
        <v>58</v>
      </c>
      <c r="G792">
        <v>3</v>
      </c>
      <c r="H792">
        <v>2</v>
      </c>
      <c r="I792" t="s">
        <v>67</v>
      </c>
      <c r="J792">
        <v>2</v>
      </c>
      <c r="K792" t="s">
        <v>55</v>
      </c>
      <c r="L792">
        <v>6397</v>
      </c>
      <c r="M792">
        <v>1</v>
      </c>
      <c r="N792" t="s">
        <v>41</v>
      </c>
      <c r="O792">
        <v>20</v>
      </c>
      <c r="P792">
        <v>4</v>
      </c>
      <c r="Q792">
        <v>1</v>
      </c>
      <c r="R792">
        <v>6</v>
      </c>
      <c r="S792">
        <v>6</v>
      </c>
      <c r="T792">
        <v>6</v>
      </c>
      <c r="U792">
        <v>1</v>
      </c>
      <c r="V792">
        <v>4</v>
      </c>
      <c r="W792" t="s">
        <v>56</v>
      </c>
      <c r="X792" s="1" t="d">
        <v>2015-01-18</v>
      </c>
      <c r="Z792" t="s">
        <v>59</v>
      </c>
      <c r="AA792" t="s">
        <v>40</v>
      </c>
      <c r="AB792">
        <v>3</v>
      </c>
      <c r="AC792">
        <v>1</v>
      </c>
      <c r="AD792" t="s">
        <v>41</v>
      </c>
      <c r="AE792" t="s">
        <v>47</v>
      </c>
      <c r="AF792" t="s">
        <v>57</v>
      </c>
    </row>
    <row r="793" spans="1:32" x14ac:dyDescent="0.25">
      <c r="A793">
        <v>37</v>
      </c>
      <c r="B793" t="s">
        <v>41</v>
      </c>
      <c r="C793" t="s">
        <v>33</v>
      </c>
      <c r="D793" t="s">
        <v>34</v>
      </c>
      <c r="E793">
        <v>5</v>
      </c>
      <c r="F793" t="s">
        <v>35</v>
      </c>
      <c r="G793">
        <v>3</v>
      </c>
      <c r="H793">
        <v>2</v>
      </c>
      <c r="I793" t="s">
        <v>67</v>
      </c>
      <c r="J793">
        <v>4</v>
      </c>
      <c r="K793" t="s">
        <v>55</v>
      </c>
      <c r="L793">
        <v>6347</v>
      </c>
      <c r="M793">
        <v>7</v>
      </c>
      <c r="N793" t="s">
        <v>41</v>
      </c>
      <c r="O793">
        <v>16</v>
      </c>
      <c r="P793">
        <v>3</v>
      </c>
      <c r="Q793">
        <v>2</v>
      </c>
      <c r="R793">
        <v>8</v>
      </c>
      <c r="S793">
        <v>2</v>
      </c>
      <c r="T793">
        <v>6</v>
      </c>
      <c r="U793">
        <v>0</v>
      </c>
      <c r="V793">
        <v>4</v>
      </c>
      <c r="W793" t="s">
        <v>38</v>
      </c>
      <c r="X793" s="1" t="d">
        <v>2015-03-17</v>
      </c>
      <c r="Z793" t="s">
        <v>52</v>
      </c>
      <c r="AA793" t="s">
        <v>40</v>
      </c>
      <c r="AB793">
        <v>4</v>
      </c>
      <c r="AC793">
        <v>3</v>
      </c>
      <c r="AD793" t="s">
        <v>32</v>
      </c>
      <c r="AE793" t="s">
        <v>47</v>
      </c>
      <c r="AF793" t="s">
        <v>57</v>
      </c>
    </row>
    <row r="794" spans="1:32" x14ac:dyDescent="0.25">
      <c r="A794">
        <v>40</v>
      </c>
      <c r="B794" t="s">
        <v>32</v>
      </c>
      <c r="C794" t="s">
        <v>33</v>
      </c>
      <c r="D794" t="s">
        <v>53</v>
      </c>
      <c r="E794">
        <v>22</v>
      </c>
      <c r="F794" t="s">
        <v>35</v>
      </c>
      <c r="G794">
        <v>2</v>
      </c>
      <c r="H794">
        <v>2</v>
      </c>
      <c r="I794" t="s">
        <v>64</v>
      </c>
      <c r="J794">
        <v>3</v>
      </c>
      <c r="K794" t="s">
        <v>50</v>
      </c>
      <c r="L794">
        <v>6380</v>
      </c>
      <c r="M794">
        <v>2</v>
      </c>
      <c r="N794" t="s">
        <v>32</v>
      </c>
      <c r="O794">
        <v>12</v>
      </c>
      <c r="P794">
        <v>3</v>
      </c>
      <c r="Q794">
        <v>2</v>
      </c>
      <c r="R794">
        <v>8</v>
      </c>
      <c r="S794">
        <v>6</v>
      </c>
      <c r="T794">
        <v>6</v>
      </c>
      <c r="U794">
        <v>1</v>
      </c>
      <c r="V794">
        <v>0</v>
      </c>
      <c r="W794" t="s">
        <v>56</v>
      </c>
      <c r="X794" s="1" t="d">
        <v>2015-05-12</v>
      </c>
      <c r="Z794" t="s">
        <v>39</v>
      </c>
      <c r="AA794" t="s">
        <v>46</v>
      </c>
      <c r="AB794">
        <v>4</v>
      </c>
      <c r="AC794">
        <v>3</v>
      </c>
      <c r="AD794" t="s">
        <v>32</v>
      </c>
      <c r="AE794" t="s">
        <v>42</v>
      </c>
      <c r="AF794" t="s">
        <v>43</v>
      </c>
    </row>
    <row r="795" spans="1:32" x14ac:dyDescent="0.25">
      <c r="A795">
        <v>26</v>
      </c>
      <c r="B795" t="s">
        <v>32</v>
      </c>
      <c r="C795" t="s">
        <v>61</v>
      </c>
      <c r="D795" t="s">
        <v>34</v>
      </c>
      <c r="E795">
        <v>3</v>
      </c>
      <c r="F795" t="s">
        <v>35</v>
      </c>
      <c r="G795">
        <v>3</v>
      </c>
      <c r="H795">
        <v>1</v>
      </c>
      <c r="I795" t="s">
        <v>44</v>
      </c>
      <c r="J795">
        <v>1</v>
      </c>
      <c r="K795" t="s">
        <v>37</v>
      </c>
      <c r="L795">
        <v>3102</v>
      </c>
      <c r="M795">
        <v>0</v>
      </c>
      <c r="N795" t="s">
        <v>41</v>
      </c>
      <c r="O795">
        <v>22</v>
      </c>
      <c r="P795">
        <v>4</v>
      </c>
      <c r="Q795">
        <v>0</v>
      </c>
      <c r="R795">
        <v>7</v>
      </c>
      <c r="S795">
        <v>2</v>
      </c>
      <c r="T795">
        <v>6</v>
      </c>
      <c r="U795">
        <v>0</v>
      </c>
      <c r="V795">
        <v>4</v>
      </c>
      <c r="W795" t="s">
        <v>51</v>
      </c>
      <c r="X795" s="1" t="d">
        <v>2015-04-23</v>
      </c>
      <c r="Z795" t="s">
        <v>52</v>
      </c>
      <c r="AA795" t="s">
        <v>46</v>
      </c>
      <c r="AB795">
        <v>5</v>
      </c>
      <c r="AC795">
        <v>0</v>
      </c>
      <c r="AD795" t="s">
        <v>41</v>
      </c>
      <c r="AE795" t="s">
        <v>62</v>
      </c>
      <c r="AF795" t="s">
        <v>43</v>
      </c>
    </row>
    <row r="796" spans="1:32" x14ac:dyDescent="0.25">
      <c r="A796">
        <v>42</v>
      </c>
      <c r="B796" t="s">
        <v>41</v>
      </c>
      <c r="C796" t="s">
        <v>61</v>
      </c>
      <c r="D796" t="s">
        <v>34</v>
      </c>
      <c r="E796">
        <v>28</v>
      </c>
      <c r="F796" t="s">
        <v>58</v>
      </c>
      <c r="G796">
        <v>2</v>
      </c>
      <c r="H796">
        <v>2</v>
      </c>
      <c r="I796" t="s">
        <v>69</v>
      </c>
      <c r="J796">
        <v>4</v>
      </c>
      <c r="K796" t="s">
        <v>50</v>
      </c>
      <c r="L796">
        <v>4523</v>
      </c>
      <c r="M796">
        <v>0</v>
      </c>
      <c r="N796" t="s">
        <v>41</v>
      </c>
      <c r="O796">
        <v>11</v>
      </c>
      <c r="P796">
        <v>3</v>
      </c>
      <c r="Q796">
        <v>3</v>
      </c>
      <c r="R796">
        <v>7</v>
      </c>
      <c r="S796">
        <v>4</v>
      </c>
      <c r="T796">
        <v>6</v>
      </c>
      <c r="U796">
        <v>0</v>
      </c>
      <c r="V796">
        <v>4</v>
      </c>
      <c r="W796" t="s">
        <v>38</v>
      </c>
      <c r="X796" s="1" t="d">
        <v>2015-01-20</v>
      </c>
      <c r="Z796" t="s">
        <v>59</v>
      </c>
      <c r="AA796" t="s">
        <v>40</v>
      </c>
      <c r="AB796">
        <v>4</v>
      </c>
      <c r="AC796">
        <v>3</v>
      </c>
      <c r="AD796" t="s">
        <v>41</v>
      </c>
      <c r="AE796" t="s">
        <v>42</v>
      </c>
      <c r="AF796" t="s">
        <v>57</v>
      </c>
    </row>
    <row r="797" spans="1:32" x14ac:dyDescent="0.25">
      <c r="A797">
        <v>31</v>
      </c>
      <c r="B797" t="s">
        <v>41</v>
      </c>
      <c r="C797" t="s">
        <v>33</v>
      </c>
      <c r="D797" t="s">
        <v>53</v>
      </c>
      <c r="E797">
        <v>2</v>
      </c>
      <c r="F797" t="s">
        <v>35</v>
      </c>
      <c r="G797">
        <v>3</v>
      </c>
      <c r="H797">
        <v>2</v>
      </c>
      <c r="I797" t="s">
        <v>64</v>
      </c>
      <c r="J797">
        <v>4</v>
      </c>
      <c r="K797" t="s">
        <v>37</v>
      </c>
      <c r="L797">
        <v>6582</v>
      </c>
      <c r="M797">
        <v>4</v>
      </c>
      <c r="N797" t="s">
        <v>32</v>
      </c>
      <c r="O797">
        <v>13</v>
      </c>
      <c r="P797">
        <v>3</v>
      </c>
      <c r="Q797">
        <v>0</v>
      </c>
      <c r="R797">
        <v>10</v>
      </c>
      <c r="S797">
        <v>2</v>
      </c>
      <c r="T797">
        <v>6</v>
      </c>
      <c r="U797">
        <v>0</v>
      </c>
      <c r="V797">
        <v>5</v>
      </c>
      <c r="W797" t="s">
        <v>51</v>
      </c>
      <c r="X797" s="1" t="d">
        <v>2015-05-30</v>
      </c>
      <c r="Z797" t="s">
        <v>39</v>
      </c>
      <c r="AA797" t="s">
        <v>46</v>
      </c>
      <c r="AB797">
        <v>1</v>
      </c>
      <c r="AC797">
        <v>1</v>
      </c>
      <c r="AD797" t="s">
        <v>41</v>
      </c>
      <c r="AE797" t="s">
        <v>62</v>
      </c>
      <c r="AF797" t="s">
        <v>48</v>
      </c>
    </row>
    <row r="798" spans="1:32" x14ac:dyDescent="0.25">
      <c r="A798">
        <v>33</v>
      </c>
      <c r="B798" t="s">
        <v>41</v>
      </c>
      <c r="C798" t="s">
        <v>33</v>
      </c>
      <c r="D798" t="s">
        <v>34</v>
      </c>
      <c r="E798">
        <v>1</v>
      </c>
      <c r="F798" t="s">
        <v>58</v>
      </c>
      <c r="G798">
        <v>4</v>
      </c>
      <c r="H798">
        <v>4</v>
      </c>
      <c r="I798" t="s">
        <v>49</v>
      </c>
      <c r="J798">
        <v>3</v>
      </c>
      <c r="K798" t="s">
        <v>55</v>
      </c>
      <c r="L798">
        <v>16184</v>
      </c>
      <c r="M798">
        <v>4</v>
      </c>
      <c r="N798" t="s">
        <v>41</v>
      </c>
      <c r="O798">
        <v>19</v>
      </c>
      <c r="P798">
        <v>3</v>
      </c>
      <c r="Q798">
        <v>1</v>
      </c>
      <c r="R798">
        <v>10</v>
      </c>
      <c r="S798">
        <v>2</v>
      </c>
      <c r="T798">
        <v>6</v>
      </c>
      <c r="U798">
        <v>0</v>
      </c>
      <c r="V798">
        <v>5</v>
      </c>
      <c r="W798" t="s">
        <v>65</v>
      </c>
      <c r="X798" s="1" t="d">
        <v>2015-06-02</v>
      </c>
      <c r="Z798" t="s">
        <v>52</v>
      </c>
      <c r="AA798" t="s">
        <v>46</v>
      </c>
      <c r="AB798">
        <v>2</v>
      </c>
      <c r="AC798">
        <v>3</v>
      </c>
      <c r="AD798" t="s">
        <v>32</v>
      </c>
      <c r="AE798" t="s">
        <v>42</v>
      </c>
      <c r="AF798" t="s">
        <v>48</v>
      </c>
    </row>
    <row r="799" spans="1:32" x14ac:dyDescent="0.25">
      <c r="A799">
        <v>37</v>
      </c>
      <c r="B799" t="s">
        <v>41</v>
      </c>
      <c r="C799" t="s">
        <v>33</v>
      </c>
      <c r="D799" t="s">
        <v>34</v>
      </c>
      <c r="E799">
        <v>1</v>
      </c>
      <c r="F799" t="s">
        <v>58</v>
      </c>
      <c r="G799">
        <v>3</v>
      </c>
      <c r="H799">
        <v>3</v>
      </c>
      <c r="I799" t="s">
        <v>67</v>
      </c>
      <c r="J799">
        <v>4</v>
      </c>
      <c r="K799" t="s">
        <v>37</v>
      </c>
      <c r="L799">
        <v>7491</v>
      </c>
      <c r="M799">
        <v>4</v>
      </c>
      <c r="N799" t="s">
        <v>41</v>
      </c>
      <c r="O799">
        <v>17</v>
      </c>
      <c r="P799">
        <v>3</v>
      </c>
      <c r="Q799">
        <v>0</v>
      </c>
      <c r="R799">
        <v>12</v>
      </c>
      <c r="S799">
        <v>3</v>
      </c>
      <c r="T799">
        <v>6</v>
      </c>
      <c r="U799">
        <v>1</v>
      </c>
      <c r="V799">
        <v>2</v>
      </c>
      <c r="W799" t="s">
        <v>56</v>
      </c>
      <c r="X799" s="1" t="d">
        <v>2015-05-07</v>
      </c>
      <c r="Z799" t="s">
        <v>59</v>
      </c>
      <c r="AA799" t="s">
        <v>40</v>
      </c>
      <c r="AB799">
        <v>1</v>
      </c>
      <c r="AC799">
        <v>0</v>
      </c>
      <c r="AD799" t="s">
        <v>41</v>
      </c>
      <c r="AE799" t="s">
        <v>42</v>
      </c>
      <c r="AF799" t="s">
        <v>48</v>
      </c>
    </row>
    <row r="800" spans="1:32" x14ac:dyDescent="0.25">
      <c r="A800">
        <v>37</v>
      </c>
      <c r="B800" t="s">
        <v>41</v>
      </c>
      <c r="C800" t="s">
        <v>33</v>
      </c>
      <c r="D800" t="s">
        <v>34</v>
      </c>
      <c r="E800">
        <v>1</v>
      </c>
      <c r="F800" t="s">
        <v>58</v>
      </c>
      <c r="G800">
        <v>3</v>
      </c>
      <c r="H800">
        <v>2</v>
      </c>
      <c r="I800" t="s">
        <v>67</v>
      </c>
      <c r="J800">
        <v>2</v>
      </c>
      <c r="K800" t="s">
        <v>50</v>
      </c>
      <c r="L800">
        <v>6447</v>
      </c>
      <c r="M800">
        <v>6</v>
      </c>
      <c r="N800" t="s">
        <v>41</v>
      </c>
      <c r="O800">
        <v>12</v>
      </c>
      <c r="P800">
        <v>3</v>
      </c>
      <c r="Q800">
        <v>1</v>
      </c>
      <c r="R800">
        <v>8</v>
      </c>
      <c r="S800">
        <v>2</v>
      </c>
      <c r="T800">
        <v>6</v>
      </c>
      <c r="U800">
        <v>4</v>
      </c>
      <c r="V800">
        <v>3</v>
      </c>
      <c r="W800" t="s">
        <v>38</v>
      </c>
      <c r="X800" s="1" t="d">
        <v>2015-06-22</v>
      </c>
      <c r="Z800" t="s">
        <v>52</v>
      </c>
      <c r="AA800" t="s">
        <v>40</v>
      </c>
      <c r="AB800">
        <v>3</v>
      </c>
      <c r="AC800">
        <v>0</v>
      </c>
      <c r="AD800" t="s">
        <v>32</v>
      </c>
      <c r="AE800" t="s">
        <v>42</v>
      </c>
      <c r="AF800" t="s">
        <v>57</v>
      </c>
    </row>
    <row r="801" spans="1:32" x14ac:dyDescent="0.25">
      <c r="A801">
        <v>24</v>
      </c>
      <c r="B801" t="s">
        <v>41</v>
      </c>
      <c r="C801" t="s">
        <v>33</v>
      </c>
      <c r="D801" t="s">
        <v>34</v>
      </c>
      <c r="E801">
        <v>23</v>
      </c>
      <c r="F801" t="s">
        <v>35</v>
      </c>
      <c r="G801">
        <v>4</v>
      </c>
      <c r="H801">
        <v>1</v>
      </c>
      <c r="I801" t="s">
        <v>44</v>
      </c>
      <c r="J801">
        <v>4</v>
      </c>
      <c r="K801" t="s">
        <v>50</v>
      </c>
      <c r="L801">
        <v>2725</v>
      </c>
      <c r="M801">
        <v>1</v>
      </c>
      <c r="N801" t="s">
        <v>32</v>
      </c>
      <c r="O801">
        <v>11</v>
      </c>
      <c r="P801">
        <v>3</v>
      </c>
      <c r="Q801">
        <v>2</v>
      </c>
      <c r="R801">
        <v>6</v>
      </c>
      <c r="S801">
        <v>3</v>
      </c>
      <c r="T801">
        <v>6</v>
      </c>
      <c r="U801">
        <v>1</v>
      </c>
      <c r="V801">
        <v>4</v>
      </c>
      <c r="W801" t="s">
        <v>51</v>
      </c>
      <c r="X801" s="1" t="d">
        <v>2015-03-18</v>
      </c>
      <c r="Z801" t="s">
        <v>59</v>
      </c>
      <c r="AA801" t="s">
        <v>40</v>
      </c>
      <c r="AB801">
        <v>1</v>
      </c>
      <c r="AC801">
        <v>3</v>
      </c>
      <c r="AD801" t="s">
        <v>41</v>
      </c>
      <c r="AE801" t="s">
        <v>60</v>
      </c>
      <c r="AF801" t="s">
        <v>48</v>
      </c>
    </row>
    <row r="802" spans="1:32" x14ac:dyDescent="0.25">
      <c r="A802">
        <v>24</v>
      </c>
      <c r="B802" t="s">
        <v>32</v>
      </c>
      <c r="C802" t="s">
        <v>61</v>
      </c>
      <c r="D802" t="s">
        <v>34</v>
      </c>
      <c r="E802">
        <v>7</v>
      </c>
      <c r="F802" t="s">
        <v>58</v>
      </c>
      <c r="G802">
        <v>3</v>
      </c>
      <c r="H802">
        <v>1</v>
      </c>
      <c r="I802" t="s">
        <v>36</v>
      </c>
      <c r="J802">
        <v>3</v>
      </c>
      <c r="K802" t="s">
        <v>50</v>
      </c>
      <c r="L802">
        <v>2886</v>
      </c>
      <c r="M802">
        <v>1</v>
      </c>
      <c r="N802" t="s">
        <v>32</v>
      </c>
      <c r="O802">
        <v>16</v>
      </c>
      <c r="P802">
        <v>3</v>
      </c>
      <c r="Q802">
        <v>1</v>
      </c>
      <c r="R802">
        <v>6</v>
      </c>
      <c r="S802">
        <v>4</v>
      </c>
      <c r="T802">
        <v>6</v>
      </c>
      <c r="U802">
        <v>1</v>
      </c>
      <c r="V802">
        <v>2</v>
      </c>
      <c r="W802" t="s">
        <v>56</v>
      </c>
      <c r="X802" s="1" t="d">
        <v>2015-01-01</v>
      </c>
      <c r="Z802" t="s">
        <v>45</v>
      </c>
      <c r="AA802" t="s">
        <v>46</v>
      </c>
      <c r="AB802">
        <v>0</v>
      </c>
      <c r="AC802">
        <v>0</v>
      </c>
      <c r="AD802" t="s">
        <v>32</v>
      </c>
      <c r="AE802" t="s">
        <v>62</v>
      </c>
      <c r="AF802" t="s">
        <v>43</v>
      </c>
    </row>
    <row r="803" spans="1:32" x14ac:dyDescent="0.25">
      <c r="A803">
        <v>34</v>
      </c>
      <c r="B803" t="s">
        <v>41</v>
      </c>
      <c r="C803" t="s">
        <v>33</v>
      </c>
      <c r="D803" t="s">
        <v>34</v>
      </c>
      <c r="E803">
        <v>1</v>
      </c>
      <c r="F803" t="s">
        <v>35</v>
      </c>
      <c r="G803">
        <v>2</v>
      </c>
      <c r="H803">
        <v>1</v>
      </c>
      <c r="I803" t="s">
        <v>44</v>
      </c>
      <c r="J803">
        <v>4</v>
      </c>
      <c r="K803" t="s">
        <v>50</v>
      </c>
      <c r="L803">
        <v>3622</v>
      </c>
      <c r="M803">
        <v>1</v>
      </c>
      <c r="N803" t="s">
        <v>32</v>
      </c>
      <c r="O803">
        <v>13</v>
      </c>
      <c r="P803">
        <v>3</v>
      </c>
      <c r="Q803">
        <v>1</v>
      </c>
      <c r="R803">
        <v>6</v>
      </c>
      <c r="S803">
        <v>3</v>
      </c>
      <c r="T803">
        <v>6</v>
      </c>
      <c r="U803">
        <v>1</v>
      </c>
      <c r="V803">
        <v>3</v>
      </c>
      <c r="W803" t="s">
        <v>65</v>
      </c>
      <c r="X803" s="1" t="d">
        <v>2015-03-26</v>
      </c>
      <c r="Z803" t="s">
        <v>63</v>
      </c>
      <c r="AA803" t="s">
        <v>46</v>
      </c>
      <c r="AB803">
        <v>3</v>
      </c>
      <c r="AC803">
        <v>1</v>
      </c>
      <c r="AD803" t="s">
        <v>32</v>
      </c>
      <c r="AE803" t="s">
        <v>42</v>
      </c>
      <c r="AF803" t="s">
        <v>48</v>
      </c>
    </row>
    <row r="804" spans="1:32" x14ac:dyDescent="0.25">
      <c r="A804">
        <v>32</v>
      </c>
      <c r="B804" t="s">
        <v>41</v>
      </c>
      <c r="C804" t="s">
        <v>33</v>
      </c>
      <c r="D804" t="s">
        <v>34</v>
      </c>
      <c r="E804">
        <v>9</v>
      </c>
      <c r="F804" t="s">
        <v>58</v>
      </c>
      <c r="G804">
        <v>3</v>
      </c>
      <c r="H804">
        <v>2</v>
      </c>
      <c r="I804" t="s">
        <v>44</v>
      </c>
      <c r="J804">
        <v>4</v>
      </c>
      <c r="K804" t="s">
        <v>50</v>
      </c>
      <c r="L804">
        <v>6322</v>
      </c>
      <c r="M804">
        <v>1</v>
      </c>
      <c r="N804" t="s">
        <v>32</v>
      </c>
      <c r="O804">
        <v>12</v>
      </c>
      <c r="P804">
        <v>3</v>
      </c>
      <c r="Q804">
        <v>1</v>
      </c>
      <c r="R804">
        <v>6</v>
      </c>
      <c r="S804">
        <v>2</v>
      </c>
      <c r="T804">
        <v>6</v>
      </c>
      <c r="U804">
        <v>0</v>
      </c>
      <c r="V804">
        <v>5</v>
      </c>
      <c r="W804" t="s">
        <v>51</v>
      </c>
      <c r="X804" s="1" t="d">
        <v>2015-05-16</v>
      </c>
      <c r="Z804" t="s">
        <v>52</v>
      </c>
      <c r="AA804" t="s">
        <v>46</v>
      </c>
      <c r="AB804">
        <v>4</v>
      </c>
      <c r="AC804">
        <v>3</v>
      </c>
      <c r="AD804" t="s">
        <v>32</v>
      </c>
      <c r="AE804" t="s">
        <v>60</v>
      </c>
      <c r="AF804" t="s">
        <v>43</v>
      </c>
    </row>
    <row r="805" spans="1:32" x14ac:dyDescent="0.25">
      <c r="A805">
        <v>29</v>
      </c>
      <c r="B805" t="s">
        <v>41</v>
      </c>
      <c r="C805" t="s">
        <v>33</v>
      </c>
      <c r="D805" t="s">
        <v>53</v>
      </c>
      <c r="E805">
        <v>3</v>
      </c>
      <c r="F805" t="s">
        <v>58</v>
      </c>
      <c r="G805">
        <v>3</v>
      </c>
      <c r="H805">
        <v>2</v>
      </c>
      <c r="I805" t="s">
        <v>64</v>
      </c>
      <c r="J805">
        <v>3</v>
      </c>
      <c r="K805" t="s">
        <v>50</v>
      </c>
      <c r="L805">
        <v>5561</v>
      </c>
      <c r="M805">
        <v>1</v>
      </c>
      <c r="N805" t="s">
        <v>41</v>
      </c>
      <c r="O805">
        <v>14</v>
      </c>
      <c r="P805">
        <v>3</v>
      </c>
      <c r="Q805">
        <v>1</v>
      </c>
      <c r="R805">
        <v>6</v>
      </c>
      <c r="S805">
        <v>5</v>
      </c>
      <c r="T805">
        <v>6</v>
      </c>
      <c r="U805">
        <v>1</v>
      </c>
      <c r="V805">
        <v>2</v>
      </c>
      <c r="W805" t="s">
        <v>38</v>
      </c>
      <c r="X805" s="1" t="d">
        <v>2015-06-27</v>
      </c>
      <c r="Z805" t="s">
        <v>59</v>
      </c>
      <c r="AA805" t="s">
        <v>40</v>
      </c>
      <c r="AB805">
        <v>0</v>
      </c>
      <c r="AC805">
        <v>1</v>
      </c>
      <c r="AD805" t="s">
        <v>32</v>
      </c>
      <c r="AE805" t="s">
        <v>47</v>
      </c>
      <c r="AF805" t="s">
        <v>57</v>
      </c>
    </row>
    <row r="806" spans="1:32" x14ac:dyDescent="0.25">
      <c r="A806">
        <v>27</v>
      </c>
      <c r="B806" t="s">
        <v>41</v>
      </c>
      <c r="C806" t="s">
        <v>61</v>
      </c>
      <c r="D806" t="s">
        <v>53</v>
      </c>
      <c r="E806">
        <v>3</v>
      </c>
      <c r="F806" t="s">
        <v>58</v>
      </c>
      <c r="G806">
        <v>4</v>
      </c>
      <c r="H806">
        <v>2</v>
      </c>
      <c r="I806" t="s">
        <v>64</v>
      </c>
      <c r="J806">
        <v>4</v>
      </c>
      <c r="K806" t="s">
        <v>55</v>
      </c>
      <c r="L806">
        <v>4647</v>
      </c>
      <c r="M806">
        <v>1</v>
      </c>
      <c r="N806" t="s">
        <v>32</v>
      </c>
      <c r="O806">
        <v>20</v>
      </c>
      <c r="P806">
        <v>4</v>
      </c>
      <c r="Q806">
        <v>2</v>
      </c>
      <c r="R806">
        <v>6</v>
      </c>
      <c r="S806">
        <v>3</v>
      </c>
      <c r="T806">
        <v>6</v>
      </c>
      <c r="U806">
        <v>0</v>
      </c>
      <c r="V806">
        <v>4</v>
      </c>
      <c r="W806" t="s">
        <v>56</v>
      </c>
      <c r="X806" s="1" t="d">
        <v>2015-04-12</v>
      </c>
      <c r="Z806" t="s">
        <v>39</v>
      </c>
      <c r="AA806" t="s">
        <v>46</v>
      </c>
      <c r="AB806">
        <v>4</v>
      </c>
      <c r="AC806">
        <v>2</v>
      </c>
      <c r="AD806" t="s">
        <v>32</v>
      </c>
      <c r="AE806" t="s">
        <v>42</v>
      </c>
      <c r="AF806" t="s">
        <v>43</v>
      </c>
    </row>
    <row r="807" spans="1:32" x14ac:dyDescent="0.25">
      <c r="A807">
        <v>25</v>
      </c>
      <c r="B807" t="s">
        <v>41</v>
      </c>
      <c r="C807" t="s">
        <v>33</v>
      </c>
      <c r="D807" t="s">
        <v>53</v>
      </c>
      <c r="E807">
        <v>26</v>
      </c>
      <c r="F807" t="s">
        <v>58</v>
      </c>
      <c r="G807">
        <v>3</v>
      </c>
      <c r="H807">
        <v>2</v>
      </c>
      <c r="I807" t="s">
        <v>64</v>
      </c>
      <c r="J807">
        <v>4</v>
      </c>
      <c r="K807" t="s">
        <v>37</v>
      </c>
      <c r="L807">
        <v>6180</v>
      </c>
      <c r="M807">
        <v>1</v>
      </c>
      <c r="N807" t="s">
        <v>41</v>
      </c>
      <c r="O807">
        <v>23</v>
      </c>
      <c r="P807">
        <v>4</v>
      </c>
      <c r="Q807">
        <v>0</v>
      </c>
      <c r="R807">
        <v>6</v>
      </c>
      <c r="S807">
        <v>5</v>
      </c>
      <c r="T807">
        <v>6</v>
      </c>
      <c r="U807">
        <v>1</v>
      </c>
      <c r="V807">
        <v>4</v>
      </c>
      <c r="W807" t="s">
        <v>38</v>
      </c>
      <c r="X807" s="1" t="d">
        <v>2015-01-04</v>
      </c>
      <c r="Z807" t="s">
        <v>59</v>
      </c>
      <c r="AA807" t="s">
        <v>46</v>
      </c>
      <c r="AB807">
        <v>3</v>
      </c>
      <c r="AC807">
        <v>0</v>
      </c>
      <c r="AD807" t="s">
        <v>41</v>
      </c>
      <c r="AE807" t="s">
        <v>47</v>
      </c>
      <c r="AF807" t="s">
        <v>48</v>
      </c>
    </row>
    <row r="808" spans="1:32" x14ac:dyDescent="0.25">
      <c r="A808">
        <v>34</v>
      </c>
      <c r="B808" t="s">
        <v>41</v>
      </c>
      <c r="C808" t="s">
        <v>33</v>
      </c>
      <c r="D808" t="s">
        <v>53</v>
      </c>
      <c r="E808">
        <v>2</v>
      </c>
      <c r="F808" t="s">
        <v>35</v>
      </c>
      <c r="G808">
        <v>3</v>
      </c>
      <c r="H808">
        <v>2</v>
      </c>
      <c r="I808" t="s">
        <v>64</v>
      </c>
      <c r="J808">
        <v>4</v>
      </c>
      <c r="K808" t="s">
        <v>37</v>
      </c>
      <c r="L808">
        <v>6274</v>
      </c>
      <c r="M808">
        <v>1</v>
      </c>
      <c r="N808" t="s">
        <v>41</v>
      </c>
      <c r="O808">
        <v>22</v>
      </c>
      <c r="P808">
        <v>4</v>
      </c>
      <c r="Q808">
        <v>0</v>
      </c>
      <c r="R808">
        <v>6</v>
      </c>
      <c r="S808">
        <v>5</v>
      </c>
      <c r="T808">
        <v>6</v>
      </c>
      <c r="U808">
        <v>1</v>
      </c>
      <c r="V808">
        <v>4</v>
      </c>
      <c r="W808" t="s">
        <v>51</v>
      </c>
      <c r="X808" s="1" t="d">
        <v>2015-04-04</v>
      </c>
      <c r="Z808" t="s">
        <v>63</v>
      </c>
      <c r="AA808" t="s">
        <v>40</v>
      </c>
      <c r="AB808">
        <v>1</v>
      </c>
      <c r="AC808">
        <v>1</v>
      </c>
      <c r="AD808" t="s">
        <v>32</v>
      </c>
      <c r="AE808" t="s">
        <v>47</v>
      </c>
      <c r="AF808" t="s">
        <v>43</v>
      </c>
    </row>
    <row r="809" spans="1:32" x14ac:dyDescent="0.25">
      <c r="A809">
        <v>34</v>
      </c>
      <c r="B809" t="s">
        <v>41</v>
      </c>
      <c r="C809" t="s">
        <v>33</v>
      </c>
      <c r="D809" t="s">
        <v>34</v>
      </c>
      <c r="E809">
        <v>2</v>
      </c>
      <c r="F809" t="s">
        <v>58</v>
      </c>
      <c r="G809">
        <v>2</v>
      </c>
      <c r="H809">
        <v>1</v>
      </c>
      <c r="I809" t="s">
        <v>44</v>
      </c>
      <c r="J809">
        <v>1</v>
      </c>
      <c r="K809" t="s">
        <v>37</v>
      </c>
      <c r="L809">
        <v>4381</v>
      </c>
      <c r="M809">
        <v>1</v>
      </c>
      <c r="N809" t="s">
        <v>41</v>
      </c>
      <c r="O809">
        <v>11</v>
      </c>
      <c r="P809">
        <v>3</v>
      </c>
      <c r="Q809">
        <v>0</v>
      </c>
      <c r="R809">
        <v>6</v>
      </c>
      <c r="S809">
        <v>3</v>
      </c>
      <c r="T809">
        <v>6</v>
      </c>
      <c r="U809">
        <v>1</v>
      </c>
      <c r="V809">
        <v>3</v>
      </c>
      <c r="W809" t="s">
        <v>38</v>
      </c>
      <c r="X809" s="1" t="d">
        <v>2015-01-08</v>
      </c>
      <c r="Z809" t="s">
        <v>52</v>
      </c>
      <c r="AA809" t="s">
        <v>46</v>
      </c>
      <c r="AB809">
        <v>1</v>
      </c>
      <c r="AC809">
        <v>3</v>
      </c>
      <c r="AD809" t="s">
        <v>32</v>
      </c>
      <c r="AE809" t="s">
        <v>47</v>
      </c>
      <c r="AF809" t="s">
        <v>57</v>
      </c>
    </row>
    <row r="810" spans="1:32" x14ac:dyDescent="0.25">
      <c r="A810">
        <v>35</v>
      </c>
      <c r="B810" t="s">
        <v>41</v>
      </c>
      <c r="C810" t="s">
        <v>33</v>
      </c>
      <c r="D810" t="s">
        <v>34</v>
      </c>
      <c r="E810">
        <v>27</v>
      </c>
      <c r="F810" t="s">
        <v>58</v>
      </c>
      <c r="G810">
        <v>2</v>
      </c>
      <c r="H810">
        <v>1</v>
      </c>
      <c r="I810" t="s">
        <v>44</v>
      </c>
      <c r="J810">
        <v>1</v>
      </c>
      <c r="K810" t="s">
        <v>37</v>
      </c>
      <c r="L810">
        <v>2559</v>
      </c>
      <c r="M810">
        <v>1</v>
      </c>
      <c r="N810" t="s">
        <v>41</v>
      </c>
      <c r="O810">
        <v>11</v>
      </c>
      <c r="P810">
        <v>3</v>
      </c>
      <c r="Q810">
        <v>0</v>
      </c>
      <c r="R810">
        <v>6</v>
      </c>
      <c r="S810">
        <v>3</v>
      </c>
      <c r="T810">
        <v>6</v>
      </c>
      <c r="U810">
        <v>1</v>
      </c>
      <c r="V810">
        <v>1</v>
      </c>
      <c r="W810" t="s">
        <v>65</v>
      </c>
      <c r="X810" s="1" t="d">
        <v>2015-06-03</v>
      </c>
      <c r="Z810" t="s">
        <v>63</v>
      </c>
      <c r="AA810" t="s">
        <v>40</v>
      </c>
      <c r="AB810">
        <v>1</v>
      </c>
      <c r="AC810">
        <v>3</v>
      </c>
      <c r="AD810" t="s">
        <v>32</v>
      </c>
      <c r="AE810" t="s">
        <v>47</v>
      </c>
      <c r="AF810" t="s">
        <v>57</v>
      </c>
    </row>
    <row r="811" spans="1:32" x14ac:dyDescent="0.25">
      <c r="A811">
        <v>31</v>
      </c>
      <c r="B811" t="s">
        <v>41</v>
      </c>
      <c r="C811" t="s">
        <v>33</v>
      </c>
      <c r="D811" t="s">
        <v>34</v>
      </c>
      <c r="E811">
        <v>11</v>
      </c>
      <c r="F811" t="s">
        <v>35</v>
      </c>
      <c r="G811">
        <v>3</v>
      </c>
      <c r="H811">
        <v>1</v>
      </c>
      <c r="I811" t="s">
        <v>44</v>
      </c>
      <c r="J811">
        <v>4</v>
      </c>
      <c r="K811" t="s">
        <v>50</v>
      </c>
      <c r="L811">
        <v>2356</v>
      </c>
      <c r="M811">
        <v>3</v>
      </c>
      <c r="N811" t="s">
        <v>32</v>
      </c>
      <c r="O811">
        <v>19</v>
      </c>
      <c r="P811">
        <v>3</v>
      </c>
      <c r="Q811">
        <v>1</v>
      </c>
      <c r="R811">
        <v>8</v>
      </c>
      <c r="S811">
        <v>2</v>
      </c>
      <c r="T811">
        <v>6</v>
      </c>
      <c r="U811">
        <v>0</v>
      </c>
      <c r="V811">
        <v>2</v>
      </c>
      <c r="W811" t="s">
        <v>56</v>
      </c>
      <c r="X811" s="1" t="d">
        <v>2015-05-28</v>
      </c>
      <c r="Z811" t="s">
        <v>63</v>
      </c>
      <c r="AA811" t="s">
        <v>40</v>
      </c>
      <c r="AB811">
        <v>3</v>
      </c>
      <c r="AC811">
        <v>1</v>
      </c>
      <c r="AD811" t="s">
        <v>41</v>
      </c>
      <c r="AE811" t="s">
        <v>47</v>
      </c>
      <c r="AF811" t="s">
        <v>43</v>
      </c>
    </row>
    <row r="812" spans="1:32" x14ac:dyDescent="0.25">
      <c r="A812">
        <v>58</v>
      </c>
      <c r="B812" t="s">
        <v>41</v>
      </c>
      <c r="C812" t="s">
        <v>33</v>
      </c>
      <c r="D812" t="s">
        <v>34</v>
      </c>
      <c r="E812">
        <v>5</v>
      </c>
      <c r="F812" t="s">
        <v>58</v>
      </c>
      <c r="G812">
        <v>2</v>
      </c>
      <c r="H812">
        <v>3</v>
      </c>
      <c r="I812" t="s">
        <v>69</v>
      </c>
      <c r="J812">
        <v>2</v>
      </c>
      <c r="K812" t="s">
        <v>55</v>
      </c>
      <c r="L812">
        <v>10552</v>
      </c>
      <c r="M812">
        <v>2</v>
      </c>
      <c r="N812" t="s">
        <v>32</v>
      </c>
      <c r="O812">
        <v>13</v>
      </c>
      <c r="P812">
        <v>3</v>
      </c>
      <c r="Q812">
        <v>1</v>
      </c>
      <c r="R812">
        <v>24</v>
      </c>
      <c r="S812">
        <v>3</v>
      </c>
      <c r="T812">
        <v>6</v>
      </c>
      <c r="U812">
        <v>0</v>
      </c>
      <c r="V812">
        <v>4</v>
      </c>
      <c r="W812" t="s">
        <v>65</v>
      </c>
      <c r="X812" s="1" t="d">
        <v>2015-05-26</v>
      </c>
      <c r="Z812" t="s">
        <v>39</v>
      </c>
      <c r="AA812" t="s">
        <v>46</v>
      </c>
      <c r="AB812">
        <v>1</v>
      </c>
      <c r="AC812">
        <v>2</v>
      </c>
      <c r="AD812" t="s">
        <v>41</v>
      </c>
      <c r="AE812" t="s">
        <v>60</v>
      </c>
      <c r="AF812" t="s">
        <v>48</v>
      </c>
    </row>
    <row r="813" spans="1:32" x14ac:dyDescent="0.25">
      <c r="A813">
        <v>36</v>
      </c>
      <c r="B813" t="s">
        <v>41</v>
      </c>
      <c r="C813" t="s">
        <v>33</v>
      </c>
      <c r="D813" t="s">
        <v>34</v>
      </c>
      <c r="E813">
        <v>7</v>
      </c>
      <c r="F813" t="s">
        <v>35</v>
      </c>
      <c r="G813">
        <v>3</v>
      </c>
      <c r="H813">
        <v>1</v>
      </c>
      <c r="I813" t="s">
        <v>44</v>
      </c>
      <c r="J813">
        <v>4</v>
      </c>
      <c r="K813" t="s">
        <v>37</v>
      </c>
      <c r="L813">
        <v>4678</v>
      </c>
      <c r="M813">
        <v>2</v>
      </c>
      <c r="N813" t="s">
        <v>41</v>
      </c>
      <c r="O813">
        <v>18</v>
      </c>
      <c r="P813">
        <v>3</v>
      </c>
      <c r="Q813">
        <v>0</v>
      </c>
      <c r="R813">
        <v>8</v>
      </c>
      <c r="S813">
        <v>6</v>
      </c>
      <c r="T813">
        <v>6</v>
      </c>
      <c r="U813">
        <v>0</v>
      </c>
      <c r="V813">
        <v>1</v>
      </c>
      <c r="W813" t="s">
        <v>56</v>
      </c>
      <c r="X813" s="1" t="d">
        <v>2015-05-14</v>
      </c>
      <c r="Z813" t="s">
        <v>39</v>
      </c>
      <c r="AA813" t="s">
        <v>40</v>
      </c>
      <c r="AB813">
        <v>2</v>
      </c>
      <c r="AC813">
        <v>2</v>
      </c>
      <c r="AD813" t="s">
        <v>41</v>
      </c>
      <c r="AE813" t="s">
        <v>47</v>
      </c>
      <c r="AF813" t="s">
        <v>57</v>
      </c>
    </row>
    <row r="814" spans="1:32" x14ac:dyDescent="0.25">
      <c r="A814">
        <v>33</v>
      </c>
      <c r="B814" t="s">
        <v>41</v>
      </c>
      <c r="C814" t="s">
        <v>61</v>
      </c>
      <c r="D814" t="s">
        <v>34</v>
      </c>
      <c r="E814">
        <v>1</v>
      </c>
      <c r="F814" t="s">
        <v>58</v>
      </c>
      <c r="G814">
        <v>4</v>
      </c>
      <c r="H814">
        <v>2</v>
      </c>
      <c r="I814" t="s">
        <v>69</v>
      </c>
      <c r="J814">
        <v>2</v>
      </c>
      <c r="K814" t="s">
        <v>50</v>
      </c>
      <c r="L814">
        <v>5488</v>
      </c>
      <c r="M814">
        <v>1</v>
      </c>
      <c r="N814" t="s">
        <v>32</v>
      </c>
      <c r="O814">
        <v>13</v>
      </c>
      <c r="P814">
        <v>3</v>
      </c>
      <c r="Q814">
        <v>1</v>
      </c>
      <c r="R814">
        <v>6</v>
      </c>
      <c r="S814">
        <v>2</v>
      </c>
      <c r="T814">
        <v>6</v>
      </c>
      <c r="U814">
        <v>1</v>
      </c>
      <c r="V814">
        <v>2</v>
      </c>
      <c r="W814" t="s">
        <v>65</v>
      </c>
      <c r="X814" s="1" t="d">
        <v>2015-04-20</v>
      </c>
      <c r="Z814" t="s">
        <v>45</v>
      </c>
      <c r="AA814" t="s">
        <v>46</v>
      </c>
      <c r="AB814">
        <v>5</v>
      </c>
      <c r="AC814">
        <v>0</v>
      </c>
      <c r="AD814" t="s">
        <v>41</v>
      </c>
      <c r="AE814" t="s">
        <v>62</v>
      </c>
      <c r="AF814" t="s">
        <v>48</v>
      </c>
    </row>
    <row r="815" spans="1:32" x14ac:dyDescent="0.25">
      <c r="A815">
        <v>59</v>
      </c>
      <c r="B815" t="s">
        <v>41</v>
      </c>
      <c r="C815" t="s">
        <v>33</v>
      </c>
      <c r="D815" t="s">
        <v>53</v>
      </c>
      <c r="E815">
        <v>1</v>
      </c>
      <c r="F815" t="s">
        <v>35</v>
      </c>
      <c r="G815">
        <v>3</v>
      </c>
      <c r="H815">
        <v>3</v>
      </c>
      <c r="I815" t="s">
        <v>66</v>
      </c>
      <c r="J815">
        <v>4</v>
      </c>
      <c r="K815" t="s">
        <v>50</v>
      </c>
      <c r="L815">
        <v>11904</v>
      </c>
      <c r="M815">
        <v>3</v>
      </c>
      <c r="N815" t="s">
        <v>32</v>
      </c>
      <c r="O815">
        <v>14</v>
      </c>
      <c r="P815">
        <v>3</v>
      </c>
      <c r="Q815">
        <v>1</v>
      </c>
      <c r="R815">
        <v>14</v>
      </c>
      <c r="S815">
        <v>1</v>
      </c>
      <c r="T815">
        <v>6</v>
      </c>
      <c r="U815">
        <v>0</v>
      </c>
      <c r="V815">
        <v>4</v>
      </c>
      <c r="W815" t="s">
        <v>38</v>
      </c>
      <c r="X815" s="1" t="d">
        <v>2015-01-23</v>
      </c>
      <c r="Z815" t="s">
        <v>63</v>
      </c>
      <c r="AA815" t="s">
        <v>46</v>
      </c>
      <c r="AB815">
        <v>2</v>
      </c>
      <c r="AC815">
        <v>0</v>
      </c>
      <c r="AD815" t="s">
        <v>32</v>
      </c>
      <c r="AE815" t="s">
        <v>42</v>
      </c>
      <c r="AF815" t="s">
        <v>48</v>
      </c>
    </row>
    <row r="816" spans="1:32" x14ac:dyDescent="0.25">
      <c r="A816">
        <v>45</v>
      </c>
      <c r="B816" t="s">
        <v>41</v>
      </c>
      <c r="C816" t="s">
        <v>33</v>
      </c>
      <c r="D816" t="s">
        <v>70</v>
      </c>
      <c r="E816">
        <v>24</v>
      </c>
      <c r="F816" t="s">
        <v>35</v>
      </c>
      <c r="G816">
        <v>3</v>
      </c>
      <c r="H816">
        <v>1</v>
      </c>
      <c r="I816" t="s">
        <v>70</v>
      </c>
      <c r="J816">
        <v>2</v>
      </c>
      <c r="K816" t="s">
        <v>37</v>
      </c>
      <c r="L816">
        <v>2177</v>
      </c>
      <c r="M816">
        <v>1</v>
      </c>
      <c r="N816" t="s">
        <v>41</v>
      </c>
      <c r="O816">
        <v>16</v>
      </c>
      <c r="P816">
        <v>3</v>
      </c>
      <c r="Q816">
        <v>0</v>
      </c>
      <c r="R816">
        <v>6</v>
      </c>
      <c r="S816">
        <v>3</v>
      </c>
      <c r="T816">
        <v>6</v>
      </c>
      <c r="U816">
        <v>0</v>
      </c>
      <c r="V816">
        <v>4</v>
      </c>
      <c r="W816" t="s">
        <v>65</v>
      </c>
      <c r="X816" s="1" t="d">
        <v>2015-05-11</v>
      </c>
      <c r="Z816" t="s">
        <v>52</v>
      </c>
      <c r="AA816" t="s">
        <v>46</v>
      </c>
      <c r="AB816">
        <v>4</v>
      </c>
      <c r="AC816">
        <v>3</v>
      </c>
      <c r="AD816" t="s">
        <v>32</v>
      </c>
      <c r="AE816" t="s">
        <v>60</v>
      </c>
      <c r="AF816" t="s">
        <v>43</v>
      </c>
    </row>
    <row r="817" spans="1:32" x14ac:dyDescent="0.25">
      <c r="A817">
        <v>30</v>
      </c>
      <c r="B817" t="s">
        <v>41</v>
      </c>
      <c r="C817" t="s">
        <v>33</v>
      </c>
      <c r="D817" t="s">
        <v>34</v>
      </c>
      <c r="E817">
        <v>20</v>
      </c>
      <c r="F817" t="s">
        <v>35</v>
      </c>
      <c r="G817">
        <v>3</v>
      </c>
      <c r="H817">
        <v>2</v>
      </c>
      <c r="I817" t="s">
        <v>67</v>
      </c>
      <c r="J817">
        <v>1</v>
      </c>
      <c r="K817" t="s">
        <v>50</v>
      </c>
      <c r="L817">
        <v>9957</v>
      </c>
      <c r="M817">
        <v>0</v>
      </c>
      <c r="N817" t="s">
        <v>41</v>
      </c>
      <c r="O817">
        <v>15</v>
      </c>
      <c r="P817">
        <v>3</v>
      </c>
      <c r="Q817">
        <v>1</v>
      </c>
      <c r="R817">
        <v>7</v>
      </c>
      <c r="S817">
        <v>1</v>
      </c>
      <c r="T817">
        <v>6</v>
      </c>
      <c r="U817">
        <v>0</v>
      </c>
      <c r="V817">
        <v>2</v>
      </c>
      <c r="W817" t="s">
        <v>51</v>
      </c>
      <c r="X817" s="1" t="d">
        <v>2015-05-20</v>
      </c>
      <c r="Z817" t="s">
        <v>52</v>
      </c>
      <c r="AA817" t="s">
        <v>40</v>
      </c>
      <c r="AB817">
        <v>3</v>
      </c>
      <c r="AC817">
        <v>3</v>
      </c>
      <c r="AD817" t="s">
        <v>41</v>
      </c>
      <c r="AE817" t="s">
        <v>62</v>
      </c>
      <c r="AF817" t="s">
        <v>57</v>
      </c>
    </row>
    <row r="818" spans="1:32" x14ac:dyDescent="0.25">
      <c r="A818">
        <v>34</v>
      </c>
      <c r="B818" t="s">
        <v>41</v>
      </c>
      <c r="C818" t="s">
        <v>61</v>
      </c>
      <c r="D818" t="s">
        <v>34</v>
      </c>
      <c r="E818">
        <v>3</v>
      </c>
      <c r="F818" t="s">
        <v>35</v>
      </c>
      <c r="G818">
        <v>3</v>
      </c>
      <c r="H818">
        <v>2</v>
      </c>
      <c r="I818" t="s">
        <v>69</v>
      </c>
      <c r="J818">
        <v>4</v>
      </c>
      <c r="K818" t="s">
        <v>37</v>
      </c>
      <c r="L818">
        <v>7756</v>
      </c>
      <c r="M818">
        <v>0</v>
      </c>
      <c r="N818" t="s">
        <v>41</v>
      </c>
      <c r="O818">
        <v>17</v>
      </c>
      <c r="P818">
        <v>3</v>
      </c>
      <c r="Q818">
        <v>0</v>
      </c>
      <c r="R818">
        <v>7</v>
      </c>
      <c r="S818">
        <v>1</v>
      </c>
      <c r="T818">
        <v>6</v>
      </c>
      <c r="U818">
        <v>0</v>
      </c>
      <c r="V818">
        <v>4</v>
      </c>
      <c r="W818" t="s">
        <v>38</v>
      </c>
      <c r="X818" s="1" t="d">
        <v>2015-03-09</v>
      </c>
      <c r="Z818" t="s">
        <v>52</v>
      </c>
      <c r="AA818" t="s">
        <v>46</v>
      </c>
      <c r="AB818">
        <v>5</v>
      </c>
      <c r="AC818">
        <v>2</v>
      </c>
      <c r="AD818" t="s">
        <v>32</v>
      </c>
      <c r="AE818" t="s">
        <v>62</v>
      </c>
      <c r="AF818" t="s">
        <v>43</v>
      </c>
    </row>
    <row r="819" spans="1:32" x14ac:dyDescent="0.25">
      <c r="A819">
        <v>37</v>
      </c>
      <c r="B819" t="s">
        <v>41</v>
      </c>
      <c r="C819" t="s">
        <v>33</v>
      </c>
      <c r="D819" t="s">
        <v>34</v>
      </c>
      <c r="E819">
        <v>25</v>
      </c>
      <c r="F819" t="s">
        <v>58</v>
      </c>
      <c r="G819">
        <v>2</v>
      </c>
      <c r="H819">
        <v>2</v>
      </c>
      <c r="I819" t="s">
        <v>69</v>
      </c>
      <c r="J819">
        <v>4</v>
      </c>
      <c r="K819" t="s">
        <v>55</v>
      </c>
      <c r="L819">
        <v>5731</v>
      </c>
      <c r="M819">
        <v>7</v>
      </c>
      <c r="N819" t="s">
        <v>41</v>
      </c>
      <c r="O819">
        <v>13</v>
      </c>
      <c r="P819">
        <v>3</v>
      </c>
      <c r="Q819">
        <v>2</v>
      </c>
      <c r="R819">
        <v>9</v>
      </c>
      <c r="S819">
        <v>2</v>
      </c>
      <c r="T819">
        <v>6</v>
      </c>
      <c r="U819">
        <v>1</v>
      </c>
      <c r="V819">
        <v>3</v>
      </c>
      <c r="W819" t="s">
        <v>65</v>
      </c>
      <c r="X819" s="1" t="d">
        <v>2015-01-14</v>
      </c>
      <c r="Z819" t="s">
        <v>52</v>
      </c>
      <c r="AA819" t="s">
        <v>46</v>
      </c>
      <c r="AB819">
        <v>5</v>
      </c>
      <c r="AC819">
        <v>2</v>
      </c>
      <c r="AD819" t="s">
        <v>41</v>
      </c>
      <c r="AE819" t="s">
        <v>47</v>
      </c>
      <c r="AF819" t="s">
        <v>57</v>
      </c>
    </row>
    <row r="820" spans="1:32" x14ac:dyDescent="0.25">
      <c r="A820">
        <v>34</v>
      </c>
      <c r="B820" t="s">
        <v>41</v>
      </c>
      <c r="C820" t="s">
        <v>33</v>
      </c>
      <c r="D820" t="s">
        <v>53</v>
      </c>
      <c r="E820">
        <v>9</v>
      </c>
      <c r="F820" t="s">
        <v>58</v>
      </c>
      <c r="G820">
        <v>3</v>
      </c>
      <c r="H820">
        <v>2</v>
      </c>
      <c r="I820" t="s">
        <v>64</v>
      </c>
      <c r="J820">
        <v>3</v>
      </c>
      <c r="K820" t="s">
        <v>50</v>
      </c>
      <c r="L820">
        <v>5714</v>
      </c>
      <c r="M820">
        <v>1</v>
      </c>
      <c r="N820" t="s">
        <v>41</v>
      </c>
      <c r="O820">
        <v>20</v>
      </c>
      <c r="P820">
        <v>4</v>
      </c>
      <c r="Q820">
        <v>0</v>
      </c>
      <c r="R820">
        <v>6</v>
      </c>
      <c r="S820">
        <v>3</v>
      </c>
      <c r="T820">
        <v>6</v>
      </c>
      <c r="U820">
        <v>1</v>
      </c>
      <c r="V820">
        <v>3</v>
      </c>
      <c r="W820" t="s">
        <v>56</v>
      </c>
      <c r="X820" s="1" t="d">
        <v>2015-03-27</v>
      </c>
      <c r="Z820" t="s">
        <v>45</v>
      </c>
      <c r="AA820" t="s">
        <v>40</v>
      </c>
      <c r="AB820">
        <v>5</v>
      </c>
      <c r="AC820">
        <v>3</v>
      </c>
      <c r="AD820" t="s">
        <v>32</v>
      </c>
      <c r="AE820" t="s">
        <v>47</v>
      </c>
      <c r="AF820" t="s">
        <v>43</v>
      </c>
    </row>
    <row r="821" spans="1:32" x14ac:dyDescent="0.25">
      <c r="A821">
        <v>42</v>
      </c>
      <c r="B821" t="s">
        <v>41</v>
      </c>
      <c r="C821" t="s">
        <v>33</v>
      </c>
      <c r="D821" t="s">
        <v>53</v>
      </c>
      <c r="E821">
        <v>4</v>
      </c>
      <c r="F821" t="s">
        <v>35</v>
      </c>
      <c r="G821">
        <v>3</v>
      </c>
      <c r="H821">
        <v>2</v>
      </c>
      <c r="I821" t="s">
        <v>64</v>
      </c>
      <c r="J821">
        <v>1</v>
      </c>
      <c r="K821" t="s">
        <v>37</v>
      </c>
      <c r="L821">
        <v>5155</v>
      </c>
      <c r="M821">
        <v>7</v>
      </c>
      <c r="N821" t="s">
        <v>41</v>
      </c>
      <c r="O821">
        <v>13</v>
      </c>
      <c r="P821">
        <v>3</v>
      </c>
      <c r="Q821">
        <v>0</v>
      </c>
      <c r="R821">
        <v>9</v>
      </c>
      <c r="S821">
        <v>3</v>
      </c>
      <c r="T821">
        <v>6</v>
      </c>
      <c r="U821">
        <v>1</v>
      </c>
      <c r="V821">
        <v>5</v>
      </c>
      <c r="W821" t="s">
        <v>38</v>
      </c>
      <c r="X821" s="1" t="d">
        <v>2015-04-12</v>
      </c>
      <c r="Z821" t="s">
        <v>45</v>
      </c>
      <c r="AA821" t="s">
        <v>40</v>
      </c>
      <c r="AB821">
        <v>5</v>
      </c>
      <c r="AC821">
        <v>2</v>
      </c>
      <c r="AD821" t="s">
        <v>41</v>
      </c>
      <c r="AE821" t="s">
        <v>60</v>
      </c>
      <c r="AF821" t="s">
        <v>57</v>
      </c>
    </row>
    <row r="822" spans="1:32" x14ac:dyDescent="0.25">
      <c r="A822">
        <v>44</v>
      </c>
      <c r="B822" t="s">
        <v>32</v>
      </c>
      <c r="C822" t="s">
        <v>33</v>
      </c>
      <c r="D822" t="s">
        <v>34</v>
      </c>
      <c r="E822">
        <v>10</v>
      </c>
      <c r="F822" t="s">
        <v>35</v>
      </c>
      <c r="G822">
        <v>3</v>
      </c>
      <c r="H822">
        <v>1</v>
      </c>
      <c r="I822" t="s">
        <v>44</v>
      </c>
      <c r="J822">
        <v>3</v>
      </c>
      <c r="K822" t="s">
        <v>37</v>
      </c>
      <c r="L822">
        <v>2936</v>
      </c>
      <c r="M822">
        <v>1</v>
      </c>
      <c r="N822" t="s">
        <v>32</v>
      </c>
      <c r="O822">
        <v>11</v>
      </c>
      <c r="P822">
        <v>3</v>
      </c>
      <c r="Q822">
        <v>0</v>
      </c>
      <c r="R822">
        <v>6</v>
      </c>
      <c r="S822">
        <v>4</v>
      </c>
      <c r="T822">
        <v>6</v>
      </c>
      <c r="U822">
        <v>0</v>
      </c>
      <c r="V822">
        <v>2</v>
      </c>
      <c r="W822" t="s">
        <v>56</v>
      </c>
      <c r="X822" s="1" t="d">
        <v>2015-03-12</v>
      </c>
      <c r="Z822" t="s">
        <v>63</v>
      </c>
      <c r="AA822" t="s">
        <v>40</v>
      </c>
      <c r="AB822">
        <v>3</v>
      </c>
      <c r="AC822">
        <v>3</v>
      </c>
      <c r="AD822" t="s">
        <v>32</v>
      </c>
      <c r="AE822" t="s">
        <v>60</v>
      </c>
      <c r="AF822" t="s">
        <v>57</v>
      </c>
    </row>
    <row r="823" spans="1:32" x14ac:dyDescent="0.25">
      <c r="A823">
        <v>28</v>
      </c>
      <c r="B823" t="s">
        <v>41</v>
      </c>
      <c r="C823" t="s">
        <v>33</v>
      </c>
      <c r="D823" t="s">
        <v>34</v>
      </c>
      <c r="E823">
        <v>19</v>
      </c>
      <c r="F823" t="s">
        <v>35</v>
      </c>
      <c r="G823">
        <v>2</v>
      </c>
      <c r="H823">
        <v>1</v>
      </c>
      <c r="I823" t="s">
        <v>36</v>
      </c>
      <c r="J823">
        <v>1</v>
      </c>
      <c r="K823" t="s">
        <v>50</v>
      </c>
      <c r="L823">
        <v>3196</v>
      </c>
      <c r="M823">
        <v>1</v>
      </c>
      <c r="N823" t="s">
        <v>41</v>
      </c>
      <c r="O823">
        <v>12</v>
      </c>
      <c r="P823">
        <v>3</v>
      </c>
      <c r="Q823">
        <v>3</v>
      </c>
      <c r="R823">
        <v>6</v>
      </c>
      <c r="S823">
        <v>2</v>
      </c>
      <c r="T823">
        <v>6</v>
      </c>
      <c r="U823">
        <v>3</v>
      </c>
      <c r="V823">
        <v>3</v>
      </c>
      <c r="W823" t="s">
        <v>51</v>
      </c>
      <c r="X823" s="1" t="d">
        <v>2015-01-19</v>
      </c>
      <c r="Z823" t="s">
        <v>59</v>
      </c>
      <c r="AA823" t="s">
        <v>46</v>
      </c>
      <c r="AB823">
        <v>0</v>
      </c>
      <c r="AC823">
        <v>3</v>
      </c>
      <c r="AD823" t="s">
        <v>41</v>
      </c>
      <c r="AE823" t="s">
        <v>42</v>
      </c>
      <c r="AF823" t="s">
        <v>48</v>
      </c>
    </row>
    <row r="824" spans="1:32" x14ac:dyDescent="0.25">
      <c r="A824">
        <v>46</v>
      </c>
      <c r="B824" t="s">
        <v>41</v>
      </c>
      <c r="C824" t="s">
        <v>33</v>
      </c>
      <c r="D824" t="s">
        <v>34</v>
      </c>
      <c r="E824">
        <v>2</v>
      </c>
      <c r="F824" t="s">
        <v>35</v>
      </c>
      <c r="G824">
        <v>3</v>
      </c>
      <c r="H824">
        <v>2</v>
      </c>
      <c r="I824" t="s">
        <v>67</v>
      </c>
      <c r="J824">
        <v>4</v>
      </c>
      <c r="K824" t="s">
        <v>55</v>
      </c>
      <c r="L824">
        <v>7379</v>
      </c>
      <c r="M824">
        <v>2</v>
      </c>
      <c r="N824" t="s">
        <v>41</v>
      </c>
      <c r="O824">
        <v>11</v>
      </c>
      <c r="P824">
        <v>3</v>
      </c>
      <c r="Q824">
        <v>1</v>
      </c>
      <c r="R824">
        <v>12</v>
      </c>
      <c r="S824">
        <v>3</v>
      </c>
      <c r="T824">
        <v>6</v>
      </c>
      <c r="U824">
        <v>1</v>
      </c>
      <c r="V824">
        <v>4</v>
      </c>
      <c r="W824" t="s">
        <v>51</v>
      </c>
      <c r="X824" s="1" t="d">
        <v>2015-01-25</v>
      </c>
      <c r="Z824" t="s">
        <v>59</v>
      </c>
      <c r="AA824" t="s">
        <v>46</v>
      </c>
      <c r="AB824">
        <v>2</v>
      </c>
      <c r="AC824">
        <v>1</v>
      </c>
      <c r="AD824" t="s">
        <v>32</v>
      </c>
      <c r="AE824" t="s">
        <v>42</v>
      </c>
      <c r="AF824" t="s">
        <v>43</v>
      </c>
    </row>
    <row r="825" spans="1:32" x14ac:dyDescent="0.25">
      <c r="A825">
        <v>31</v>
      </c>
      <c r="B825" t="s">
        <v>41</v>
      </c>
      <c r="C825" t="s">
        <v>33</v>
      </c>
      <c r="D825" t="s">
        <v>34</v>
      </c>
      <c r="E825">
        <v>11</v>
      </c>
      <c r="F825" t="s">
        <v>35</v>
      </c>
      <c r="G825">
        <v>3</v>
      </c>
      <c r="H825">
        <v>2</v>
      </c>
      <c r="I825" t="s">
        <v>69</v>
      </c>
      <c r="J825">
        <v>1</v>
      </c>
      <c r="K825" t="s">
        <v>50</v>
      </c>
      <c r="L825">
        <v>6833</v>
      </c>
      <c r="M825">
        <v>1</v>
      </c>
      <c r="N825" t="s">
        <v>32</v>
      </c>
      <c r="O825">
        <v>12</v>
      </c>
      <c r="P825">
        <v>3</v>
      </c>
      <c r="Q825">
        <v>0</v>
      </c>
      <c r="R825">
        <v>6</v>
      </c>
      <c r="S825">
        <v>2</v>
      </c>
      <c r="T825">
        <v>6</v>
      </c>
      <c r="U825">
        <v>0</v>
      </c>
      <c r="V825">
        <v>1</v>
      </c>
      <c r="W825" t="s">
        <v>38</v>
      </c>
      <c r="X825" s="1" t="d">
        <v>2015-03-06</v>
      </c>
      <c r="Z825" t="s">
        <v>39</v>
      </c>
      <c r="AA825" t="s">
        <v>46</v>
      </c>
      <c r="AB825">
        <v>4</v>
      </c>
      <c r="AC825">
        <v>3</v>
      </c>
      <c r="AD825" t="s">
        <v>41</v>
      </c>
      <c r="AE825" t="s">
        <v>42</v>
      </c>
      <c r="AF825" t="s">
        <v>43</v>
      </c>
    </row>
    <row r="826" spans="1:32" x14ac:dyDescent="0.25">
      <c r="A826">
        <v>59</v>
      </c>
      <c r="B826" t="s">
        <v>41</v>
      </c>
      <c r="C826" t="s">
        <v>33</v>
      </c>
      <c r="D826" t="s">
        <v>53</v>
      </c>
      <c r="E826">
        <v>3</v>
      </c>
      <c r="F826" t="s">
        <v>58</v>
      </c>
      <c r="G826">
        <v>2</v>
      </c>
      <c r="H826">
        <v>2</v>
      </c>
      <c r="I826" t="s">
        <v>64</v>
      </c>
      <c r="J826">
        <v>4</v>
      </c>
      <c r="K826" t="s">
        <v>37</v>
      </c>
      <c r="L826">
        <v>5171</v>
      </c>
      <c r="M826">
        <v>5</v>
      </c>
      <c r="N826" t="s">
        <v>41</v>
      </c>
      <c r="O826">
        <v>17</v>
      </c>
      <c r="P826">
        <v>3</v>
      </c>
      <c r="Q826">
        <v>0</v>
      </c>
      <c r="R826">
        <v>13</v>
      </c>
      <c r="S826">
        <v>2</v>
      </c>
      <c r="T826">
        <v>6</v>
      </c>
      <c r="U826">
        <v>0</v>
      </c>
      <c r="V826">
        <v>5</v>
      </c>
      <c r="W826" t="s">
        <v>51</v>
      </c>
      <c r="X826" s="1" t="d">
        <v>2015-06-12</v>
      </c>
      <c r="Z826" t="s">
        <v>52</v>
      </c>
      <c r="AA826" t="s">
        <v>46</v>
      </c>
      <c r="AB826">
        <v>5</v>
      </c>
      <c r="AC826">
        <v>0</v>
      </c>
      <c r="AD826" t="s">
        <v>41</v>
      </c>
      <c r="AE826" t="s">
        <v>42</v>
      </c>
      <c r="AF826" t="s">
        <v>43</v>
      </c>
    </row>
    <row r="827" spans="1:32" x14ac:dyDescent="0.25">
      <c r="A827">
        <v>29</v>
      </c>
      <c r="B827" t="s">
        <v>41</v>
      </c>
      <c r="C827" t="s">
        <v>33</v>
      </c>
      <c r="D827" t="s">
        <v>34</v>
      </c>
      <c r="E827">
        <v>7</v>
      </c>
      <c r="F827" t="s">
        <v>35</v>
      </c>
      <c r="G827">
        <v>3</v>
      </c>
      <c r="H827">
        <v>2</v>
      </c>
      <c r="I827" t="s">
        <v>69</v>
      </c>
      <c r="J827">
        <v>4</v>
      </c>
      <c r="K827" t="s">
        <v>55</v>
      </c>
      <c r="L827">
        <v>6623</v>
      </c>
      <c r="M827">
        <v>1</v>
      </c>
      <c r="N827" t="s">
        <v>32</v>
      </c>
      <c r="O827">
        <v>11</v>
      </c>
      <c r="P827">
        <v>3</v>
      </c>
      <c r="Q827">
        <v>2</v>
      </c>
      <c r="R827">
        <v>6</v>
      </c>
      <c r="S827">
        <v>2</v>
      </c>
      <c r="T827">
        <v>6</v>
      </c>
      <c r="U827">
        <v>1</v>
      </c>
      <c r="V827">
        <v>0</v>
      </c>
      <c r="W827" t="s">
        <v>51</v>
      </c>
      <c r="X827" s="1" t="d">
        <v>2015-05-03</v>
      </c>
      <c r="Z827" t="s">
        <v>52</v>
      </c>
      <c r="AA827" t="s">
        <v>40</v>
      </c>
      <c r="AB827">
        <v>2</v>
      </c>
      <c r="AC827">
        <v>0</v>
      </c>
      <c r="AD827" t="s">
        <v>41</v>
      </c>
      <c r="AE827" t="s">
        <v>62</v>
      </c>
      <c r="AF827" t="s">
        <v>48</v>
      </c>
    </row>
    <row r="828" spans="1:32" x14ac:dyDescent="0.25">
      <c r="A828">
        <v>27</v>
      </c>
      <c r="B828" t="s">
        <v>41</v>
      </c>
      <c r="C828" t="s">
        <v>61</v>
      </c>
      <c r="D828" t="s">
        <v>53</v>
      </c>
      <c r="E828">
        <v>2</v>
      </c>
      <c r="F828" t="s">
        <v>35</v>
      </c>
      <c r="G828">
        <v>1</v>
      </c>
      <c r="H828">
        <v>2</v>
      </c>
      <c r="I828" t="s">
        <v>64</v>
      </c>
      <c r="J828">
        <v>4</v>
      </c>
      <c r="K828" t="s">
        <v>37</v>
      </c>
      <c r="L828">
        <v>5071</v>
      </c>
      <c r="M828">
        <v>3</v>
      </c>
      <c r="N828" t="s">
        <v>41</v>
      </c>
      <c r="O828">
        <v>20</v>
      </c>
      <c r="P828">
        <v>4</v>
      </c>
      <c r="Q828">
        <v>0</v>
      </c>
      <c r="R828">
        <v>8</v>
      </c>
      <c r="S828">
        <v>3</v>
      </c>
      <c r="T828">
        <v>6</v>
      </c>
      <c r="U828">
        <v>0</v>
      </c>
      <c r="V828">
        <v>0</v>
      </c>
      <c r="W828" t="s">
        <v>56</v>
      </c>
      <c r="X828" s="1" t="d">
        <v>2015-03-30</v>
      </c>
      <c r="Z828" t="s">
        <v>39</v>
      </c>
      <c r="AA828" t="s">
        <v>46</v>
      </c>
      <c r="AB828">
        <v>5</v>
      </c>
      <c r="AC828">
        <v>3</v>
      </c>
      <c r="AD828" t="s">
        <v>41</v>
      </c>
      <c r="AE828" t="s">
        <v>60</v>
      </c>
      <c r="AF828" t="s">
        <v>43</v>
      </c>
    </row>
    <row r="829" spans="1:32" x14ac:dyDescent="0.25">
      <c r="A829">
        <v>41</v>
      </c>
      <c r="B829" t="s">
        <v>41</v>
      </c>
      <c r="C829" t="s">
        <v>61</v>
      </c>
      <c r="D829" t="s">
        <v>34</v>
      </c>
      <c r="E829">
        <v>22</v>
      </c>
      <c r="F829" t="s">
        <v>58</v>
      </c>
      <c r="G829">
        <v>3</v>
      </c>
      <c r="H829">
        <v>2</v>
      </c>
      <c r="I829" t="s">
        <v>44</v>
      </c>
      <c r="J829">
        <v>4</v>
      </c>
      <c r="K829" t="s">
        <v>55</v>
      </c>
      <c r="L829">
        <v>5467</v>
      </c>
      <c r="M829">
        <v>3</v>
      </c>
      <c r="N829" t="s">
        <v>32</v>
      </c>
      <c r="O829">
        <v>14</v>
      </c>
      <c r="P829">
        <v>3</v>
      </c>
      <c r="Q829">
        <v>2</v>
      </c>
      <c r="R829">
        <v>12</v>
      </c>
      <c r="S829">
        <v>4</v>
      </c>
      <c r="T829">
        <v>6</v>
      </c>
      <c r="U829">
        <v>3</v>
      </c>
      <c r="V829">
        <v>3</v>
      </c>
      <c r="W829" t="s">
        <v>65</v>
      </c>
      <c r="X829" s="1" t="d">
        <v>2015-05-28</v>
      </c>
      <c r="Z829" t="s">
        <v>45</v>
      </c>
      <c r="AA829" t="s">
        <v>46</v>
      </c>
      <c r="AB829">
        <v>4</v>
      </c>
      <c r="AC829">
        <v>3</v>
      </c>
      <c r="AD829" t="s">
        <v>41</v>
      </c>
      <c r="AE829" t="s">
        <v>62</v>
      </c>
      <c r="AF829" t="s">
        <v>43</v>
      </c>
    </row>
    <row r="830" spans="1:32" x14ac:dyDescent="0.25">
      <c r="A830">
        <v>37</v>
      </c>
      <c r="B830" t="s">
        <v>41</v>
      </c>
      <c r="C830" t="s">
        <v>33</v>
      </c>
      <c r="D830" t="s">
        <v>34</v>
      </c>
      <c r="E830">
        <v>4</v>
      </c>
      <c r="F830" t="s">
        <v>35</v>
      </c>
      <c r="G830">
        <v>3</v>
      </c>
      <c r="H830">
        <v>1</v>
      </c>
      <c r="I830" t="s">
        <v>44</v>
      </c>
      <c r="J830">
        <v>3</v>
      </c>
      <c r="K830" t="s">
        <v>50</v>
      </c>
      <c r="L830">
        <v>2996</v>
      </c>
      <c r="M830">
        <v>7</v>
      </c>
      <c r="N830" t="s">
        <v>32</v>
      </c>
      <c r="O830">
        <v>15</v>
      </c>
      <c r="P830">
        <v>3</v>
      </c>
      <c r="Q830">
        <v>0</v>
      </c>
      <c r="R830">
        <v>8</v>
      </c>
      <c r="S830">
        <v>2</v>
      </c>
      <c r="T830">
        <v>6</v>
      </c>
      <c r="U830">
        <v>1</v>
      </c>
      <c r="V830">
        <v>3</v>
      </c>
      <c r="W830" t="s">
        <v>56</v>
      </c>
      <c r="X830" s="1" t="d">
        <v>2015-03-24</v>
      </c>
      <c r="Z830" t="s">
        <v>59</v>
      </c>
      <c r="AA830" t="s">
        <v>40</v>
      </c>
      <c r="AB830">
        <v>3</v>
      </c>
      <c r="AC830">
        <v>1</v>
      </c>
      <c r="AD830" t="s">
        <v>41</v>
      </c>
      <c r="AE830" t="s">
        <v>47</v>
      </c>
      <c r="AF830" t="s">
        <v>57</v>
      </c>
    </row>
    <row r="831" spans="1:32" x14ac:dyDescent="0.25">
      <c r="A831">
        <v>39</v>
      </c>
      <c r="B831" t="s">
        <v>41</v>
      </c>
      <c r="C831" t="s">
        <v>68</v>
      </c>
      <c r="D831" t="s">
        <v>34</v>
      </c>
      <c r="E831">
        <v>25</v>
      </c>
      <c r="F831" t="s">
        <v>35</v>
      </c>
      <c r="G831">
        <v>3</v>
      </c>
      <c r="H831">
        <v>3</v>
      </c>
      <c r="I831" t="s">
        <v>69</v>
      </c>
      <c r="J831">
        <v>3</v>
      </c>
      <c r="K831" t="s">
        <v>50</v>
      </c>
      <c r="L831">
        <v>10920</v>
      </c>
      <c r="M831">
        <v>3</v>
      </c>
      <c r="N831" t="s">
        <v>41</v>
      </c>
      <c r="O831">
        <v>21</v>
      </c>
      <c r="P831">
        <v>4</v>
      </c>
      <c r="Q831">
        <v>1</v>
      </c>
      <c r="R831">
        <v>13</v>
      </c>
      <c r="S831">
        <v>2</v>
      </c>
      <c r="T831">
        <v>6</v>
      </c>
      <c r="U831">
        <v>0</v>
      </c>
      <c r="V831">
        <v>5</v>
      </c>
      <c r="W831" t="s">
        <v>51</v>
      </c>
      <c r="X831" s="1" t="d">
        <v>2015-03-06</v>
      </c>
      <c r="Z831" t="s">
        <v>59</v>
      </c>
      <c r="AA831" t="s">
        <v>40</v>
      </c>
      <c r="AB831">
        <v>4</v>
      </c>
      <c r="AC831">
        <v>2</v>
      </c>
      <c r="AD831" t="s">
        <v>32</v>
      </c>
      <c r="AE831" t="s">
        <v>60</v>
      </c>
      <c r="AF831" t="s">
        <v>43</v>
      </c>
    </row>
    <row r="832" spans="1:32" x14ac:dyDescent="0.25">
      <c r="A832">
        <v>27</v>
      </c>
      <c r="B832" t="s">
        <v>41</v>
      </c>
      <c r="C832" t="s">
        <v>33</v>
      </c>
      <c r="D832" t="s">
        <v>53</v>
      </c>
      <c r="E832">
        <v>10</v>
      </c>
      <c r="F832" t="s">
        <v>58</v>
      </c>
      <c r="G832">
        <v>2</v>
      </c>
      <c r="H832">
        <v>2</v>
      </c>
      <c r="I832" t="s">
        <v>64</v>
      </c>
      <c r="J832">
        <v>4</v>
      </c>
      <c r="K832" t="s">
        <v>50</v>
      </c>
      <c r="L832">
        <v>5769</v>
      </c>
      <c r="M832">
        <v>1</v>
      </c>
      <c r="N832" t="s">
        <v>32</v>
      </c>
      <c r="O832">
        <v>11</v>
      </c>
      <c r="P832">
        <v>3</v>
      </c>
      <c r="Q832">
        <v>0</v>
      </c>
      <c r="R832">
        <v>6</v>
      </c>
      <c r="S832">
        <v>3</v>
      </c>
      <c r="T832">
        <v>6</v>
      </c>
      <c r="U832">
        <v>4</v>
      </c>
      <c r="V832">
        <v>4</v>
      </c>
      <c r="W832" t="s">
        <v>38</v>
      </c>
      <c r="X832" s="1" t="d">
        <v>2015-04-14</v>
      </c>
      <c r="Z832" t="s">
        <v>52</v>
      </c>
      <c r="AA832" t="s">
        <v>46</v>
      </c>
      <c r="AB832">
        <v>0</v>
      </c>
      <c r="AC832">
        <v>2</v>
      </c>
      <c r="AD832" t="s">
        <v>41</v>
      </c>
      <c r="AE832" t="s">
        <v>42</v>
      </c>
      <c r="AF832" t="s">
        <v>48</v>
      </c>
    </row>
    <row r="833" spans="1:32" x14ac:dyDescent="0.25">
      <c r="A833">
        <v>47</v>
      </c>
      <c r="B833" t="s">
        <v>41</v>
      </c>
      <c r="C833" t="s">
        <v>33</v>
      </c>
      <c r="D833" t="s">
        <v>34</v>
      </c>
      <c r="E833">
        <v>1</v>
      </c>
      <c r="F833" t="s">
        <v>35</v>
      </c>
      <c r="G833">
        <v>3</v>
      </c>
      <c r="H833">
        <v>1</v>
      </c>
      <c r="I833" t="s">
        <v>44</v>
      </c>
      <c r="J833">
        <v>4</v>
      </c>
      <c r="K833" t="s">
        <v>50</v>
      </c>
      <c r="L833">
        <v>3420</v>
      </c>
      <c r="M833">
        <v>7</v>
      </c>
      <c r="N833" t="s">
        <v>41</v>
      </c>
      <c r="O833">
        <v>12</v>
      </c>
      <c r="P833">
        <v>3</v>
      </c>
      <c r="Q833">
        <v>1</v>
      </c>
      <c r="R833">
        <v>17</v>
      </c>
      <c r="S833">
        <v>2</v>
      </c>
      <c r="T833">
        <v>6</v>
      </c>
      <c r="U833">
        <v>1</v>
      </c>
      <c r="V833">
        <v>2</v>
      </c>
      <c r="W833" t="s">
        <v>65</v>
      </c>
      <c r="X833" s="1" t="d">
        <v>2015-05-26</v>
      </c>
      <c r="Z833" t="s">
        <v>59</v>
      </c>
      <c r="AA833" t="s">
        <v>46</v>
      </c>
      <c r="AB833">
        <v>2</v>
      </c>
      <c r="AC833">
        <v>1</v>
      </c>
      <c r="AD833" t="s">
        <v>41</v>
      </c>
      <c r="AE833" t="s">
        <v>42</v>
      </c>
      <c r="AF833" t="s">
        <v>57</v>
      </c>
    </row>
    <row r="834" spans="1:32" x14ac:dyDescent="0.25">
      <c r="A834">
        <v>37</v>
      </c>
      <c r="B834" t="s">
        <v>41</v>
      </c>
      <c r="C834" t="s">
        <v>68</v>
      </c>
      <c r="D834" t="s">
        <v>34</v>
      </c>
      <c r="E834">
        <v>5</v>
      </c>
      <c r="F834" t="s">
        <v>35</v>
      </c>
      <c r="G834">
        <v>4</v>
      </c>
      <c r="H834">
        <v>1</v>
      </c>
      <c r="I834" t="s">
        <v>36</v>
      </c>
      <c r="J834">
        <v>3</v>
      </c>
      <c r="K834" t="s">
        <v>37</v>
      </c>
      <c r="L834">
        <v>3500</v>
      </c>
      <c r="M834">
        <v>0</v>
      </c>
      <c r="N834" t="s">
        <v>41</v>
      </c>
      <c r="O834">
        <v>14</v>
      </c>
      <c r="P834">
        <v>3</v>
      </c>
      <c r="Q834">
        <v>0</v>
      </c>
      <c r="R834">
        <v>7</v>
      </c>
      <c r="S834">
        <v>2</v>
      </c>
      <c r="T834">
        <v>6</v>
      </c>
      <c r="U834">
        <v>1</v>
      </c>
      <c r="V834">
        <v>3</v>
      </c>
      <c r="W834" t="s">
        <v>56</v>
      </c>
      <c r="X834" s="1" t="d">
        <v>2015-03-25</v>
      </c>
      <c r="Z834" t="s">
        <v>59</v>
      </c>
      <c r="AA834" t="s">
        <v>46</v>
      </c>
      <c r="AB834">
        <v>4</v>
      </c>
      <c r="AC834">
        <v>0</v>
      </c>
      <c r="AD834" t="s">
        <v>41</v>
      </c>
      <c r="AE834" t="s">
        <v>60</v>
      </c>
      <c r="AF834" t="s">
        <v>48</v>
      </c>
    </row>
    <row r="835" spans="1:32" x14ac:dyDescent="0.25">
      <c r="A835">
        <v>38</v>
      </c>
      <c r="B835" t="s">
        <v>41</v>
      </c>
      <c r="C835" t="s">
        <v>61</v>
      </c>
      <c r="D835" t="s">
        <v>70</v>
      </c>
      <c r="E835">
        <v>10</v>
      </c>
      <c r="F835" t="s">
        <v>35</v>
      </c>
      <c r="G835">
        <v>3</v>
      </c>
      <c r="H835">
        <v>2</v>
      </c>
      <c r="I835" t="s">
        <v>70</v>
      </c>
      <c r="J835">
        <v>3</v>
      </c>
      <c r="K835" t="s">
        <v>50</v>
      </c>
      <c r="L835">
        <v>6077</v>
      </c>
      <c r="M835">
        <v>3</v>
      </c>
      <c r="N835" t="s">
        <v>41</v>
      </c>
      <c r="O835">
        <v>11</v>
      </c>
      <c r="P835">
        <v>3</v>
      </c>
      <c r="Q835">
        <v>0</v>
      </c>
      <c r="R835">
        <v>10</v>
      </c>
      <c r="S835">
        <v>2</v>
      </c>
      <c r="T835">
        <v>6</v>
      </c>
      <c r="U835">
        <v>1</v>
      </c>
      <c r="V835">
        <v>2</v>
      </c>
      <c r="W835" t="s">
        <v>51</v>
      </c>
      <c r="X835" s="1" t="d">
        <v>2015-05-18</v>
      </c>
      <c r="Z835" t="s">
        <v>39</v>
      </c>
      <c r="AA835" t="s">
        <v>40</v>
      </c>
      <c r="AB835">
        <v>4</v>
      </c>
      <c r="AC835">
        <v>1</v>
      </c>
      <c r="AD835" t="s">
        <v>41</v>
      </c>
      <c r="AE835" t="s">
        <v>42</v>
      </c>
      <c r="AF835" t="s">
        <v>48</v>
      </c>
    </row>
    <row r="836" spans="1:32" x14ac:dyDescent="0.25">
      <c r="A836">
        <v>32</v>
      </c>
      <c r="B836" t="s">
        <v>41</v>
      </c>
      <c r="C836" t="s">
        <v>68</v>
      </c>
      <c r="D836" t="s">
        <v>34</v>
      </c>
      <c r="E836">
        <v>1</v>
      </c>
      <c r="F836" t="s">
        <v>35</v>
      </c>
      <c r="G836">
        <v>3</v>
      </c>
      <c r="H836">
        <v>2</v>
      </c>
      <c r="I836" t="s">
        <v>44</v>
      </c>
      <c r="J836">
        <v>1</v>
      </c>
      <c r="K836" t="s">
        <v>50</v>
      </c>
      <c r="L836">
        <v>4087</v>
      </c>
      <c r="M836">
        <v>4</v>
      </c>
      <c r="N836" t="s">
        <v>41</v>
      </c>
      <c r="O836">
        <v>14</v>
      </c>
      <c r="P836">
        <v>3</v>
      </c>
      <c r="Q836">
        <v>1</v>
      </c>
      <c r="R836">
        <v>9</v>
      </c>
      <c r="S836">
        <v>3</v>
      </c>
      <c r="T836">
        <v>6</v>
      </c>
      <c r="U836">
        <v>1</v>
      </c>
      <c r="V836">
        <v>2</v>
      </c>
      <c r="W836" t="s">
        <v>38</v>
      </c>
      <c r="X836" s="1" t="d">
        <v>2015-05-31</v>
      </c>
      <c r="Z836" t="s">
        <v>39</v>
      </c>
      <c r="AA836" t="s">
        <v>46</v>
      </c>
      <c r="AB836">
        <v>1</v>
      </c>
      <c r="AC836">
        <v>1</v>
      </c>
      <c r="AD836" t="s">
        <v>32</v>
      </c>
      <c r="AE836" t="s">
        <v>60</v>
      </c>
      <c r="AF836" t="s">
        <v>57</v>
      </c>
    </row>
    <row r="837" spans="1:32" x14ac:dyDescent="0.25">
      <c r="A837">
        <v>29</v>
      </c>
      <c r="B837" t="s">
        <v>41</v>
      </c>
      <c r="C837" t="s">
        <v>61</v>
      </c>
      <c r="D837" t="s">
        <v>34</v>
      </c>
      <c r="E837">
        <v>2</v>
      </c>
      <c r="F837" t="s">
        <v>35</v>
      </c>
      <c r="G837">
        <v>3</v>
      </c>
      <c r="H837">
        <v>2</v>
      </c>
      <c r="I837" t="s">
        <v>69</v>
      </c>
      <c r="J837">
        <v>4</v>
      </c>
      <c r="K837" t="s">
        <v>55</v>
      </c>
      <c r="L837">
        <v>8853</v>
      </c>
      <c r="M837">
        <v>1</v>
      </c>
      <c r="N837" t="s">
        <v>41</v>
      </c>
      <c r="O837">
        <v>19</v>
      </c>
      <c r="P837">
        <v>3</v>
      </c>
      <c r="Q837">
        <v>1</v>
      </c>
      <c r="R837">
        <v>6</v>
      </c>
      <c r="S837">
        <v>0</v>
      </c>
      <c r="T837">
        <v>6</v>
      </c>
      <c r="U837">
        <v>1</v>
      </c>
      <c r="V837">
        <v>3</v>
      </c>
      <c r="W837" t="s">
        <v>56</v>
      </c>
      <c r="X837" s="1" t="d">
        <v>2015-04-26</v>
      </c>
      <c r="Z837" t="s">
        <v>39</v>
      </c>
      <c r="AA837" t="s">
        <v>40</v>
      </c>
      <c r="AB837">
        <v>2</v>
      </c>
      <c r="AC837">
        <v>3</v>
      </c>
      <c r="AD837" t="s">
        <v>32</v>
      </c>
      <c r="AE837" t="s">
        <v>62</v>
      </c>
      <c r="AF837" t="s">
        <v>57</v>
      </c>
    </row>
    <row r="838" spans="1:32" x14ac:dyDescent="0.25">
      <c r="A838">
        <v>43</v>
      </c>
      <c r="B838" t="s">
        <v>41</v>
      </c>
      <c r="C838" t="s">
        <v>33</v>
      </c>
      <c r="D838" t="s">
        <v>34</v>
      </c>
      <c r="E838">
        <v>27</v>
      </c>
      <c r="F838" t="s">
        <v>35</v>
      </c>
      <c r="G838">
        <v>4</v>
      </c>
      <c r="H838">
        <v>1</v>
      </c>
      <c r="I838" t="s">
        <v>36</v>
      </c>
      <c r="J838">
        <v>2</v>
      </c>
      <c r="K838" t="s">
        <v>55</v>
      </c>
      <c r="L838">
        <v>4876</v>
      </c>
      <c r="M838">
        <v>5</v>
      </c>
      <c r="N838" t="s">
        <v>41</v>
      </c>
      <c r="O838">
        <v>12</v>
      </c>
      <c r="P838">
        <v>3</v>
      </c>
      <c r="Q838">
        <v>1</v>
      </c>
      <c r="R838">
        <v>8</v>
      </c>
      <c r="S838">
        <v>0</v>
      </c>
      <c r="T838">
        <v>6</v>
      </c>
      <c r="U838">
        <v>0</v>
      </c>
      <c r="V838">
        <v>2</v>
      </c>
      <c r="W838" t="s">
        <v>65</v>
      </c>
      <c r="X838" s="1" t="d">
        <v>2015-04-02</v>
      </c>
      <c r="Z838" t="s">
        <v>45</v>
      </c>
      <c r="AA838" t="s">
        <v>40</v>
      </c>
      <c r="AB838">
        <v>2</v>
      </c>
      <c r="AC838">
        <v>2</v>
      </c>
      <c r="AD838" t="s">
        <v>32</v>
      </c>
      <c r="AE838" t="s">
        <v>62</v>
      </c>
      <c r="AF838" t="s">
        <v>43</v>
      </c>
    </row>
    <row r="839" spans="1:32" x14ac:dyDescent="0.25">
      <c r="A839">
        <v>30</v>
      </c>
      <c r="B839" t="s">
        <v>41</v>
      </c>
      <c r="C839" t="s">
        <v>33</v>
      </c>
      <c r="D839" t="s">
        <v>34</v>
      </c>
      <c r="E839">
        <v>7</v>
      </c>
      <c r="F839" t="s">
        <v>35</v>
      </c>
      <c r="G839">
        <v>2</v>
      </c>
      <c r="H839">
        <v>1</v>
      </c>
      <c r="I839" t="s">
        <v>44</v>
      </c>
      <c r="J839">
        <v>2</v>
      </c>
      <c r="K839" t="s">
        <v>50</v>
      </c>
      <c r="L839">
        <v>2141</v>
      </c>
      <c r="M839">
        <v>1</v>
      </c>
      <c r="N839" t="s">
        <v>41</v>
      </c>
      <c r="O839">
        <v>12</v>
      </c>
      <c r="P839">
        <v>3</v>
      </c>
      <c r="Q839">
        <v>1</v>
      </c>
      <c r="R839">
        <v>6</v>
      </c>
      <c r="S839">
        <v>3</v>
      </c>
      <c r="T839">
        <v>6</v>
      </c>
      <c r="U839">
        <v>1</v>
      </c>
      <c r="V839">
        <v>1</v>
      </c>
      <c r="W839" t="s">
        <v>38</v>
      </c>
      <c r="X839" s="1" t="d">
        <v>2015-06-16</v>
      </c>
      <c r="Z839" t="s">
        <v>45</v>
      </c>
      <c r="AA839" t="s">
        <v>40</v>
      </c>
      <c r="AB839">
        <v>0</v>
      </c>
      <c r="AC839">
        <v>0</v>
      </c>
      <c r="AD839" t="s">
        <v>32</v>
      </c>
      <c r="AE839" t="s">
        <v>42</v>
      </c>
      <c r="AF839" t="s">
        <v>57</v>
      </c>
    </row>
    <row r="840" spans="1:32" x14ac:dyDescent="0.25">
      <c r="A840">
        <v>24</v>
      </c>
      <c r="B840" t="s">
        <v>41</v>
      </c>
      <c r="C840" t="s">
        <v>61</v>
      </c>
      <c r="D840" t="s">
        <v>34</v>
      </c>
      <c r="E840">
        <v>2</v>
      </c>
      <c r="F840" t="s">
        <v>58</v>
      </c>
      <c r="G840">
        <v>3</v>
      </c>
      <c r="H840">
        <v>1</v>
      </c>
      <c r="I840" t="s">
        <v>44</v>
      </c>
      <c r="J840">
        <v>4</v>
      </c>
      <c r="K840" t="s">
        <v>37</v>
      </c>
      <c r="L840">
        <v>3760</v>
      </c>
      <c r="M840">
        <v>1</v>
      </c>
      <c r="N840" t="s">
        <v>32</v>
      </c>
      <c r="O840">
        <v>13</v>
      </c>
      <c r="P840">
        <v>3</v>
      </c>
      <c r="Q840">
        <v>0</v>
      </c>
      <c r="R840">
        <v>6</v>
      </c>
      <c r="S840">
        <v>2</v>
      </c>
      <c r="T840">
        <v>6</v>
      </c>
      <c r="U840">
        <v>1</v>
      </c>
      <c r="V840">
        <v>3</v>
      </c>
      <c r="W840" t="s">
        <v>65</v>
      </c>
      <c r="X840" s="1" t="d">
        <v>2015-05-28</v>
      </c>
      <c r="Z840" t="s">
        <v>59</v>
      </c>
      <c r="AA840" t="s">
        <v>40</v>
      </c>
      <c r="AB840">
        <v>4</v>
      </c>
      <c r="AC840">
        <v>0</v>
      </c>
      <c r="AD840" t="s">
        <v>32</v>
      </c>
      <c r="AE840" t="s">
        <v>60</v>
      </c>
      <c r="AF840" t="s">
        <v>48</v>
      </c>
    </row>
    <row r="841" spans="1:32" x14ac:dyDescent="0.25">
      <c r="A841">
        <v>33</v>
      </c>
      <c r="B841" t="s">
        <v>41</v>
      </c>
      <c r="C841" t="s">
        <v>33</v>
      </c>
      <c r="D841" t="s">
        <v>53</v>
      </c>
      <c r="E841">
        <v>2</v>
      </c>
      <c r="F841" t="s">
        <v>35</v>
      </c>
      <c r="G841">
        <v>3</v>
      </c>
      <c r="H841">
        <v>2</v>
      </c>
      <c r="I841" t="s">
        <v>64</v>
      </c>
      <c r="J841">
        <v>4</v>
      </c>
      <c r="K841" t="s">
        <v>55</v>
      </c>
      <c r="L841">
        <v>5505</v>
      </c>
      <c r="M841">
        <v>1</v>
      </c>
      <c r="N841" t="s">
        <v>41</v>
      </c>
      <c r="O841">
        <v>14</v>
      </c>
      <c r="P841">
        <v>3</v>
      </c>
      <c r="Q841">
        <v>2</v>
      </c>
      <c r="R841">
        <v>6</v>
      </c>
      <c r="S841">
        <v>5</v>
      </c>
      <c r="T841">
        <v>6</v>
      </c>
      <c r="U841">
        <v>0</v>
      </c>
      <c r="V841">
        <v>4</v>
      </c>
      <c r="W841" t="s">
        <v>38</v>
      </c>
      <c r="X841" s="1" t="d">
        <v>2015-06-24</v>
      </c>
      <c r="Z841" t="s">
        <v>63</v>
      </c>
      <c r="AA841" t="s">
        <v>46</v>
      </c>
      <c r="AB841">
        <v>3</v>
      </c>
      <c r="AC841">
        <v>2</v>
      </c>
      <c r="AD841" t="s">
        <v>32</v>
      </c>
      <c r="AE841" t="s">
        <v>42</v>
      </c>
      <c r="AF841" t="s">
        <v>57</v>
      </c>
    </row>
    <row r="842" spans="1:32" x14ac:dyDescent="0.25">
      <c r="A842">
        <v>33</v>
      </c>
      <c r="B842" t="s">
        <v>41</v>
      </c>
      <c r="C842" t="s">
        <v>68</v>
      </c>
      <c r="D842" t="s">
        <v>53</v>
      </c>
      <c r="E842">
        <v>16</v>
      </c>
      <c r="F842" t="s">
        <v>58</v>
      </c>
      <c r="G842">
        <v>3</v>
      </c>
      <c r="H842">
        <v>2</v>
      </c>
      <c r="I842" t="s">
        <v>64</v>
      </c>
      <c r="J842">
        <v>4</v>
      </c>
      <c r="K842" t="s">
        <v>55</v>
      </c>
      <c r="L842">
        <v>5368</v>
      </c>
      <c r="M842">
        <v>1</v>
      </c>
      <c r="N842" t="s">
        <v>32</v>
      </c>
      <c r="O842">
        <v>25</v>
      </c>
      <c r="P842">
        <v>4</v>
      </c>
      <c r="Q842">
        <v>1</v>
      </c>
      <c r="R842">
        <v>7</v>
      </c>
      <c r="S842">
        <v>2</v>
      </c>
      <c r="T842">
        <v>6</v>
      </c>
      <c r="U842">
        <v>1</v>
      </c>
      <c r="V842">
        <v>2</v>
      </c>
      <c r="W842" t="s">
        <v>38</v>
      </c>
      <c r="X842" s="1" t="d">
        <v>2015-01-06</v>
      </c>
      <c r="Z842" t="s">
        <v>39</v>
      </c>
      <c r="AA842" t="s">
        <v>40</v>
      </c>
      <c r="AB842">
        <v>0</v>
      </c>
      <c r="AC842">
        <v>0</v>
      </c>
      <c r="AD842" t="s">
        <v>41</v>
      </c>
      <c r="AE842" t="s">
        <v>62</v>
      </c>
      <c r="AF842" t="s">
        <v>57</v>
      </c>
    </row>
    <row r="843" spans="1:32" x14ac:dyDescent="0.25">
      <c r="A843">
        <v>37</v>
      </c>
      <c r="B843" t="s">
        <v>41</v>
      </c>
      <c r="C843" t="s">
        <v>61</v>
      </c>
      <c r="D843" t="s">
        <v>53</v>
      </c>
      <c r="E843">
        <v>1</v>
      </c>
      <c r="F843" t="s">
        <v>35</v>
      </c>
      <c r="G843">
        <v>1</v>
      </c>
      <c r="H843">
        <v>2</v>
      </c>
      <c r="I843" t="s">
        <v>64</v>
      </c>
      <c r="J843">
        <v>4</v>
      </c>
      <c r="K843" t="s">
        <v>55</v>
      </c>
      <c r="L843">
        <v>9525</v>
      </c>
      <c r="M843">
        <v>1</v>
      </c>
      <c r="N843" t="s">
        <v>41</v>
      </c>
      <c r="O843">
        <v>14</v>
      </c>
      <c r="P843">
        <v>3</v>
      </c>
      <c r="Q843">
        <v>2</v>
      </c>
      <c r="R843">
        <v>6</v>
      </c>
      <c r="S843">
        <v>2</v>
      </c>
      <c r="T843">
        <v>6</v>
      </c>
      <c r="U843">
        <v>1</v>
      </c>
      <c r="V843">
        <v>3</v>
      </c>
      <c r="W843" t="s">
        <v>38</v>
      </c>
      <c r="X843" s="1" t="d">
        <v>2015-04-20</v>
      </c>
      <c r="Z843" t="s">
        <v>63</v>
      </c>
      <c r="AA843" t="s">
        <v>40</v>
      </c>
      <c r="AB843">
        <v>3</v>
      </c>
      <c r="AC843">
        <v>3</v>
      </c>
      <c r="AD843" t="s">
        <v>41</v>
      </c>
      <c r="AE843" t="s">
        <v>42</v>
      </c>
      <c r="AF843" t="s">
        <v>43</v>
      </c>
    </row>
    <row r="844" spans="1:32" x14ac:dyDescent="0.25">
      <c r="A844">
        <v>24</v>
      </c>
      <c r="B844" t="s">
        <v>41</v>
      </c>
      <c r="C844" t="s">
        <v>33</v>
      </c>
      <c r="D844" t="s">
        <v>34</v>
      </c>
      <c r="E844">
        <v>29</v>
      </c>
      <c r="F844" t="s">
        <v>35</v>
      </c>
      <c r="G844">
        <v>3</v>
      </c>
      <c r="H844">
        <v>1</v>
      </c>
      <c r="I844" t="s">
        <v>36</v>
      </c>
      <c r="J844">
        <v>1</v>
      </c>
      <c r="K844" t="s">
        <v>55</v>
      </c>
      <c r="L844">
        <v>3907</v>
      </c>
      <c r="M844">
        <v>1</v>
      </c>
      <c r="N844" t="s">
        <v>41</v>
      </c>
      <c r="O844">
        <v>13</v>
      </c>
      <c r="P844">
        <v>3</v>
      </c>
      <c r="Q844">
        <v>3</v>
      </c>
      <c r="R844">
        <v>6</v>
      </c>
      <c r="S844">
        <v>2</v>
      </c>
      <c r="T844">
        <v>6</v>
      </c>
      <c r="U844">
        <v>1</v>
      </c>
      <c r="V844">
        <v>2</v>
      </c>
      <c r="W844" t="s">
        <v>38</v>
      </c>
      <c r="X844" s="1" t="d">
        <v>2015-05-26</v>
      </c>
      <c r="Z844" t="s">
        <v>39</v>
      </c>
      <c r="AA844" t="s">
        <v>46</v>
      </c>
      <c r="AB844">
        <v>4</v>
      </c>
      <c r="AC844">
        <v>1</v>
      </c>
      <c r="AD844" t="s">
        <v>32</v>
      </c>
      <c r="AE844" t="s">
        <v>47</v>
      </c>
      <c r="AF844" t="s">
        <v>48</v>
      </c>
    </row>
    <row r="845" spans="1:32" x14ac:dyDescent="0.25">
      <c r="A845">
        <v>27</v>
      </c>
      <c r="B845" t="s">
        <v>41</v>
      </c>
      <c r="C845" t="s">
        <v>33</v>
      </c>
      <c r="D845" t="s">
        <v>34</v>
      </c>
      <c r="E845">
        <v>8</v>
      </c>
      <c r="F845" t="s">
        <v>58</v>
      </c>
      <c r="G845">
        <v>3</v>
      </c>
      <c r="H845">
        <v>1</v>
      </c>
      <c r="I845" t="s">
        <v>44</v>
      </c>
      <c r="J845">
        <v>4</v>
      </c>
      <c r="K845" t="s">
        <v>37</v>
      </c>
      <c r="L845">
        <v>3445</v>
      </c>
      <c r="M845">
        <v>1</v>
      </c>
      <c r="N845" t="s">
        <v>41</v>
      </c>
      <c r="O845">
        <v>11</v>
      </c>
      <c r="P845">
        <v>3</v>
      </c>
      <c r="Q845">
        <v>0</v>
      </c>
      <c r="R845">
        <v>6</v>
      </c>
      <c r="S845">
        <v>5</v>
      </c>
      <c r="T845">
        <v>6</v>
      </c>
      <c r="U845">
        <v>1</v>
      </c>
      <c r="V845">
        <v>4</v>
      </c>
      <c r="W845" t="s">
        <v>38</v>
      </c>
      <c r="X845" s="1" t="d">
        <v>2015-01-12</v>
      </c>
      <c r="Z845" t="s">
        <v>59</v>
      </c>
      <c r="AA845" t="s">
        <v>46</v>
      </c>
      <c r="AB845">
        <v>3</v>
      </c>
      <c r="AC845">
        <v>3</v>
      </c>
      <c r="AD845" t="s">
        <v>32</v>
      </c>
      <c r="AE845" t="s">
        <v>47</v>
      </c>
      <c r="AF845" t="s">
        <v>43</v>
      </c>
    </row>
    <row r="846" spans="1:32" x14ac:dyDescent="0.25">
      <c r="A846">
        <v>38</v>
      </c>
      <c r="B846" t="s">
        <v>41</v>
      </c>
      <c r="C846" t="s">
        <v>61</v>
      </c>
      <c r="D846" t="s">
        <v>34</v>
      </c>
      <c r="E846">
        <v>2</v>
      </c>
      <c r="F846" t="s">
        <v>58</v>
      </c>
      <c r="G846">
        <v>2</v>
      </c>
      <c r="H846">
        <v>1</v>
      </c>
      <c r="I846" t="s">
        <v>36</v>
      </c>
      <c r="J846">
        <v>2</v>
      </c>
      <c r="K846" t="s">
        <v>50</v>
      </c>
      <c r="L846">
        <v>2468</v>
      </c>
      <c r="M846">
        <v>4</v>
      </c>
      <c r="N846" t="s">
        <v>41</v>
      </c>
      <c r="O846">
        <v>14</v>
      </c>
      <c r="P846">
        <v>3</v>
      </c>
      <c r="Q846">
        <v>1</v>
      </c>
      <c r="R846">
        <v>9</v>
      </c>
      <c r="S846">
        <v>4</v>
      </c>
      <c r="T846">
        <v>6</v>
      </c>
      <c r="U846">
        <v>0</v>
      </c>
      <c r="V846">
        <v>5</v>
      </c>
      <c r="W846" t="s">
        <v>38</v>
      </c>
      <c r="X846" s="1" t="d">
        <v>2015-02-13</v>
      </c>
      <c r="Z846" t="s">
        <v>39</v>
      </c>
      <c r="AA846" t="s">
        <v>40</v>
      </c>
      <c r="AB846">
        <v>0</v>
      </c>
      <c r="AC846">
        <v>0</v>
      </c>
      <c r="AD846" t="s">
        <v>41</v>
      </c>
      <c r="AE846" t="s">
        <v>47</v>
      </c>
      <c r="AF846" t="s">
        <v>57</v>
      </c>
    </row>
    <row r="847" spans="1:32" x14ac:dyDescent="0.25">
      <c r="A847">
        <v>42</v>
      </c>
      <c r="B847" t="s">
        <v>41</v>
      </c>
      <c r="C847" t="s">
        <v>68</v>
      </c>
      <c r="D847" t="s">
        <v>34</v>
      </c>
      <c r="E847">
        <v>10</v>
      </c>
      <c r="F847" t="s">
        <v>35</v>
      </c>
      <c r="G847">
        <v>3</v>
      </c>
      <c r="H847">
        <v>1</v>
      </c>
      <c r="I847" t="s">
        <v>44</v>
      </c>
      <c r="J847">
        <v>3</v>
      </c>
      <c r="K847" t="s">
        <v>50</v>
      </c>
      <c r="L847">
        <v>2936</v>
      </c>
      <c r="M847">
        <v>3</v>
      </c>
      <c r="N847" t="s">
        <v>41</v>
      </c>
      <c r="O847">
        <v>22</v>
      </c>
      <c r="P847">
        <v>4</v>
      </c>
      <c r="Q847">
        <v>2</v>
      </c>
      <c r="R847">
        <v>10</v>
      </c>
      <c r="S847">
        <v>1</v>
      </c>
      <c r="T847">
        <v>6</v>
      </c>
      <c r="U847">
        <v>3</v>
      </c>
      <c r="V847">
        <v>3</v>
      </c>
      <c r="W847" t="s">
        <v>56</v>
      </c>
      <c r="X847" s="1" t="d">
        <v>2015-06-11</v>
      </c>
      <c r="Z847" t="s">
        <v>59</v>
      </c>
      <c r="AA847" t="s">
        <v>40</v>
      </c>
      <c r="AB847">
        <v>4</v>
      </c>
      <c r="AC847">
        <v>2</v>
      </c>
      <c r="AD847" t="s">
        <v>32</v>
      </c>
      <c r="AE847" t="s">
        <v>60</v>
      </c>
      <c r="AF847" t="s">
        <v>48</v>
      </c>
    </row>
    <row r="848" spans="1:32" x14ac:dyDescent="0.25">
      <c r="A848">
        <v>38</v>
      </c>
      <c r="B848" t="s">
        <v>41</v>
      </c>
      <c r="C848" t="s">
        <v>61</v>
      </c>
      <c r="D848" t="s">
        <v>70</v>
      </c>
      <c r="E848">
        <v>1</v>
      </c>
      <c r="F848" t="s">
        <v>35</v>
      </c>
      <c r="G848">
        <v>3</v>
      </c>
      <c r="H848">
        <v>1</v>
      </c>
      <c r="I848" t="s">
        <v>70</v>
      </c>
      <c r="J848">
        <v>2</v>
      </c>
      <c r="K848" t="s">
        <v>50</v>
      </c>
      <c r="L848">
        <v>2991</v>
      </c>
      <c r="M848">
        <v>0</v>
      </c>
      <c r="N848" t="s">
        <v>32</v>
      </c>
      <c r="O848">
        <v>11</v>
      </c>
      <c r="P848">
        <v>3</v>
      </c>
      <c r="Q848">
        <v>1</v>
      </c>
      <c r="R848">
        <v>7</v>
      </c>
      <c r="S848">
        <v>2</v>
      </c>
      <c r="T848">
        <v>6</v>
      </c>
      <c r="U848">
        <v>1</v>
      </c>
      <c r="V848">
        <v>2</v>
      </c>
      <c r="W848" t="s">
        <v>56</v>
      </c>
      <c r="X848" s="1" t="d">
        <v>2015-03-31</v>
      </c>
      <c r="Z848" t="s">
        <v>52</v>
      </c>
      <c r="AA848" t="s">
        <v>40</v>
      </c>
      <c r="AB848">
        <v>1</v>
      </c>
      <c r="AC848">
        <v>3</v>
      </c>
      <c r="AD848" t="s">
        <v>41</v>
      </c>
      <c r="AE848" t="s">
        <v>47</v>
      </c>
      <c r="AF848" t="s">
        <v>43</v>
      </c>
    </row>
    <row r="849" spans="1:32" x14ac:dyDescent="0.25">
      <c r="A849">
        <v>32</v>
      </c>
      <c r="B849" t="s">
        <v>41</v>
      </c>
      <c r="C849" t="s">
        <v>33</v>
      </c>
      <c r="D849" t="s">
        <v>34</v>
      </c>
      <c r="E849">
        <v>29</v>
      </c>
      <c r="F849" t="s">
        <v>58</v>
      </c>
      <c r="G849">
        <v>2</v>
      </c>
      <c r="H849">
        <v>1</v>
      </c>
      <c r="I849" t="s">
        <v>36</v>
      </c>
      <c r="J849">
        <v>2</v>
      </c>
      <c r="K849" t="s">
        <v>37</v>
      </c>
      <c r="L849">
        <v>2837</v>
      </c>
      <c r="M849">
        <v>1</v>
      </c>
      <c r="N849" t="s">
        <v>41</v>
      </c>
      <c r="O849">
        <v>13</v>
      </c>
      <c r="P849">
        <v>3</v>
      </c>
      <c r="Q849">
        <v>0</v>
      </c>
      <c r="R849">
        <v>6</v>
      </c>
      <c r="S849">
        <v>3</v>
      </c>
      <c r="T849">
        <v>6</v>
      </c>
      <c r="U849">
        <v>4</v>
      </c>
      <c r="V849">
        <v>1</v>
      </c>
      <c r="W849" t="s">
        <v>51</v>
      </c>
      <c r="X849" s="1" t="d">
        <v>2015-06-02</v>
      </c>
      <c r="Z849" t="s">
        <v>45</v>
      </c>
      <c r="AA849" t="s">
        <v>46</v>
      </c>
      <c r="AB849">
        <v>1</v>
      </c>
      <c r="AC849">
        <v>3</v>
      </c>
      <c r="AD849" t="s">
        <v>32</v>
      </c>
      <c r="AE849" t="s">
        <v>62</v>
      </c>
      <c r="AF849" t="s">
        <v>48</v>
      </c>
    </row>
    <row r="850" spans="1:32" x14ac:dyDescent="0.25">
      <c r="A850">
        <v>39</v>
      </c>
      <c r="B850" t="s">
        <v>41</v>
      </c>
      <c r="C850" t="s">
        <v>68</v>
      </c>
      <c r="D850" t="s">
        <v>34</v>
      </c>
      <c r="E850">
        <v>9</v>
      </c>
      <c r="F850" t="s">
        <v>35</v>
      </c>
      <c r="G850">
        <v>3</v>
      </c>
      <c r="H850">
        <v>5</v>
      </c>
      <c r="I850" t="s">
        <v>66</v>
      </c>
      <c r="J850">
        <v>4</v>
      </c>
      <c r="K850" t="s">
        <v>37</v>
      </c>
      <c r="L850">
        <v>19431</v>
      </c>
      <c r="M850">
        <v>2</v>
      </c>
      <c r="N850" t="s">
        <v>41</v>
      </c>
      <c r="O850">
        <v>13</v>
      </c>
      <c r="P850">
        <v>3</v>
      </c>
      <c r="Q850">
        <v>0</v>
      </c>
      <c r="R850">
        <v>21</v>
      </c>
      <c r="S850">
        <v>3</v>
      </c>
      <c r="T850">
        <v>6</v>
      </c>
      <c r="U850">
        <v>1</v>
      </c>
      <c r="V850">
        <v>3</v>
      </c>
      <c r="W850" t="s">
        <v>51</v>
      </c>
      <c r="X850" s="1" t="d">
        <v>2015-06-03</v>
      </c>
      <c r="Z850" t="s">
        <v>63</v>
      </c>
      <c r="AA850" t="s">
        <v>46</v>
      </c>
      <c r="AB850">
        <v>1</v>
      </c>
      <c r="AC850">
        <v>1</v>
      </c>
      <c r="AD850" t="s">
        <v>41</v>
      </c>
      <c r="AE850" t="s">
        <v>42</v>
      </c>
      <c r="AF850" t="s">
        <v>43</v>
      </c>
    </row>
    <row r="851" spans="1:32" x14ac:dyDescent="0.25">
      <c r="A851">
        <v>50</v>
      </c>
      <c r="B851" t="s">
        <v>32</v>
      </c>
      <c r="C851" t="s">
        <v>61</v>
      </c>
      <c r="D851" t="s">
        <v>53</v>
      </c>
      <c r="E851">
        <v>1</v>
      </c>
      <c r="F851" t="s">
        <v>35</v>
      </c>
      <c r="G851">
        <v>3</v>
      </c>
      <c r="H851">
        <v>2</v>
      </c>
      <c r="I851" t="s">
        <v>64</v>
      </c>
      <c r="J851">
        <v>3</v>
      </c>
      <c r="K851" t="s">
        <v>55</v>
      </c>
      <c r="L851">
        <v>6728</v>
      </c>
      <c r="M851">
        <v>7</v>
      </c>
      <c r="N851" t="s">
        <v>41</v>
      </c>
      <c r="O851">
        <v>12</v>
      </c>
      <c r="P851">
        <v>3</v>
      </c>
      <c r="Q851">
        <v>2</v>
      </c>
      <c r="R851">
        <v>12</v>
      </c>
      <c r="S851">
        <v>3</v>
      </c>
      <c r="T851">
        <v>6</v>
      </c>
      <c r="U851">
        <v>0</v>
      </c>
      <c r="V851">
        <v>1</v>
      </c>
      <c r="W851" t="s">
        <v>38</v>
      </c>
      <c r="X851" s="1" t="d">
        <v>2015-01-27</v>
      </c>
      <c r="Z851" t="s">
        <v>52</v>
      </c>
      <c r="AA851" t="s">
        <v>40</v>
      </c>
      <c r="AB851">
        <v>5</v>
      </c>
      <c r="AC851">
        <v>0</v>
      </c>
      <c r="AD851" t="s">
        <v>41</v>
      </c>
      <c r="AE851" t="s">
        <v>47</v>
      </c>
      <c r="AF851" t="s">
        <v>43</v>
      </c>
    </row>
    <row r="852" spans="1:32" x14ac:dyDescent="0.25">
      <c r="A852">
        <v>36</v>
      </c>
      <c r="B852" t="s">
        <v>41</v>
      </c>
      <c r="C852" t="s">
        <v>33</v>
      </c>
      <c r="D852" t="s">
        <v>53</v>
      </c>
      <c r="E852">
        <v>11</v>
      </c>
      <c r="F852" t="s">
        <v>58</v>
      </c>
      <c r="G852">
        <v>2</v>
      </c>
      <c r="H852">
        <v>2</v>
      </c>
      <c r="I852" t="s">
        <v>64</v>
      </c>
      <c r="J852">
        <v>4</v>
      </c>
      <c r="K852" t="s">
        <v>50</v>
      </c>
      <c r="L852">
        <v>6652</v>
      </c>
      <c r="M852">
        <v>4</v>
      </c>
      <c r="N852" t="s">
        <v>41</v>
      </c>
      <c r="O852">
        <v>13</v>
      </c>
      <c r="P852">
        <v>3</v>
      </c>
      <c r="Q852">
        <v>1</v>
      </c>
      <c r="R852">
        <v>8</v>
      </c>
      <c r="S852">
        <v>2</v>
      </c>
      <c r="T852">
        <v>6</v>
      </c>
      <c r="U852">
        <v>0</v>
      </c>
      <c r="V852">
        <v>0</v>
      </c>
      <c r="W852" t="s">
        <v>65</v>
      </c>
      <c r="X852" s="1" t="d">
        <v>2015-05-27</v>
      </c>
      <c r="Z852" t="s">
        <v>59</v>
      </c>
      <c r="AA852" t="s">
        <v>40</v>
      </c>
      <c r="AB852">
        <v>2</v>
      </c>
      <c r="AC852">
        <v>3</v>
      </c>
      <c r="AD852" t="s">
        <v>41</v>
      </c>
      <c r="AE852" t="s">
        <v>42</v>
      </c>
      <c r="AF852" t="s">
        <v>43</v>
      </c>
    </row>
    <row r="853" spans="1:32" x14ac:dyDescent="0.25">
      <c r="A853">
        <v>27</v>
      </c>
      <c r="B853" t="s">
        <v>41</v>
      </c>
      <c r="C853" t="s">
        <v>33</v>
      </c>
      <c r="D853" t="s">
        <v>34</v>
      </c>
      <c r="E853">
        <v>4</v>
      </c>
      <c r="F853" t="s">
        <v>35</v>
      </c>
      <c r="G853">
        <v>4</v>
      </c>
      <c r="H853">
        <v>2</v>
      </c>
      <c r="I853" t="s">
        <v>67</v>
      </c>
      <c r="J853">
        <v>2</v>
      </c>
      <c r="K853" t="s">
        <v>50</v>
      </c>
      <c r="L853">
        <v>6142</v>
      </c>
      <c r="M853">
        <v>1</v>
      </c>
      <c r="N853" t="s">
        <v>32</v>
      </c>
      <c r="O853">
        <v>20</v>
      </c>
      <c r="P853">
        <v>4</v>
      </c>
      <c r="Q853">
        <v>1</v>
      </c>
      <c r="R853">
        <v>6</v>
      </c>
      <c r="S853">
        <v>0</v>
      </c>
      <c r="T853">
        <v>6</v>
      </c>
      <c r="U853">
        <v>0</v>
      </c>
      <c r="V853">
        <v>3</v>
      </c>
      <c r="W853" t="s">
        <v>51</v>
      </c>
      <c r="X853" s="1" t="d">
        <v>2015-03-26</v>
      </c>
      <c r="Z853" t="s">
        <v>39</v>
      </c>
      <c r="AA853" t="s">
        <v>40</v>
      </c>
      <c r="AB853">
        <v>5</v>
      </c>
      <c r="AC853">
        <v>0</v>
      </c>
      <c r="AD853" t="s">
        <v>32</v>
      </c>
      <c r="AE853" t="s">
        <v>60</v>
      </c>
      <c r="AF853" t="s">
        <v>43</v>
      </c>
    </row>
    <row r="854" spans="1:32" x14ac:dyDescent="0.25">
      <c r="A854">
        <v>32</v>
      </c>
      <c r="B854" t="s">
        <v>41</v>
      </c>
      <c r="C854" t="s">
        <v>61</v>
      </c>
      <c r="D854" t="s">
        <v>34</v>
      </c>
      <c r="E854">
        <v>2</v>
      </c>
      <c r="F854" t="s">
        <v>35</v>
      </c>
      <c r="G854">
        <v>3</v>
      </c>
      <c r="H854">
        <v>1</v>
      </c>
      <c r="I854" t="s">
        <v>36</v>
      </c>
      <c r="J854">
        <v>4</v>
      </c>
      <c r="K854" t="s">
        <v>37</v>
      </c>
      <c r="L854">
        <v>3068</v>
      </c>
      <c r="M854">
        <v>0</v>
      </c>
      <c r="N854" t="s">
        <v>41</v>
      </c>
      <c r="O854">
        <v>13</v>
      </c>
      <c r="P854">
        <v>3</v>
      </c>
      <c r="Q854">
        <v>0</v>
      </c>
      <c r="R854">
        <v>8</v>
      </c>
      <c r="S854">
        <v>2</v>
      </c>
      <c r="T854">
        <v>7</v>
      </c>
      <c r="U854">
        <v>3</v>
      </c>
      <c r="V854">
        <v>6</v>
      </c>
      <c r="W854" t="s">
        <v>56</v>
      </c>
      <c r="X854" s="1" t="d">
        <v>2014-03-02</v>
      </c>
      <c r="Z854" t="s">
        <v>39</v>
      </c>
      <c r="AA854" t="s">
        <v>46</v>
      </c>
      <c r="AB854">
        <v>5</v>
      </c>
      <c r="AC854">
        <v>1</v>
      </c>
      <c r="AD854" t="s">
        <v>32</v>
      </c>
      <c r="AE854" t="s">
        <v>62</v>
      </c>
      <c r="AF854" t="s">
        <v>48</v>
      </c>
    </row>
    <row r="855" spans="1:32" x14ac:dyDescent="0.25">
      <c r="A855">
        <v>36</v>
      </c>
      <c r="B855" t="s">
        <v>41</v>
      </c>
      <c r="C855" t="s">
        <v>33</v>
      </c>
      <c r="D855" t="s">
        <v>34</v>
      </c>
      <c r="E855">
        <v>27</v>
      </c>
      <c r="F855" t="s">
        <v>35</v>
      </c>
      <c r="G855">
        <v>3</v>
      </c>
      <c r="H855">
        <v>2</v>
      </c>
      <c r="I855" t="s">
        <v>69</v>
      </c>
      <c r="J855">
        <v>3</v>
      </c>
      <c r="K855" t="s">
        <v>50</v>
      </c>
      <c r="L855">
        <v>5237</v>
      </c>
      <c r="M855">
        <v>6</v>
      </c>
      <c r="N855" t="s">
        <v>41</v>
      </c>
      <c r="O855">
        <v>13</v>
      </c>
      <c r="P855">
        <v>3</v>
      </c>
      <c r="Q855">
        <v>2</v>
      </c>
      <c r="R855">
        <v>17</v>
      </c>
      <c r="S855">
        <v>3</v>
      </c>
      <c r="T855">
        <v>7</v>
      </c>
      <c r="U855">
        <v>7</v>
      </c>
      <c r="V855">
        <v>7</v>
      </c>
      <c r="W855" t="s">
        <v>65</v>
      </c>
      <c r="X855" s="1" t="d">
        <v>2014-03-28</v>
      </c>
      <c r="Z855" t="s">
        <v>63</v>
      </c>
      <c r="AA855" t="s">
        <v>40</v>
      </c>
      <c r="AB855">
        <v>0</v>
      </c>
      <c r="AC855">
        <v>2</v>
      </c>
      <c r="AD855" t="s">
        <v>41</v>
      </c>
      <c r="AE855" t="s">
        <v>47</v>
      </c>
      <c r="AF855" t="s">
        <v>43</v>
      </c>
    </row>
    <row r="856" spans="1:32" x14ac:dyDescent="0.25">
      <c r="A856">
        <v>31</v>
      </c>
      <c r="B856" t="s">
        <v>41</v>
      </c>
      <c r="C856" t="s">
        <v>33</v>
      </c>
      <c r="D856" t="s">
        <v>34</v>
      </c>
      <c r="E856">
        <v>7</v>
      </c>
      <c r="F856" t="s">
        <v>35</v>
      </c>
      <c r="G856">
        <v>3</v>
      </c>
      <c r="H856">
        <v>2</v>
      </c>
      <c r="I856" t="s">
        <v>36</v>
      </c>
      <c r="J856">
        <v>4</v>
      </c>
      <c r="K856" t="s">
        <v>55</v>
      </c>
      <c r="L856">
        <v>5915</v>
      </c>
      <c r="M856">
        <v>3</v>
      </c>
      <c r="N856" t="s">
        <v>41</v>
      </c>
      <c r="O856">
        <v>22</v>
      </c>
      <c r="P856">
        <v>4</v>
      </c>
      <c r="Q856">
        <v>1</v>
      </c>
      <c r="R856">
        <v>10</v>
      </c>
      <c r="S856">
        <v>3</v>
      </c>
      <c r="T856">
        <v>7</v>
      </c>
      <c r="U856">
        <v>1</v>
      </c>
      <c r="V856">
        <v>7</v>
      </c>
      <c r="W856" t="s">
        <v>51</v>
      </c>
      <c r="X856" s="1" t="d">
        <v>2014-03-31</v>
      </c>
      <c r="Z856" t="s">
        <v>59</v>
      </c>
      <c r="AA856" t="s">
        <v>46</v>
      </c>
      <c r="AB856">
        <v>5</v>
      </c>
      <c r="AC856">
        <v>3</v>
      </c>
      <c r="AD856" t="s">
        <v>41</v>
      </c>
      <c r="AE856" t="s">
        <v>47</v>
      </c>
      <c r="AF856" t="s">
        <v>57</v>
      </c>
    </row>
    <row r="857" spans="1:32" x14ac:dyDescent="0.25">
      <c r="A857">
        <v>37</v>
      </c>
      <c r="B857" t="s">
        <v>41</v>
      </c>
      <c r="C857" t="s">
        <v>33</v>
      </c>
      <c r="D857" t="s">
        <v>34</v>
      </c>
      <c r="E857">
        <v>1</v>
      </c>
      <c r="F857" t="s">
        <v>35</v>
      </c>
      <c r="G857">
        <v>2</v>
      </c>
      <c r="H857">
        <v>2</v>
      </c>
      <c r="I857" t="s">
        <v>67</v>
      </c>
      <c r="J857">
        <v>3</v>
      </c>
      <c r="K857" t="s">
        <v>55</v>
      </c>
      <c r="L857">
        <v>5993</v>
      </c>
      <c r="M857">
        <v>1</v>
      </c>
      <c r="N857" t="s">
        <v>41</v>
      </c>
      <c r="O857">
        <v>18</v>
      </c>
      <c r="P857">
        <v>3</v>
      </c>
      <c r="Q857">
        <v>1</v>
      </c>
      <c r="R857">
        <v>7</v>
      </c>
      <c r="S857">
        <v>2</v>
      </c>
      <c r="T857">
        <v>7</v>
      </c>
      <c r="U857">
        <v>0</v>
      </c>
      <c r="V857">
        <v>7</v>
      </c>
      <c r="W857" t="s">
        <v>51</v>
      </c>
      <c r="X857" s="1" t="d">
        <v>2014-03-09</v>
      </c>
      <c r="Z857" t="s">
        <v>52</v>
      </c>
      <c r="AA857" t="s">
        <v>46</v>
      </c>
      <c r="AB857">
        <v>0</v>
      </c>
      <c r="AC857">
        <v>3</v>
      </c>
      <c r="AD857" t="s">
        <v>41</v>
      </c>
      <c r="AE857" t="s">
        <v>42</v>
      </c>
      <c r="AF857" t="s">
        <v>48</v>
      </c>
    </row>
    <row r="858" spans="1:32" x14ac:dyDescent="0.25">
      <c r="A858">
        <v>33</v>
      </c>
      <c r="B858" t="s">
        <v>41</v>
      </c>
      <c r="C858" t="s">
        <v>68</v>
      </c>
      <c r="D858" t="s">
        <v>53</v>
      </c>
      <c r="E858">
        <v>22</v>
      </c>
      <c r="F858" t="s">
        <v>35</v>
      </c>
      <c r="G858">
        <v>3</v>
      </c>
      <c r="H858">
        <v>2</v>
      </c>
      <c r="I858" t="s">
        <v>64</v>
      </c>
      <c r="J858">
        <v>2</v>
      </c>
      <c r="K858" t="s">
        <v>50</v>
      </c>
      <c r="L858">
        <v>6146</v>
      </c>
      <c r="M858">
        <v>0</v>
      </c>
      <c r="N858" t="s">
        <v>41</v>
      </c>
      <c r="O858">
        <v>13</v>
      </c>
      <c r="P858">
        <v>3</v>
      </c>
      <c r="Q858">
        <v>1</v>
      </c>
      <c r="R858">
        <v>8</v>
      </c>
      <c r="S858">
        <v>2</v>
      </c>
      <c r="T858">
        <v>7</v>
      </c>
      <c r="U858">
        <v>0</v>
      </c>
      <c r="V858">
        <v>7</v>
      </c>
      <c r="W858" t="s">
        <v>56</v>
      </c>
      <c r="X858" s="1" t="d">
        <v>2014-06-08</v>
      </c>
      <c r="Z858" t="s">
        <v>45</v>
      </c>
      <c r="AA858" t="s">
        <v>40</v>
      </c>
      <c r="AB858">
        <v>4</v>
      </c>
      <c r="AC858">
        <v>3</v>
      </c>
      <c r="AD858" t="s">
        <v>41</v>
      </c>
      <c r="AE858" t="s">
        <v>60</v>
      </c>
      <c r="AF858" t="s">
        <v>43</v>
      </c>
    </row>
    <row r="859" spans="1:32" x14ac:dyDescent="0.25">
      <c r="A859">
        <v>31</v>
      </c>
      <c r="B859" t="s">
        <v>32</v>
      </c>
      <c r="C859" t="s">
        <v>33</v>
      </c>
      <c r="D859" t="s">
        <v>53</v>
      </c>
      <c r="E859">
        <v>6</v>
      </c>
      <c r="F859" t="s">
        <v>35</v>
      </c>
      <c r="G859">
        <v>1</v>
      </c>
      <c r="H859">
        <v>2</v>
      </c>
      <c r="I859" t="s">
        <v>64</v>
      </c>
      <c r="J859">
        <v>3</v>
      </c>
      <c r="K859" t="s">
        <v>50</v>
      </c>
      <c r="L859">
        <v>6172</v>
      </c>
      <c r="M859">
        <v>4</v>
      </c>
      <c r="N859" t="s">
        <v>32</v>
      </c>
      <c r="O859">
        <v>18</v>
      </c>
      <c r="P859">
        <v>3</v>
      </c>
      <c r="Q859">
        <v>0</v>
      </c>
      <c r="R859">
        <v>12</v>
      </c>
      <c r="S859">
        <v>3</v>
      </c>
      <c r="T859">
        <v>7</v>
      </c>
      <c r="U859">
        <v>7</v>
      </c>
      <c r="V859">
        <v>7</v>
      </c>
      <c r="W859" t="s">
        <v>51</v>
      </c>
      <c r="X859" s="1" t="d">
        <v>2014-02-02</v>
      </c>
      <c r="Z859" t="s">
        <v>39</v>
      </c>
      <c r="AA859" t="s">
        <v>46</v>
      </c>
      <c r="AB859">
        <v>1</v>
      </c>
      <c r="AC859">
        <v>1</v>
      </c>
      <c r="AD859" t="s">
        <v>41</v>
      </c>
      <c r="AE859" t="s">
        <v>60</v>
      </c>
      <c r="AF859" t="s">
        <v>48</v>
      </c>
    </row>
    <row r="860" spans="1:32" x14ac:dyDescent="0.25">
      <c r="A860">
        <v>41</v>
      </c>
      <c r="B860" t="s">
        <v>41</v>
      </c>
      <c r="C860" t="s">
        <v>61</v>
      </c>
      <c r="D860" t="s">
        <v>34</v>
      </c>
      <c r="E860">
        <v>10</v>
      </c>
      <c r="F860" t="s">
        <v>35</v>
      </c>
      <c r="G860">
        <v>2</v>
      </c>
      <c r="H860">
        <v>4</v>
      </c>
      <c r="I860" t="s">
        <v>66</v>
      </c>
      <c r="J860">
        <v>1</v>
      </c>
      <c r="K860" t="s">
        <v>55</v>
      </c>
      <c r="L860">
        <v>17181</v>
      </c>
      <c r="M860">
        <v>4</v>
      </c>
      <c r="N860" t="s">
        <v>41</v>
      </c>
      <c r="O860">
        <v>13</v>
      </c>
      <c r="P860">
        <v>3</v>
      </c>
      <c r="Q860">
        <v>1</v>
      </c>
      <c r="R860">
        <v>21</v>
      </c>
      <c r="S860">
        <v>2</v>
      </c>
      <c r="T860">
        <v>7</v>
      </c>
      <c r="U860">
        <v>7</v>
      </c>
      <c r="V860">
        <v>7</v>
      </c>
      <c r="W860" t="s">
        <v>51</v>
      </c>
      <c r="X860" s="1" t="d">
        <v>2014-05-01</v>
      </c>
      <c r="Z860" t="s">
        <v>52</v>
      </c>
      <c r="AA860" t="s">
        <v>40</v>
      </c>
      <c r="AB860">
        <v>2</v>
      </c>
      <c r="AC860">
        <v>2</v>
      </c>
      <c r="AD860" t="s">
        <v>32</v>
      </c>
      <c r="AE860" t="s">
        <v>62</v>
      </c>
      <c r="AF860" t="s">
        <v>48</v>
      </c>
    </row>
    <row r="861" spans="1:32" x14ac:dyDescent="0.25">
      <c r="A861">
        <v>53</v>
      </c>
      <c r="B861" t="s">
        <v>41</v>
      </c>
      <c r="C861" t="s">
        <v>33</v>
      </c>
      <c r="D861" t="s">
        <v>53</v>
      </c>
      <c r="E861">
        <v>6</v>
      </c>
      <c r="F861" t="s">
        <v>35</v>
      </c>
      <c r="G861">
        <v>3</v>
      </c>
      <c r="H861">
        <v>2</v>
      </c>
      <c r="I861" t="s">
        <v>54</v>
      </c>
      <c r="J861">
        <v>3</v>
      </c>
      <c r="K861" t="s">
        <v>50</v>
      </c>
      <c r="L861">
        <v>2306</v>
      </c>
      <c r="M861">
        <v>2</v>
      </c>
      <c r="N861" t="s">
        <v>32</v>
      </c>
      <c r="O861">
        <v>20</v>
      </c>
      <c r="P861">
        <v>4</v>
      </c>
      <c r="Q861">
        <v>1</v>
      </c>
      <c r="R861">
        <v>13</v>
      </c>
      <c r="S861">
        <v>3</v>
      </c>
      <c r="T861">
        <v>7</v>
      </c>
      <c r="U861">
        <v>4</v>
      </c>
      <c r="V861">
        <v>5</v>
      </c>
      <c r="W861" t="s">
        <v>56</v>
      </c>
      <c r="X861" s="1" t="d">
        <v>2014-04-20</v>
      </c>
      <c r="Z861" t="s">
        <v>63</v>
      </c>
      <c r="AA861" t="s">
        <v>46</v>
      </c>
      <c r="AB861">
        <v>0</v>
      </c>
      <c r="AC861">
        <v>1</v>
      </c>
      <c r="AD861" t="s">
        <v>41</v>
      </c>
      <c r="AE861" t="s">
        <v>47</v>
      </c>
      <c r="AF861" t="s">
        <v>43</v>
      </c>
    </row>
    <row r="862" spans="1:32" x14ac:dyDescent="0.25">
      <c r="A862">
        <v>51</v>
      </c>
      <c r="B862" t="s">
        <v>41</v>
      </c>
      <c r="C862" t="s">
        <v>33</v>
      </c>
      <c r="D862" t="s">
        <v>34</v>
      </c>
      <c r="E862">
        <v>3</v>
      </c>
      <c r="F862" t="s">
        <v>58</v>
      </c>
      <c r="G862">
        <v>3</v>
      </c>
      <c r="H862">
        <v>4</v>
      </c>
      <c r="I862" t="s">
        <v>69</v>
      </c>
      <c r="J862">
        <v>2</v>
      </c>
      <c r="K862" t="s">
        <v>37</v>
      </c>
      <c r="L862">
        <v>13734</v>
      </c>
      <c r="M862">
        <v>3</v>
      </c>
      <c r="N862" t="s">
        <v>41</v>
      </c>
      <c r="O862">
        <v>18</v>
      </c>
      <c r="P862">
        <v>3</v>
      </c>
      <c r="Q862">
        <v>0</v>
      </c>
      <c r="R862">
        <v>21</v>
      </c>
      <c r="S862">
        <v>6</v>
      </c>
      <c r="T862">
        <v>7</v>
      </c>
      <c r="U862">
        <v>1</v>
      </c>
      <c r="V862">
        <v>0</v>
      </c>
      <c r="W862" t="s">
        <v>38</v>
      </c>
      <c r="X862" s="1" t="d">
        <v>2014-06-22</v>
      </c>
      <c r="Z862" t="s">
        <v>39</v>
      </c>
      <c r="AA862" t="s">
        <v>46</v>
      </c>
      <c r="AB862">
        <v>0</v>
      </c>
      <c r="AC862">
        <v>2</v>
      </c>
      <c r="AD862" t="s">
        <v>32</v>
      </c>
      <c r="AE862" t="s">
        <v>47</v>
      </c>
      <c r="AF862" t="s">
        <v>57</v>
      </c>
    </row>
    <row r="863" spans="1:32" x14ac:dyDescent="0.25">
      <c r="A863">
        <v>27</v>
      </c>
      <c r="B863" t="s">
        <v>41</v>
      </c>
      <c r="C863" t="s">
        <v>33</v>
      </c>
      <c r="D863" t="s">
        <v>34</v>
      </c>
      <c r="E863">
        <v>9</v>
      </c>
      <c r="F863" t="s">
        <v>58</v>
      </c>
      <c r="G863">
        <v>3</v>
      </c>
      <c r="H863">
        <v>1</v>
      </c>
      <c r="I863" t="s">
        <v>44</v>
      </c>
      <c r="J863">
        <v>2</v>
      </c>
      <c r="K863" t="s">
        <v>37</v>
      </c>
      <c r="L863">
        <v>2279</v>
      </c>
      <c r="M863">
        <v>1</v>
      </c>
      <c r="N863" t="s">
        <v>41</v>
      </c>
      <c r="O863">
        <v>16</v>
      </c>
      <c r="P863">
        <v>3</v>
      </c>
      <c r="Q863">
        <v>0</v>
      </c>
      <c r="R863">
        <v>7</v>
      </c>
      <c r="S863">
        <v>2</v>
      </c>
      <c r="T863">
        <v>7</v>
      </c>
      <c r="U863">
        <v>0</v>
      </c>
      <c r="V863">
        <v>3</v>
      </c>
      <c r="W863" t="s">
        <v>65</v>
      </c>
      <c r="X863" s="1" t="d">
        <v>2014-06-17</v>
      </c>
      <c r="Z863" t="s">
        <v>39</v>
      </c>
      <c r="AA863" t="s">
        <v>46</v>
      </c>
      <c r="AB863">
        <v>1</v>
      </c>
      <c r="AC863">
        <v>1</v>
      </c>
      <c r="AD863" t="s">
        <v>32</v>
      </c>
      <c r="AE863" t="s">
        <v>42</v>
      </c>
      <c r="AF863" t="s">
        <v>43</v>
      </c>
    </row>
    <row r="864" spans="1:32" x14ac:dyDescent="0.25">
      <c r="A864">
        <v>38</v>
      </c>
      <c r="B864" t="s">
        <v>41</v>
      </c>
      <c r="C864" t="s">
        <v>33</v>
      </c>
      <c r="D864" t="s">
        <v>34</v>
      </c>
      <c r="E864">
        <v>29</v>
      </c>
      <c r="F864" t="s">
        <v>35</v>
      </c>
      <c r="G864">
        <v>3</v>
      </c>
      <c r="H864">
        <v>2</v>
      </c>
      <c r="I864" t="s">
        <v>67</v>
      </c>
      <c r="J864">
        <v>4</v>
      </c>
      <c r="K864" t="s">
        <v>50</v>
      </c>
      <c r="L864">
        <v>6261</v>
      </c>
      <c r="M864">
        <v>3</v>
      </c>
      <c r="N864" t="s">
        <v>41</v>
      </c>
      <c r="O864">
        <v>18</v>
      </c>
      <c r="P864">
        <v>3</v>
      </c>
      <c r="Q864">
        <v>1</v>
      </c>
      <c r="R864">
        <v>9</v>
      </c>
      <c r="S864">
        <v>3</v>
      </c>
      <c r="T864">
        <v>7</v>
      </c>
      <c r="U864">
        <v>1</v>
      </c>
      <c r="V864">
        <v>7</v>
      </c>
      <c r="W864" t="s">
        <v>65</v>
      </c>
      <c r="X864" s="1" t="d">
        <v>2014-03-02</v>
      </c>
      <c r="Z864" t="s">
        <v>59</v>
      </c>
      <c r="AA864" t="s">
        <v>40</v>
      </c>
      <c r="AB864">
        <v>3</v>
      </c>
      <c r="AC864">
        <v>0</v>
      </c>
      <c r="AD864" t="s">
        <v>41</v>
      </c>
      <c r="AE864" t="s">
        <v>47</v>
      </c>
      <c r="AF864" t="s">
        <v>57</v>
      </c>
    </row>
    <row r="865" spans="1:32" x14ac:dyDescent="0.25">
      <c r="A865">
        <v>49</v>
      </c>
      <c r="B865" t="s">
        <v>41</v>
      </c>
      <c r="C865" t="s">
        <v>68</v>
      </c>
      <c r="D865" t="s">
        <v>34</v>
      </c>
      <c r="E865">
        <v>18</v>
      </c>
      <c r="F865" t="s">
        <v>35</v>
      </c>
      <c r="G865">
        <v>3</v>
      </c>
      <c r="H865">
        <v>2</v>
      </c>
      <c r="I865" t="s">
        <v>67</v>
      </c>
      <c r="J865">
        <v>4</v>
      </c>
      <c r="K865" t="s">
        <v>55</v>
      </c>
      <c r="L865">
        <v>6804</v>
      </c>
      <c r="M865">
        <v>1</v>
      </c>
      <c r="N865" t="s">
        <v>32</v>
      </c>
      <c r="O865">
        <v>15</v>
      </c>
      <c r="P865">
        <v>3</v>
      </c>
      <c r="Q865">
        <v>2</v>
      </c>
      <c r="R865">
        <v>7</v>
      </c>
      <c r="S865">
        <v>0</v>
      </c>
      <c r="T865">
        <v>7</v>
      </c>
      <c r="U865">
        <v>1</v>
      </c>
      <c r="V865">
        <v>7</v>
      </c>
      <c r="W865" t="s">
        <v>65</v>
      </c>
      <c r="X865" s="1" t="d">
        <v>2014-04-21</v>
      </c>
      <c r="Z865" t="s">
        <v>45</v>
      </c>
      <c r="AA865" t="s">
        <v>46</v>
      </c>
      <c r="AB865">
        <v>2</v>
      </c>
      <c r="AC865">
        <v>0</v>
      </c>
      <c r="AD865" t="s">
        <v>41</v>
      </c>
      <c r="AE865" t="s">
        <v>62</v>
      </c>
      <c r="AF865" t="s">
        <v>48</v>
      </c>
    </row>
    <row r="866" spans="1:32" x14ac:dyDescent="0.25">
      <c r="A866">
        <v>40</v>
      </c>
      <c r="B866" t="s">
        <v>41</v>
      </c>
      <c r="C866" t="s">
        <v>33</v>
      </c>
      <c r="D866" t="s">
        <v>34</v>
      </c>
      <c r="E866">
        <v>19</v>
      </c>
      <c r="F866" t="s">
        <v>35</v>
      </c>
      <c r="G866">
        <v>3</v>
      </c>
      <c r="H866">
        <v>2</v>
      </c>
      <c r="I866" t="s">
        <v>36</v>
      </c>
      <c r="J866">
        <v>4</v>
      </c>
      <c r="K866" t="s">
        <v>50</v>
      </c>
      <c r="L866">
        <v>2741</v>
      </c>
      <c r="M866">
        <v>8</v>
      </c>
      <c r="N866" t="s">
        <v>32</v>
      </c>
      <c r="O866">
        <v>15</v>
      </c>
      <c r="P866">
        <v>3</v>
      </c>
      <c r="Q866">
        <v>1</v>
      </c>
      <c r="R866">
        <v>15</v>
      </c>
      <c r="S866">
        <v>2</v>
      </c>
      <c r="T866">
        <v>7</v>
      </c>
      <c r="U866">
        <v>3</v>
      </c>
      <c r="V866">
        <v>7</v>
      </c>
      <c r="W866" t="s">
        <v>51</v>
      </c>
      <c r="X866" s="1" t="d">
        <v>2014-04-25</v>
      </c>
      <c r="Z866" t="s">
        <v>59</v>
      </c>
      <c r="AA866" t="s">
        <v>40</v>
      </c>
      <c r="AB866">
        <v>3</v>
      </c>
      <c r="AC866">
        <v>2</v>
      </c>
      <c r="AD866" t="s">
        <v>32</v>
      </c>
      <c r="AE866" t="s">
        <v>60</v>
      </c>
      <c r="AF866" t="s">
        <v>57</v>
      </c>
    </row>
    <row r="867" spans="1:32" x14ac:dyDescent="0.25">
      <c r="A867">
        <v>27</v>
      </c>
      <c r="B867" t="s">
        <v>41</v>
      </c>
      <c r="C867" t="s">
        <v>61</v>
      </c>
      <c r="D867" t="s">
        <v>53</v>
      </c>
      <c r="E867">
        <v>20</v>
      </c>
      <c r="F867" t="s">
        <v>58</v>
      </c>
      <c r="G867">
        <v>3</v>
      </c>
      <c r="H867">
        <v>2</v>
      </c>
      <c r="I867" t="s">
        <v>64</v>
      </c>
      <c r="J867">
        <v>3</v>
      </c>
      <c r="K867" t="s">
        <v>37</v>
      </c>
      <c r="L867">
        <v>9981</v>
      </c>
      <c r="M867">
        <v>1</v>
      </c>
      <c r="N867" t="s">
        <v>41</v>
      </c>
      <c r="O867">
        <v>14</v>
      </c>
      <c r="P867">
        <v>3</v>
      </c>
      <c r="Q867">
        <v>0</v>
      </c>
      <c r="R867">
        <v>7</v>
      </c>
      <c r="S867">
        <v>2</v>
      </c>
      <c r="T867">
        <v>7</v>
      </c>
      <c r="U867">
        <v>0</v>
      </c>
      <c r="V867">
        <v>7</v>
      </c>
      <c r="W867" t="s">
        <v>56</v>
      </c>
      <c r="X867" s="1" t="d">
        <v>2014-01-19</v>
      </c>
      <c r="Z867" t="s">
        <v>63</v>
      </c>
      <c r="AA867" t="s">
        <v>46</v>
      </c>
      <c r="AB867">
        <v>2</v>
      </c>
      <c r="AC867">
        <v>3</v>
      </c>
      <c r="AD867" t="s">
        <v>41</v>
      </c>
      <c r="AE867" t="s">
        <v>42</v>
      </c>
      <c r="AF867" t="s">
        <v>48</v>
      </c>
    </row>
    <row r="868" spans="1:32" x14ac:dyDescent="0.25">
      <c r="A868">
        <v>50</v>
      </c>
      <c r="B868" t="s">
        <v>41</v>
      </c>
      <c r="C868" t="s">
        <v>33</v>
      </c>
      <c r="D868" t="s">
        <v>53</v>
      </c>
      <c r="E868">
        <v>1</v>
      </c>
      <c r="F868" t="s">
        <v>58</v>
      </c>
      <c r="G868">
        <v>3</v>
      </c>
      <c r="H868">
        <v>5</v>
      </c>
      <c r="I868" t="s">
        <v>66</v>
      </c>
      <c r="J868">
        <v>4</v>
      </c>
      <c r="K868" t="s">
        <v>55</v>
      </c>
      <c r="L868">
        <v>19517</v>
      </c>
      <c r="M868">
        <v>3</v>
      </c>
      <c r="N868" t="s">
        <v>41</v>
      </c>
      <c r="O868">
        <v>11</v>
      </c>
      <c r="P868">
        <v>3</v>
      </c>
      <c r="Q868">
        <v>1</v>
      </c>
      <c r="R868">
        <v>32</v>
      </c>
      <c r="S868">
        <v>3</v>
      </c>
      <c r="T868">
        <v>7</v>
      </c>
      <c r="U868">
        <v>0</v>
      </c>
      <c r="V868">
        <v>6</v>
      </c>
      <c r="W868" t="s">
        <v>51</v>
      </c>
      <c r="X868" s="1" t="d">
        <v>2014-05-17</v>
      </c>
      <c r="Z868" t="s">
        <v>45</v>
      </c>
      <c r="AA868" t="s">
        <v>40</v>
      </c>
      <c r="AB868">
        <v>1</v>
      </c>
      <c r="AC868">
        <v>2</v>
      </c>
      <c r="AD868" t="s">
        <v>41</v>
      </c>
      <c r="AE868" t="s">
        <v>62</v>
      </c>
      <c r="AF868" t="s">
        <v>43</v>
      </c>
    </row>
    <row r="869" spans="1:32" x14ac:dyDescent="0.25">
      <c r="A869">
        <v>46</v>
      </c>
      <c r="B869" t="s">
        <v>41</v>
      </c>
      <c r="C869" t="s">
        <v>33</v>
      </c>
      <c r="D869" t="s">
        <v>53</v>
      </c>
      <c r="E869">
        <v>2</v>
      </c>
      <c r="F869" t="s">
        <v>58</v>
      </c>
      <c r="G869">
        <v>1</v>
      </c>
      <c r="H869">
        <v>4</v>
      </c>
      <c r="I869" t="s">
        <v>66</v>
      </c>
      <c r="J869">
        <v>2</v>
      </c>
      <c r="K869" t="s">
        <v>50</v>
      </c>
      <c r="L869">
        <v>16872</v>
      </c>
      <c r="M869">
        <v>3</v>
      </c>
      <c r="N869" t="s">
        <v>32</v>
      </c>
      <c r="O869">
        <v>12</v>
      </c>
      <c r="P869">
        <v>3</v>
      </c>
      <c r="Q869">
        <v>1</v>
      </c>
      <c r="R869">
        <v>28</v>
      </c>
      <c r="S869">
        <v>2</v>
      </c>
      <c r="T869">
        <v>7</v>
      </c>
      <c r="U869">
        <v>7</v>
      </c>
      <c r="V869">
        <v>7</v>
      </c>
      <c r="W869" t="s">
        <v>56</v>
      </c>
      <c r="X869" s="1" t="d">
        <v>2014-04-21</v>
      </c>
      <c r="Z869" t="s">
        <v>59</v>
      </c>
      <c r="AA869" t="s">
        <v>40</v>
      </c>
      <c r="AB869">
        <v>2</v>
      </c>
      <c r="AC869">
        <v>0</v>
      </c>
      <c r="AD869" t="s">
        <v>32</v>
      </c>
      <c r="AE869" t="s">
        <v>60</v>
      </c>
      <c r="AF869" t="s">
        <v>57</v>
      </c>
    </row>
    <row r="870" spans="1:32" x14ac:dyDescent="0.25">
      <c r="A870">
        <v>35</v>
      </c>
      <c r="B870" t="s">
        <v>41</v>
      </c>
      <c r="C870" t="s">
        <v>33</v>
      </c>
      <c r="D870" t="s">
        <v>34</v>
      </c>
      <c r="E870">
        <v>22</v>
      </c>
      <c r="F870" t="s">
        <v>58</v>
      </c>
      <c r="G870">
        <v>4</v>
      </c>
      <c r="H870">
        <v>3</v>
      </c>
      <c r="I870" t="s">
        <v>66</v>
      </c>
      <c r="J870">
        <v>2</v>
      </c>
      <c r="K870" t="s">
        <v>55</v>
      </c>
      <c r="L870">
        <v>11996</v>
      </c>
      <c r="M870">
        <v>7</v>
      </c>
      <c r="N870" t="s">
        <v>41</v>
      </c>
      <c r="O870">
        <v>18</v>
      </c>
      <c r="P870">
        <v>3</v>
      </c>
      <c r="Q870">
        <v>1</v>
      </c>
      <c r="R870">
        <v>10</v>
      </c>
      <c r="S870">
        <v>6</v>
      </c>
      <c r="T870">
        <v>7</v>
      </c>
      <c r="U870">
        <v>6</v>
      </c>
      <c r="V870">
        <v>2</v>
      </c>
      <c r="W870" t="s">
        <v>38</v>
      </c>
      <c r="X870" s="1" t="d">
        <v>2014-03-27</v>
      </c>
      <c r="Z870" t="s">
        <v>63</v>
      </c>
      <c r="AA870" t="s">
        <v>40</v>
      </c>
      <c r="AB870">
        <v>5</v>
      </c>
      <c r="AC870">
        <v>0</v>
      </c>
      <c r="AD870" t="s">
        <v>41</v>
      </c>
      <c r="AE870" t="s">
        <v>60</v>
      </c>
      <c r="AF870" t="s">
        <v>57</v>
      </c>
    </row>
    <row r="871" spans="1:32" x14ac:dyDescent="0.25">
      <c r="A871">
        <v>49</v>
      </c>
      <c r="B871" t="s">
        <v>41</v>
      </c>
      <c r="C871" t="s">
        <v>33</v>
      </c>
      <c r="D871" t="s">
        <v>34</v>
      </c>
      <c r="E871">
        <v>1</v>
      </c>
      <c r="F871" t="s">
        <v>58</v>
      </c>
      <c r="G871">
        <v>2</v>
      </c>
      <c r="H871">
        <v>4</v>
      </c>
      <c r="I871" t="s">
        <v>69</v>
      </c>
      <c r="J871">
        <v>3</v>
      </c>
      <c r="K871" t="s">
        <v>37</v>
      </c>
      <c r="L871">
        <v>13964</v>
      </c>
      <c r="M871">
        <v>7</v>
      </c>
      <c r="N871" t="s">
        <v>32</v>
      </c>
      <c r="O871">
        <v>12</v>
      </c>
      <c r="P871">
        <v>3</v>
      </c>
      <c r="Q871">
        <v>0</v>
      </c>
      <c r="R871">
        <v>25</v>
      </c>
      <c r="S871">
        <v>2</v>
      </c>
      <c r="T871">
        <v>7</v>
      </c>
      <c r="U871">
        <v>0</v>
      </c>
      <c r="V871">
        <v>7</v>
      </c>
      <c r="W871" t="s">
        <v>51</v>
      </c>
      <c r="X871" s="1" t="d">
        <v>2014-03-10</v>
      </c>
      <c r="Z871" t="s">
        <v>59</v>
      </c>
      <c r="AA871" t="s">
        <v>46</v>
      </c>
      <c r="AB871">
        <v>5</v>
      </c>
      <c r="AC871">
        <v>1</v>
      </c>
      <c r="AD871" t="s">
        <v>32</v>
      </c>
      <c r="AE871" t="s">
        <v>62</v>
      </c>
      <c r="AF871" t="s">
        <v>43</v>
      </c>
    </row>
    <row r="872" spans="1:32" x14ac:dyDescent="0.25">
      <c r="A872">
        <v>31</v>
      </c>
      <c r="B872" t="s">
        <v>41</v>
      </c>
      <c r="C872" t="s">
        <v>33</v>
      </c>
      <c r="D872" t="s">
        <v>53</v>
      </c>
      <c r="E872">
        <v>7</v>
      </c>
      <c r="F872" t="s">
        <v>35</v>
      </c>
      <c r="G872">
        <v>3</v>
      </c>
      <c r="H872">
        <v>2</v>
      </c>
      <c r="I872" t="s">
        <v>64</v>
      </c>
      <c r="J872">
        <v>4</v>
      </c>
      <c r="K872" t="s">
        <v>55</v>
      </c>
      <c r="L872">
        <v>7547</v>
      </c>
      <c r="M872">
        <v>4</v>
      </c>
      <c r="N872" t="s">
        <v>41</v>
      </c>
      <c r="O872">
        <v>12</v>
      </c>
      <c r="P872">
        <v>3</v>
      </c>
      <c r="Q872">
        <v>3</v>
      </c>
      <c r="R872">
        <v>13</v>
      </c>
      <c r="S872">
        <v>3</v>
      </c>
      <c r="T872">
        <v>7</v>
      </c>
      <c r="U872">
        <v>1</v>
      </c>
      <c r="V872">
        <v>7</v>
      </c>
      <c r="W872" t="s">
        <v>51</v>
      </c>
      <c r="X872" s="1" t="d">
        <v>2014-03-29</v>
      </c>
      <c r="Z872" t="s">
        <v>63</v>
      </c>
      <c r="AA872" t="s">
        <v>40</v>
      </c>
      <c r="AB872">
        <v>0</v>
      </c>
      <c r="AC872">
        <v>2</v>
      </c>
      <c r="AD872" t="s">
        <v>32</v>
      </c>
      <c r="AE872" t="s">
        <v>60</v>
      </c>
      <c r="AF872" t="s">
        <v>57</v>
      </c>
    </row>
    <row r="873" spans="1:32" x14ac:dyDescent="0.25">
      <c r="A873">
        <v>32</v>
      </c>
      <c r="B873" t="s">
        <v>41</v>
      </c>
      <c r="C873" t="s">
        <v>33</v>
      </c>
      <c r="D873" t="s">
        <v>34</v>
      </c>
      <c r="E873">
        <v>2</v>
      </c>
      <c r="F873" t="s">
        <v>58</v>
      </c>
      <c r="G873">
        <v>4</v>
      </c>
      <c r="H873">
        <v>2</v>
      </c>
      <c r="I873" t="s">
        <v>44</v>
      </c>
      <c r="J873">
        <v>4</v>
      </c>
      <c r="K873" t="s">
        <v>37</v>
      </c>
      <c r="L873">
        <v>5055</v>
      </c>
      <c r="M873">
        <v>7</v>
      </c>
      <c r="N873" t="s">
        <v>41</v>
      </c>
      <c r="O873">
        <v>16</v>
      </c>
      <c r="P873">
        <v>3</v>
      </c>
      <c r="Q873">
        <v>0</v>
      </c>
      <c r="R873">
        <v>10</v>
      </c>
      <c r="S873">
        <v>0</v>
      </c>
      <c r="T873">
        <v>7</v>
      </c>
      <c r="U873">
        <v>0</v>
      </c>
      <c r="V873">
        <v>7</v>
      </c>
      <c r="W873" t="s">
        <v>65</v>
      </c>
      <c r="X873" s="1" t="d">
        <v>2014-01-28</v>
      </c>
      <c r="Z873" t="s">
        <v>52</v>
      </c>
      <c r="AA873" t="s">
        <v>46</v>
      </c>
      <c r="AB873">
        <v>1</v>
      </c>
      <c r="AC873">
        <v>1</v>
      </c>
      <c r="AD873" t="s">
        <v>41</v>
      </c>
      <c r="AE873" t="s">
        <v>60</v>
      </c>
      <c r="AF873" t="s">
        <v>48</v>
      </c>
    </row>
    <row r="874" spans="1:32" x14ac:dyDescent="0.25">
      <c r="A874">
        <v>33</v>
      </c>
      <c r="B874" t="s">
        <v>41</v>
      </c>
      <c r="C874" t="s">
        <v>61</v>
      </c>
      <c r="D874" t="s">
        <v>53</v>
      </c>
      <c r="E874">
        <v>10</v>
      </c>
      <c r="F874" t="s">
        <v>35</v>
      </c>
      <c r="G874">
        <v>2</v>
      </c>
      <c r="H874">
        <v>2</v>
      </c>
      <c r="I874" t="s">
        <v>64</v>
      </c>
      <c r="J874">
        <v>4</v>
      </c>
      <c r="K874" t="s">
        <v>37</v>
      </c>
      <c r="L874">
        <v>4682</v>
      </c>
      <c r="M874">
        <v>3</v>
      </c>
      <c r="N874" t="s">
        <v>41</v>
      </c>
      <c r="O874">
        <v>14</v>
      </c>
      <c r="P874">
        <v>3</v>
      </c>
      <c r="Q874">
        <v>0</v>
      </c>
      <c r="R874">
        <v>9</v>
      </c>
      <c r="S874">
        <v>6</v>
      </c>
      <c r="T874">
        <v>7</v>
      </c>
      <c r="U874">
        <v>0</v>
      </c>
      <c r="V874">
        <v>1</v>
      </c>
      <c r="W874" t="s">
        <v>56</v>
      </c>
      <c r="X874" s="1" t="d">
        <v>2014-03-26</v>
      </c>
      <c r="Z874" t="s">
        <v>45</v>
      </c>
      <c r="AA874" t="s">
        <v>40</v>
      </c>
      <c r="AB874">
        <v>5</v>
      </c>
      <c r="AC874">
        <v>0</v>
      </c>
      <c r="AD874" t="s">
        <v>32</v>
      </c>
      <c r="AE874" t="s">
        <v>62</v>
      </c>
      <c r="AF874" t="s">
        <v>43</v>
      </c>
    </row>
    <row r="875" spans="1:32" x14ac:dyDescent="0.25">
      <c r="A875">
        <v>29</v>
      </c>
      <c r="B875" t="s">
        <v>32</v>
      </c>
      <c r="C875" t="s">
        <v>33</v>
      </c>
      <c r="D875" t="s">
        <v>34</v>
      </c>
      <c r="E875">
        <v>8</v>
      </c>
      <c r="F875" t="s">
        <v>35</v>
      </c>
      <c r="G875">
        <v>1</v>
      </c>
      <c r="H875">
        <v>1</v>
      </c>
      <c r="I875" t="s">
        <v>36</v>
      </c>
      <c r="J875">
        <v>1</v>
      </c>
      <c r="K875" t="s">
        <v>50</v>
      </c>
      <c r="L875">
        <v>2119</v>
      </c>
      <c r="M875">
        <v>1</v>
      </c>
      <c r="N875" t="s">
        <v>32</v>
      </c>
      <c r="O875">
        <v>11</v>
      </c>
      <c r="P875">
        <v>3</v>
      </c>
      <c r="Q875">
        <v>0</v>
      </c>
      <c r="R875">
        <v>7</v>
      </c>
      <c r="S875">
        <v>4</v>
      </c>
      <c r="T875">
        <v>7</v>
      </c>
      <c r="U875">
        <v>0</v>
      </c>
      <c r="V875">
        <v>7</v>
      </c>
      <c r="W875" t="s">
        <v>38</v>
      </c>
      <c r="X875" s="1" t="d">
        <v>2014-03-19</v>
      </c>
      <c r="Z875" t="s">
        <v>52</v>
      </c>
      <c r="AA875" t="s">
        <v>46</v>
      </c>
      <c r="AB875">
        <v>0</v>
      </c>
      <c r="AC875">
        <v>0</v>
      </c>
      <c r="AD875" t="s">
        <v>32</v>
      </c>
      <c r="AE875" t="s">
        <v>62</v>
      </c>
      <c r="AF875" t="s">
        <v>57</v>
      </c>
    </row>
    <row r="876" spans="1:32" x14ac:dyDescent="0.25">
      <c r="A876">
        <v>29</v>
      </c>
      <c r="B876" t="s">
        <v>41</v>
      </c>
      <c r="C876" t="s">
        <v>33</v>
      </c>
      <c r="D876" t="s">
        <v>53</v>
      </c>
      <c r="E876">
        <v>10</v>
      </c>
      <c r="F876" t="s">
        <v>58</v>
      </c>
      <c r="G876">
        <v>2</v>
      </c>
      <c r="H876">
        <v>2</v>
      </c>
      <c r="I876" t="s">
        <v>64</v>
      </c>
      <c r="J876">
        <v>2</v>
      </c>
      <c r="K876" t="s">
        <v>55</v>
      </c>
      <c r="L876">
        <v>8268</v>
      </c>
      <c r="M876">
        <v>1</v>
      </c>
      <c r="N876" t="s">
        <v>32</v>
      </c>
      <c r="O876">
        <v>14</v>
      </c>
      <c r="P876">
        <v>3</v>
      </c>
      <c r="Q876">
        <v>2</v>
      </c>
      <c r="R876">
        <v>7</v>
      </c>
      <c r="S876">
        <v>2</v>
      </c>
      <c r="T876">
        <v>7</v>
      </c>
      <c r="U876">
        <v>1</v>
      </c>
      <c r="V876">
        <v>7</v>
      </c>
      <c r="W876" t="s">
        <v>65</v>
      </c>
      <c r="X876" s="1" t="d">
        <v>2014-05-23</v>
      </c>
      <c r="Z876" t="s">
        <v>59</v>
      </c>
      <c r="AA876" t="s">
        <v>40</v>
      </c>
      <c r="AB876">
        <v>5</v>
      </c>
      <c r="AC876">
        <v>2</v>
      </c>
      <c r="AD876" t="s">
        <v>32</v>
      </c>
      <c r="AE876" t="s">
        <v>62</v>
      </c>
      <c r="AF876" t="s">
        <v>48</v>
      </c>
    </row>
    <row r="877" spans="1:32" x14ac:dyDescent="0.25">
      <c r="A877">
        <v>37</v>
      </c>
      <c r="B877" t="s">
        <v>41</v>
      </c>
      <c r="C877" t="s">
        <v>33</v>
      </c>
      <c r="D877" t="s">
        <v>34</v>
      </c>
      <c r="E877">
        <v>6</v>
      </c>
      <c r="F877" t="s">
        <v>35</v>
      </c>
      <c r="G877">
        <v>4</v>
      </c>
      <c r="H877">
        <v>2</v>
      </c>
      <c r="I877" t="s">
        <v>44</v>
      </c>
      <c r="J877">
        <v>1</v>
      </c>
      <c r="K877" t="s">
        <v>55</v>
      </c>
      <c r="L877">
        <v>5974</v>
      </c>
      <c r="M877">
        <v>4</v>
      </c>
      <c r="N877" t="s">
        <v>32</v>
      </c>
      <c r="O877">
        <v>13</v>
      </c>
      <c r="P877">
        <v>3</v>
      </c>
      <c r="Q877">
        <v>2</v>
      </c>
      <c r="R877">
        <v>13</v>
      </c>
      <c r="S877">
        <v>2</v>
      </c>
      <c r="T877">
        <v>7</v>
      </c>
      <c r="U877">
        <v>6</v>
      </c>
      <c r="V877">
        <v>7</v>
      </c>
      <c r="W877" t="s">
        <v>38</v>
      </c>
      <c r="X877" s="1" t="d">
        <v>2014-04-17</v>
      </c>
      <c r="Z877" t="s">
        <v>45</v>
      </c>
      <c r="AA877" t="s">
        <v>46</v>
      </c>
      <c r="AB877">
        <v>3</v>
      </c>
      <c r="AC877">
        <v>0</v>
      </c>
      <c r="AD877" t="s">
        <v>32</v>
      </c>
      <c r="AE877" t="s">
        <v>62</v>
      </c>
      <c r="AF877" t="s">
        <v>48</v>
      </c>
    </row>
    <row r="878" spans="1:32" x14ac:dyDescent="0.25">
      <c r="A878">
        <v>40</v>
      </c>
      <c r="B878" t="s">
        <v>41</v>
      </c>
      <c r="C878" t="s">
        <v>33</v>
      </c>
      <c r="D878" t="s">
        <v>34</v>
      </c>
      <c r="E878">
        <v>10</v>
      </c>
      <c r="F878" t="s">
        <v>58</v>
      </c>
      <c r="G878">
        <v>4</v>
      </c>
      <c r="H878">
        <v>1</v>
      </c>
      <c r="I878" t="s">
        <v>36</v>
      </c>
      <c r="J878">
        <v>3</v>
      </c>
      <c r="K878" t="s">
        <v>50</v>
      </c>
      <c r="L878">
        <v>2213</v>
      </c>
      <c r="M878">
        <v>3</v>
      </c>
      <c r="N878" t="s">
        <v>32</v>
      </c>
      <c r="O878">
        <v>13</v>
      </c>
      <c r="P878">
        <v>3</v>
      </c>
      <c r="Q878">
        <v>1</v>
      </c>
      <c r="R878">
        <v>10</v>
      </c>
      <c r="S878">
        <v>3</v>
      </c>
      <c r="T878">
        <v>7</v>
      </c>
      <c r="U878">
        <v>1</v>
      </c>
      <c r="V878">
        <v>7</v>
      </c>
      <c r="W878" t="s">
        <v>65</v>
      </c>
      <c r="X878" s="1" t="d">
        <v>2014-05-11</v>
      </c>
      <c r="Z878" t="s">
        <v>39</v>
      </c>
      <c r="AA878" t="s">
        <v>46</v>
      </c>
      <c r="AB878">
        <v>5</v>
      </c>
      <c r="AC878">
        <v>2</v>
      </c>
      <c r="AD878" t="s">
        <v>41</v>
      </c>
      <c r="AE878" t="s">
        <v>62</v>
      </c>
      <c r="AF878" t="s">
        <v>57</v>
      </c>
    </row>
    <row r="879" spans="1:32" x14ac:dyDescent="0.25">
      <c r="A879">
        <v>28</v>
      </c>
      <c r="B879" t="s">
        <v>41</v>
      </c>
      <c r="C879" t="s">
        <v>33</v>
      </c>
      <c r="D879" t="s">
        <v>53</v>
      </c>
      <c r="E879">
        <v>9</v>
      </c>
      <c r="F879" t="s">
        <v>35</v>
      </c>
      <c r="G879">
        <v>3</v>
      </c>
      <c r="H879">
        <v>2</v>
      </c>
      <c r="I879" t="s">
        <v>64</v>
      </c>
      <c r="J879">
        <v>4</v>
      </c>
      <c r="K879" t="s">
        <v>37</v>
      </c>
      <c r="L879">
        <v>5253</v>
      </c>
      <c r="M879">
        <v>1</v>
      </c>
      <c r="N879" t="s">
        <v>41</v>
      </c>
      <c r="O879">
        <v>16</v>
      </c>
      <c r="P879">
        <v>3</v>
      </c>
      <c r="Q879">
        <v>0</v>
      </c>
      <c r="R879">
        <v>7</v>
      </c>
      <c r="S879">
        <v>1</v>
      </c>
      <c r="T879">
        <v>7</v>
      </c>
      <c r="U879">
        <v>0</v>
      </c>
      <c r="V879">
        <v>7</v>
      </c>
      <c r="W879" t="s">
        <v>38</v>
      </c>
      <c r="X879" s="1" t="d">
        <v>2014-03-07</v>
      </c>
      <c r="Z879" t="s">
        <v>39</v>
      </c>
      <c r="AA879" t="s">
        <v>40</v>
      </c>
      <c r="AB879">
        <v>4</v>
      </c>
      <c r="AC879">
        <v>0</v>
      </c>
      <c r="AD879" t="s">
        <v>41</v>
      </c>
      <c r="AE879" t="s">
        <v>47</v>
      </c>
      <c r="AF879" t="s">
        <v>57</v>
      </c>
    </row>
    <row r="880" spans="1:32" x14ac:dyDescent="0.25">
      <c r="A880">
        <v>51</v>
      </c>
      <c r="B880" t="s">
        <v>41</v>
      </c>
      <c r="C880" t="s">
        <v>33</v>
      </c>
      <c r="D880" t="s">
        <v>53</v>
      </c>
      <c r="E880">
        <v>14</v>
      </c>
      <c r="F880" t="s">
        <v>58</v>
      </c>
      <c r="G880">
        <v>3</v>
      </c>
      <c r="H880">
        <v>2</v>
      </c>
      <c r="I880" t="s">
        <v>64</v>
      </c>
      <c r="J880">
        <v>4</v>
      </c>
      <c r="K880" t="s">
        <v>50</v>
      </c>
      <c r="L880">
        <v>4936</v>
      </c>
      <c r="M880">
        <v>4</v>
      </c>
      <c r="N880" t="s">
        <v>41</v>
      </c>
      <c r="O880">
        <v>11</v>
      </c>
      <c r="P880">
        <v>3</v>
      </c>
      <c r="Q880">
        <v>1</v>
      </c>
      <c r="R880">
        <v>18</v>
      </c>
      <c r="S880">
        <v>2</v>
      </c>
      <c r="T880">
        <v>7</v>
      </c>
      <c r="U880">
        <v>0</v>
      </c>
      <c r="V880">
        <v>7</v>
      </c>
      <c r="W880" t="s">
        <v>56</v>
      </c>
      <c r="X880" s="1" t="d">
        <v>2014-06-23</v>
      </c>
      <c r="Z880" t="s">
        <v>52</v>
      </c>
      <c r="AA880" t="s">
        <v>46</v>
      </c>
      <c r="AB880">
        <v>4</v>
      </c>
      <c r="AC880">
        <v>1</v>
      </c>
      <c r="AD880" t="s">
        <v>32</v>
      </c>
      <c r="AE880" t="s">
        <v>60</v>
      </c>
      <c r="AF880" t="s">
        <v>57</v>
      </c>
    </row>
    <row r="881" spans="1:32" x14ac:dyDescent="0.25">
      <c r="A881">
        <v>56</v>
      </c>
      <c r="B881" t="s">
        <v>41</v>
      </c>
      <c r="C881" t="s">
        <v>61</v>
      </c>
      <c r="D881" t="s">
        <v>53</v>
      </c>
      <c r="E881">
        <v>6</v>
      </c>
      <c r="F881" t="s">
        <v>58</v>
      </c>
      <c r="G881">
        <v>4</v>
      </c>
      <c r="H881">
        <v>4</v>
      </c>
      <c r="I881" t="s">
        <v>64</v>
      </c>
      <c r="J881">
        <v>1</v>
      </c>
      <c r="K881" t="s">
        <v>50</v>
      </c>
      <c r="L881">
        <v>13212</v>
      </c>
      <c r="M881">
        <v>9</v>
      </c>
      <c r="N881" t="s">
        <v>41</v>
      </c>
      <c r="O881">
        <v>11</v>
      </c>
      <c r="P881">
        <v>3</v>
      </c>
      <c r="Q881">
        <v>3</v>
      </c>
      <c r="R881">
        <v>36</v>
      </c>
      <c r="S881">
        <v>0</v>
      </c>
      <c r="T881">
        <v>7</v>
      </c>
      <c r="U881">
        <v>7</v>
      </c>
      <c r="V881">
        <v>7</v>
      </c>
      <c r="W881" t="s">
        <v>38</v>
      </c>
      <c r="X881" s="1" t="d">
        <v>2014-04-07</v>
      </c>
      <c r="Z881" t="s">
        <v>63</v>
      </c>
      <c r="AA881" t="s">
        <v>40</v>
      </c>
      <c r="AB881">
        <v>5</v>
      </c>
      <c r="AC881">
        <v>1</v>
      </c>
      <c r="AD881" t="s">
        <v>32</v>
      </c>
      <c r="AE881" t="s">
        <v>62</v>
      </c>
      <c r="AF881" t="s">
        <v>57</v>
      </c>
    </row>
    <row r="882" spans="1:32" x14ac:dyDescent="0.25">
      <c r="A882">
        <v>34</v>
      </c>
      <c r="B882" t="s">
        <v>41</v>
      </c>
      <c r="C882" t="s">
        <v>33</v>
      </c>
      <c r="D882" t="s">
        <v>34</v>
      </c>
      <c r="E882">
        <v>2</v>
      </c>
      <c r="F882" t="s">
        <v>35</v>
      </c>
      <c r="G882">
        <v>2</v>
      </c>
      <c r="H882">
        <v>1</v>
      </c>
      <c r="I882" t="s">
        <v>44</v>
      </c>
      <c r="J882">
        <v>3</v>
      </c>
      <c r="K882" t="s">
        <v>55</v>
      </c>
      <c r="L882">
        <v>2768</v>
      </c>
      <c r="M882">
        <v>3</v>
      </c>
      <c r="N882" t="s">
        <v>41</v>
      </c>
      <c r="O882">
        <v>12</v>
      </c>
      <c r="P882">
        <v>3</v>
      </c>
      <c r="Q882">
        <v>1</v>
      </c>
      <c r="R882">
        <v>14</v>
      </c>
      <c r="S882">
        <v>3</v>
      </c>
      <c r="T882">
        <v>7</v>
      </c>
      <c r="U882">
        <v>5</v>
      </c>
      <c r="V882">
        <v>7</v>
      </c>
      <c r="W882" t="s">
        <v>65</v>
      </c>
      <c r="X882" s="1" t="d">
        <v>2014-04-19</v>
      </c>
      <c r="Z882" t="s">
        <v>39</v>
      </c>
      <c r="AA882" t="s">
        <v>46</v>
      </c>
      <c r="AB882">
        <v>2</v>
      </c>
      <c r="AC882">
        <v>0</v>
      </c>
      <c r="AD882" t="s">
        <v>32</v>
      </c>
      <c r="AE882" t="s">
        <v>47</v>
      </c>
      <c r="AF882" t="s">
        <v>48</v>
      </c>
    </row>
    <row r="883" spans="1:32" x14ac:dyDescent="0.25">
      <c r="A883">
        <v>33</v>
      </c>
      <c r="B883" t="s">
        <v>32</v>
      </c>
      <c r="C883" t="s">
        <v>33</v>
      </c>
      <c r="D883" t="s">
        <v>34</v>
      </c>
      <c r="E883">
        <v>15</v>
      </c>
      <c r="F883" t="s">
        <v>35</v>
      </c>
      <c r="G883">
        <v>3</v>
      </c>
      <c r="H883">
        <v>3</v>
      </c>
      <c r="I883" t="s">
        <v>66</v>
      </c>
      <c r="J883">
        <v>3</v>
      </c>
      <c r="K883" t="s">
        <v>50</v>
      </c>
      <c r="L883">
        <v>13610</v>
      </c>
      <c r="M883">
        <v>7</v>
      </c>
      <c r="N883" t="s">
        <v>32</v>
      </c>
      <c r="O883">
        <v>12</v>
      </c>
      <c r="P883">
        <v>3</v>
      </c>
      <c r="Q883">
        <v>0</v>
      </c>
      <c r="R883">
        <v>15</v>
      </c>
      <c r="S883">
        <v>2</v>
      </c>
      <c r="T883">
        <v>7</v>
      </c>
      <c r="U883">
        <v>7</v>
      </c>
      <c r="V883">
        <v>7</v>
      </c>
      <c r="W883" t="s">
        <v>65</v>
      </c>
      <c r="X883" s="1" t="d">
        <v>2014-05-30</v>
      </c>
      <c r="Z883" t="s">
        <v>52</v>
      </c>
      <c r="AA883" t="s">
        <v>40</v>
      </c>
      <c r="AB883">
        <v>2</v>
      </c>
      <c r="AC883">
        <v>1</v>
      </c>
      <c r="AD883" t="s">
        <v>41</v>
      </c>
      <c r="AE883" t="s">
        <v>42</v>
      </c>
      <c r="AF883" t="s">
        <v>48</v>
      </c>
    </row>
    <row r="884" spans="1:32" x14ac:dyDescent="0.25">
      <c r="A884">
        <v>26</v>
      </c>
      <c r="B884" t="s">
        <v>32</v>
      </c>
      <c r="C884" t="s">
        <v>61</v>
      </c>
      <c r="D884" t="s">
        <v>70</v>
      </c>
      <c r="E884">
        <v>17</v>
      </c>
      <c r="F884" t="s">
        <v>58</v>
      </c>
      <c r="G884">
        <v>3</v>
      </c>
      <c r="H884">
        <v>1</v>
      </c>
      <c r="I884" t="s">
        <v>70</v>
      </c>
      <c r="J884">
        <v>3</v>
      </c>
      <c r="K884" t="s">
        <v>55</v>
      </c>
      <c r="L884">
        <v>2741</v>
      </c>
      <c r="M884">
        <v>0</v>
      </c>
      <c r="N884" t="s">
        <v>32</v>
      </c>
      <c r="O884">
        <v>11</v>
      </c>
      <c r="P884">
        <v>3</v>
      </c>
      <c r="Q884">
        <v>1</v>
      </c>
      <c r="R884">
        <v>8</v>
      </c>
      <c r="S884">
        <v>2</v>
      </c>
      <c r="T884">
        <v>7</v>
      </c>
      <c r="U884">
        <v>1</v>
      </c>
      <c r="V884">
        <v>0</v>
      </c>
      <c r="W884" t="s">
        <v>38</v>
      </c>
      <c r="X884" s="1" t="d">
        <v>2014-02-03</v>
      </c>
      <c r="Z884" t="s">
        <v>52</v>
      </c>
      <c r="AA884" t="s">
        <v>46</v>
      </c>
      <c r="AB884">
        <v>4</v>
      </c>
      <c r="AC884">
        <v>3</v>
      </c>
      <c r="AD884" t="s">
        <v>32</v>
      </c>
      <c r="AE884" t="s">
        <v>42</v>
      </c>
      <c r="AF884" t="s">
        <v>43</v>
      </c>
    </row>
    <row r="885" spans="1:32" x14ac:dyDescent="0.25">
      <c r="A885">
        <v>25</v>
      </c>
      <c r="B885" t="s">
        <v>41</v>
      </c>
      <c r="C885" t="s">
        <v>33</v>
      </c>
      <c r="D885" t="s">
        <v>53</v>
      </c>
      <c r="E885">
        <v>13</v>
      </c>
      <c r="F885" t="s">
        <v>35</v>
      </c>
      <c r="G885">
        <v>3</v>
      </c>
      <c r="H885">
        <v>1</v>
      </c>
      <c r="I885" t="s">
        <v>54</v>
      </c>
      <c r="J885">
        <v>3</v>
      </c>
      <c r="K885" t="s">
        <v>50</v>
      </c>
      <c r="L885">
        <v>2096</v>
      </c>
      <c r="M885">
        <v>1</v>
      </c>
      <c r="N885" t="s">
        <v>41</v>
      </c>
      <c r="O885">
        <v>11</v>
      </c>
      <c r="P885">
        <v>3</v>
      </c>
      <c r="Q885">
        <v>0</v>
      </c>
      <c r="R885">
        <v>7</v>
      </c>
      <c r="S885">
        <v>1</v>
      </c>
      <c r="T885">
        <v>7</v>
      </c>
      <c r="U885">
        <v>0</v>
      </c>
      <c r="V885">
        <v>6</v>
      </c>
      <c r="W885" t="s">
        <v>56</v>
      </c>
      <c r="X885" s="1" t="d">
        <v>2014-02-18</v>
      </c>
      <c r="Z885" t="s">
        <v>45</v>
      </c>
      <c r="AA885" t="s">
        <v>40</v>
      </c>
      <c r="AB885">
        <v>1</v>
      </c>
      <c r="AC885">
        <v>1</v>
      </c>
      <c r="AD885" t="s">
        <v>41</v>
      </c>
      <c r="AE885" t="s">
        <v>42</v>
      </c>
      <c r="AF885" t="s">
        <v>43</v>
      </c>
    </row>
    <row r="886" spans="1:32" x14ac:dyDescent="0.25">
      <c r="A886">
        <v>31</v>
      </c>
      <c r="B886" t="s">
        <v>41</v>
      </c>
      <c r="C886" t="s">
        <v>33</v>
      </c>
      <c r="D886" t="s">
        <v>53</v>
      </c>
      <c r="E886">
        <v>6</v>
      </c>
      <c r="F886" t="s">
        <v>35</v>
      </c>
      <c r="G886">
        <v>4</v>
      </c>
      <c r="H886">
        <v>2</v>
      </c>
      <c r="I886" t="s">
        <v>64</v>
      </c>
      <c r="J886">
        <v>4</v>
      </c>
      <c r="K886" t="s">
        <v>55</v>
      </c>
      <c r="L886">
        <v>5460</v>
      </c>
      <c r="M886">
        <v>4</v>
      </c>
      <c r="N886" t="s">
        <v>41</v>
      </c>
      <c r="O886">
        <v>22</v>
      </c>
      <c r="P886">
        <v>4</v>
      </c>
      <c r="Q886">
        <v>2</v>
      </c>
      <c r="R886">
        <v>13</v>
      </c>
      <c r="S886">
        <v>4</v>
      </c>
      <c r="T886">
        <v>7</v>
      </c>
      <c r="U886">
        <v>5</v>
      </c>
      <c r="V886">
        <v>7</v>
      </c>
      <c r="W886" t="s">
        <v>56</v>
      </c>
      <c r="X886" s="1" t="d">
        <v>2014-01-14</v>
      </c>
      <c r="Z886" t="s">
        <v>45</v>
      </c>
      <c r="AA886" t="s">
        <v>46</v>
      </c>
      <c r="AB886">
        <v>4</v>
      </c>
      <c r="AC886">
        <v>1</v>
      </c>
      <c r="AD886" t="s">
        <v>41</v>
      </c>
      <c r="AE886" t="s">
        <v>47</v>
      </c>
      <c r="AF886" t="s">
        <v>48</v>
      </c>
    </row>
    <row r="887" spans="1:32" x14ac:dyDescent="0.25">
      <c r="A887">
        <v>38</v>
      </c>
      <c r="B887" t="s">
        <v>41</v>
      </c>
      <c r="C887" t="s">
        <v>33</v>
      </c>
      <c r="D887" t="s">
        <v>53</v>
      </c>
      <c r="E887">
        <v>7</v>
      </c>
      <c r="F887" t="s">
        <v>58</v>
      </c>
      <c r="G887">
        <v>2</v>
      </c>
      <c r="H887">
        <v>2</v>
      </c>
      <c r="I887" t="s">
        <v>64</v>
      </c>
      <c r="J887">
        <v>4</v>
      </c>
      <c r="K887" t="s">
        <v>37</v>
      </c>
      <c r="L887">
        <v>4028</v>
      </c>
      <c r="M887">
        <v>0</v>
      </c>
      <c r="N887" t="s">
        <v>41</v>
      </c>
      <c r="O887">
        <v>20</v>
      </c>
      <c r="P887">
        <v>4</v>
      </c>
      <c r="Q887">
        <v>0</v>
      </c>
      <c r="R887">
        <v>8</v>
      </c>
      <c r="S887">
        <v>2</v>
      </c>
      <c r="T887">
        <v>7</v>
      </c>
      <c r="U887">
        <v>0</v>
      </c>
      <c r="V887">
        <v>5</v>
      </c>
      <c r="W887" t="s">
        <v>56</v>
      </c>
      <c r="X887" s="1" t="d">
        <v>2014-02-23</v>
      </c>
      <c r="Z887" t="s">
        <v>45</v>
      </c>
      <c r="AA887" t="s">
        <v>40</v>
      </c>
      <c r="AB887">
        <v>1</v>
      </c>
      <c r="AC887">
        <v>2</v>
      </c>
      <c r="AD887" t="s">
        <v>41</v>
      </c>
      <c r="AE887" t="s">
        <v>47</v>
      </c>
      <c r="AF887" t="s">
        <v>57</v>
      </c>
    </row>
    <row r="888" spans="1:32" x14ac:dyDescent="0.25">
      <c r="A888">
        <v>32</v>
      </c>
      <c r="B888" t="s">
        <v>41</v>
      </c>
      <c r="C888" t="s">
        <v>33</v>
      </c>
      <c r="D888" t="s">
        <v>34</v>
      </c>
      <c r="E888">
        <v>3</v>
      </c>
      <c r="F888" t="s">
        <v>58</v>
      </c>
      <c r="G888">
        <v>3</v>
      </c>
      <c r="H888">
        <v>3</v>
      </c>
      <c r="I888" t="s">
        <v>49</v>
      </c>
      <c r="J888">
        <v>4</v>
      </c>
      <c r="K888" t="s">
        <v>37</v>
      </c>
      <c r="L888">
        <v>11159</v>
      </c>
      <c r="M888">
        <v>3</v>
      </c>
      <c r="N888" t="s">
        <v>41</v>
      </c>
      <c r="O888">
        <v>15</v>
      </c>
      <c r="P888">
        <v>3</v>
      </c>
      <c r="Q888">
        <v>0</v>
      </c>
      <c r="R888">
        <v>10</v>
      </c>
      <c r="S888">
        <v>6</v>
      </c>
      <c r="T888">
        <v>7</v>
      </c>
      <c r="U888">
        <v>7</v>
      </c>
      <c r="V888">
        <v>7</v>
      </c>
      <c r="W888" t="s">
        <v>38</v>
      </c>
      <c r="X888" s="1" t="d">
        <v>2014-02-19</v>
      </c>
      <c r="Z888" t="s">
        <v>52</v>
      </c>
      <c r="AA888" t="s">
        <v>46</v>
      </c>
      <c r="AB888">
        <v>4</v>
      </c>
      <c r="AC888">
        <v>1</v>
      </c>
      <c r="AD888" t="s">
        <v>32</v>
      </c>
      <c r="AE888" t="s">
        <v>62</v>
      </c>
      <c r="AF888" t="s">
        <v>57</v>
      </c>
    </row>
    <row r="889" spans="1:32" x14ac:dyDescent="0.25">
      <c r="A889">
        <v>47</v>
      </c>
      <c r="B889" t="s">
        <v>41</v>
      </c>
      <c r="C889" t="s">
        <v>33</v>
      </c>
      <c r="D889" t="s">
        <v>53</v>
      </c>
      <c r="E889">
        <v>14</v>
      </c>
      <c r="F889" t="s">
        <v>35</v>
      </c>
      <c r="G889">
        <v>3</v>
      </c>
      <c r="H889">
        <v>2</v>
      </c>
      <c r="I889" t="s">
        <v>64</v>
      </c>
      <c r="J889">
        <v>1</v>
      </c>
      <c r="K889" t="s">
        <v>37</v>
      </c>
      <c r="L889">
        <v>4960</v>
      </c>
      <c r="M889">
        <v>2</v>
      </c>
      <c r="N889" t="s">
        <v>41</v>
      </c>
      <c r="O889">
        <v>12</v>
      </c>
      <c r="P889">
        <v>3</v>
      </c>
      <c r="Q889">
        <v>0</v>
      </c>
      <c r="R889">
        <v>20</v>
      </c>
      <c r="S889">
        <v>2</v>
      </c>
      <c r="T889">
        <v>7</v>
      </c>
      <c r="U889">
        <v>1</v>
      </c>
      <c r="V889">
        <v>7</v>
      </c>
      <c r="W889" t="s">
        <v>51</v>
      </c>
      <c r="X889" s="1" t="d">
        <v>2014-06-13</v>
      </c>
      <c r="Z889" t="s">
        <v>39</v>
      </c>
      <c r="AA889" t="s">
        <v>46</v>
      </c>
      <c r="AB889">
        <v>5</v>
      </c>
      <c r="AC889">
        <v>0</v>
      </c>
      <c r="AD889" t="s">
        <v>41</v>
      </c>
      <c r="AE889" t="s">
        <v>47</v>
      </c>
      <c r="AF889" t="s">
        <v>48</v>
      </c>
    </row>
    <row r="890" spans="1:32" x14ac:dyDescent="0.25">
      <c r="A890">
        <v>28</v>
      </c>
      <c r="B890" t="s">
        <v>32</v>
      </c>
      <c r="C890" t="s">
        <v>33</v>
      </c>
      <c r="D890" t="s">
        <v>34</v>
      </c>
      <c r="E890">
        <v>1</v>
      </c>
      <c r="F890" t="s">
        <v>58</v>
      </c>
      <c r="G890">
        <v>1</v>
      </c>
      <c r="H890">
        <v>1</v>
      </c>
      <c r="I890" t="s">
        <v>44</v>
      </c>
      <c r="J890">
        <v>2</v>
      </c>
      <c r="K890" t="s">
        <v>37</v>
      </c>
      <c r="L890">
        <v>2216</v>
      </c>
      <c r="M890">
        <v>7</v>
      </c>
      <c r="N890" t="s">
        <v>32</v>
      </c>
      <c r="O890">
        <v>13</v>
      </c>
      <c r="P890">
        <v>3</v>
      </c>
      <c r="Q890">
        <v>0</v>
      </c>
      <c r="R890">
        <v>10</v>
      </c>
      <c r="S890">
        <v>4</v>
      </c>
      <c r="T890">
        <v>7</v>
      </c>
      <c r="U890">
        <v>3</v>
      </c>
      <c r="V890">
        <v>7</v>
      </c>
      <c r="W890" t="s">
        <v>65</v>
      </c>
      <c r="X890" s="1" t="d">
        <v>2014-06-11</v>
      </c>
      <c r="Z890" t="s">
        <v>39</v>
      </c>
      <c r="AA890" t="s">
        <v>40</v>
      </c>
      <c r="AB890">
        <v>0</v>
      </c>
      <c r="AC890">
        <v>0</v>
      </c>
      <c r="AD890" t="s">
        <v>32</v>
      </c>
      <c r="AE890" t="s">
        <v>60</v>
      </c>
      <c r="AF890" t="s">
        <v>57</v>
      </c>
    </row>
    <row r="891" spans="1:32" x14ac:dyDescent="0.25">
      <c r="A891">
        <v>27</v>
      </c>
      <c r="B891" t="s">
        <v>41</v>
      </c>
      <c r="C891" t="s">
        <v>33</v>
      </c>
      <c r="D891" t="s">
        <v>34</v>
      </c>
      <c r="E891">
        <v>7</v>
      </c>
      <c r="F891" t="s">
        <v>58</v>
      </c>
      <c r="G891">
        <v>2</v>
      </c>
      <c r="H891">
        <v>2</v>
      </c>
      <c r="I891" t="s">
        <v>69</v>
      </c>
      <c r="J891">
        <v>1</v>
      </c>
      <c r="K891" t="s">
        <v>37</v>
      </c>
      <c r="L891">
        <v>6811</v>
      </c>
      <c r="M891">
        <v>8</v>
      </c>
      <c r="N891" t="s">
        <v>41</v>
      </c>
      <c r="O891">
        <v>19</v>
      </c>
      <c r="P891">
        <v>3</v>
      </c>
      <c r="Q891">
        <v>0</v>
      </c>
      <c r="R891">
        <v>9</v>
      </c>
      <c r="S891">
        <v>2</v>
      </c>
      <c r="T891">
        <v>7</v>
      </c>
      <c r="U891">
        <v>0</v>
      </c>
      <c r="V891">
        <v>7</v>
      </c>
      <c r="W891" t="s">
        <v>56</v>
      </c>
      <c r="X891" s="1" t="d">
        <v>2014-02-07</v>
      </c>
      <c r="Z891" t="s">
        <v>39</v>
      </c>
      <c r="AA891" t="s">
        <v>46</v>
      </c>
      <c r="AB891">
        <v>3</v>
      </c>
      <c r="AC891">
        <v>2</v>
      </c>
      <c r="AD891" t="s">
        <v>41</v>
      </c>
      <c r="AE891" t="s">
        <v>62</v>
      </c>
      <c r="AF891" t="s">
        <v>57</v>
      </c>
    </row>
    <row r="892" spans="1:32" x14ac:dyDescent="0.25">
      <c r="A892">
        <v>47</v>
      </c>
      <c r="B892" t="s">
        <v>41</v>
      </c>
      <c r="C892" t="s">
        <v>33</v>
      </c>
      <c r="D892" t="s">
        <v>53</v>
      </c>
      <c r="E892">
        <v>2</v>
      </c>
      <c r="F892" t="s">
        <v>58</v>
      </c>
      <c r="G892">
        <v>3</v>
      </c>
      <c r="H892">
        <v>2</v>
      </c>
      <c r="I892" t="s">
        <v>64</v>
      </c>
      <c r="J892">
        <v>4</v>
      </c>
      <c r="K892" t="s">
        <v>50</v>
      </c>
      <c r="L892">
        <v>4537</v>
      </c>
      <c r="M892">
        <v>0</v>
      </c>
      <c r="N892" t="s">
        <v>32</v>
      </c>
      <c r="O892">
        <v>22</v>
      </c>
      <c r="P892">
        <v>4</v>
      </c>
      <c r="Q892">
        <v>1</v>
      </c>
      <c r="R892">
        <v>8</v>
      </c>
      <c r="S892">
        <v>2</v>
      </c>
      <c r="T892">
        <v>7</v>
      </c>
      <c r="U892">
        <v>7</v>
      </c>
      <c r="V892">
        <v>7</v>
      </c>
      <c r="W892" t="s">
        <v>65</v>
      </c>
      <c r="X892" s="1" t="d">
        <v>2014-01-13</v>
      </c>
      <c r="Z892" t="s">
        <v>45</v>
      </c>
      <c r="AA892" t="s">
        <v>46</v>
      </c>
      <c r="AB892">
        <v>2</v>
      </c>
      <c r="AC892">
        <v>0</v>
      </c>
      <c r="AD892" t="s">
        <v>32</v>
      </c>
      <c r="AE892" t="s">
        <v>42</v>
      </c>
      <c r="AF892" t="s">
        <v>48</v>
      </c>
    </row>
    <row r="893" spans="1:32" x14ac:dyDescent="0.25">
      <c r="A893">
        <v>41</v>
      </c>
      <c r="B893" t="s">
        <v>32</v>
      </c>
      <c r="C893" t="s">
        <v>33</v>
      </c>
      <c r="D893" t="s">
        <v>34</v>
      </c>
      <c r="E893">
        <v>2</v>
      </c>
      <c r="F893" t="s">
        <v>58</v>
      </c>
      <c r="G893">
        <v>1</v>
      </c>
      <c r="H893">
        <v>1</v>
      </c>
      <c r="I893" t="s">
        <v>36</v>
      </c>
      <c r="J893">
        <v>4</v>
      </c>
      <c r="K893" t="s">
        <v>55</v>
      </c>
      <c r="L893">
        <v>2778</v>
      </c>
      <c r="M893">
        <v>4</v>
      </c>
      <c r="N893" t="s">
        <v>32</v>
      </c>
      <c r="O893">
        <v>13</v>
      </c>
      <c r="P893">
        <v>3</v>
      </c>
      <c r="Q893">
        <v>1</v>
      </c>
      <c r="R893">
        <v>10</v>
      </c>
      <c r="S893">
        <v>1</v>
      </c>
      <c r="T893">
        <v>7</v>
      </c>
      <c r="U893">
        <v>1</v>
      </c>
      <c r="V893">
        <v>0</v>
      </c>
      <c r="W893" t="s">
        <v>38</v>
      </c>
      <c r="X893" s="1" t="d">
        <v>2014-02-24</v>
      </c>
      <c r="Z893" t="s">
        <v>52</v>
      </c>
      <c r="AA893" t="s">
        <v>40</v>
      </c>
      <c r="AB893">
        <v>0</v>
      </c>
      <c r="AC893">
        <v>2</v>
      </c>
      <c r="AD893" t="s">
        <v>32</v>
      </c>
      <c r="AE893" t="s">
        <v>62</v>
      </c>
      <c r="AF893" t="s">
        <v>57</v>
      </c>
    </row>
    <row r="894" spans="1:32" x14ac:dyDescent="0.25">
      <c r="A894">
        <v>31</v>
      </c>
      <c r="B894" t="s">
        <v>41</v>
      </c>
      <c r="C894" t="s">
        <v>33</v>
      </c>
      <c r="D894" t="s">
        <v>53</v>
      </c>
      <c r="E894">
        <v>7</v>
      </c>
      <c r="F894" t="s">
        <v>35</v>
      </c>
      <c r="G894">
        <v>2</v>
      </c>
      <c r="H894">
        <v>1</v>
      </c>
      <c r="I894" t="s">
        <v>54</v>
      </c>
      <c r="J894">
        <v>3</v>
      </c>
      <c r="K894" t="s">
        <v>50</v>
      </c>
      <c r="L894">
        <v>2329</v>
      </c>
      <c r="M894">
        <v>3</v>
      </c>
      <c r="N894" t="s">
        <v>41</v>
      </c>
      <c r="O894">
        <v>15</v>
      </c>
      <c r="P894">
        <v>3</v>
      </c>
      <c r="Q894">
        <v>0</v>
      </c>
      <c r="R894">
        <v>13</v>
      </c>
      <c r="S894">
        <v>2</v>
      </c>
      <c r="T894">
        <v>7</v>
      </c>
      <c r="U894">
        <v>5</v>
      </c>
      <c r="V894">
        <v>2</v>
      </c>
      <c r="W894" t="s">
        <v>65</v>
      </c>
      <c r="X894" s="1" t="d">
        <v>2014-05-04</v>
      </c>
      <c r="Z894" t="s">
        <v>52</v>
      </c>
      <c r="AA894" t="s">
        <v>40</v>
      </c>
      <c r="AB894">
        <v>3</v>
      </c>
      <c r="AC894">
        <v>0</v>
      </c>
      <c r="AD894" t="s">
        <v>41</v>
      </c>
      <c r="AE894" t="s">
        <v>62</v>
      </c>
      <c r="AF894" t="s">
        <v>57</v>
      </c>
    </row>
    <row r="895" spans="1:32" x14ac:dyDescent="0.25">
      <c r="A895">
        <v>26</v>
      </c>
      <c r="B895" t="s">
        <v>41</v>
      </c>
      <c r="C895" t="s">
        <v>61</v>
      </c>
      <c r="D895" t="s">
        <v>53</v>
      </c>
      <c r="E895">
        <v>1</v>
      </c>
      <c r="F895" t="s">
        <v>35</v>
      </c>
      <c r="G895">
        <v>2</v>
      </c>
      <c r="H895">
        <v>2</v>
      </c>
      <c r="I895" t="s">
        <v>64</v>
      </c>
      <c r="J895">
        <v>1</v>
      </c>
      <c r="K895" t="s">
        <v>37</v>
      </c>
      <c r="L895">
        <v>4294</v>
      </c>
      <c r="M895">
        <v>1</v>
      </c>
      <c r="N895" t="s">
        <v>41</v>
      </c>
      <c r="O895">
        <v>12</v>
      </c>
      <c r="P895">
        <v>3</v>
      </c>
      <c r="Q895">
        <v>0</v>
      </c>
      <c r="R895">
        <v>7</v>
      </c>
      <c r="S895">
        <v>2</v>
      </c>
      <c r="T895">
        <v>7</v>
      </c>
      <c r="U895">
        <v>0</v>
      </c>
      <c r="V895">
        <v>7</v>
      </c>
      <c r="W895" t="s">
        <v>56</v>
      </c>
      <c r="X895" s="1" t="d">
        <v>2014-06-14</v>
      </c>
      <c r="Z895" t="s">
        <v>59</v>
      </c>
      <c r="AA895" t="s">
        <v>46</v>
      </c>
      <c r="AB895">
        <v>4</v>
      </c>
      <c r="AC895">
        <v>2</v>
      </c>
      <c r="AD895" t="s">
        <v>41</v>
      </c>
      <c r="AE895" t="s">
        <v>47</v>
      </c>
      <c r="AF895" t="s">
        <v>48</v>
      </c>
    </row>
    <row r="896" spans="1:32" x14ac:dyDescent="0.25">
      <c r="A896">
        <v>36</v>
      </c>
      <c r="B896" t="s">
        <v>41</v>
      </c>
      <c r="C896" t="s">
        <v>68</v>
      </c>
      <c r="D896" t="s">
        <v>53</v>
      </c>
      <c r="E896">
        <v>8</v>
      </c>
      <c r="F896" t="s">
        <v>35</v>
      </c>
      <c r="G896">
        <v>3</v>
      </c>
      <c r="H896">
        <v>2</v>
      </c>
      <c r="I896" t="s">
        <v>64</v>
      </c>
      <c r="J896">
        <v>4</v>
      </c>
      <c r="K896" t="s">
        <v>55</v>
      </c>
      <c r="L896">
        <v>5079</v>
      </c>
      <c r="M896">
        <v>4</v>
      </c>
      <c r="N896" t="s">
        <v>41</v>
      </c>
      <c r="O896">
        <v>13</v>
      </c>
      <c r="P896">
        <v>3</v>
      </c>
      <c r="Q896">
        <v>2</v>
      </c>
      <c r="R896">
        <v>12</v>
      </c>
      <c r="S896">
        <v>3</v>
      </c>
      <c r="T896">
        <v>7</v>
      </c>
      <c r="U896">
        <v>0</v>
      </c>
      <c r="V896">
        <v>7</v>
      </c>
      <c r="W896" t="s">
        <v>65</v>
      </c>
      <c r="X896" s="1" t="d">
        <v>2014-05-15</v>
      </c>
      <c r="Z896" t="s">
        <v>39</v>
      </c>
      <c r="AA896" t="s">
        <v>40</v>
      </c>
      <c r="AB896">
        <v>1</v>
      </c>
      <c r="AC896">
        <v>2</v>
      </c>
      <c r="AD896" t="s">
        <v>32</v>
      </c>
      <c r="AE896" t="s">
        <v>42</v>
      </c>
      <c r="AF896" t="s">
        <v>57</v>
      </c>
    </row>
    <row r="897" spans="1:32" x14ac:dyDescent="0.25">
      <c r="A897">
        <v>40</v>
      </c>
      <c r="B897" t="s">
        <v>41</v>
      </c>
      <c r="C897" t="s">
        <v>33</v>
      </c>
      <c r="D897" t="s">
        <v>53</v>
      </c>
      <c r="E897">
        <v>26</v>
      </c>
      <c r="F897" t="s">
        <v>35</v>
      </c>
      <c r="G897">
        <v>3</v>
      </c>
      <c r="H897">
        <v>2</v>
      </c>
      <c r="I897" t="s">
        <v>64</v>
      </c>
      <c r="J897">
        <v>1</v>
      </c>
      <c r="K897" t="s">
        <v>50</v>
      </c>
      <c r="L897">
        <v>8396</v>
      </c>
      <c r="M897">
        <v>1</v>
      </c>
      <c r="N897" t="s">
        <v>41</v>
      </c>
      <c r="O897">
        <v>14</v>
      </c>
      <c r="P897">
        <v>3</v>
      </c>
      <c r="Q897">
        <v>1</v>
      </c>
      <c r="R897">
        <v>8</v>
      </c>
      <c r="S897">
        <v>3</v>
      </c>
      <c r="T897">
        <v>7</v>
      </c>
      <c r="U897">
        <v>7</v>
      </c>
      <c r="V897">
        <v>5</v>
      </c>
      <c r="W897" t="s">
        <v>51</v>
      </c>
      <c r="X897" s="1" t="d">
        <v>2014-04-27</v>
      </c>
      <c r="Z897" t="s">
        <v>52</v>
      </c>
      <c r="AA897" t="s">
        <v>46</v>
      </c>
      <c r="AB897">
        <v>0</v>
      </c>
      <c r="AC897">
        <v>3</v>
      </c>
      <c r="AD897" t="s">
        <v>41</v>
      </c>
      <c r="AE897" t="s">
        <v>62</v>
      </c>
      <c r="AF897" t="s">
        <v>57</v>
      </c>
    </row>
    <row r="898" spans="1:32" x14ac:dyDescent="0.25">
      <c r="A898">
        <v>25</v>
      </c>
      <c r="B898" t="s">
        <v>32</v>
      </c>
      <c r="C898" t="s">
        <v>33</v>
      </c>
      <c r="D898" t="s">
        <v>34</v>
      </c>
      <c r="E898">
        <v>4</v>
      </c>
      <c r="F898" t="s">
        <v>35</v>
      </c>
      <c r="G898">
        <v>3</v>
      </c>
      <c r="H898">
        <v>1</v>
      </c>
      <c r="I898" t="s">
        <v>36</v>
      </c>
      <c r="J898">
        <v>4</v>
      </c>
      <c r="K898" t="s">
        <v>50</v>
      </c>
      <c r="L898">
        <v>3691</v>
      </c>
      <c r="M898">
        <v>1</v>
      </c>
      <c r="N898" t="s">
        <v>32</v>
      </c>
      <c r="O898">
        <v>15</v>
      </c>
      <c r="P898">
        <v>3</v>
      </c>
      <c r="Q898">
        <v>1</v>
      </c>
      <c r="R898">
        <v>7</v>
      </c>
      <c r="S898">
        <v>3</v>
      </c>
      <c r="T898">
        <v>7</v>
      </c>
      <c r="U898">
        <v>5</v>
      </c>
      <c r="V898">
        <v>6</v>
      </c>
      <c r="W898" t="s">
        <v>65</v>
      </c>
      <c r="X898" s="1" t="d">
        <v>2014-02-10</v>
      </c>
      <c r="Z898" t="s">
        <v>45</v>
      </c>
      <c r="AA898" t="s">
        <v>40</v>
      </c>
      <c r="AB898">
        <v>4</v>
      </c>
      <c r="AC898">
        <v>2</v>
      </c>
      <c r="AD898" t="s">
        <v>32</v>
      </c>
      <c r="AE898" t="s">
        <v>42</v>
      </c>
      <c r="AF898" t="s">
        <v>43</v>
      </c>
    </row>
    <row r="899" spans="1:32" x14ac:dyDescent="0.25">
      <c r="A899">
        <v>29</v>
      </c>
      <c r="B899" t="s">
        <v>41</v>
      </c>
      <c r="C899" t="s">
        <v>33</v>
      </c>
      <c r="D899" t="s">
        <v>34</v>
      </c>
      <c r="E899">
        <v>28</v>
      </c>
      <c r="F899" t="s">
        <v>58</v>
      </c>
      <c r="G899">
        <v>3</v>
      </c>
      <c r="H899">
        <v>1</v>
      </c>
      <c r="I899" t="s">
        <v>44</v>
      </c>
      <c r="J899">
        <v>4</v>
      </c>
      <c r="K899" t="s">
        <v>55</v>
      </c>
      <c r="L899">
        <v>2514</v>
      </c>
      <c r="M899">
        <v>4</v>
      </c>
      <c r="N899" t="s">
        <v>41</v>
      </c>
      <c r="O899">
        <v>22</v>
      </c>
      <c r="P899">
        <v>4</v>
      </c>
      <c r="Q899">
        <v>1</v>
      </c>
      <c r="R899">
        <v>11</v>
      </c>
      <c r="S899">
        <v>1</v>
      </c>
      <c r="T899">
        <v>7</v>
      </c>
      <c r="U899">
        <v>1</v>
      </c>
      <c r="V899">
        <v>7</v>
      </c>
      <c r="W899" t="s">
        <v>51</v>
      </c>
      <c r="X899" s="1" t="d">
        <v>2014-01-22</v>
      </c>
      <c r="Z899" t="s">
        <v>63</v>
      </c>
      <c r="AA899" t="s">
        <v>40</v>
      </c>
      <c r="AB899">
        <v>1</v>
      </c>
      <c r="AC899">
        <v>3</v>
      </c>
      <c r="AD899" t="s">
        <v>32</v>
      </c>
      <c r="AE899" t="s">
        <v>60</v>
      </c>
      <c r="AF899" t="s">
        <v>43</v>
      </c>
    </row>
    <row r="900" spans="1:32" x14ac:dyDescent="0.25">
      <c r="A900">
        <v>29</v>
      </c>
      <c r="B900" t="s">
        <v>41</v>
      </c>
      <c r="C900" t="s">
        <v>61</v>
      </c>
      <c r="D900" t="s">
        <v>34</v>
      </c>
      <c r="E900">
        <v>10</v>
      </c>
      <c r="F900" t="s">
        <v>58</v>
      </c>
      <c r="G900">
        <v>3</v>
      </c>
      <c r="H900">
        <v>1</v>
      </c>
      <c r="I900" t="s">
        <v>44</v>
      </c>
      <c r="J900">
        <v>2</v>
      </c>
      <c r="K900" t="s">
        <v>55</v>
      </c>
      <c r="L900">
        <v>3291</v>
      </c>
      <c r="M900">
        <v>0</v>
      </c>
      <c r="N900" t="s">
        <v>41</v>
      </c>
      <c r="O900">
        <v>14</v>
      </c>
      <c r="P900">
        <v>3</v>
      </c>
      <c r="Q900">
        <v>2</v>
      </c>
      <c r="R900">
        <v>8</v>
      </c>
      <c r="S900">
        <v>2</v>
      </c>
      <c r="T900">
        <v>7</v>
      </c>
      <c r="U900">
        <v>1</v>
      </c>
      <c r="V900">
        <v>1</v>
      </c>
      <c r="W900" t="s">
        <v>56</v>
      </c>
      <c r="X900" s="1" t="d">
        <v>2014-03-15</v>
      </c>
      <c r="Z900" t="s">
        <v>45</v>
      </c>
      <c r="AA900" t="s">
        <v>40</v>
      </c>
      <c r="AB900">
        <v>1</v>
      </c>
      <c r="AC900">
        <v>1</v>
      </c>
      <c r="AD900" t="s">
        <v>41</v>
      </c>
      <c r="AE900" t="s">
        <v>62</v>
      </c>
      <c r="AF900" t="s">
        <v>43</v>
      </c>
    </row>
    <row r="901" spans="1:32" x14ac:dyDescent="0.25">
      <c r="A901">
        <v>38</v>
      </c>
      <c r="B901" t="s">
        <v>41</v>
      </c>
      <c r="C901" t="s">
        <v>33</v>
      </c>
      <c r="D901" t="s">
        <v>70</v>
      </c>
      <c r="E901">
        <v>1</v>
      </c>
      <c r="F901" t="s">
        <v>35</v>
      </c>
      <c r="G901">
        <v>4</v>
      </c>
      <c r="H901">
        <v>1</v>
      </c>
      <c r="I901" t="s">
        <v>70</v>
      </c>
      <c r="J901">
        <v>3</v>
      </c>
      <c r="K901" t="s">
        <v>50</v>
      </c>
      <c r="L901">
        <v>2844</v>
      </c>
      <c r="M901">
        <v>1</v>
      </c>
      <c r="N901" t="s">
        <v>41</v>
      </c>
      <c r="O901">
        <v>13</v>
      </c>
      <c r="P901">
        <v>3</v>
      </c>
      <c r="Q901">
        <v>1</v>
      </c>
      <c r="R901">
        <v>7</v>
      </c>
      <c r="S901">
        <v>2</v>
      </c>
      <c r="T901">
        <v>7</v>
      </c>
      <c r="U901">
        <v>5</v>
      </c>
      <c r="V901">
        <v>0</v>
      </c>
      <c r="W901" t="s">
        <v>38</v>
      </c>
      <c r="X901" s="1" t="d">
        <v>2014-03-06</v>
      </c>
      <c r="Z901" t="s">
        <v>39</v>
      </c>
      <c r="AA901" t="s">
        <v>40</v>
      </c>
      <c r="AB901">
        <v>4</v>
      </c>
      <c r="AC901">
        <v>2</v>
      </c>
      <c r="AD901" t="s">
        <v>41</v>
      </c>
      <c r="AE901" t="s">
        <v>60</v>
      </c>
      <c r="AF901" t="s">
        <v>48</v>
      </c>
    </row>
    <row r="902" spans="1:32" x14ac:dyDescent="0.25">
      <c r="A902">
        <v>35</v>
      </c>
      <c r="B902" t="s">
        <v>41</v>
      </c>
      <c r="C902" t="s">
        <v>33</v>
      </c>
      <c r="D902" t="s">
        <v>34</v>
      </c>
      <c r="E902">
        <v>2</v>
      </c>
      <c r="F902" t="s">
        <v>35</v>
      </c>
      <c r="G902">
        <v>2</v>
      </c>
      <c r="H902">
        <v>3</v>
      </c>
      <c r="I902" t="s">
        <v>67</v>
      </c>
      <c r="J902">
        <v>2</v>
      </c>
      <c r="K902" t="s">
        <v>55</v>
      </c>
      <c r="L902">
        <v>10274</v>
      </c>
      <c r="M902">
        <v>2</v>
      </c>
      <c r="N902" t="s">
        <v>41</v>
      </c>
      <c r="O902">
        <v>18</v>
      </c>
      <c r="P902">
        <v>3</v>
      </c>
      <c r="Q902">
        <v>1</v>
      </c>
      <c r="R902">
        <v>15</v>
      </c>
      <c r="S902">
        <v>2</v>
      </c>
      <c r="T902">
        <v>7</v>
      </c>
      <c r="U902">
        <v>6</v>
      </c>
      <c r="V902">
        <v>4</v>
      </c>
      <c r="W902" t="s">
        <v>38</v>
      </c>
      <c r="X902" s="1" t="d">
        <v>2014-05-11</v>
      </c>
      <c r="Z902" t="s">
        <v>59</v>
      </c>
      <c r="AA902" t="s">
        <v>46</v>
      </c>
      <c r="AB902">
        <v>2</v>
      </c>
      <c r="AC902">
        <v>0</v>
      </c>
      <c r="AD902" t="s">
        <v>32</v>
      </c>
      <c r="AE902" t="s">
        <v>62</v>
      </c>
      <c r="AF902" t="s">
        <v>57</v>
      </c>
    </row>
    <row r="903" spans="1:32" x14ac:dyDescent="0.25">
      <c r="A903">
        <v>53</v>
      </c>
      <c r="B903" t="s">
        <v>41</v>
      </c>
      <c r="C903" t="s">
        <v>33</v>
      </c>
      <c r="D903" t="s">
        <v>34</v>
      </c>
      <c r="E903">
        <v>7</v>
      </c>
      <c r="F903" t="s">
        <v>58</v>
      </c>
      <c r="G903">
        <v>3</v>
      </c>
      <c r="H903">
        <v>5</v>
      </c>
      <c r="I903" t="s">
        <v>66</v>
      </c>
      <c r="J903">
        <v>3</v>
      </c>
      <c r="K903" t="s">
        <v>55</v>
      </c>
      <c r="L903">
        <v>18606</v>
      </c>
      <c r="M903">
        <v>3</v>
      </c>
      <c r="N903" t="s">
        <v>41</v>
      </c>
      <c r="O903">
        <v>18</v>
      </c>
      <c r="P903">
        <v>3</v>
      </c>
      <c r="Q903">
        <v>1</v>
      </c>
      <c r="R903">
        <v>26</v>
      </c>
      <c r="S903">
        <v>6</v>
      </c>
      <c r="T903">
        <v>7</v>
      </c>
      <c r="U903">
        <v>4</v>
      </c>
      <c r="V903">
        <v>7</v>
      </c>
      <c r="W903" t="s">
        <v>38</v>
      </c>
      <c r="X903" s="1" t="d">
        <v>2014-04-22</v>
      </c>
      <c r="Z903" t="s">
        <v>39</v>
      </c>
      <c r="AA903" t="s">
        <v>46</v>
      </c>
      <c r="AB903">
        <v>2</v>
      </c>
      <c r="AC903">
        <v>2</v>
      </c>
      <c r="AD903" t="s">
        <v>41</v>
      </c>
      <c r="AE903" t="s">
        <v>42</v>
      </c>
      <c r="AF903" t="s">
        <v>43</v>
      </c>
    </row>
    <row r="904" spans="1:32" x14ac:dyDescent="0.25">
      <c r="A904">
        <v>35</v>
      </c>
      <c r="B904" t="s">
        <v>41</v>
      </c>
      <c r="C904" t="s">
        <v>33</v>
      </c>
      <c r="D904" t="s">
        <v>53</v>
      </c>
      <c r="E904">
        <v>17</v>
      </c>
      <c r="F904" t="s">
        <v>35</v>
      </c>
      <c r="G904">
        <v>3</v>
      </c>
      <c r="H904">
        <v>2</v>
      </c>
      <c r="I904" t="s">
        <v>64</v>
      </c>
      <c r="J904">
        <v>1</v>
      </c>
      <c r="K904" t="s">
        <v>50</v>
      </c>
      <c r="L904">
        <v>8966</v>
      </c>
      <c r="M904">
        <v>3</v>
      </c>
      <c r="N904" t="s">
        <v>32</v>
      </c>
      <c r="O904">
        <v>15</v>
      </c>
      <c r="P904">
        <v>3</v>
      </c>
      <c r="Q904">
        <v>3</v>
      </c>
      <c r="R904">
        <v>15</v>
      </c>
      <c r="S904">
        <v>2</v>
      </c>
      <c r="T904">
        <v>7</v>
      </c>
      <c r="U904">
        <v>1</v>
      </c>
      <c r="V904">
        <v>7</v>
      </c>
      <c r="W904" t="s">
        <v>65</v>
      </c>
      <c r="X904" s="1" t="d">
        <v>2014-06-17</v>
      </c>
      <c r="Z904" t="s">
        <v>52</v>
      </c>
      <c r="AA904" t="s">
        <v>40</v>
      </c>
      <c r="AB904">
        <v>4</v>
      </c>
      <c r="AC904">
        <v>0</v>
      </c>
      <c r="AD904" t="s">
        <v>32</v>
      </c>
      <c r="AE904" t="s">
        <v>42</v>
      </c>
      <c r="AF904" t="s">
        <v>43</v>
      </c>
    </row>
    <row r="905" spans="1:32" x14ac:dyDescent="0.25">
      <c r="A905">
        <v>36</v>
      </c>
      <c r="B905" t="s">
        <v>41</v>
      </c>
      <c r="C905" t="s">
        <v>33</v>
      </c>
      <c r="D905" t="s">
        <v>34</v>
      </c>
      <c r="E905">
        <v>6</v>
      </c>
      <c r="F905" t="s">
        <v>35</v>
      </c>
      <c r="G905">
        <v>1</v>
      </c>
      <c r="H905">
        <v>1</v>
      </c>
      <c r="I905" t="s">
        <v>36</v>
      </c>
      <c r="J905">
        <v>3</v>
      </c>
      <c r="K905" t="s">
        <v>55</v>
      </c>
      <c r="L905">
        <v>2741</v>
      </c>
      <c r="M905">
        <v>1</v>
      </c>
      <c r="N905" t="s">
        <v>41</v>
      </c>
      <c r="O905">
        <v>14</v>
      </c>
      <c r="P905">
        <v>3</v>
      </c>
      <c r="Q905">
        <v>1</v>
      </c>
      <c r="R905">
        <v>7</v>
      </c>
      <c r="S905">
        <v>4</v>
      </c>
      <c r="T905">
        <v>7</v>
      </c>
      <c r="U905">
        <v>1</v>
      </c>
      <c r="V905">
        <v>7</v>
      </c>
      <c r="W905" t="s">
        <v>51</v>
      </c>
      <c r="X905" s="1" t="d">
        <v>2014-03-08</v>
      </c>
      <c r="Z905" t="s">
        <v>63</v>
      </c>
      <c r="AA905" t="s">
        <v>40</v>
      </c>
      <c r="AB905">
        <v>2</v>
      </c>
      <c r="AC905">
        <v>0</v>
      </c>
      <c r="AD905" t="s">
        <v>41</v>
      </c>
      <c r="AE905" t="s">
        <v>47</v>
      </c>
      <c r="AF905" t="s">
        <v>48</v>
      </c>
    </row>
    <row r="906" spans="1:32" x14ac:dyDescent="0.25">
      <c r="A906">
        <v>36</v>
      </c>
      <c r="B906" t="s">
        <v>41</v>
      </c>
      <c r="C906" t="s">
        <v>33</v>
      </c>
      <c r="D906" t="s">
        <v>34</v>
      </c>
      <c r="E906">
        <v>1</v>
      </c>
      <c r="F906" t="s">
        <v>58</v>
      </c>
      <c r="G906">
        <v>1</v>
      </c>
      <c r="H906">
        <v>3</v>
      </c>
      <c r="I906" t="s">
        <v>67</v>
      </c>
      <c r="J906">
        <v>1</v>
      </c>
      <c r="K906" t="s">
        <v>55</v>
      </c>
      <c r="L906">
        <v>10252</v>
      </c>
      <c r="M906">
        <v>2</v>
      </c>
      <c r="N906" t="s">
        <v>32</v>
      </c>
      <c r="O906">
        <v>21</v>
      </c>
      <c r="P906">
        <v>4</v>
      </c>
      <c r="Q906">
        <v>1</v>
      </c>
      <c r="R906">
        <v>17</v>
      </c>
      <c r="S906">
        <v>2</v>
      </c>
      <c r="T906">
        <v>7</v>
      </c>
      <c r="U906">
        <v>7</v>
      </c>
      <c r="V906">
        <v>7</v>
      </c>
      <c r="W906" t="s">
        <v>56</v>
      </c>
      <c r="X906" s="1" t="d">
        <v>2014-05-20</v>
      </c>
      <c r="Z906" t="s">
        <v>52</v>
      </c>
      <c r="AA906" t="s">
        <v>40</v>
      </c>
      <c r="AB906">
        <v>5</v>
      </c>
      <c r="AC906">
        <v>1</v>
      </c>
      <c r="AD906" t="s">
        <v>41</v>
      </c>
      <c r="AE906" t="s">
        <v>47</v>
      </c>
      <c r="AF906" t="s">
        <v>57</v>
      </c>
    </row>
    <row r="907" spans="1:32" x14ac:dyDescent="0.25">
      <c r="A907">
        <v>29</v>
      </c>
      <c r="B907" t="s">
        <v>41</v>
      </c>
      <c r="C907" t="s">
        <v>33</v>
      </c>
      <c r="D907" t="s">
        <v>34</v>
      </c>
      <c r="E907">
        <v>1</v>
      </c>
      <c r="F907" t="s">
        <v>58</v>
      </c>
      <c r="G907">
        <v>2</v>
      </c>
      <c r="H907">
        <v>4</v>
      </c>
      <c r="I907" t="s">
        <v>49</v>
      </c>
      <c r="J907">
        <v>4</v>
      </c>
      <c r="K907" t="s">
        <v>55</v>
      </c>
      <c r="L907">
        <v>16124</v>
      </c>
      <c r="M907">
        <v>3</v>
      </c>
      <c r="N907" t="s">
        <v>41</v>
      </c>
      <c r="O907">
        <v>14</v>
      </c>
      <c r="P907">
        <v>3</v>
      </c>
      <c r="Q907">
        <v>2</v>
      </c>
      <c r="R907">
        <v>9</v>
      </c>
      <c r="S907">
        <v>2</v>
      </c>
      <c r="T907">
        <v>7</v>
      </c>
      <c r="U907">
        <v>1</v>
      </c>
      <c r="V907">
        <v>7</v>
      </c>
      <c r="W907" t="s">
        <v>65</v>
      </c>
      <c r="X907" s="1" t="d">
        <v>2014-03-01</v>
      </c>
      <c r="Z907" t="s">
        <v>52</v>
      </c>
      <c r="AA907" t="s">
        <v>40</v>
      </c>
      <c r="AB907">
        <v>0</v>
      </c>
      <c r="AC907">
        <v>3</v>
      </c>
      <c r="AD907" t="s">
        <v>41</v>
      </c>
      <c r="AE907" t="s">
        <v>62</v>
      </c>
      <c r="AF907" t="s">
        <v>43</v>
      </c>
    </row>
    <row r="908" spans="1:32" x14ac:dyDescent="0.25">
      <c r="A908">
        <v>51</v>
      </c>
      <c r="B908" t="s">
        <v>41</v>
      </c>
      <c r="C908" t="s">
        <v>61</v>
      </c>
      <c r="D908" t="s">
        <v>34</v>
      </c>
      <c r="E908">
        <v>6</v>
      </c>
      <c r="F908" t="s">
        <v>58</v>
      </c>
      <c r="G908">
        <v>2</v>
      </c>
      <c r="H908">
        <v>1</v>
      </c>
      <c r="I908" t="s">
        <v>36</v>
      </c>
      <c r="J908">
        <v>3</v>
      </c>
      <c r="K908" t="s">
        <v>37</v>
      </c>
      <c r="L908">
        <v>2838</v>
      </c>
      <c r="M908">
        <v>0</v>
      </c>
      <c r="N908" t="s">
        <v>41</v>
      </c>
      <c r="O908">
        <v>14</v>
      </c>
      <c r="P908">
        <v>3</v>
      </c>
      <c r="Q908">
        <v>0</v>
      </c>
      <c r="R908">
        <v>8</v>
      </c>
      <c r="S908">
        <v>6</v>
      </c>
      <c r="T908">
        <v>7</v>
      </c>
      <c r="U908">
        <v>7</v>
      </c>
      <c r="V908">
        <v>7</v>
      </c>
      <c r="W908" t="s">
        <v>65</v>
      </c>
      <c r="X908" s="1" t="d">
        <v>2014-01-02</v>
      </c>
      <c r="Z908" t="s">
        <v>59</v>
      </c>
      <c r="AA908" t="s">
        <v>46</v>
      </c>
      <c r="AB908">
        <v>1</v>
      </c>
      <c r="AC908">
        <v>3</v>
      </c>
      <c r="AD908" t="s">
        <v>32</v>
      </c>
      <c r="AE908" t="s">
        <v>60</v>
      </c>
      <c r="AF908" t="s">
        <v>43</v>
      </c>
    </row>
    <row r="909" spans="1:32" x14ac:dyDescent="0.25">
      <c r="A909">
        <v>29</v>
      </c>
      <c r="B909" t="s">
        <v>32</v>
      </c>
      <c r="C909" t="s">
        <v>33</v>
      </c>
      <c r="D909" t="s">
        <v>34</v>
      </c>
      <c r="E909">
        <v>7</v>
      </c>
      <c r="F909" t="s">
        <v>58</v>
      </c>
      <c r="G909">
        <v>3</v>
      </c>
      <c r="H909">
        <v>1</v>
      </c>
      <c r="I909" t="s">
        <v>36</v>
      </c>
      <c r="J909">
        <v>3</v>
      </c>
      <c r="K909" t="s">
        <v>55</v>
      </c>
      <c r="L909">
        <v>3339</v>
      </c>
      <c r="M909">
        <v>3</v>
      </c>
      <c r="N909" t="s">
        <v>32</v>
      </c>
      <c r="O909">
        <v>13</v>
      </c>
      <c r="P909">
        <v>3</v>
      </c>
      <c r="Q909">
        <v>2</v>
      </c>
      <c r="R909">
        <v>10</v>
      </c>
      <c r="S909">
        <v>2</v>
      </c>
      <c r="T909">
        <v>7</v>
      </c>
      <c r="U909">
        <v>7</v>
      </c>
      <c r="V909">
        <v>7</v>
      </c>
      <c r="W909" t="s">
        <v>56</v>
      </c>
      <c r="X909" s="1" t="d">
        <v>2014-01-16</v>
      </c>
      <c r="Z909" t="s">
        <v>59</v>
      </c>
      <c r="AA909" t="s">
        <v>46</v>
      </c>
      <c r="AB909">
        <v>1</v>
      </c>
      <c r="AC909">
        <v>2</v>
      </c>
      <c r="AD909" t="s">
        <v>32</v>
      </c>
      <c r="AE909" t="s">
        <v>60</v>
      </c>
      <c r="AF909" t="s">
        <v>48</v>
      </c>
    </row>
    <row r="910" spans="1:32" x14ac:dyDescent="0.25">
      <c r="A910">
        <v>36</v>
      </c>
      <c r="B910" t="s">
        <v>41</v>
      </c>
      <c r="C910" t="s">
        <v>33</v>
      </c>
      <c r="D910" t="s">
        <v>34</v>
      </c>
      <c r="E910">
        <v>10</v>
      </c>
      <c r="F910" t="s">
        <v>58</v>
      </c>
      <c r="G910">
        <v>3</v>
      </c>
      <c r="H910">
        <v>3</v>
      </c>
      <c r="I910" t="s">
        <v>69</v>
      </c>
      <c r="J910">
        <v>3</v>
      </c>
      <c r="K910" t="s">
        <v>50</v>
      </c>
      <c r="L910">
        <v>7094</v>
      </c>
      <c r="M910">
        <v>3</v>
      </c>
      <c r="N910" t="s">
        <v>41</v>
      </c>
      <c r="O910">
        <v>12</v>
      </c>
      <c r="P910">
        <v>3</v>
      </c>
      <c r="Q910">
        <v>0</v>
      </c>
      <c r="R910">
        <v>10</v>
      </c>
      <c r="S910">
        <v>0</v>
      </c>
      <c r="T910">
        <v>7</v>
      </c>
      <c r="U910">
        <v>1</v>
      </c>
      <c r="V910">
        <v>7</v>
      </c>
      <c r="W910" t="s">
        <v>56</v>
      </c>
      <c r="X910" s="1" t="d">
        <v>2014-04-14</v>
      </c>
      <c r="Z910" t="s">
        <v>39</v>
      </c>
      <c r="AA910" t="s">
        <v>46</v>
      </c>
      <c r="AB910">
        <v>1</v>
      </c>
      <c r="AC910">
        <v>0</v>
      </c>
      <c r="AD910" t="s">
        <v>32</v>
      </c>
      <c r="AE910" t="s">
        <v>47</v>
      </c>
      <c r="AF910" t="s">
        <v>43</v>
      </c>
    </row>
    <row r="911" spans="1:32" x14ac:dyDescent="0.25">
      <c r="A911">
        <v>46</v>
      </c>
      <c r="B911" t="s">
        <v>41</v>
      </c>
      <c r="C911" t="s">
        <v>33</v>
      </c>
      <c r="D911" t="s">
        <v>70</v>
      </c>
      <c r="E911">
        <v>1</v>
      </c>
      <c r="F911" t="s">
        <v>58</v>
      </c>
      <c r="G911">
        <v>3</v>
      </c>
      <c r="H911">
        <v>1</v>
      </c>
      <c r="I911" t="s">
        <v>70</v>
      </c>
      <c r="J911">
        <v>1</v>
      </c>
      <c r="K911" t="s">
        <v>37</v>
      </c>
      <c r="L911">
        <v>3423</v>
      </c>
      <c r="M911">
        <v>6</v>
      </c>
      <c r="N911" t="s">
        <v>41</v>
      </c>
      <c r="O911">
        <v>12</v>
      </c>
      <c r="P911">
        <v>3</v>
      </c>
      <c r="Q911">
        <v>0</v>
      </c>
      <c r="R911">
        <v>10</v>
      </c>
      <c r="S911">
        <v>3</v>
      </c>
      <c r="T911">
        <v>7</v>
      </c>
      <c r="U911">
        <v>5</v>
      </c>
      <c r="V911">
        <v>7</v>
      </c>
      <c r="W911" t="s">
        <v>38</v>
      </c>
      <c r="X911" s="1" t="d">
        <v>2014-02-16</v>
      </c>
      <c r="Z911" t="s">
        <v>52</v>
      </c>
      <c r="AA911" t="s">
        <v>40</v>
      </c>
      <c r="AB911">
        <v>5</v>
      </c>
      <c r="AC911">
        <v>3</v>
      </c>
      <c r="AD911" t="s">
        <v>32</v>
      </c>
      <c r="AE911" t="s">
        <v>47</v>
      </c>
      <c r="AF911" t="s">
        <v>48</v>
      </c>
    </row>
    <row r="912" spans="1:32" x14ac:dyDescent="0.25">
      <c r="A912">
        <v>56</v>
      </c>
      <c r="B912" t="s">
        <v>41</v>
      </c>
      <c r="C912" t="s">
        <v>33</v>
      </c>
      <c r="D912" t="s">
        <v>70</v>
      </c>
      <c r="E912">
        <v>8</v>
      </c>
      <c r="F912" t="s">
        <v>35</v>
      </c>
      <c r="G912">
        <v>3</v>
      </c>
      <c r="H912">
        <v>5</v>
      </c>
      <c r="I912" t="s">
        <v>66</v>
      </c>
      <c r="J912">
        <v>2</v>
      </c>
      <c r="K912" t="s">
        <v>37</v>
      </c>
      <c r="L912">
        <v>19717</v>
      </c>
      <c r="M912">
        <v>6</v>
      </c>
      <c r="N912" t="s">
        <v>41</v>
      </c>
      <c r="O912">
        <v>14</v>
      </c>
      <c r="P912">
        <v>3</v>
      </c>
      <c r="Q912">
        <v>0</v>
      </c>
      <c r="R912">
        <v>36</v>
      </c>
      <c r="S912">
        <v>4</v>
      </c>
      <c r="T912">
        <v>7</v>
      </c>
      <c r="U912">
        <v>7</v>
      </c>
      <c r="V912">
        <v>7</v>
      </c>
      <c r="W912" t="s">
        <v>65</v>
      </c>
      <c r="X912" s="1" t="d">
        <v>2014-06-11</v>
      </c>
      <c r="Z912" t="s">
        <v>45</v>
      </c>
      <c r="AA912" t="s">
        <v>40</v>
      </c>
      <c r="AB912">
        <v>3</v>
      </c>
      <c r="AC912">
        <v>2</v>
      </c>
      <c r="AD912" t="s">
        <v>32</v>
      </c>
      <c r="AE912" t="s">
        <v>42</v>
      </c>
      <c r="AF912" t="s">
        <v>48</v>
      </c>
    </row>
    <row r="913" spans="1:32" x14ac:dyDescent="0.25">
      <c r="A913">
        <v>38</v>
      </c>
      <c r="B913" t="s">
        <v>41</v>
      </c>
      <c r="C913" t="s">
        <v>33</v>
      </c>
      <c r="D913" t="s">
        <v>53</v>
      </c>
      <c r="E913">
        <v>2</v>
      </c>
      <c r="F913" t="s">
        <v>58</v>
      </c>
      <c r="G913">
        <v>3</v>
      </c>
      <c r="H913">
        <v>2</v>
      </c>
      <c r="I913" t="s">
        <v>64</v>
      </c>
      <c r="J913">
        <v>1</v>
      </c>
      <c r="K913" t="s">
        <v>55</v>
      </c>
      <c r="L913">
        <v>6893</v>
      </c>
      <c r="M913">
        <v>3</v>
      </c>
      <c r="N913" t="s">
        <v>41</v>
      </c>
      <c r="O913">
        <v>15</v>
      </c>
      <c r="P913">
        <v>3</v>
      </c>
      <c r="Q913">
        <v>1</v>
      </c>
      <c r="R913">
        <v>11</v>
      </c>
      <c r="S913">
        <v>3</v>
      </c>
      <c r="T913">
        <v>7</v>
      </c>
      <c r="U913">
        <v>1</v>
      </c>
      <c r="V913">
        <v>7</v>
      </c>
      <c r="W913" t="s">
        <v>56</v>
      </c>
      <c r="X913" s="1" t="d">
        <v>2014-03-07</v>
      </c>
      <c r="Z913" t="s">
        <v>52</v>
      </c>
      <c r="AA913" t="s">
        <v>40</v>
      </c>
      <c r="AB913">
        <v>0</v>
      </c>
      <c r="AC913">
        <v>3</v>
      </c>
      <c r="AD913" t="s">
        <v>41</v>
      </c>
      <c r="AE913" t="s">
        <v>47</v>
      </c>
      <c r="AF913" t="s">
        <v>43</v>
      </c>
    </row>
    <row r="914" spans="1:32" x14ac:dyDescent="0.25">
      <c r="A914">
        <v>26</v>
      </c>
      <c r="B914" t="s">
        <v>41</v>
      </c>
      <c r="C914" t="s">
        <v>33</v>
      </c>
      <c r="D914" t="s">
        <v>34</v>
      </c>
      <c r="E914">
        <v>7</v>
      </c>
      <c r="F914" t="s">
        <v>35</v>
      </c>
      <c r="G914">
        <v>4</v>
      </c>
      <c r="H914">
        <v>1</v>
      </c>
      <c r="I914" t="s">
        <v>36</v>
      </c>
      <c r="J914">
        <v>1</v>
      </c>
      <c r="K914" t="s">
        <v>37</v>
      </c>
      <c r="L914">
        <v>3578</v>
      </c>
      <c r="M914">
        <v>0</v>
      </c>
      <c r="N914" t="s">
        <v>41</v>
      </c>
      <c r="O914">
        <v>12</v>
      </c>
      <c r="P914">
        <v>3</v>
      </c>
      <c r="Q914">
        <v>0</v>
      </c>
      <c r="R914">
        <v>8</v>
      </c>
      <c r="S914">
        <v>2</v>
      </c>
      <c r="T914">
        <v>7</v>
      </c>
      <c r="U914">
        <v>0</v>
      </c>
      <c r="V914">
        <v>7</v>
      </c>
      <c r="W914" t="s">
        <v>56</v>
      </c>
      <c r="X914" s="1" t="d">
        <v>2014-06-03</v>
      </c>
      <c r="Z914" t="s">
        <v>52</v>
      </c>
      <c r="AA914" t="s">
        <v>46</v>
      </c>
      <c r="AB914">
        <v>3</v>
      </c>
      <c r="AC914">
        <v>0</v>
      </c>
      <c r="AD914" t="s">
        <v>32</v>
      </c>
      <c r="AE914" t="s">
        <v>62</v>
      </c>
      <c r="AF914" t="s">
        <v>48</v>
      </c>
    </row>
    <row r="915" spans="1:32" x14ac:dyDescent="0.25">
      <c r="A915">
        <v>55</v>
      </c>
      <c r="B915" t="s">
        <v>41</v>
      </c>
      <c r="C915" t="s">
        <v>33</v>
      </c>
      <c r="D915" t="s">
        <v>34</v>
      </c>
      <c r="E915">
        <v>1</v>
      </c>
      <c r="F915" t="s">
        <v>35</v>
      </c>
      <c r="G915">
        <v>4</v>
      </c>
      <c r="H915">
        <v>4</v>
      </c>
      <c r="I915" t="s">
        <v>49</v>
      </c>
      <c r="J915">
        <v>4</v>
      </c>
      <c r="K915" t="s">
        <v>55</v>
      </c>
      <c r="L915">
        <v>14732</v>
      </c>
      <c r="M915">
        <v>2</v>
      </c>
      <c r="N915" t="s">
        <v>41</v>
      </c>
      <c r="O915">
        <v>13</v>
      </c>
      <c r="P915">
        <v>3</v>
      </c>
      <c r="Q915">
        <v>2</v>
      </c>
      <c r="R915">
        <v>31</v>
      </c>
      <c r="S915">
        <v>4</v>
      </c>
      <c r="T915">
        <v>7</v>
      </c>
      <c r="U915">
        <v>0</v>
      </c>
      <c r="V915">
        <v>0</v>
      </c>
      <c r="W915" t="s">
        <v>51</v>
      </c>
      <c r="X915" s="1" t="d">
        <v>2014-04-21</v>
      </c>
      <c r="Z915" t="s">
        <v>63</v>
      </c>
      <c r="AA915" t="s">
        <v>40</v>
      </c>
      <c r="AB915">
        <v>3</v>
      </c>
      <c r="AC915">
        <v>0</v>
      </c>
      <c r="AD915" t="s">
        <v>41</v>
      </c>
      <c r="AE915" t="s">
        <v>60</v>
      </c>
      <c r="AF915" t="s">
        <v>43</v>
      </c>
    </row>
    <row r="916" spans="1:32" x14ac:dyDescent="0.25">
      <c r="A916">
        <v>46</v>
      </c>
      <c r="B916" t="s">
        <v>32</v>
      </c>
      <c r="C916" t="s">
        <v>33</v>
      </c>
      <c r="D916" t="s">
        <v>53</v>
      </c>
      <c r="E916">
        <v>9</v>
      </c>
      <c r="F916" t="s">
        <v>35</v>
      </c>
      <c r="G916">
        <v>3</v>
      </c>
      <c r="H916">
        <v>3</v>
      </c>
      <c r="I916" t="s">
        <v>64</v>
      </c>
      <c r="J916">
        <v>4</v>
      </c>
      <c r="K916" t="s">
        <v>55</v>
      </c>
      <c r="L916">
        <v>10096</v>
      </c>
      <c r="M916">
        <v>4</v>
      </c>
      <c r="N916" t="s">
        <v>41</v>
      </c>
      <c r="O916">
        <v>11</v>
      </c>
      <c r="P916">
        <v>3</v>
      </c>
      <c r="Q916">
        <v>1</v>
      </c>
      <c r="R916">
        <v>28</v>
      </c>
      <c r="S916">
        <v>1</v>
      </c>
      <c r="T916">
        <v>7</v>
      </c>
      <c r="U916">
        <v>4</v>
      </c>
      <c r="V916">
        <v>3</v>
      </c>
      <c r="W916" t="s">
        <v>65</v>
      </c>
      <c r="X916" s="1" t="d">
        <v>2014-03-26</v>
      </c>
      <c r="Z916" t="s">
        <v>39</v>
      </c>
      <c r="AA916" t="s">
        <v>40</v>
      </c>
      <c r="AB916">
        <v>4</v>
      </c>
      <c r="AC916">
        <v>0</v>
      </c>
      <c r="AD916" t="s">
        <v>32</v>
      </c>
      <c r="AE916" t="s">
        <v>62</v>
      </c>
      <c r="AF916" t="s">
        <v>57</v>
      </c>
    </row>
    <row r="917" spans="1:32" x14ac:dyDescent="0.25">
      <c r="A917">
        <v>45</v>
      </c>
      <c r="B917" t="s">
        <v>41</v>
      </c>
      <c r="C917" t="s">
        <v>33</v>
      </c>
      <c r="D917" t="s">
        <v>34</v>
      </c>
      <c r="E917">
        <v>20</v>
      </c>
      <c r="F917" t="s">
        <v>35</v>
      </c>
      <c r="G917">
        <v>1</v>
      </c>
      <c r="H917">
        <v>3</v>
      </c>
      <c r="I917" t="s">
        <v>69</v>
      </c>
      <c r="J917">
        <v>1</v>
      </c>
      <c r="K917" t="s">
        <v>55</v>
      </c>
      <c r="L917">
        <v>10851</v>
      </c>
      <c r="M917">
        <v>2</v>
      </c>
      <c r="N917" t="s">
        <v>32</v>
      </c>
      <c r="O917">
        <v>18</v>
      </c>
      <c r="P917">
        <v>3</v>
      </c>
      <c r="Q917">
        <v>1</v>
      </c>
      <c r="R917">
        <v>24</v>
      </c>
      <c r="S917">
        <v>2</v>
      </c>
      <c r="T917">
        <v>7</v>
      </c>
      <c r="U917">
        <v>0</v>
      </c>
      <c r="V917">
        <v>7</v>
      </c>
      <c r="W917" t="s">
        <v>56</v>
      </c>
      <c r="X917" s="1" t="d">
        <v>2014-05-24</v>
      </c>
      <c r="Z917" t="s">
        <v>52</v>
      </c>
      <c r="AA917" t="s">
        <v>46</v>
      </c>
      <c r="AB917">
        <v>2</v>
      </c>
      <c r="AC917">
        <v>0</v>
      </c>
      <c r="AD917" t="s">
        <v>41</v>
      </c>
      <c r="AE917" t="s">
        <v>47</v>
      </c>
      <c r="AF917" t="s">
        <v>43</v>
      </c>
    </row>
    <row r="918" spans="1:32" x14ac:dyDescent="0.25">
      <c r="A918">
        <v>31</v>
      </c>
      <c r="B918" t="s">
        <v>32</v>
      </c>
      <c r="C918" t="s">
        <v>61</v>
      </c>
      <c r="D918" t="s">
        <v>34</v>
      </c>
      <c r="E918">
        <v>3</v>
      </c>
      <c r="F918" t="s">
        <v>58</v>
      </c>
      <c r="G918">
        <v>3</v>
      </c>
      <c r="H918">
        <v>1</v>
      </c>
      <c r="I918" t="s">
        <v>44</v>
      </c>
      <c r="J918">
        <v>3</v>
      </c>
      <c r="K918" t="s">
        <v>37</v>
      </c>
      <c r="L918">
        <v>4084</v>
      </c>
      <c r="M918">
        <v>1</v>
      </c>
      <c r="N918" t="s">
        <v>41</v>
      </c>
      <c r="O918">
        <v>12</v>
      </c>
      <c r="P918">
        <v>3</v>
      </c>
      <c r="Q918">
        <v>0</v>
      </c>
      <c r="R918">
        <v>7</v>
      </c>
      <c r="S918">
        <v>2</v>
      </c>
      <c r="T918">
        <v>7</v>
      </c>
      <c r="U918">
        <v>7</v>
      </c>
      <c r="V918">
        <v>7</v>
      </c>
      <c r="W918" t="s">
        <v>51</v>
      </c>
      <c r="X918" s="1" t="d">
        <v>2014-06-10</v>
      </c>
      <c r="Z918" t="s">
        <v>39</v>
      </c>
      <c r="AA918" t="s">
        <v>40</v>
      </c>
      <c r="AB918">
        <v>1</v>
      </c>
      <c r="AC918">
        <v>2</v>
      </c>
      <c r="AD918" t="s">
        <v>41</v>
      </c>
      <c r="AE918" t="s">
        <v>47</v>
      </c>
      <c r="AF918" t="s">
        <v>48</v>
      </c>
    </row>
    <row r="919" spans="1:32" x14ac:dyDescent="0.25">
      <c r="A919">
        <v>29</v>
      </c>
      <c r="B919" t="s">
        <v>41</v>
      </c>
      <c r="C919" t="s">
        <v>33</v>
      </c>
      <c r="D919" t="s">
        <v>34</v>
      </c>
      <c r="E919">
        <v>8</v>
      </c>
      <c r="F919" t="s">
        <v>58</v>
      </c>
      <c r="G919">
        <v>1</v>
      </c>
      <c r="H919">
        <v>2</v>
      </c>
      <c r="I919" t="s">
        <v>69</v>
      </c>
      <c r="J919">
        <v>1</v>
      </c>
      <c r="K919" t="s">
        <v>50</v>
      </c>
      <c r="L919">
        <v>9715</v>
      </c>
      <c r="M919">
        <v>3</v>
      </c>
      <c r="N919" t="s">
        <v>41</v>
      </c>
      <c r="O919">
        <v>13</v>
      </c>
      <c r="P919">
        <v>3</v>
      </c>
      <c r="Q919">
        <v>1</v>
      </c>
      <c r="R919">
        <v>9</v>
      </c>
      <c r="S919">
        <v>3</v>
      </c>
      <c r="T919">
        <v>7</v>
      </c>
      <c r="U919">
        <v>0</v>
      </c>
      <c r="V919">
        <v>7</v>
      </c>
      <c r="W919" t="s">
        <v>56</v>
      </c>
      <c r="X919" s="1" t="d">
        <v>2014-05-11</v>
      </c>
      <c r="Z919" t="s">
        <v>63</v>
      </c>
      <c r="AA919" t="s">
        <v>46</v>
      </c>
      <c r="AB919">
        <v>5</v>
      </c>
      <c r="AC919">
        <v>0</v>
      </c>
      <c r="AD919" t="s">
        <v>32</v>
      </c>
      <c r="AE919" t="s">
        <v>62</v>
      </c>
      <c r="AF919" t="s">
        <v>48</v>
      </c>
    </row>
    <row r="920" spans="1:32" x14ac:dyDescent="0.25">
      <c r="A920">
        <v>32</v>
      </c>
      <c r="B920" t="s">
        <v>41</v>
      </c>
      <c r="C920" t="s">
        <v>33</v>
      </c>
      <c r="D920" t="s">
        <v>34</v>
      </c>
      <c r="E920">
        <v>5</v>
      </c>
      <c r="F920" t="s">
        <v>58</v>
      </c>
      <c r="G920">
        <v>2</v>
      </c>
      <c r="H920">
        <v>2</v>
      </c>
      <c r="I920" t="s">
        <v>44</v>
      </c>
      <c r="J920">
        <v>2</v>
      </c>
      <c r="K920" t="s">
        <v>50</v>
      </c>
      <c r="L920">
        <v>5878</v>
      </c>
      <c r="M920">
        <v>3</v>
      </c>
      <c r="N920" t="s">
        <v>41</v>
      </c>
      <c r="O920">
        <v>12</v>
      </c>
      <c r="P920">
        <v>3</v>
      </c>
      <c r="Q920">
        <v>1</v>
      </c>
      <c r="R920">
        <v>12</v>
      </c>
      <c r="S920">
        <v>2</v>
      </c>
      <c r="T920">
        <v>7</v>
      </c>
      <c r="U920">
        <v>2</v>
      </c>
      <c r="V920">
        <v>5</v>
      </c>
      <c r="W920" t="s">
        <v>51</v>
      </c>
      <c r="X920" s="1" t="d">
        <v>2014-06-22</v>
      </c>
      <c r="Z920" t="s">
        <v>63</v>
      </c>
      <c r="AA920" t="s">
        <v>40</v>
      </c>
      <c r="AB920">
        <v>3</v>
      </c>
      <c r="AC920">
        <v>1</v>
      </c>
      <c r="AD920" t="s">
        <v>32</v>
      </c>
      <c r="AE920" t="s">
        <v>60</v>
      </c>
      <c r="AF920" t="s">
        <v>48</v>
      </c>
    </row>
    <row r="921" spans="1:32" x14ac:dyDescent="0.25">
      <c r="A921">
        <v>39</v>
      </c>
      <c r="B921" t="s">
        <v>41</v>
      </c>
      <c r="C921" t="s">
        <v>33</v>
      </c>
      <c r="D921" t="s">
        <v>53</v>
      </c>
      <c r="E921">
        <v>6</v>
      </c>
      <c r="F921" t="s">
        <v>35</v>
      </c>
      <c r="G921">
        <v>4</v>
      </c>
      <c r="H921">
        <v>3</v>
      </c>
      <c r="I921" t="s">
        <v>64</v>
      </c>
      <c r="J921">
        <v>3</v>
      </c>
      <c r="K921" t="s">
        <v>50</v>
      </c>
      <c r="L921">
        <v>8237</v>
      </c>
      <c r="M921">
        <v>2</v>
      </c>
      <c r="N921" t="s">
        <v>41</v>
      </c>
      <c r="O921">
        <v>11</v>
      </c>
      <c r="P921">
        <v>3</v>
      </c>
      <c r="Q921">
        <v>1</v>
      </c>
      <c r="R921">
        <v>11</v>
      </c>
      <c r="S921">
        <v>3</v>
      </c>
      <c r="T921">
        <v>7</v>
      </c>
      <c r="U921">
        <v>7</v>
      </c>
      <c r="V921">
        <v>6</v>
      </c>
      <c r="W921" t="s">
        <v>38</v>
      </c>
      <c r="X921" s="1" t="d">
        <v>2014-03-09</v>
      </c>
      <c r="Z921" t="s">
        <v>52</v>
      </c>
      <c r="AA921" t="s">
        <v>40</v>
      </c>
      <c r="AB921">
        <v>2</v>
      </c>
      <c r="AC921">
        <v>0</v>
      </c>
      <c r="AD921" t="s">
        <v>32</v>
      </c>
      <c r="AE921" t="s">
        <v>47</v>
      </c>
      <c r="AF921" t="s">
        <v>48</v>
      </c>
    </row>
    <row r="922" spans="1:32" x14ac:dyDescent="0.25">
      <c r="A922">
        <v>39</v>
      </c>
      <c r="B922" t="s">
        <v>41</v>
      </c>
      <c r="C922" t="s">
        <v>33</v>
      </c>
      <c r="D922" t="s">
        <v>34</v>
      </c>
      <c r="E922">
        <v>10</v>
      </c>
      <c r="F922" t="s">
        <v>35</v>
      </c>
      <c r="G922">
        <v>3</v>
      </c>
      <c r="H922">
        <v>2</v>
      </c>
      <c r="I922" t="s">
        <v>67</v>
      </c>
      <c r="J922">
        <v>1</v>
      </c>
      <c r="K922" t="s">
        <v>50</v>
      </c>
      <c r="L922">
        <v>5377</v>
      </c>
      <c r="M922">
        <v>2</v>
      </c>
      <c r="N922" t="s">
        <v>41</v>
      </c>
      <c r="O922">
        <v>13</v>
      </c>
      <c r="P922">
        <v>3</v>
      </c>
      <c r="Q922">
        <v>3</v>
      </c>
      <c r="R922">
        <v>10</v>
      </c>
      <c r="S922">
        <v>3</v>
      </c>
      <c r="T922">
        <v>7</v>
      </c>
      <c r="U922">
        <v>7</v>
      </c>
      <c r="V922">
        <v>7</v>
      </c>
      <c r="W922" t="s">
        <v>56</v>
      </c>
      <c r="X922" s="1" t="d">
        <v>2014-02-14</v>
      </c>
      <c r="Z922" t="s">
        <v>59</v>
      </c>
      <c r="AA922" t="s">
        <v>46</v>
      </c>
      <c r="AB922">
        <v>5</v>
      </c>
      <c r="AC922">
        <v>3</v>
      </c>
      <c r="AD922" t="s">
        <v>32</v>
      </c>
      <c r="AE922" t="s">
        <v>60</v>
      </c>
      <c r="AF922" t="s">
        <v>48</v>
      </c>
    </row>
    <row r="923" spans="1:32" x14ac:dyDescent="0.25">
      <c r="A923">
        <v>27</v>
      </c>
      <c r="B923" t="s">
        <v>41</v>
      </c>
      <c r="C923" t="s">
        <v>33</v>
      </c>
      <c r="D923" t="s">
        <v>34</v>
      </c>
      <c r="E923">
        <v>19</v>
      </c>
      <c r="F923" t="s">
        <v>35</v>
      </c>
      <c r="G923">
        <v>2</v>
      </c>
      <c r="H923">
        <v>1</v>
      </c>
      <c r="I923" t="s">
        <v>36</v>
      </c>
      <c r="J923">
        <v>1</v>
      </c>
      <c r="K923" t="s">
        <v>55</v>
      </c>
      <c r="L923">
        <v>4066</v>
      </c>
      <c r="M923">
        <v>1</v>
      </c>
      <c r="N923" t="s">
        <v>41</v>
      </c>
      <c r="O923">
        <v>11</v>
      </c>
      <c r="P923">
        <v>3</v>
      </c>
      <c r="Q923">
        <v>2</v>
      </c>
      <c r="R923">
        <v>7</v>
      </c>
      <c r="S923">
        <v>3</v>
      </c>
      <c r="T923">
        <v>7</v>
      </c>
      <c r="U923">
        <v>0</v>
      </c>
      <c r="V923">
        <v>7</v>
      </c>
      <c r="W923" t="s">
        <v>65</v>
      </c>
      <c r="X923" s="1" t="d">
        <v>2014-03-12</v>
      </c>
      <c r="Z923" t="s">
        <v>39</v>
      </c>
      <c r="AA923" t="s">
        <v>40</v>
      </c>
      <c r="AB923">
        <v>3</v>
      </c>
      <c r="AC923">
        <v>2</v>
      </c>
      <c r="AD923" t="s">
        <v>41</v>
      </c>
      <c r="AE923" t="s">
        <v>42</v>
      </c>
      <c r="AF923" t="s">
        <v>57</v>
      </c>
    </row>
    <row r="924" spans="1:32" x14ac:dyDescent="0.25">
      <c r="A924">
        <v>25</v>
      </c>
      <c r="B924" t="s">
        <v>41</v>
      </c>
      <c r="C924" t="s">
        <v>61</v>
      </c>
      <c r="D924" t="s">
        <v>34</v>
      </c>
      <c r="E924">
        <v>2</v>
      </c>
      <c r="F924" t="s">
        <v>35</v>
      </c>
      <c r="G924">
        <v>4</v>
      </c>
      <c r="H924">
        <v>2</v>
      </c>
      <c r="I924" t="s">
        <v>67</v>
      </c>
      <c r="J924">
        <v>3</v>
      </c>
      <c r="K924" t="s">
        <v>55</v>
      </c>
      <c r="L924">
        <v>5206</v>
      </c>
      <c r="M924">
        <v>1</v>
      </c>
      <c r="N924" t="s">
        <v>41</v>
      </c>
      <c r="O924">
        <v>17</v>
      </c>
      <c r="P924">
        <v>3</v>
      </c>
      <c r="Q924">
        <v>2</v>
      </c>
      <c r="R924">
        <v>7</v>
      </c>
      <c r="S924">
        <v>6</v>
      </c>
      <c r="T924">
        <v>7</v>
      </c>
      <c r="U924">
        <v>0</v>
      </c>
      <c r="V924">
        <v>7</v>
      </c>
      <c r="W924" t="s">
        <v>56</v>
      </c>
      <c r="X924" s="1" t="d">
        <v>2014-06-05</v>
      </c>
      <c r="Z924" t="s">
        <v>59</v>
      </c>
      <c r="AA924" t="s">
        <v>40</v>
      </c>
      <c r="AB924">
        <v>5</v>
      </c>
      <c r="AC924">
        <v>3</v>
      </c>
      <c r="AD924" t="s">
        <v>41</v>
      </c>
      <c r="AE924" t="s">
        <v>60</v>
      </c>
      <c r="AF924" t="s">
        <v>48</v>
      </c>
    </row>
    <row r="925" spans="1:32" x14ac:dyDescent="0.25">
      <c r="A925">
        <v>26</v>
      </c>
      <c r="B925" t="s">
        <v>41</v>
      </c>
      <c r="C925" t="s">
        <v>68</v>
      </c>
      <c r="D925" t="s">
        <v>34</v>
      </c>
      <c r="E925">
        <v>7</v>
      </c>
      <c r="F925" t="s">
        <v>35</v>
      </c>
      <c r="G925">
        <v>3</v>
      </c>
      <c r="H925">
        <v>1</v>
      </c>
      <c r="I925" t="s">
        <v>36</v>
      </c>
      <c r="J925">
        <v>4</v>
      </c>
      <c r="K925" t="s">
        <v>37</v>
      </c>
      <c r="L925">
        <v>2570</v>
      </c>
      <c r="M925">
        <v>1</v>
      </c>
      <c r="N925" t="s">
        <v>41</v>
      </c>
      <c r="O925">
        <v>20</v>
      </c>
      <c r="P925">
        <v>4</v>
      </c>
      <c r="Q925">
        <v>0</v>
      </c>
      <c r="R925">
        <v>7</v>
      </c>
      <c r="S925">
        <v>5</v>
      </c>
      <c r="T925">
        <v>7</v>
      </c>
      <c r="U925">
        <v>5</v>
      </c>
      <c r="V925">
        <v>7</v>
      </c>
      <c r="W925" t="s">
        <v>56</v>
      </c>
      <c r="X925" s="1" t="d">
        <v>2014-02-11</v>
      </c>
      <c r="Z925" t="s">
        <v>39</v>
      </c>
      <c r="AA925" t="s">
        <v>40</v>
      </c>
      <c r="AB925">
        <v>3</v>
      </c>
      <c r="AC925">
        <v>1</v>
      </c>
      <c r="AD925" t="s">
        <v>32</v>
      </c>
      <c r="AE925" t="s">
        <v>42</v>
      </c>
      <c r="AF925" t="s">
        <v>48</v>
      </c>
    </row>
    <row r="926" spans="1:32" x14ac:dyDescent="0.25">
      <c r="A926">
        <v>35</v>
      </c>
      <c r="B926" t="s">
        <v>41</v>
      </c>
      <c r="C926" t="s">
        <v>33</v>
      </c>
      <c r="D926" t="s">
        <v>34</v>
      </c>
      <c r="E926">
        <v>27</v>
      </c>
      <c r="F926" t="s">
        <v>35</v>
      </c>
      <c r="G926">
        <v>3</v>
      </c>
      <c r="H926">
        <v>2</v>
      </c>
      <c r="I926" t="s">
        <v>67</v>
      </c>
      <c r="J926">
        <v>3</v>
      </c>
      <c r="K926" t="s">
        <v>50</v>
      </c>
      <c r="L926">
        <v>6883</v>
      </c>
      <c r="M926">
        <v>2</v>
      </c>
      <c r="N926" t="s">
        <v>41</v>
      </c>
      <c r="O926">
        <v>16</v>
      </c>
      <c r="P926">
        <v>3</v>
      </c>
      <c r="Q926">
        <v>1</v>
      </c>
      <c r="R926">
        <v>17</v>
      </c>
      <c r="S926">
        <v>3</v>
      </c>
      <c r="T926">
        <v>7</v>
      </c>
      <c r="U926">
        <v>0</v>
      </c>
      <c r="V926">
        <v>7</v>
      </c>
      <c r="W926" t="s">
        <v>38</v>
      </c>
      <c r="X926" s="1" t="d">
        <v>2014-06-28</v>
      </c>
      <c r="Z926" t="s">
        <v>39</v>
      </c>
      <c r="AA926" t="s">
        <v>40</v>
      </c>
      <c r="AB926">
        <v>2</v>
      </c>
      <c r="AC926">
        <v>3</v>
      </c>
      <c r="AD926" t="s">
        <v>32</v>
      </c>
      <c r="AE926" t="s">
        <v>47</v>
      </c>
      <c r="AF926" t="s">
        <v>43</v>
      </c>
    </row>
    <row r="927" spans="1:32" x14ac:dyDescent="0.25">
      <c r="A927">
        <v>30</v>
      </c>
      <c r="B927" t="s">
        <v>41</v>
      </c>
      <c r="C927" t="s">
        <v>33</v>
      </c>
      <c r="D927" t="s">
        <v>53</v>
      </c>
      <c r="E927">
        <v>15</v>
      </c>
      <c r="F927" t="s">
        <v>35</v>
      </c>
      <c r="G927">
        <v>2</v>
      </c>
      <c r="H927">
        <v>3</v>
      </c>
      <c r="I927" t="s">
        <v>64</v>
      </c>
      <c r="J927">
        <v>1</v>
      </c>
      <c r="K927" t="s">
        <v>55</v>
      </c>
      <c r="L927">
        <v>7140</v>
      </c>
      <c r="M927">
        <v>2</v>
      </c>
      <c r="N927" t="s">
        <v>41</v>
      </c>
      <c r="O927">
        <v>11</v>
      </c>
      <c r="P927">
        <v>3</v>
      </c>
      <c r="Q927">
        <v>1</v>
      </c>
      <c r="R927">
        <v>12</v>
      </c>
      <c r="S927">
        <v>2</v>
      </c>
      <c r="T927">
        <v>7</v>
      </c>
      <c r="U927">
        <v>1</v>
      </c>
      <c r="V927">
        <v>7</v>
      </c>
      <c r="W927" t="s">
        <v>38</v>
      </c>
      <c r="X927" s="1" t="d">
        <v>2014-05-14</v>
      </c>
      <c r="Z927" t="s">
        <v>45</v>
      </c>
      <c r="AA927" t="s">
        <v>40</v>
      </c>
      <c r="AB927">
        <v>3</v>
      </c>
      <c r="AC927">
        <v>3</v>
      </c>
      <c r="AD927" t="s">
        <v>41</v>
      </c>
      <c r="AE927" t="s">
        <v>60</v>
      </c>
      <c r="AF927" t="s">
        <v>57</v>
      </c>
    </row>
    <row r="928" spans="1:32" x14ac:dyDescent="0.25">
      <c r="A928">
        <v>30</v>
      </c>
      <c r="B928" t="s">
        <v>41</v>
      </c>
      <c r="C928" t="s">
        <v>33</v>
      </c>
      <c r="D928" t="s">
        <v>34</v>
      </c>
      <c r="E928">
        <v>16</v>
      </c>
      <c r="F928" t="s">
        <v>35</v>
      </c>
      <c r="G928">
        <v>4</v>
      </c>
      <c r="H928">
        <v>2</v>
      </c>
      <c r="I928" t="s">
        <v>69</v>
      </c>
      <c r="J928">
        <v>3</v>
      </c>
      <c r="K928" t="s">
        <v>50</v>
      </c>
      <c r="L928">
        <v>5294</v>
      </c>
      <c r="M928">
        <v>3</v>
      </c>
      <c r="N928" t="s">
        <v>41</v>
      </c>
      <c r="O928">
        <v>16</v>
      </c>
      <c r="P928">
        <v>3</v>
      </c>
      <c r="Q928">
        <v>1</v>
      </c>
      <c r="R928">
        <v>10</v>
      </c>
      <c r="S928">
        <v>3</v>
      </c>
      <c r="T928">
        <v>7</v>
      </c>
      <c r="U928">
        <v>1</v>
      </c>
      <c r="V928">
        <v>7</v>
      </c>
      <c r="W928" t="s">
        <v>38</v>
      </c>
      <c r="X928" s="1" t="d">
        <v>2014-05-14</v>
      </c>
      <c r="Z928" t="s">
        <v>45</v>
      </c>
      <c r="AA928" t="s">
        <v>40</v>
      </c>
      <c r="AB928">
        <v>4</v>
      </c>
      <c r="AC928">
        <v>1</v>
      </c>
      <c r="AD928" t="s">
        <v>32</v>
      </c>
      <c r="AE928" t="s">
        <v>42</v>
      </c>
      <c r="AF928" t="s">
        <v>48</v>
      </c>
    </row>
    <row r="929" spans="1:32" x14ac:dyDescent="0.25">
      <c r="A929">
        <v>32</v>
      </c>
      <c r="B929" t="s">
        <v>41</v>
      </c>
      <c r="C929" t="s">
        <v>68</v>
      </c>
      <c r="D929" t="s">
        <v>34</v>
      </c>
      <c r="E929">
        <v>5</v>
      </c>
      <c r="F929" t="s">
        <v>35</v>
      </c>
      <c r="G929">
        <v>3</v>
      </c>
      <c r="H929">
        <v>1</v>
      </c>
      <c r="I929" t="s">
        <v>44</v>
      </c>
      <c r="J929">
        <v>2</v>
      </c>
      <c r="K929" t="s">
        <v>37</v>
      </c>
      <c r="L929">
        <v>2718</v>
      </c>
      <c r="M929">
        <v>2</v>
      </c>
      <c r="N929" t="s">
        <v>41</v>
      </c>
      <c r="O929">
        <v>14</v>
      </c>
      <c r="P929">
        <v>3</v>
      </c>
      <c r="Q929">
        <v>0</v>
      </c>
      <c r="R929">
        <v>12</v>
      </c>
      <c r="S929">
        <v>3</v>
      </c>
      <c r="T929">
        <v>7</v>
      </c>
      <c r="U929">
        <v>0</v>
      </c>
      <c r="V929">
        <v>7</v>
      </c>
      <c r="W929" t="s">
        <v>51</v>
      </c>
      <c r="X929" s="1" t="d">
        <v>2014-01-28</v>
      </c>
      <c r="Z929" t="s">
        <v>63</v>
      </c>
      <c r="AA929" t="s">
        <v>46</v>
      </c>
      <c r="AB929">
        <v>4</v>
      </c>
      <c r="AC929">
        <v>1</v>
      </c>
      <c r="AD929" t="s">
        <v>32</v>
      </c>
      <c r="AE929" t="s">
        <v>47</v>
      </c>
      <c r="AF929" t="s">
        <v>57</v>
      </c>
    </row>
    <row r="930" spans="1:32" x14ac:dyDescent="0.25">
      <c r="A930">
        <v>35</v>
      </c>
      <c r="B930" t="s">
        <v>41</v>
      </c>
      <c r="C930" t="s">
        <v>68</v>
      </c>
      <c r="D930" t="s">
        <v>34</v>
      </c>
      <c r="E930">
        <v>2</v>
      </c>
      <c r="F930" t="s">
        <v>35</v>
      </c>
      <c r="G930">
        <v>3</v>
      </c>
      <c r="H930">
        <v>2</v>
      </c>
      <c r="I930" t="s">
        <v>67</v>
      </c>
      <c r="J930">
        <v>4</v>
      </c>
      <c r="K930" t="s">
        <v>55</v>
      </c>
      <c r="L930">
        <v>5762</v>
      </c>
      <c r="M930">
        <v>2</v>
      </c>
      <c r="N930" t="s">
        <v>41</v>
      </c>
      <c r="O930">
        <v>14</v>
      </c>
      <c r="P930">
        <v>3</v>
      </c>
      <c r="Q930">
        <v>1</v>
      </c>
      <c r="R930">
        <v>15</v>
      </c>
      <c r="S930">
        <v>6</v>
      </c>
      <c r="T930">
        <v>7</v>
      </c>
      <c r="U930">
        <v>1</v>
      </c>
      <c r="V930">
        <v>7</v>
      </c>
      <c r="W930" t="s">
        <v>56</v>
      </c>
      <c r="X930" s="1" t="d">
        <v>2014-02-22</v>
      </c>
      <c r="Z930" t="s">
        <v>52</v>
      </c>
      <c r="AA930" t="s">
        <v>46</v>
      </c>
      <c r="AB930">
        <v>3</v>
      </c>
      <c r="AC930">
        <v>1</v>
      </c>
      <c r="AD930" t="s">
        <v>32</v>
      </c>
      <c r="AE930" t="s">
        <v>47</v>
      </c>
      <c r="AF930" t="s">
        <v>48</v>
      </c>
    </row>
    <row r="931" spans="1:32" x14ac:dyDescent="0.25">
      <c r="A931">
        <v>34</v>
      </c>
      <c r="B931" t="s">
        <v>32</v>
      </c>
      <c r="C931" t="s">
        <v>61</v>
      </c>
      <c r="D931" t="s">
        <v>34</v>
      </c>
      <c r="E931">
        <v>9</v>
      </c>
      <c r="F931" t="s">
        <v>35</v>
      </c>
      <c r="G931">
        <v>3</v>
      </c>
      <c r="H931">
        <v>2</v>
      </c>
      <c r="I931" t="s">
        <v>36</v>
      </c>
      <c r="J931">
        <v>1</v>
      </c>
      <c r="K931" t="s">
        <v>50</v>
      </c>
      <c r="L931">
        <v>5346</v>
      </c>
      <c r="M931">
        <v>4</v>
      </c>
      <c r="N931" t="s">
        <v>41</v>
      </c>
      <c r="O931">
        <v>17</v>
      </c>
      <c r="P931">
        <v>3</v>
      </c>
      <c r="Q931">
        <v>1</v>
      </c>
      <c r="R931">
        <v>11</v>
      </c>
      <c r="S931">
        <v>3</v>
      </c>
      <c r="T931">
        <v>7</v>
      </c>
      <c r="U931">
        <v>0</v>
      </c>
      <c r="V931">
        <v>7</v>
      </c>
      <c r="W931" t="s">
        <v>65</v>
      </c>
      <c r="X931" s="1" t="d">
        <v>2014-06-02</v>
      </c>
      <c r="Z931" t="s">
        <v>45</v>
      </c>
      <c r="AA931" t="s">
        <v>46</v>
      </c>
      <c r="AB931">
        <v>2</v>
      </c>
      <c r="AC931">
        <v>3</v>
      </c>
      <c r="AD931" t="s">
        <v>32</v>
      </c>
      <c r="AE931" t="s">
        <v>42</v>
      </c>
      <c r="AF931" t="s">
        <v>43</v>
      </c>
    </row>
    <row r="932" spans="1:32" x14ac:dyDescent="0.25">
      <c r="A932">
        <v>30</v>
      </c>
      <c r="B932" t="s">
        <v>41</v>
      </c>
      <c r="C932" t="s">
        <v>33</v>
      </c>
      <c r="D932" t="s">
        <v>34</v>
      </c>
      <c r="E932">
        <v>10</v>
      </c>
      <c r="F932" t="s">
        <v>58</v>
      </c>
      <c r="G932">
        <v>3</v>
      </c>
      <c r="H932">
        <v>3</v>
      </c>
      <c r="I932" t="s">
        <v>67</v>
      </c>
      <c r="J932">
        <v>3</v>
      </c>
      <c r="K932" t="s">
        <v>37</v>
      </c>
      <c r="L932">
        <v>9667</v>
      </c>
      <c r="M932">
        <v>9</v>
      </c>
      <c r="N932" t="s">
        <v>41</v>
      </c>
      <c r="O932">
        <v>14</v>
      </c>
      <c r="P932">
        <v>3</v>
      </c>
      <c r="Q932">
        <v>0</v>
      </c>
      <c r="R932">
        <v>9</v>
      </c>
      <c r="S932">
        <v>3</v>
      </c>
      <c r="T932">
        <v>7</v>
      </c>
      <c r="U932">
        <v>0</v>
      </c>
      <c r="V932">
        <v>2</v>
      </c>
      <c r="W932" t="s">
        <v>65</v>
      </c>
      <c r="X932" s="1" t="d">
        <v>2014-04-14</v>
      </c>
      <c r="Z932" t="s">
        <v>59</v>
      </c>
      <c r="AA932" t="s">
        <v>46</v>
      </c>
      <c r="AB932">
        <v>3</v>
      </c>
      <c r="AC932">
        <v>3</v>
      </c>
      <c r="AD932" t="s">
        <v>32</v>
      </c>
      <c r="AE932" t="s">
        <v>47</v>
      </c>
      <c r="AF932" t="s">
        <v>48</v>
      </c>
    </row>
    <row r="933" spans="1:32" x14ac:dyDescent="0.25">
      <c r="A933">
        <v>40</v>
      </c>
      <c r="B933" t="s">
        <v>41</v>
      </c>
      <c r="C933" t="s">
        <v>33</v>
      </c>
      <c r="D933" t="s">
        <v>34</v>
      </c>
      <c r="E933">
        <v>12</v>
      </c>
      <c r="F933" t="s">
        <v>58</v>
      </c>
      <c r="G933">
        <v>3</v>
      </c>
      <c r="H933">
        <v>2</v>
      </c>
      <c r="I933" t="s">
        <v>69</v>
      </c>
      <c r="J933">
        <v>1</v>
      </c>
      <c r="K933" t="s">
        <v>55</v>
      </c>
      <c r="L933">
        <v>4448</v>
      </c>
      <c r="M933">
        <v>2</v>
      </c>
      <c r="N933" t="s">
        <v>41</v>
      </c>
      <c r="O933">
        <v>12</v>
      </c>
      <c r="P933">
        <v>3</v>
      </c>
      <c r="Q933">
        <v>1</v>
      </c>
      <c r="R933">
        <v>15</v>
      </c>
      <c r="S933">
        <v>3</v>
      </c>
      <c r="T933">
        <v>7</v>
      </c>
      <c r="U933">
        <v>7</v>
      </c>
      <c r="V933">
        <v>7</v>
      </c>
      <c r="W933" t="s">
        <v>65</v>
      </c>
      <c r="X933" s="1" t="d">
        <v>2014-04-06</v>
      </c>
      <c r="Z933" t="s">
        <v>63</v>
      </c>
      <c r="AA933" t="s">
        <v>46</v>
      </c>
      <c r="AB933">
        <v>3</v>
      </c>
      <c r="AC933">
        <v>3</v>
      </c>
      <c r="AD933" t="s">
        <v>32</v>
      </c>
      <c r="AE933" t="s">
        <v>62</v>
      </c>
      <c r="AF933" t="s">
        <v>43</v>
      </c>
    </row>
    <row r="934" spans="1:32" x14ac:dyDescent="0.25">
      <c r="A934">
        <v>54</v>
      </c>
      <c r="B934" t="s">
        <v>41</v>
      </c>
      <c r="C934" t="s">
        <v>33</v>
      </c>
      <c r="D934" t="s">
        <v>34</v>
      </c>
      <c r="E934">
        <v>7</v>
      </c>
      <c r="F934" t="s">
        <v>58</v>
      </c>
      <c r="G934">
        <v>3</v>
      </c>
      <c r="H934">
        <v>2</v>
      </c>
      <c r="I934" t="s">
        <v>44</v>
      </c>
      <c r="J934">
        <v>4</v>
      </c>
      <c r="K934" t="s">
        <v>50</v>
      </c>
      <c r="L934">
        <v>6854</v>
      </c>
      <c r="M934">
        <v>4</v>
      </c>
      <c r="N934" t="s">
        <v>41</v>
      </c>
      <c r="O934">
        <v>15</v>
      </c>
      <c r="P934">
        <v>3</v>
      </c>
      <c r="Q934">
        <v>1</v>
      </c>
      <c r="R934">
        <v>14</v>
      </c>
      <c r="S934">
        <v>2</v>
      </c>
      <c r="T934">
        <v>7</v>
      </c>
      <c r="U934">
        <v>1</v>
      </c>
      <c r="V934">
        <v>7</v>
      </c>
      <c r="W934" t="s">
        <v>38</v>
      </c>
      <c r="X934" s="1" t="d">
        <v>2014-02-18</v>
      </c>
      <c r="Z934" t="s">
        <v>39</v>
      </c>
      <c r="AA934" t="s">
        <v>46</v>
      </c>
      <c r="AB934">
        <v>1</v>
      </c>
      <c r="AC934">
        <v>3</v>
      </c>
      <c r="AD934" t="s">
        <v>41</v>
      </c>
      <c r="AE934" t="s">
        <v>60</v>
      </c>
      <c r="AF934" t="s">
        <v>48</v>
      </c>
    </row>
    <row r="935" spans="1:32" x14ac:dyDescent="0.25">
      <c r="A935">
        <v>43</v>
      </c>
      <c r="B935" t="s">
        <v>41</v>
      </c>
      <c r="C935" t="s">
        <v>61</v>
      </c>
      <c r="D935" t="s">
        <v>53</v>
      </c>
      <c r="E935">
        <v>2</v>
      </c>
      <c r="F935" t="s">
        <v>35</v>
      </c>
      <c r="G935">
        <v>3</v>
      </c>
      <c r="H935">
        <v>2</v>
      </c>
      <c r="I935" t="s">
        <v>64</v>
      </c>
      <c r="J935">
        <v>4</v>
      </c>
      <c r="K935" t="s">
        <v>50</v>
      </c>
      <c r="L935">
        <v>5675</v>
      </c>
      <c r="M935">
        <v>1</v>
      </c>
      <c r="N935" t="s">
        <v>41</v>
      </c>
      <c r="O935">
        <v>20</v>
      </c>
      <c r="P935">
        <v>4</v>
      </c>
      <c r="Q935">
        <v>1</v>
      </c>
      <c r="R935">
        <v>7</v>
      </c>
      <c r="S935">
        <v>5</v>
      </c>
      <c r="T935">
        <v>7</v>
      </c>
      <c r="U935">
        <v>7</v>
      </c>
      <c r="V935">
        <v>7</v>
      </c>
      <c r="W935" t="s">
        <v>56</v>
      </c>
      <c r="X935" s="1" t="d">
        <v>2014-04-15</v>
      </c>
      <c r="Z935" t="s">
        <v>63</v>
      </c>
      <c r="AA935" t="s">
        <v>40</v>
      </c>
      <c r="AB935">
        <v>2</v>
      </c>
      <c r="AC935">
        <v>3</v>
      </c>
      <c r="AD935" t="s">
        <v>41</v>
      </c>
      <c r="AE935" t="s">
        <v>60</v>
      </c>
      <c r="AF935" t="s">
        <v>43</v>
      </c>
    </row>
    <row r="936" spans="1:32" x14ac:dyDescent="0.25">
      <c r="A936">
        <v>29</v>
      </c>
      <c r="B936" t="s">
        <v>41</v>
      </c>
      <c r="C936" t="s">
        <v>33</v>
      </c>
      <c r="D936" t="s">
        <v>34</v>
      </c>
      <c r="E936">
        <v>29</v>
      </c>
      <c r="F936" t="s">
        <v>35</v>
      </c>
      <c r="G936">
        <v>1</v>
      </c>
      <c r="H936">
        <v>2</v>
      </c>
      <c r="I936" t="s">
        <v>69</v>
      </c>
      <c r="J936">
        <v>3</v>
      </c>
      <c r="K936" t="s">
        <v>55</v>
      </c>
      <c r="L936">
        <v>6384</v>
      </c>
      <c r="M936">
        <v>8</v>
      </c>
      <c r="N936" t="s">
        <v>41</v>
      </c>
      <c r="O936">
        <v>17</v>
      </c>
      <c r="P936">
        <v>3</v>
      </c>
      <c r="Q936">
        <v>2</v>
      </c>
      <c r="R936">
        <v>11</v>
      </c>
      <c r="S936">
        <v>3</v>
      </c>
      <c r="T936">
        <v>7</v>
      </c>
      <c r="U936">
        <v>1</v>
      </c>
      <c r="V936">
        <v>6</v>
      </c>
      <c r="W936" t="s">
        <v>51</v>
      </c>
      <c r="X936" s="1" t="d">
        <v>2014-04-25</v>
      </c>
      <c r="Z936" t="s">
        <v>45</v>
      </c>
      <c r="AA936" t="s">
        <v>46</v>
      </c>
      <c r="AB936">
        <v>0</v>
      </c>
      <c r="AC936">
        <v>1</v>
      </c>
      <c r="AD936" t="s">
        <v>32</v>
      </c>
      <c r="AE936" t="s">
        <v>62</v>
      </c>
      <c r="AF936" t="s">
        <v>43</v>
      </c>
    </row>
    <row r="937" spans="1:32" x14ac:dyDescent="0.25">
      <c r="A937">
        <v>27</v>
      </c>
      <c r="B937" t="s">
        <v>41</v>
      </c>
      <c r="C937" t="s">
        <v>61</v>
      </c>
      <c r="D937" t="s">
        <v>34</v>
      </c>
      <c r="E937">
        <v>15</v>
      </c>
      <c r="F937" t="s">
        <v>58</v>
      </c>
      <c r="G937">
        <v>2</v>
      </c>
      <c r="H937">
        <v>1</v>
      </c>
      <c r="I937" t="s">
        <v>44</v>
      </c>
      <c r="J937">
        <v>1</v>
      </c>
      <c r="K937" t="s">
        <v>50</v>
      </c>
      <c r="L937">
        <v>4774</v>
      </c>
      <c r="M937">
        <v>0</v>
      </c>
      <c r="N937" t="s">
        <v>41</v>
      </c>
      <c r="O937">
        <v>19</v>
      </c>
      <c r="P937">
        <v>3</v>
      </c>
      <c r="Q937">
        <v>1</v>
      </c>
      <c r="R937">
        <v>8</v>
      </c>
      <c r="S937">
        <v>2</v>
      </c>
      <c r="T937">
        <v>7</v>
      </c>
      <c r="U937">
        <v>7</v>
      </c>
      <c r="V937">
        <v>3</v>
      </c>
      <c r="W937" t="s">
        <v>51</v>
      </c>
      <c r="X937" s="1" t="d">
        <v>2014-03-19</v>
      </c>
      <c r="Z937" t="s">
        <v>52</v>
      </c>
      <c r="AA937" t="s">
        <v>46</v>
      </c>
      <c r="AB937">
        <v>2</v>
      </c>
      <c r="AC937">
        <v>1</v>
      </c>
      <c r="AD937" t="s">
        <v>32</v>
      </c>
      <c r="AE937" t="s">
        <v>60</v>
      </c>
      <c r="AF937" t="s">
        <v>48</v>
      </c>
    </row>
    <row r="938" spans="1:32" x14ac:dyDescent="0.25">
      <c r="A938">
        <v>26</v>
      </c>
      <c r="B938" t="s">
        <v>41</v>
      </c>
      <c r="C938" t="s">
        <v>61</v>
      </c>
      <c r="D938" t="s">
        <v>34</v>
      </c>
      <c r="E938">
        <v>6</v>
      </c>
      <c r="F938" t="s">
        <v>35</v>
      </c>
      <c r="G938">
        <v>4</v>
      </c>
      <c r="H938">
        <v>1</v>
      </c>
      <c r="I938" t="s">
        <v>36</v>
      </c>
      <c r="J938">
        <v>4</v>
      </c>
      <c r="K938" t="s">
        <v>50</v>
      </c>
      <c r="L938">
        <v>2544</v>
      </c>
      <c r="M938">
        <v>0</v>
      </c>
      <c r="N938" t="s">
        <v>41</v>
      </c>
      <c r="O938">
        <v>18</v>
      </c>
      <c r="P938">
        <v>3</v>
      </c>
      <c r="Q938">
        <v>1</v>
      </c>
      <c r="R938">
        <v>8</v>
      </c>
      <c r="S938">
        <v>3</v>
      </c>
      <c r="T938">
        <v>7</v>
      </c>
      <c r="U938">
        <v>7</v>
      </c>
      <c r="V938">
        <v>7</v>
      </c>
      <c r="W938" t="s">
        <v>38</v>
      </c>
      <c r="X938" s="1" t="d">
        <v>2014-02-19</v>
      </c>
      <c r="Z938" t="s">
        <v>39</v>
      </c>
      <c r="AA938" t="s">
        <v>46</v>
      </c>
      <c r="AB938">
        <v>5</v>
      </c>
      <c r="AC938">
        <v>0</v>
      </c>
      <c r="AD938" t="s">
        <v>41</v>
      </c>
      <c r="AE938" t="s">
        <v>42</v>
      </c>
      <c r="AF938" t="s">
        <v>57</v>
      </c>
    </row>
    <row r="939" spans="1:32" x14ac:dyDescent="0.25">
      <c r="A939">
        <v>28</v>
      </c>
      <c r="B939" t="s">
        <v>41</v>
      </c>
      <c r="C939" t="s">
        <v>61</v>
      </c>
      <c r="D939" t="s">
        <v>53</v>
      </c>
      <c r="E939">
        <v>1</v>
      </c>
      <c r="F939" t="s">
        <v>35</v>
      </c>
      <c r="G939">
        <v>2</v>
      </c>
      <c r="H939">
        <v>2</v>
      </c>
      <c r="I939" t="s">
        <v>64</v>
      </c>
      <c r="J939">
        <v>4</v>
      </c>
      <c r="K939" t="s">
        <v>50</v>
      </c>
      <c r="L939">
        <v>6834</v>
      </c>
      <c r="M939">
        <v>1</v>
      </c>
      <c r="N939" t="s">
        <v>32</v>
      </c>
      <c r="O939">
        <v>12</v>
      </c>
      <c r="P939">
        <v>3</v>
      </c>
      <c r="Q939">
        <v>1</v>
      </c>
      <c r="R939">
        <v>7</v>
      </c>
      <c r="S939">
        <v>2</v>
      </c>
      <c r="T939">
        <v>7</v>
      </c>
      <c r="U939">
        <v>0</v>
      </c>
      <c r="V939">
        <v>7</v>
      </c>
      <c r="W939" t="s">
        <v>51</v>
      </c>
      <c r="X939" s="1" t="d">
        <v>2014-03-23</v>
      </c>
      <c r="Z939" t="s">
        <v>63</v>
      </c>
      <c r="AA939" t="s">
        <v>46</v>
      </c>
      <c r="AB939">
        <v>2</v>
      </c>
      <c r="AC939">
        <v>0</v>
      </c>
      <c r="AD939" t="s">
        <v>41</v>
      </c>
      <c r="AE939" t="s">
        <v>42</v>
      </c>
      <c r="AF939" t="s">
        <v>48</v>
      </c>
    </row>
    <row r="940" spans="1:32" x14ac:dyDescent="0.25">
      <c r="A940">
        <v>26</v>
      </c>
      <c r="B940" t="s">
        <v>41</v>
      </c>
      <c r="C940" t="s">
        <v>33</v>
      </c>
      <c r="D940" t="s">
        <v>34</v>
      </c>
      <c r="E940">
        <v>1</v>
      </c>
      <c r="F940" t="s">
        <v>35</v>
      </c>
      <c r="G940">
        <v>3</v>
      </c>
      <c r="H940">
        <v>1</v>
      </c>
      <c r="I940" t="s">
        <v>36</v>
      </c>
      <c r="J940">
        <v>1</v>
      </c>
      <c r="K940" t="s">
        <v>37</v>
      </c>
      <c r="L940">
        <v>2867</v>
      </c>
      <c r="M940">
        <v>0</v>
      </c>
      <c r="N940" t="s">
        <v>41</v>
      </c>
      <c r="O940">
        <v>13</v>
      </c>
      <c r="P940">
        <v>3</v>
      </c>
      <c r="Q940">
        <v>0</v>
      </c>
      <c r="R940">
        <v>8</v>
      </c>
      <c r="S940">
        <v>6</v>
      </c>
      <c r="T940">
        <v>7</v>
      </c>
      <c r="U940">
        <v>7</v>
      </c>
      <c r="V940">
        <v>6</v>
      </c>
      <c r="W940" t="s">
        <v>38</v>
      </c>
      <c r="X940" s="1" t="d">
        <v>2014-03-20</v>
      </c>
      <c r="Z940" t="s">
        <v>45</v>
      </c>
      <c r="AA940" t="s">
        <v>40</v>
      </c>
      <c r="AB940">
        <v>1</v>
      </c>
      <c r="AC940">
        <v>0</v>
      </c>
      <c r="AD940" t="s">
        <v>41</v>
      </c>
      <c r="AE940" t="s">
        <v>60</v>
      </c>
      <c r="AF940" t="s">
        <v>57</v>
      </c>
    </row>
    <row r="941" spans="1:32" x14ac:dyDescent="0.25">
      <c r="A941">
        <v>27</v>
      </c>
      <c r="B941" t="s">
        <v>41</v>
      </c>
      <c r="C941" t="s">
        <v>33</v>
      </c>
      <c r="D941" t="s">
        <v>53</v>
      </c>
      <c r="E941">
        <v>9</v>
      </c>
      <c r="F941" t="s">
        <v>35</v>
      </c>
      <c r="G941">
        <v>3</v>
      </c>
      <c r="H941">
        <v>2</v>
      </c>
      <c r="I941" t="s">
        <v>64</v>
      </c>
      <c r="J941">
        <v>4</v>
      </c>
      <c r="K941" t="s">
        <v>37</v>
      </c>
      <c r="L941">
        <v>4105</v>
      </c>
      <c r="M941">
        <v>1</v>
      </c>
      <c r="N941" t="s">
        <v>41</v>
      </c>
      <c r="O941">
        <v>14</v>
      </c>
      <c r="P941">
        <v>3</v>
      </c>
      <c r="Q941">
        <v>0</v>
      </c>
      <c r="R941">
        <v>7</v>
      </c>
      <c r="S941">
        <v>5</v>
      </c>
      <c r="T941">
        <v>7</v>
      </c>
      <c r="U941">
        <v>0</v>
      </c>
      <c r="V941">
        <v>7</v>
      </c>
      <c r="W941" t="s">
        <v>65</v>
      </c>
      <c r="X941" s="1" t="d">
        <v>2014-01-31</v>
      </c>
      <c r="Z941" t="s">
        <v>52</v>
      </c>
      <c r="AA941" t="s">
        <v>40</v>
      </c>
      <c r="AB941">
        <v>4</v>
      </c>
      <c r="AC941">
        <v>1</v>
      </c>
      <c r="AD941" t="s">
        <v>41</v>
      </c>
      <c r="AE941" t="s">
        <v>42</v>
      </c>
      <c r="AF941" t="s">
        <v>57</v>
      </c>
    </row>
    <row r="942" spans="1:32" x14ac:dyDescent="0.25">
      <c r="A942">
        <v>39</v>
      </c>
      <c r="B942" t="s">
        <v>41</v>
      </c>
      <c r="C942" t="s">
        <v>33</v>
      </c>
      <c r="D942" t="s">
        <v>34</v>
      </c>
      <c r="E942">
        <v>24</v>
      </c>
      <c r="F942" t="s">
        <v>35</v>
      </c>
      <c r="G942">
        <v>3</v>
      </c>
      <c r="H942">
        <v>2</v>
      </c>
      <c r="I942" t="s">
        <v>44</v>
      </c>
      <c r="J942">
        <v>4</v>
      </c>
      <c r="K942" t="s">
        <v>37</v>
      </c>
      <c r="L942">
        <v>4108</v>
      </c>
      <c r="M942">
        <v>7</v>
      </c>
      <c r="N942" t="s">
        <v>41</v>
      </c>
      <c r="O942">
        <v>13</v>
      </c>
      <c r="P942">
        <v>3</v>
      </c>
      <c r="Q942">
        <v>0</v>
      </c>
      <c r="R942">
        <v>18</v>
      </c>
      <c r="S942">
        <v>2</v>
      </c>
      <c r="T942">
        <v>7</v>
      </c>
      <c r="U942">
        <v>1</v>
      </c>
      <c r="V942">
        <v>7</v>
      </c>
      <c r="W942" t="s">
        <v>38</v>
      </c>
      <c r="X942" s="1" t="d">
        <v>2014-05-15</v>
      </c>
      <c r="Z942" t="s">
        <v>39</v>
      </c>
      <c r="AA942" t="s">
        <v>40</v>
      </c>
      <c r="AB942">
        <v>2</v>
      </c>
      <c r="AC942">
        <v>0</v>
      </c>
      <c r="AD942" t="s">
        <v>32</v>
      </c>
      <c r="AE942" t="s">
        <v>47</v>
      </c>
      <c r="AF942" t="s">
        <v>43</v>
      </c>
    </row>
    <row r="943" spans="1:32" x14ac:dyDescent="0.25">
      <c r="A943">
        <v>39</v>
      </c>
      <c r="B943" t="s">
        <v>41</v>
      </c>
      <c r="C943" t="s">
        <v>33</v>
      </c>
      <c r="D943" t="s">
        <v>34</v>
      </c>
      <c r="E943">
        <v>6</v>
      </c>
      <c r="F943" t="s">
        <v>35</v>
      </c>
      <c r="G943">
        <v>2</v>
      </c>
      <c r="H943">
        <v>3</v>
      </c>
      <c r="I943" t="s">
        <v>69</v>
      </c>
      <c r="J943">
        <v>1</v>
      </c>
      <c r="K943" t="s">
        <v>50</v>
      </c>
      <c r="L943">
        <v>9991</v>
      </c>
      <c r="M943">
        <v>4</v>
      </c>
      <c r="N943" t="s">
        <v>41</v>
      </c>
      <c r="O943">
        <v>15</v>
      </c>
      <c r="P943">
        <v>3</v>
      </c>
      <c r="Q943">
        <v>1</v>
      </c>
      <c r="R943">
        <v>9</v>
      </c>
      <c r="S943">
        <v>5</v>
      </c>
      <c r="T943">
        <v>7</v>
      </c>
      <c r="U943">
        <v>1</v>
      </c>
      <c r="V943">
        <v>7</v>
      </c>
      <c r="W943" t="s">
        <v>51</v>
      </c>
      <c r="X943" s="1" t="d">
        <v>2014-02-22</v>
      </c>
      <c r="Z943" t="s">
        <v>45</v>
      </c>
      <c r="AA943" t="s">
        <v>40</v>
      </c>
      <c r="AB943">
        <v>5</v>
      </c>
      <c r="AC943">
        <v>2</v>
      </c>
      <c r="AD943" t="s">
        <v>32</v>
      </c>
      <c r="AE943" t="s">
        <v>60</v>
      </c>
      <c r="AF943" t="s">
        <v>57</v>
      </c>
    </row>
    <row r="944" spans="1:32" x14ac:dyDescent="0.25">
      <c r="A944">
        <v>33</v>
      </c>
      <c r="B944" t="s">
        <v>41</v>
      </c>
      <c r="C944" t="s">
        <v>61</v>
      </c>
      <c r="D944" t="s">
        <v>34</v>
      </c>
      <c r="E944">
        <v>3</v>
      </c>
      <c r="F944" t="s">
        <v>58</v>
      </c>
      <c r="G944">
        <v>3</v>
      </c>
      <c r="H944">
        <v>1</v>
      </c>
      <c r="I944" t="s">
        <v>44</v>
      </c>
      <c r="J944">
        <v>3</v>
      </c>
      <c r="K944" t="s">
        <v>50</v>
      </c>
      <c r="L944">
        <v>2909</v>
      </c>
      <c r="M944">
        <v>1</v>
      </c>
      <c r="N944" t="s">
        <v>32</v>
      </c>
      <c r="O944">
        <v>11</v>
      </c>
      <c r="P944">
        <v>3</v>
      </c>
      <c r="Q944">
        <v>0</v>
      </c>
      <c r="R944">
        <v>8</v>
      </c>
      <c r="S944">
        <v>3</v>
      </c>
      <c r="T944">
        <v>8</v>
      </c>
      <c r="U944">
        <v>3</v>
      </c>
      <c r="V944">
        <v>0</v>
      </c>
      <c r="W944" t="s">
        <v>38</v>
      </c>
      <c r="X944" s="1" t="d">
        <v>2013-04-26</v>
      </c>
      <c r="Z944" t="s">
        <v>52</v>
      </c>
      <c r="AA944" t="s">
        <v>46</v>
      </c>
      <c r="AB944">
        <v>2</v>
      </c>
      <c r="AC944">
        <v>0</v>
      </c>
      <c r="AD944" t="s">
        <v>41</v>
      </c>
      <c r="AE944" t="s">
        <v>62</v>
      </c>
      <c r="AF944" t="s">
        <v>43</v>
      </c>
    </row>
    <row r="945" spans="1:32" x14ac:dyDescent="0.25">
      <c r="A945">
        <v>50</v>
      </c>
      <c r="B945" t="s">
        <v>41</v>
      </c>
      <c r="C945" t="s">
        <v>61</v>
      </c>
      <c r="D945" t="s">
        <v>34</v>
      </c>
      <c r="E945">
        <v>1</v>
      </c>
      <c r="F945" t="s">
        <v>58</v>
      </c>
      <c r="G945">
        <v>3</v>
      </c>
      <c r="H945">
        <v>5</v>
      </c>
      <c r="I945" t="s">
        <v>49</v>
      </c>
      <c r="J945">
        <v>2</v>
      </c>
      <c r="K945" t="s">
        <v>50</v>
      </c>
      <c r="L945">
        <v>18172</v>
      </c>
      <c r="M945">
        <v>3</v>
      </c>
      <c r="N945" t="s">
        <v>32</v>
      </c>
      <c r="O945">
        <v>19</v>
      </c>
      <c r="P945">
        <v>3</v>
      </c>
      <c r="Q945">
        <v>0</v>
      </c>
      <c r="R945">
        <v>28</v>
      </c>
      <c r="S945">
        <v>1</v>
      </c>
      <c r="T945">
        <v>8</v>
      </c>
      <c r="U945">
        <v>0</v>
      </c>
      <c r="V945">
        <v>7</v>
      </c>
      <c r="W945" t="s">
        <v>51</v>
      </c>
      <c r="X945" s="1" t="d">
        <v>2013-03-30</v>
      </c>
      <c r="Z945" t="s">
        <v>45</v>
      </c>
      <c r="AA945" t="s">
        <v>46</v>
      </c>
      <c r="AB945">
        <v>5</v>
      </c>
      <c r="AC945">
        <v>3</v>
      </c>
      <c r="AD945" t="s">
        <v>32</v>
      </c>
      <c r="AE945" t="s">
        <v>62</v>
      </c>
      <c r="AF945" t="s">
        <v>57</v>
      </c>
    </row>
    <row r="946" spans="1:32" x14ac:dyDescent="0.25">
      <c r="A946">
        <v>26</v>
      </c>
      <c r="B946" t="s">
        <v>41</v>
      </c>
      <c r="C946" t="s">
        <v>33</v>
      </c>
      <c r="D946" t="s">
        <v>70</v>
      </c>
      <c r="E946">
        <v>25</v>
      </c>
      <c r="F946" t="s">
        <v>58</v>
      </c>
      <c r="G946">
        <v>3</v>
      </c>
      <c r="H946">
        <v>1</v>
      </c>
      <c r="I946" t="s">
        <v>70</v>
      </c>
      <c r="J946">
        <v>3</v>
      </c>
      <c r="K946" t="s">
        <v>50</v>
      </c>
      <c r="L946">
        <v>2942</v>
      </c>
      <c r="M946">
        <v>1</v>
      </c>
      <c r="N946" t="s">
        <v>41</v>
      </c>
      <c r="O946">
        <v>23</v>
      </c>
      <c r="P946">
        <v>4</v>
      </c>
      <c r="Q946">
        <v>1</v>
      </c>
      <c r="R946">
        <v>8</v>
      </c>
      <c r="S946">
        <v>3</v>
      </c>
      <c r="T946">
        <v>8</v>
      </c>
      <c r="U946">
        <v>5</v>
      </c>
      <c r="V946">
        <v>7</v>
      </c>
      <c r="W946" t="s">
        <v>65</v>
      </c>
      <c r="X946" s="1" t="d">
        <v>2013-02-13</v>
      </c>
      <c r="Z946" t="s">
        <v>39</v>
      </c>
      <c r="AA946" t="s">
        <v>40</v>
      </c>
      <c r="AB946">
        <v>0</v>
      </c>
      <c r="AC946">
        <v>2</v>
      </c>
      <c r="AD946" t="s">
        <v>41</v>
      </c>
      <c r="AE946" t="s">
        <v>62</v>
      </c>
      <c r="AF946" t="s">
        <v>48</v>
      </c>
    </row>
    <row r="947" spans="1:32" x14ac:dyDescent="0.25">
      <c r="A947">
        <v>32</v>
      </c>
      <c r="B947" t="s">
        <v>41</v>
      </c>
      <c r="C947" t="s">
        <v>61</v>
      </c>
      <c r="D947" t="s">
        <v>53</v>
      </c>
      <c r="E947">
        <v>9</v>
      </c>
      <c r="F947" t="s">
        <v>35</v>
      </c>
      <c r="G947">
        <v>1</v>
      </c>
      <c r="H947">
        <v>2</v>
      </c>
      <c r="I947" t="s">
        <v>64</v>
      </c>
      <c r="J947">
        <v>4</v>
      </c>
      <c r="K947" t="s">
        <v>55</v>
      </c>
      <c r="L947">
        <v>4668</v>
      </c>
      <c r="M947">
        <v>0</v>
      </c>
      <c r="N947" t="s">
        <v>41</v>
      </c>
      <c r="O947">
        <v>17</v>
      </c>
      <c r="P947">
        <v>3</v>
      </c>
      <c r="Q947">
        <v>3</v>
      </c>
      <c r="R947">
        <v>9</v>
      </c>
      <c r="S947">
        <v>2</v>
      </c>
      <c r="T947">
        <v>8</v>
      </c>
      <c r="U947">
        <v>0</v>
      </c>
      <c r="V947">
        <v>7</v>
      </c>
      <c r="W947" t="s">
        <v>65</v>
      </c>
      <c r="X947" s="1" t="d">
        <v>2013-03-27</v>
      </c>
      <c r="Z947" t="s">
        <v>63</v>
      </c>
      <c r="AA947" t="s">
        <v>40</v>
      </c>
      <c r="AB947">
        <v>5</v>
      </c>
      <c r="AC947">
        <v>3</v>
      </c>
      <c r="AD947" t="s">
        <v>32</v>
      </c>
      <c r="AE947" t="s">
        <v>42</v>
      </c>
      <c r="AF947" t="s">
        <v>57</v>
      </c>
    </row>
    <row r="948" spans="1:32" x14ac:dyDescent="0.25">
      <c r="A948">
        <v>38</v>
      </c>
      <c r="B948" t="s">
        <v>41</v>
      </c>
      <c r="C948" t="s">
        <v>33</v>
      </c>
      <c r="D948" t="s">
        <v>53</v>
      </c>
      <c r="E948">
        <v>1</v>
      </c>
      <c r="F948" t="s">
        <v>58</v>
      </c>
      <c r="G948">
        <v>2</v>
      </c>
      <c r="H948">
        <v>2</v>
      </c>
      <c r="I948" t="s">
        <v>64</v>
      </c>
      <c r="J948">
        <v>4</v>
      </c>
      <c r="K948" t="s">
        <v>37</v>
      </c>
      <c r="L948">
        <v>8686</v>
      </c>
      <c r="M948">
        <v>4</v>
      </c>
      <c r="N948" t="s">
        <v>41</v>
      </c>
      <c r="O948">
        <v>22</v>
      </c>
      <c r="P948">
        <v>4</v>
      </c>
      <c r="Q948">
        <v>0</v>
      </c>
      <c r="R948">
        <v>12</v>
      </c>
      <c r="S948">
        <v>2</v>
      </c>
      <c r="T948">
        <v>8</v>
      </c>
      <c r="U948">
        <v>0</v>
      </c>
      <c r="V948">
        <v>7</v>
      </c>
      <c r="W948" t="s">
        <v>65</v>
      </c>
      <c r="X948" s="1" t="d">
        <v>2013-01-22</v>
      </c>
      <c r="Z948" t="s">
        <v>59</v>
      </c>
      <c r="AA948" t="s">
        <v>46</v>
      </c>
      <c r="AB948">
        <v>0</v>
      </c>
      <c r="AC948">
        <v>1</v>
      </c>
      <c r="AD948" t="s">
        <v>41</v>
      </c>
      <c r="AE948" t="s">
        <v>42</v>
      </c>
      <c r="AF948" t="s">
        <v>43</v>
      </c>
    </row>
    <row r="949" spans="1:32" x14ac:dyDescent="0.25">
      <c r="A949">
        <v>36</v>
      </c>
      <c r="B949" t="s">
        <v>41</v>
      </c>
      <c r="C949" t="s">
        <v>61</v>
      </c>
      <c r="D949" t="s">
        <v>34</v>
      </c>
      <c r="E949">
        <v>3</v>
      </c>
      <c r="F949" t="s">
        <v>35</v>
      </c>
      <c r="G949">
        <v>3</v>
      </c>
      <c r="H949">
        <v>1</v>
      </c>
      <c r="I949" t="s">
        <v>36</v>
      </c>
      <c r="J949">
        <v>2</v>
      </c>
      <c r="K949" t="s">
        <v>37</v>
      </c>
      <c r="L949">
        <v>2088</v>
      </c>
      <c r="M949">
        <v>4</v>
      </c>
      <c r="N949" t="s">
        <v>41</v>
      </c>
      <c r="O949">
        <v>12</v>
      </c>
      <c r="P949">
        <v>3</v>
      </c>
      <c r="Q949">
        <v>0</v>
      </c>
      <c r="R949">
        <v>13</v>
      </c>
      <c r="S949">
        <v>3</v>
      </c>
      <c r="T949">
        <v>8</v>
      </c>
      <c r="U949">
        <v>7</v>
      </c>
      <c r="V949">
        <v>2</v>
      </c>
      <c r="W949" t="s">
        <v>38</v>
      </c>
      <c r="X949" s="1" t="d">
        <v>2013-04-18</v>
      </c>
      <c r="Z949" t="s">
        <v>52</v>
      </c>
      <c r="AA949" t="s">
        <v>46</v>
      </c>
      <c r="AB949">
        <v>5</v>
      </c>
      <c r="AC949">
        <v>1</v>
      </c>
      <c r="AD949" t="s">
        <v>32</v>
      </c>
      <c r="AE949" t="s">
        <v>42</v>
      </c>
      <c r="AF949" t="s">
        <v>57</v>
      </c>
    </row>
    <row r="950" spans="1:32" x14ac:dyDescent="0.25">
      <c r="A950">
        <v>33</v>
      </c>
      <c r="B950" t="s">
        <v>41</v>
      </c>
      <c r="C950" t="s">
        <v>33</v>
      </c>
      <c r="D950" t="s">
        <v>34</v>
      </c>
      <c r="E950">
        <v>14</v>
      </c>
      <c r="F950" t="s">
        <v>58</v>
      </c>
      <c r="G950">
        <v>3</v>
      </c>
      <c r="H950">
        <v>1</v>
      </c>
      <c r="I950" t="s">
        <v>44</v>
      </c>
      <c r="J950">
        <v>2</v>
      </c>
      <c r="K950" t="s">
        <v>50</v>
      </c>
      <c r="L950">
        <v>2756</v>
      </c>
      <c r="M950">
        <v>1</v>
      </c>
      <c r="N950" t="s">
        <v>41</v>
      </c>
      <c r="O950">
        <v>13</v>
      </c>
      <c r="P950">
        <v>3</v>
      </c>
      <c r="Q950">
        <v>1</v>
      </c>
      <c r="R950">
        <v>8</v>
      </c>
      <c r="S950">
        <v>5</v>
      </c>
      <c r="T950">
        <v>8</v>
      </c>
      <c r="U950">
        <v>1</v>
      </c>
      <c r="V950">
        <v>6</v>
      </c>
      <c r="W950" t="s">
        <v>56</v>
      </c>
      <c r="X950" s="1" t="d">
        <v>2013-01-23</v>
      </c>
      <c r="Z950" t="s">
        <v>63</v>
      </c>
      <c r="AA950" t="s">
        <v>40</v>
      </c>
      <c r="AB950">
        <v>4</v>
      </c>
      <c r="AC950">
        <v>1</v>
      </c>
      <c r="AD950" t="s">
        <v>41</v>
      </c>
      <c r="AE950" t="s">
        <v>47</v>
      </c>
      <c r="AF950" t="s">
        <v>43</v>
      </c>
    </row>
    <row r="951" spans="1:32" x14ac:dyDescent="0.25">
      <c r="A951">
        <v>37</v>
      </c>
      <c r="B951" t="s">
        <v>41</v>
      </c>
      <c r="C951" t="s">
        <v>33</v>
      </c>
      <c r="D951" t="s">
        <v>34</v>
      </c>
      <c r="E951">
        <v>21</v>
      </c>
      <c r="F951" t="s">
        <v>35</v>
      </c>
      <c r="G951">
        <v>4</v>
      </c>
      <c r="H951">
        <v>1</v>
      </c>
      <c r="I951" t="s">
        <v>44</v>
      </c>
      <c r="J951">
        <v>1</v>
      </c>
      <c r="K951" t="s">
        <v>50</v>
      </c>
      <c r="L951">
        <v>3564</v>
      </c>
      <c r="M951">
        <v>1</v>
      </c>
      <c r="N951" t="s">
        <v>32</v>
      </c>
      <c r="O951">
        <v>12</v>
      </c>
      <c r="P951">
        <v>3</v>
      </c>
      <c r="Q951">
        <v>1</v>
      </c>
      <c r="R951">
        <v>8</v>
      </c>
      <c r="S951">
        <v>3</v>
      </c>
      <c r="T951">
        <v>8</v>
      </c>
      <c r="U951">
        <v>1</v>
      </c>
      <c r="V951">
        <v>7</v>
      </c>
      <c r="W951" t="s">
        <v>56</v>
      </c>
      <c r="X951" s="1" t="d">
        <v>2013-05-11</v>
      </c>
      <c r="Z951" t="s">
        <v>52</v>
      </c>
      <c r="AA951" t="s">
        <v>40</v>
      </c>
      <c r="AB951">
        <v>3</v>
      </c>
      <c r="AC951">
        <v>0</v>
      </c>
      <c r="AD951" t="s">
        <v>32</v>
      </c>
      <c r="AE951" t="s">
        <v>62</v>
      </c>
      <c r="AF951" t="s">
        <v>57</v>
      </c>
    </row>
    <row r="952" spans="1:32" x14ac:dyDescent="0.25">
      <c r="A952">
        <v>36</v>
      </c>
      <c r="B952" t="s">
        <v>41</v>
      </c>
      <c r="C952" t="s">
        <v>61</v>
      </c>
      <c r="D952" t="s">
        <v>34</v>
      </c>
      <c r="E952">
        <v>18</v>
      </c>
      <c r="F952" t="s">
        <v>58</v>
      </c>
      <c r="G952">
        <v>3</v>
      </c>
      <c r="H952">
        <v>1</v>
      </c>
      <c r="I952" t="s">
        <v>36</v>
      </c>
      <c r="J952">
        <v>4</v>
      </c>
      <c r="K952" t="s">
        <v>37</v>
      </c>
      <c r="L952">
        <v>2153</v>
      </c>
      <c r="M952">
        <v>1</v>
      </c>
      <c r="N952" t="s">
        <v>41</v>
      </c>
      <c r="O952">
        <v>13</v>
      </c>
      <c r="P952">
        <v>3</v>
      </c>
      <c r="Q952">
        <v>0</v>
      </c>
      <c r="R952">
        <v>8</v>
      </c>
      <c r="S952">
        <v>2</v>
      </c>
      <c r="T952">
        <v>8</v>
      </c>
      <c r="U952">
        <v>1</v>
      </c>
      <c r="V952">
        <v>7</v>
      </c>
      <c r="W952" t="s">
        <v>51</v>
      </c>
      <c r="X952" s="1" t="d">
        <v>2013-06-24</v>
      </c>
      <c r="Z952" t="s">
        <v>63</v>
      </c>
      <c r="AA952" t="s">
        <v>40</v>
      </c>
      <c r="AB952">
        <v>4</v>
      </c>
      <c r="AC952">
        <v>3</v>
      </c>
      <c r="AD952" t="s">
        <v>32</v>
      </c>
      <c r="AE952" t="s">
        <v>47</v>
      </c>
      <c r="AF952" t="s">
        <v>48</v>
      </c>
    </row>
    <row r="953" spans="1:32" x14ac:dyDescent="0.25">
      <c r="A953">
        <v>38</v>
      </c>
      <c r="B953" t="s">
        <v>41</v>
      </c>
      <c r="C953" t="s">
        <v>68</v>
      </c>
      <c r="D953" t="s">
        <v>53</v>
      </c>
      <c r="E953">
        <v>2</v>
      </c>
      <c r="F953" t="s">
        <v>35</v>
      </c>
      <c r="G953">
        <v>2</v>
      </c>
      <c r="H953">
        <v>2</v>
      </c>
      <c r="I953" t="s">
        <v>64</v>
      </c>
      <c r="J953">
        <v>4</v>
      </c>
      <c r="K953" t="s">
        <v>50</v>
      </c>
      <c r="L953">
        <v>5249</v>
      </c>
      <c r="M953">
        <v>3</v>
      </c>
      <c r="N953" t="s">
        <v>41</v>
      </c>
      <c r="O953">
        <v>18</v>
      </c>
      <c r="P953">
        <v>3</v>
      </c>
      <c r="Q953">
        <v>1</v>
      </c>
      <c r="R953">
        <v>13</v>
      </c>
      <c r="S953">
        <v>0</v>
      </c>
      <c r="T953">
        <v>8</v>
      </c>
      <c r="U953">
        <v>7</v>
      </c>
      <c r="V953">
        <v>5</v>
      </c>
      <c r="W953" t="s">
        <v>56</v>
      </c>
      <c r="X953" s="1" t="d">
        <v>2013-01-26</v>
      </c>
      <c r="Z953" t="s">
        <v>39</v>
      </c>
      <c r="AA953" t="s">
        <v>46</v>
      </c>
      <c r="AB953">
        <v>1</v>
      </c>
      <c r="AC953">
        <v>0</v>
      </c>
      <c r="AD953" t="s">
        <v>32</v>
      </c>
      <c r="AE953" t="s">
        <v>62</v>
      </c>
      <c r="AF953" t="s">
        <v>48</v>
      </c>
    </row>
    <row r="954" spans="1:32" x14ac:dyDescent="0.25">
      <c r="A954">
        <v>38</v>
      </c>
      <c r="B954" t="s">
        <v>41</v>
      </c>
      <c r="C954" t="s">
        <v>33</v>
      </c>
      <c r="D954" t="s">
        <v>53</v>
      </c>
      <c r="E954">
        <v>7</v>
      </c>
      <c r="F954" t="s">
        <v>58</v>
      </c>
      <c r="G954">
        <v>4</v>
      </c>
      <c r="H954">
        <v>2</v>
      </c>
      <c r="I954" t="s">
        <v>64</v>
      </c>
      <c r="J954">
        <v>1</v>
      </c>
      <c r="K954" t="s">
        <v>55</v>
      </c>
      <c r="L954">
        <v>5605</v>
      </c>
      <c r="M954">
        <v>1</v>
      </c>
      <c r="N954" t="s">
        <v>32</v>
      </c>
      <c r="O954">
        <v>24</v>
      </c>
      <c r="P954">
        <v>4</v>
      </c>
      <c r="Q954">
        <v>1</v>
      </c>
      <c r="R954">
        <v>8</v>
      </c>
      <c r="S954">
        <v>3</v>
      </c>
      <c r="T954">
        <v>8</v>
      </c>
      <c r="U954">
        <v>7</v>
      </c>
      <c r="V954">
        <v>7</v>
      </c>
      <c r="W954" t="s">
        <v>65</v>
      </c>
      <c r="X954" s="1" t="d">
        <v>2013-01-09</v>
      </c>
      <c r="Z954" t="s">
        <v>52</v>
      </c>
      <c r="AA954" t="s">
        <v>46</v>
      </c>
      <c r="AB954">
        <v>5</v>
      </c>
      <c r="AC954">
        <v>3</v>
      </c>
      <c r="AD954" t="s">
        <v>41</v>
      </c>
      <c r="AE954" t="s">
        <v>62</v>
      </c>
      <c r="AF954" t="s">
        <v>43</v>
      </c>
    </row>
    <row r="955" spans="1:32" x14ac:dyDescent="0.25">
      <c r="A955">
        <v>36</v>
      </c>
      <c r="B955" t="s">
        <v>41</v>
      </c>
      <c r="C955" t="s">
        <v>33</v>
      </c>
      <c r="D955" t="s">
        <v>34</v>
      </c>
      <c r="E955">
        <v>3</v>
      </c>
      <c r="F955" t="s">
        <v>35</v>
      </c>
      <c r="G955">
        <v>3</v>
      </c>
      <c r="H955">
        <v>2</v>
      </c>
      <c r="I955" t="s">
        <v>44</v>
      </c>
      <c r="J955">
        <v>2</v>
      </c>
      <c r="K955" t="s">
        <v>37</v>
      </c>
      <c r="L955">
        <v>4485</v>
      </c>
      <c r="M955">
        <v>4</v>
      </c>
      <c r="N955" t="s">
        <v>41</v>
      </c>
      <c r="O955">
        <v>12</v>
      </c>
      <c r="P955">
        <v>3</v>
      </c>
      <c r="Q955">
        <v>0</v>
      </c>
      <c r="R955">
        <v>10</v>
      </c>
      <c r="S955">
        <v>2</v>
      </c>
      <c r="T955">
        <v>8</v>
      </c>
      <c r="U955">
        <v>7</v>
      </c>
      <c r="V955">
        <v>7</v>
      </c>
      <c r="W955" t="s">
        <v>65</v>
      </c>
      <c r="X955" s="1" t="d">
        <v>2013-02-17</v>
      </c>
      <c r="Z955" t="s">
        <v>52</v>
      </c>
      <c r="AA955" t="s">
        <v>46</v>
      </c>
      <c r="AB955">
        <v>5</v>
      </c>
      <c r="AC955">
        <v>2</v>
      </c>
      <c r="AD955" t="s">
        <v>41</v>
      </c>
      <c r="AE955" t="s">
        <v>47</v>
      </c>
      <c r="AF955" t="s">
        <v>57</v>
      </c>
    </row>
    <row r="956" spans="1:32" x14ac:dyDescent="0.25">
      <c r="A956">
        <v>26</v>
      </c>
      <c r="B956" t="s">
        <v>32</v>
      </c>
      <c r="C956" t="s">
        <v>33</v>
      </c>
      <c r="D956" t="s">
        <v>53</v>
      </c>
      <c r="E956">
        <v>4</v>
      </c>
      <c r="F956" t="s">
        <v>35</v>
      </c>
      <c r="G956">
        <v>2</v>
      </c>
      <c r="H956">
        <v>2</v>
      </c>
      <c r="I956" t="s">
        <v>64</v>
      </c>
      <c r="J956">
        <v>4</v>
      </c>
      <c r="K956" t="s">
        <v>37</v>
      </c>
      <c r="L956">
        <v>5828</v>
      </c>
      <c r="M956">
        <v>1</v>
      </c>
      <c r="N956" t="s">
        <v>32</v>
      </c>
      <c r="O956">
        <v>12</v>
      </c>
      <c r="P956">
        <v>3</v>
      </c>
      <c r="Q956">
        <v>0</v>
      </c>
      <c r="R956">
        <v>8</v>
      </c>
      <c r="S956">
        <v>0</v>
      </c>
      <c r="T956">
        <v>8</v>
      </c>
      <c r="U956">
        <v>7</v>
      </c>
      <c r="V956">
        <v>4</v>
      </c>
      <c r="W956" t="s">
        <v>65</v>
      </c>
      <c r="X956" s="1" t="d">
        <v>2013-03-28</v>
      </c>
      <c r="Z956" t="s">
        <v>45</v>
      </c>
      <c r="AA956" t="s">
        <v>46</v>
      </c>
      <c r="AB956">
        <v>3</v>
      </c>
      <c r="AC956">
        <v>3</v>
      </c>
      <c r="AD956" t="s">
        <v>32</v>
      </c>
      <c r="AE956" t="s">
        <v>47</v>
      </c>
      <c r="AF956" t="s">
        <v>48</v>
      </c>
    </row>
    <row r="957" spans="1:32" x14ac:dyDescent="0.25">
      <c r="A957">
        <v>28</v>
      </c>
      <c r="B957" t="s">
        <v>41</v>
      </c>
      <c r="C957" t="s">
        <v>33</v>
      </c>
      <c r="D957" t="s">
        <v>34</v>
      </c>
      <c r="E957">
        <v>16</v>
      </c>
      <c r="F957" t="s">
        <v>35</v>
      </c>
      <c r="G957">
        <v>4</v>
      </c>
      <c r="H957">
        <v>2</v>
      </c>
      <c r="I957" t="s">
        <v>69</v>
      </c>
      <c r="J957">
        <v>1</v>
      </c>
      <c r="K957" t="s">
        <v>37</v>
      </c>
      <c r="L957">
        <v>5661</v>
      </c>
      <c r="M957">
        <v>0</v>
      </c>
      <c r="N957" t="s">
        <v>41</v>
      </c>
      <c r="O957">
        <v>19</v>
      </c>
      <c r="P957">
        <v>3</v>
      </c>
      <c r="Q957">
        <v>0</v>
      </c>
      <c r="R957">
        <v>9</v>
      </c>
      <c r="S957">
        <v>2</v>
      </c>
      <c r="T957">
        <v>8</v>
      </c>
      <c r="U957">
        <v>0</v>
      </c>
      <c r="V957">
        <v>7</v>
      </c>
      <c r="W957" t="s">
        <v>65</v>
      </c>
      <c r="X957" s="1" t="d">
        <v>2013-06-25</v>
      </c>
      <c r="Z957" t="s">
        <v>59</v>
      </c>
      <c r="AA957" t="s">
        <v>40</v>
      </c>
      <c r="AB957">
        <v>2</v>
      </c>
      <c r="AC957">
        <v>2</v>
      </c>
      <c r="AD957" t="s">
        <v>41</v>
      </c>
      <c r="AE957" t="s">
        <v>42</v>
      </c>
      <c r="AF957" t="s">
        <v>48</v>
      </c>
    </row>
    <row r="958" spans="1:32" x14ac:dyDescent="0.25">
      <c r="A958">
        <v>31</v>
      </c>
      <c r="B958" t="s">
        <v>41</v>
      </c>
      <c r="C958" t="s">
        <v>33</v>
      </c>
      <c r="D958" t="s">
        <v>53</v>
      </c>
      <c r="E958">
        <v>7</v>
      </c>
      <c r="F958" t="s">
        <v>35</v>
      </c>
      <c r="G958">
        <v>4</v>
      </c>
      <c r="H958">
        <v>2</v>
      </c>
      <c r="I958" t="s">
        <v>64</v>
      </c>
      <c r="J958">
        <v>4</v>
      </c>
      <c r="K958" t="s">
        <v>50</v>
      </c>
      <c r="L958">
        <v>6929</v>
      </c>
      <c r="M958">
        <v>4</v>
      </c>
      <c r="N958" t="s">
        <v>41</v>
      </c>
      <c r="O958">
        <v>11</v>
      </c>
      <c r="P958">
        <v>3</v>
      </c>
      <c r="Q958">
        <v>1</v>
      </c>
      <c r="R958">
        <v>10</v>
      </c>
      <c r="S958">
        <v>3</v>
      </c>
      <c r="T958">
        <v>8</v>
      </c>
      <c r="U958">
        <v>7</v>
      </c>
      <c r="V958">
        <v>7</v>
      </c>
      <c r="W958" t="s">
        <v>51</v>
      </c>
      <c r="X958" s="1" t="d">
        <v>2013-04-08</v>
      </c>
      <c r="Z958" t="s">
        <v>45</v>
      </c>
      <c r="AA958" t="s">
        <v>46</v>
      </c>
      <c r="AB958">
        <v>2</v>
      </c>
      <c r="AC958">
        <v>2</v>
      </c>
      <c r="AD958" t="s">
        <v>32</v>
      </c>
      <c r="AE958" t="s">
        <v>62</v>
      </c>
      <c r="AF958" t="s">
        <v>57</v>
      </c>
    </row>
    <row r="959" spans="1:32" x14ac:dyDescent="0.25">
      <c r="A959">
        <v>43</v>
      </c>
      <c r="B959" t="s">
        <v>41</v>
      </c>
      <c r="C959" t="s">
        <v>61</v>
      </c>
      <c r="D959" t="s">
        <v>34</v>
      </c>
      <c r="E959">
        <v>10</v>
      </c>
      <c r="F959" t="s">
        <v>58</v>
      </c>
      <c r="G959">
        <v>3</v>
      </c>
      <c r="H959">
        <v>1</v>
      </c>
      <c r="I959" t="s">
        <v>36</v>
      </c>
      <c r="J959">
        <v>4</v>
      </c>
      <c r="K959" t="s">
        <v>37</v>
      </c>
      <c r="L959">
        <v>2455</v>
      </c>
      <c r="M959">
        <v>0</v>
      </c>
      <c r="N959" t="s">
        <v>41</v>
      </c>
      <c r="O959">
        <v>19</v>
      </c>
      <c r="P959">
        <v>3</v>
      </c>
      <c r="Q959">
        <v>0</v>
      </c>
      <c r="R959">
        <v>9</v>
      </c>
      <c r="S959">
        <v>5</v>
      </c>
      <c r="T959">
        <v>8</v>
      </c>
      <c r="U959">
        <v>1</v>
      </c>
      <c r="V959">
        <v>7</v>
      </c>
      <c r="W959" t="s">
        <v>65</v>
      </c>
      <c r="X959" s="1" t="d">
        <v>2013-06-28</v>
      </c>
      <c r="Z959" t="s">
        <v>59</v>
      </c>
      <c r="AA959" t="s">
        <v>46</v>
      </c>
      <c r="AB959">
        <v>0</v>
      </c>
      <c r="AC959">
        <v>1</v>
      </c>
      <c r="AD959" t="s">
        <v>41</v>
      </c>
      <c r="AE959" t="s">
        <v>42</v>
      </c>
      <c r="AF959" t="s">
        <v>48</v>
      </c>
    </row>
    <row r="960" spans="1:32" x14ac:dyDescent="0.25">
      <c r="A960">
        <v>52</v>
      </c>
      <c r="B960" t="s">
        <v>32</v>
      </c>
      <c r="C960" t="s">
        <v>33</v>
      </c>
      <c r="D960" t="s">
        <v>34</v>
      </c>
      <c r="E960">
        <v>8</v>
      </c>
      <c r="F960" t="s">
        <v>35</v>
      </c>
      <c r="G960">
        <v>2</v>
      </c>
      <c r="H960">
        <v>2</v>
      </c>
      <c r="I960" t="s">
        <v>44</v>
      </c>
      <c r="J960">
        <v>2</v>
      </c>
      <c r="K960" t="s">
        <v>50</v>
      </c>
      <c r="L960">
        <v>4941</v>
      </c>
      <c r="M960">
        <v>2</v>
      </c>
      <c r="N960" t="s">
        <v>41</v>
      </c>
      <c r="O960">
        <v>15</v>
      </c>
      <c r="P960">
        <v>3</v>
      </c>
      <c r="Q960">
        <v>0</v>
      </c>
      <c r="R960">
        <v>11</v>
      </c>
      <c r="S960">
        <v>3</v>
      </c>
      <c r="T960">
        <v>8</v>
      </c>
      <c r="U960">
        <v>7</v>
      </c>
      <c r="V960">
        <v>7</v>
      </c>
      <c r="W960" t="s">
        <v>65</v>
      </c>
      <c r="X960" s="1" t="d">
        <v>2013-04-25</v>
      </c>
      <c r="Z960" t="s">
        <v>52</v>
      </c>
      <c r="AA960" t="s">
        <v>40</v>
      </c>
      <c r="AB960">
        <v>5</v>
      </c>
      <c r="AC960">
        <v>2</v>
      </c>
      <c r="AD960" t="s">
        <v>41</v>
      </c>
      <c r="AE960" t="s">
        <v>42</v>
      </c>
      <c r="AF960" t="s">
        <v>43</v>
      </c>
    </row>
    <row r="961" spans="1:32" x14ac:dyDescent="0.25">
      <c r="A961">
        <v>27</v>
      </c>
      <c r="B961" t="s">
        <v>41</v>
      </c>
      <c r="C961" t="s">
        <v>33</v>
      </c>
      <c r="D961" t="s">
        <v>53</v>
      </c>
      <c r="E961">
        <v>8</v>
      </c>
      <c r="F961" t="s">
        <v>58</v>
      </c>
      <c r="G961">
        <v>3</v>
      </c>
      <c r="H961">
        <v>2</v>
      </c>
      <c r="I961" t="s">
        <v>64</v>
      </c>
      <c r="J961">
        <v>2</v>
      </c>
      <c r="K961" t="s">
        <v>50</v>
      </c>
      <c r="L961">
        <v>6214</v>
      </c>
      <c r="M961">
        <v>1</v>
      </c>
      <c r="N961" t="s">
        <v>41</v>
      </c>
      <c r="O961">
        <v>18</v>
      </c>
      <c r="P961">
        <v>3</v>
      </c>
      <c r="Q961">
        <v>1</v>
      </c>
      <c r="R961">
        <v>8</v>
      </c>
      <c r="S961">
        <v>3</v>
      </c>
      <c r="T961">
        <v>8</v>
      </c>
      <c r="U961">
        <v>0</v>
      </c>
      <c r="V961">
        <v>7</v>
      </c>
      <c r="W961" t="s">
        <v>56</v>
      </c>
      <c r="X961" s="1" t="d">
        <v>2013-04-04</v>
      </c>
      <c r="Z961" t="s">
        <v>63</v>
      </c>
      <c r="AA961" t="s">
        <v>40</v>
      </c>
      <c r="AB961">
        <v>5</v>
      </c>
      <c r="AC961">
        <v>2</v>
      </c>
      <c r="AD961" t="s">
        <v>32</v>
      </c>
      <c r="AE961" t="s">
        <v>62</v>
      </c>
      <c r="AF961" t="s">
        <v>48</v>
      </c>
    </row>
    <row r="962" spans="1:32" x14ac:dyDescent="0.25">
      <c r="A962">
        <v>32</v>
      </c>
      <c r="B962" t="s">
        <v>41</v>
      </c>
      <c r="C962" t="s">
        <v>33</v>
      </c>
      <c r="D962" t="s">
        <v>34</v>
      </c>
      <c r="E962">
        <v>2</v>
      </c>
      <c r="F962" t="s">
        <v>58</v>
      </c>
      <c r="G962">
        <v>3</v>
      </c>
      <c r="H962">
        <v>1</v>
      </c>
      <c r="I962" t="s">
        <v>36</v>
      </c>
      <c r="J962">
        <v>2</v>
      </c>
      <c r="K962" t="s">
        <v>50</v>
      </c>
      <c r="L962">
        <v>2370</v>
      </c>
      <c r="M962">
        <v>1</v>
      </c>
      <c r="N962" t="s">
        <v>41</v>
      </c>
      <c r="O962">
        <v>13</v>
      </c>
      <c r="P962">
        <v>3</v>
      </c>
      <c r="Q962">
        <v>1</v>
      </c>
      <c r="R962">
        <v>8</v>
      </c>
      <c r="S962">
        <v>4</v>
      </c>
      <c r="T962">
        <v>8</v>
      </c>
      <c r="U962">
        <v>0</v>
      </c>
      <c r="V962">
        <v>7</v>
      </c>
      <c r="W962" t="s">
        <v>56</v>
      </c>
      <c r="X962" s="1" t="d">
        <v>2013-03-25</v>
      </c>
      <c r="Z962" t="s">
        <v>63</v>
      </c>
      <c r="AA962" t="s">
        <v>40</v>
      </c>
      <c r="AB962">
        <v>3</v>
      </c>
      <c r="AC962">
        <v>1</v>
      </c>
      <c r="AD962" t="s">
        <v>32</v>
      </c>
      <c r="AE962" t="s">
        <v>60</v>
      </c>
      <c r="AF962" t="s">
        <v>48</v>
      </c>
    </row>
    <row r="963" spans="1:32" x14ac:dyDescent="0.25">
      <c r="A963">
        <v>26</v>
      </c>
      <c r="B963" t="s">
        <v>41</v>
      </c>
      <c r="C963" t="s">
        <v>33</v>
      </c>
      <c r="D963" t="s">
        <v>53</v>
      </c>
      <c r="E963">
        <v>1</v>
      </c>
      <c r="F963" t="s">
        <v>35</v>
      </c>
      <c r="G963">
        <v>3</v>
      </c>
      <c r="H963">
        <v>2</v>
      </c>
      <c r="I963" t="s">
        <v>64</v>
      </c>
      <c r="J963">
        <v>3</v>
      </c>
      <c r="K963" t="s">
        <v>50</v>
      </c>
      <c r="L963">
        <v>5296</v>
      </c>
      <c r="M963">
        <v>1</v>
      </c>
      <c r="N963" t="s">
        <v>41</v>
      </c>
      <c r="O963">
        <v>17</v>
      </c>
      <c r="P963">
        <v>3</v>
      </c>
      <c r="Q963">
        <v>1</v>
      </c>
      <c r="R963">
        <v>8</v>
      </c>
      <c r="S963">
        <v>3</v>
      </c>
      <c r="T963">
        <v>8</v>
      </c>
      <c r="U963">
        <v>7</v>
      </c>
      <c r="V963">
        <v>7</v>
      </c>
      <c r="W963" t="s">
        <v>56</v>
      </c>
      <c r="X963" s="1" t="d">
        <v>2013-05-13</v>
      </c>
      <c r="Z963" t="s">
        <v>52</v>
      </c>
      <c r="AA963" t="s">
        <v>46</v>
      </c>
      <c r="AB963">
        <v>0</v>
      </c>
      <c r="AC963">
        <v>2</v>
      </c>
      <c r="AD963" t="s">
        <v>32</v>
      </c>
      <c r="AE963" t="s">
        <v>62</v>
      </c>
      <c r="AF963" t="s">
        <v>43</v>
      </c>
    </row>
    <row r="964" spans="1:32" x14ac:dyDescent="0.25">
      <c r="A964">
        <v>41</v>
      </c>
      <c r="B964" t="s">
        <v>32</v>
      </c>
      <c r="C964" t="s">
        <v>61</v>
      </c>
      <c r="D964" t="s">
        <v>53</v>
      </c>
      <c r="E964">
        <v>4</v>
      </c>
      <c r="F964" t="s">
        <v>35</v>
      </c>
      <c r="G964">
        <v>3</v>
      </c>
      <c r="H964">
        <v>2</v>
      </c>
      <c r="I964" t="s">
        <v>64</v>
      </c>
      <c r="J964">
        <v>2</v>
      </c>
      <c r="K964" t="s">
        <v>37</v>
      </c>
      <c r="L964">
        <v>9355</v>
      </c>
      <c r="M964">
        <v>1</v>
      </c>
      <c r="N964" t="s">
        <v>41</v>
      </c>
      <c r="O964">
        <v>18</v>
      </c>
      <c r="P964">
        <v>3</v>
      </c>
      <c r="Q964">
        <v>0</v>
      </c>
      <c r="R964">
        <v>8</v>
      </c>
      <c r="S964">
        <v>5</v>
      </c>
      <c r="T964">
        <v>8</v>
      </c>
      <c r="U964">
        <v>7</v>
      </c>
      <c r="V964">
        <v>7</v>
      </c>
      <c r="W964" t="s">
        <v>56</v>
      </c>
      <c r="X964" s="1" t="d">
        <v>2013-03-26</v>
      </c>
      <c r="Z964" t="s">
        <v>45</v>
      </c>
      <c r="AA964" t="s">
        <v>46</v>
      </c>
      <c r="AB964">
        <v>1</v>
      </c>
      <c r="AC964">
        <v>1</v>
      </c>
      <c r="AD964" t="s">
        <v>32</v>
      </c>
      <c r="AE964" t="s">
        <v>42</v>
      </c>
      <c r="AF964" t="s">
        <v>48</v>
      </c>
    </row>
    <row r="965" spans="1:32" x14ac:dyDescent="0.25">
      <c r="A965">
        <v>35</v>
      </c>
      <c r="B965" t="s">
        <v>41</v>
      </c>
      <c r="C965" t="s">
        <v>33</v>
      </c>
      <c r="D965" t="s">
        <v>34</v>
      </c>
      <c r="E965">
        <v>16</v>
      </c>
      <c r="F965" t="s">
        <v>35</v>
      </c>
      <c r="G965">
        <v>3</v>
      </c>
      <c r="H965">
        <v>3</v>
      </c>
      <c r="I965" t="s">
        <v>69</v>
      </c>
      <c r="J965">
        <v>3</v>
      </c>
      <c r="K965" t="s">
        <v>50</v>
      </c>
      <c r="L965">
        <v>7632</v>
      </c>
      <c r="M965">
        <v>4</v>
      </c>
      <c r="N965" t="s">
        <v>32</v>
      </c>
      <c r="O965">
        <v>12</v>
      </c>
      <c r="P965">
        <v>3</v>
      </c>
      <c r="Q965">
        <v>0</v>
      </c>
      <c r="R965">
        <v>10</v>
      </c>
      <c r="S965">
        <v>2</v>
      </c>
      <c r="T965">
        <v>8</v>
      </c>
      <c r="U965">
        <v>0</v>
      </c>
      <c r="V965">
        <v>0</v>
      </c>
      <c r="W965" t="s">
        <v>38</v>
      </c>
      <c r="X965" s="1" t="d">
        <v>2013-03-13</v>
      </c>
      <c r="Z965" t="s">
        <v>39</v>
      </c>
      <c r="AA965" t="s">
        <v>46</v>
      </c>
      <c r="AB965">
        <v>2</v>
      </c>
      <c r="AC965">
        <v>1</v>
      </c>
      <c r="AD965" t="s">
        <v>32</v>
      </c>
      <c r="AE965" t="s">
        <v>62</v>
      </c>
      <c r="AF965" t="s">
        <v>48</v>
      </c>
    </row>
    <row r="966" spans="1:32" x14ac:dyDescent="0.25">
      <c r="A966">
        <v>39</v>
      </c>
      <c r="B966" t="s">
        <v>41</v>
      </c>
      <c r="C966" t="s">
        <v>61</v>
      </c>
      <c r="D966" t="s">
        <v>34</v>
      </c>
      <c r="E966">
        <v>8</v>
      </c>
      <c r="F966" t="s">
        <v>58</v>
      </c>
      <c r="G966">
        <v>3</v>
      </c>
      <c r="H966">
        <v>1</v>
      </c>
      <c r="I966" t="s">
        <v>36</v>
      </c>
      <c r="J966">
        <v>3</v>
      </c>
      <c r="K966" t="s">
        <v>50</v>
      </c>
      <c r="L966">
        <v>3755</v>
      </c>
      <c r="M966">
        <v>1</v>
      </c>
      <c r="N966" t="s">
        <v>41</v>
      </c>
      <c r="O966">
        <v>11</v>
      </c>
      <c r="P966">
        <v>3</v>
      </c>
      <c r="Q966">
        <v>1</v>
      </c>
      <c r="R966">
        <v>8</v>
      </c>
      <c r="S966">
        <v>3</v>
      </c>
      <c r="T966">
        <v>8</v>
      </c>
      <c r="U966">
        <v>0</v>
      </c>
      <c r="V966">
        <v>7</v>
      </c>
      <c r="W966" t="s">
        <v>51</v>
      </c>
      <c r="X966" s="1" t="d">
        <v>2013-04-25</v>
      </c>
      <c r="Z966" t="s">
        <v>59</v>
      </c>
      <c r="AA966" t="s">
        <v>40</v>
      </c>
      <c r="AB966">
        <v>1</v>
      </c>
      <c r="AC966">
        <v>3</v>
      </c>
      <c r="AD966" t="s">
        <v>32</v>
      </c>
      <c r="AE966" t="s">
        <v>62</v>
      </c>
      <c r="AF966" t="s">
        <v>57</v>
      </c>
    </row>
    <row r="967" spans="1:32" x14ac:dyDescent="0.25">
      <c r="A967">
        <v>45</v>
      </c>
      <c r="B967" t="s">
        <v>41</v>
      </c>
      <c r="C967" t="s">
        <v>33</v>
      </c>
      <c r="D967" t="s">
        <v>53</v>
      </c>
      <c r="E967">
        <v>2</v>
      </c>
      <c r="F967" t="s">
        <v>35</v>
      </c>
      <c r="G967">
        <v>3</v>
      </c>
      <c r="H967">
        <v>2</v>
      </c>
      <c r="I967" t="s">
        <v>64</v>
      </c>
      <c r="J967">
        <v>2</v>
      </c>
      <c r="K967" t="s">
        <v>50</v>
      </c>
      <c r="L967">
        <v>4805</v>
      </c>
      <c r="M967">
        <v>0</v>
      </c>
      <c r="N967" t="s">
        <v>41</v>
      </c>
      <c r="O967">
        <v>19</v>
      </c>
      <c r="P967">
        <v>3</v>
      </c>
      <c r="Q967">
        <v>1</v>
      </c>
      <c r="R967">
        <v>9</v>
      </c>
      <c r="S967">
        <v>3</v>
      </c>
      <c r="T967">
        <v>8</v>
      </c>
      <c r="U967">
        <v>3</v>
      </c>
      <c r="V967">
        <v>7</v>
      </c>
      <c r="W967" t="s">
        <v>51</v>
      </c>
      <c r="X967" s="1" t="d">
        <v>2013-01-20</v>
      </c>
      <c r="Z967" t="s">
        <v>63</v>
      </c>
      <c r="AA967" t="s">
        <v>46</v>
      </c>
      <c r="AB967">
        <v>5</v>
      </c>
      <c r="AC967">
        <v>3</v>
      </c>
      <c r="AD967" t="s">
        <v>32</v>
      </c>
      <c r="AE967" t="s">
        <v>42</v>
      </c>
      <c r="AF967" t="s">
        <v>57</v>
      </c>
    </row>
    <row r="968" spans="1:32" x14ac:dyDescent="0.25">
      <c r="A968">
        <v>41</v>
      </c>
      <c r="B968" t="s">
        <v>41</v>
      </c>
      <c r="C968" t="s">
        <v>68</v>
      </c>
      <c r="D968" t="s">
        <v>34</v>
      </c>
      <c r="E968">
        <v>2</v>
      </c>
      <c r="F968" t="s">
        <v>58</v>
      </c>
      <c r="G968">
        <v>2</v>
      </c>
      <c r="H968">
        <v>2</v>
      </c>
      <c r="I968" t="s">
        <v>69</v>
      </c>
      <c r="J968">
        <v>3</v>
      </c>
      <c r="K968" t="s">
        <v>37</v>
      </c>
      <c r="L968">
        <v>6811</v>
      </c>
      <c r="M968">
        <v>2</v>
      </c>
      <c r="N968" t="s">
        <v>32</v>
      </c>
      <c r="O968">
        <v>17</v>
      </c>
      <c r="P968">
        <v>3</v>
      </c>
      <c r="Q968">
        <v>0</v>
      </c>
      <c r="R968">
        <v>10</v>
      </c>
      <c r="S968">
        <v>3</v>
      </c>
      <c r="T968">
        <v>8</v>
      </c>
      <c r="U968">
        <v>0</v>
      </c>
      <c r="V968">
        <v>7</v>
      </c>
      <c r="W968" t="s">
        <v>38</v>
      </c>
      <c r="X968" s="1" t="d">
        <v>2013-02-13</v>
      </c>
      <c r="Z968" t="s">
        <v>63</v>
      </c>
      <c r="AA968" t="s">
        <v>40</v>
      </c>
      <c r="AB968">
        <v>3</v>
      </c>
      <c r="AC968">
        <v>0</v>
      </c>
      <c r="AD968" t="s">
        <v>41</v>
      </c>
      <c r="AE968" t="s">
        <v>42</v>
      </c>
      <c r="AF968" t="s">
        <v>57</v>
      </c>
    </row>
    <row r="969" spans="1:32" x14ac:dyDescent="0.25">
      <c r="A969">
        <v>43</v>
      </c>
      <c r="B969" t="s">
        <v>41</v>
      </c>
      <c r="C969" t="s">
        <v>61</v>
      </c>
      <c r="D969" t="s">
        <v>34</v>
      </c>
      <c r="E969">
        <v>9</v>
      </c>
      <c r="F969" t="s">
        <v>35</v>
      </c>
      <c r="G969">
        <v>3</v>
      </c>
      <c r="H969">
        <v>2</v>
      </c>
      <c r="I969" t="s">
        <v>36</v>
      </c>
      <c r="J969">
        <v>3</v>
      </c>
      <c r="K969" t="s">
        <v>55</v>
      </c>
      <c r="L969">
        <v>5679</v>
      </c>
      <c r="M969">
        <v>3</v>
      </c>
      <c r="N969" t="s">
        <v>32</v>
      </c>
      <c r="O969">
        <v>13</v>
      </c>
      <c r="P969">
        <v>3</v>
      </c>
      <c r="Q969">
        <v>1</v>
      </c>
      <c r="R969">
        <v>10</v>
      </c>
      <c r="S969">
        <v>3</v>
      </c>
      <c r="T969">
        <v>8</v>
      </c>
      <c r="U969">
        <v>4</v>
      </c>
      <c r="V969">
        <v>7</v>
      </c>
      <c r="W969" t="s">
        <v>56</v>
      </c>
      <c r="X969" s="1" t="d">
        <v>2013-02-24</v>
      </c>
      <c r="Z969" t="s">
        <v>39</v>
      </c>
      <c r="AA969" t="s">
        <v>46</v>
      </c>
      <c r="AB969">
        <v>4</v>
      </c>
      <c r="AC969">
        <v>2</v>
      </c>
      <c r="AD969" t="s">
        <v>41</v>
      </c>
      <c r="AE969" t="s">
        <v>60</v>
      </c>
      <c r="AF969" t="s">
        <v>48</v>
      </c>
    </row>
    <row r="970" spans="1:32" x14ac:dyDescent="0.25">
      <c r="A970">
        <v>34</v>
      </c>
      <c r="B970" t="s">
        <v>41</v>
      </c>
      <c r="C970" t="s">
        <v>33</v>
      </c>
      <c r="D970" t="s">
        <v>53</v>
      </c>
      <c r="E970">
        <v>14</v>
      </c>
      <c r="F970" t="s">
        <v>58</v>
      </c>
      <c r="G970">
        <v>3</v>
      </c>
      <c r="H970">
        <v>1</v>
      </c>
      <c r="I970" t="s">
        <v>54</v>
      </c>
      <c r="J970">
        <v>3</v>
      </c>
      <c r="K970" t="s">
        <v>55</v>
      </c>
      <c r="L970">
        <v>2579</v>
      </c>
      <c r="M970">
        <v>1</v>
      </c>
      <c r="N970" t="s">
        <v>32</v>
      </c>
      <c r="O970">
        <v>18</v>
      </c>
      <c r="P970">
        <v>3</v>
      </c>
      <c r="Q970">
        <v>2</v>
      </c>
      <c r="R970">
        <v>8</v>
      </c>
      <c r="S970">
        <v>3</v>
      </c>
      <c r="T970">
        <v>8</v>
      </c>
      <c r="U970">
        <v>0</v>
      </c>
      <c r="V970">
        <v>6</v>
      </c>
      <c r="W970" t="s">
        <v>56</v>
      </c>
      <c r="X970" s="1" t="d">
        <v>2013-01-24</v>
      </c>
      <c r="Z970" t="s">
        <v>59</v>
      </c>
      <c r="AA970" t="s">
        <v>46</v>
      </c>
      <c r="AB970">
        <v>3</v>
      </c>
      <c r="AC970">
        <v>0</v>
      </c>
      <c r="AD970" t="s">
        <v>32</v>
      </c>
      <c r="AE970" t="s">
        <v>62</v>
      </c>
      <c r="AF970" t="s">
        <v>48</v>
      </c>
    </row>
    <row r="971" spans="1:32" x14ac:dyDescent="0.25">
      <c r="A971">
        <v>34</v>
      </c>
      <c r="B971" t="s">
        <v>41</v>
      </c>
      <c r="C971" t="s">
        <v>33</v>
      </c>
      <c r="D971" t="s">
        <v>34</v>
      </c>
      <c r="E971">
        <v>9</v>
      </c>
      <c r="F971" t="s">
        <v>58</v>
      </c>
      <c r="G971">
        <v>2</v>
      </c>
      <c r="H971">
        <v>3</v>
      </c>
      <c r="I971" t="s">
        <v>69</v>
      </c>
      <c r="J971">
        <v>2</v>
      </c>
      <c r="K971" t="s">
        <v>37</v>
      </c>
      <c r="L971">
        <v>8621</v>
      </c>
      <c r="M971">
        <v>1</v>
      </c>
      <c r="N971" t="s">
        <v>41</v>
      </c>
      <c r="O971">
        <v>14</v>
      </c>
      <c r="P971">
        <v>3</v>
      </c>
      <c r="Q971">
        <v>0</v>
      </c>
      <c r="R971">
        <v>9</v>
      </c>
      <c r="S971">
        <v>3</v>
      </c>
      <c r="T971">
        <v>8</v>
      </c>
      <c r="U971">
        <v>7</v>
      </c>
      <c r="V971">
        <v>7</v>
      </c>
      <c r="W971" t="s">
        <v>38</v>
      </c>
      <c r="X971" s="1" t="d">
        <v>2013-05-02</v>
      </c>
      <c r="Z971" t="s">
        <v>63</v>
      </c>
      <c r="AA971" t="s">
        <v>46</v>
      </c>
      <c r="AB971">
        <v>0</v>
      </c>
      <c r="AC971">
        <v>2</v>
      </c>
      <c r="AD971" t="s">
        <v>32</v>
      </c>
      <c r="AE971" t="s">
        <v>47</v>
      </c>
      <c r="AF971" t="s">
        <v>43</v>
      </c>
    </row>
    <row r="972" spans="1:32" x14ac:dyDescent="0.25">
      <c r="A972">
        <v>36</v>
      </c>
      <c r="B972" t="s">
        <v>41</v>
      </c>
      <c r="C972" t="s">
        <v>68</v>
      </c>
      <c r="D972" t="s">
        <v>34</v>
      </c>
      <c r="E972">
        <v>8</v>
      </c>
      <c r="F972" t="s">
        <v>58</v>
      </c>
      <c r="G972">
        <v>4</v>
      </c>
      <c r="H972">
        <v>3</v>
      </c>
      <c r="I972" t="s">
        <v>49</v>
      </c>
      <c r="J972">
        <v>1</v>
      </c>
      <c r="K972" t="s">
        <v>50</v>
      </c>
      <c r="L972">
        <v>11713</v>
      </c>
      <c r="M972">
        <v>9</v>
      </c>
      <c r="N972" t="s">
        <v>41</v>
      </c>
      <c r="O972">
        <v>14</v>
      </c>
      <c r="P972">
        <v>3</v>
      </c>
      <c r="Q972">
        <v>1</v>
      </c>
      <c r="R972">
        <v>10</v>
      </c>
      <c r="S972">
        <v>2</v>
      </c>
      <c r="T972">
        <v>8</v>
      </c>
      <c r="U972">
        <v>0</v>
      </c>
      <c r="V972">
        <v>5</v>
      </c>
      <c r="W972" t="s">
        <v>38</v>
      </c>
      <c r="X972" s="1" t="d">
        <v>2013-03-17</v>
      </c>
      <c r="Z972" t="s">
        <v>52</v>
      </c>
      <c r="AA972" t="s">
        <v>40</v>
      </c>
      <c r="AB972">
        <v>1</v>
      </c>
      <c r="AC972">
        <v>0</v>
      </c>
      <c r="AD972" t="s">
        <v>32</v>
      </c>
      <c r="AE972" t="s">
        <v>47</v>
      </c>
      <c r="AF972" t="s">
        <v>43</v>
      </c>
    </row>
    <row r="973" spans="1:32" x14ac:dyDescent="0.25">
      <c r="A973">
        <v>30</v>
      </c>
      <c r="B973" t="s">
        <v>41</v>
      </c>
      <c r="C973" t="s">
        <v>33</v>
      </c>
      <c r="D973" t="s">
        <v>53</v>
      </c>
      <c r="E973">
        <v>27</v>
      </c>
      <c r="F973" t="s">
        <v>35</v>
      </c>
      <c r="G973">
        <v>3</v>
      </c>
      <c r="H973">
        <v>2</v>
      </c>
      <c r="I973" t="s">
        <v>64</v>
      </c>
      <c r="J973">
        <v>4</v>
      </c>
      <c r="K973" t="s">
        <v>55</v>
      </c>
      <c r="L973">
        <v>5304</v>
      </c>
      <c r="M973">
        <v>7</v>
      </c>
      <c r="N973" t="s">
        <v>41</v>
      </c>
      <c r="O973">
        <v>23</v>
      </c>
      <c r="P973">
        <v>4</v>
      </c>
      <c r="Q973">
        <v>1</v>
      </c>
      <c r="R973">
        <v>10</v>
      </c>
      <c r="S973">
        <v>2</v>
      </c>
      <c r="T973">
        <v>8</v>
      </c>
      <c r="U973">
        <v>7</v>
      </c>
      <c r="V973">
        <v>7</v>
      </c>
      <c r="W973" t="s">
        <v>38</v>
      </c>
      <c r="X973" s="1" t="d">
        <v>2013-03-31</v>
      </c>
      <c r="Z973" t="s">
        <v>52</v>
      </c>
      <c r="AA973" t="s">
        <v>40</v>
      </c>
      <c r="AB973">
        <v>2</v>
      </c>
      <c r="AC973">
        <v>2</v>
      </c>
      <c r="AD973" t="s">
        <v>41</v>
      </c>
      <c r="AE973" t="s">
        <v>60</v>
      </c>
      <c r="AF973" t="s">
        <v>43</v>
      </c>
    </row>
    <row r="974" spans="1:32" x14ac:dyDescent="0.25">
      <c r="A974">
        <v>39</v>
      </c>
      <c r="B974" t="s">
        <v>41</v>
      </c>
      <c r="C974" t="s">
        <v>33</v>
      </c>
      <c r="D974" t="s">
        <v>70</v>
      </c>
      <c r="E974">
        <v>3</v>
      </c>
      <c r="F974" t="s">
        <v>58</v>
      </c>
      <c r="G974">
        <v>4</v>
      </c>
      <c r="H974">
        <v>2</v>
      </c>
      <c r="I974" t="s">
        <v>70</v>
      </c>
      <c r="J974">
        <v>2</v>
      </c>
      <c r="K974" t="s">
        <v>50</v>
      </c>
      <c r="L974">
        <v>6389</v>
      </c>
      <c r="M974">
        <v>9</v>
      </c>
      <c r="N974" t="s">
        <v>41</v>
      </c>
      <c r="O974">
        <v>15</v>
      </c>
      <c r="P974">
        <v>3</v>
      </c>
      <c r="Q974">
        <v>1</v>
      </c>
      <c r="R974">
        <v>12</v>
      </c>
      <c r="S974">
        <v>3</v>
      </c>
      <c r="T974">
        <v>8</v>
      </c>
      <c r="U974">
        <v>3</v>
      </c>
      <c r="V974">
        <v>6</v>
      </c>
      <c r="W974" t="s">
        <v>38</v>
      </c>
      <c r="X974" s="1" t="d">
        <v>2013-05-17</v>
      </c>
      <c r="Z974" t="s">
        <v>39</v>
      </c>
      <c r="AA974" t="s">
        <v>46</v>
      </c>
      <c r="AB974">
        <v>3</v>
      </c>
      <c r="AC974">
        <v>3</v>
      </c>
      <c r="AD974" t="s">
        <v>41</v>
      </c>
      <c r="AE974" t="s">
        <v>47</v>
      </c>
      <c r="AF974" t="s">
        <v>43</v>
      </c>
    </row>
    <row r="975" spans="1:32" x14ac:dyDescent="0.25">
      <c r="A975">
        <v>45</v>
      </c>
      <c r="B975" t="s">
        <v>41</v>
      </c>
      <c r="C975" t="s">
        <v>33</v>
      </c>
      <c r="D975" t="s">
        <v>53</v>
      </c>
      <c r="E975">
        <v>2</v>
      </c>
      <c r="F975" t="s">
        <v>35</v>
      </c>
      <c r="G975">
        <v>1</v>
      </c>
      <c r="H975">
        <v>2</v>
      </c>
      <c r="I975" t="s">
        <v>54</v>
      </c>
      <c r="J975">
        <v>3</v>
      </c>
      <c r="K975" t="s">
        <v>37</v>
      </c>
      <c r="L975">
        <v>6632</v>
      </c>
      <c r="M975">
        <v>0</v>
      </c>
      <c r="N975" t="s">
        <v>41</v>
      </c>
      <c r="O975">
        <v>13</v>
      </c>
      <c r="P975">
        <v>3</v>
      </c>
      <c r="Q975">
        <v>0</v>
      </c>
      <c r="R975">
        <v>9</v>
      </c>
      <c r="S975">
        <v>3</v>
      </c>
      <c r="T975">
        <v>8</v>
      </c>
      <c r="U975">
        <v>3</v>
      </c>
      <c r="V975">
        <v>1</v>
      </c>
      <c r="W975" t="s">
        <v>65</v>
      </c>
      <c r="X975" s="1" t="d">
        <v>2013-02-23</v>
      </c>
      <c r="Z975" t="s">
        <v>39</v>
      </c>
      <c r="AA975" t="s">
        <v>46</v>
      </c>
      <c r="AB975">
        <v>4</v>
      </c>
      <c r="AC975">
        <v>0</v>
      </c>
      <c r="AD975" t="s">
        <v>41</v>
      </c>
      <c r="AE975" t="s">
        <v>62</v>
      </c>
      <c r="AF975" t="s">
        <v>57</v>
      </c>
    </row>
    <row r="976" spans="1:32" x14ac:dyDescent="0.25">
      <c r="A976">
        <v>29</v>
      </c>
      <c r="B976" t="s">
        <v>41</v>
      </c>
      <c r="C976" t="s">
        <v>33</v>
      </c>
      <c r="D976" t="s">
        <v>34</v>
      </c>
      <c r="E976">
        <v>27</v>
      </c>
      <c r="F976" t="s">
        <v>58</v>
      </c>
      <c r="G976">
        <v>3</v>
      </c>
      <c r="H976">
        <v>2</v>
      </c>
      <c r="I976" t="s">
        <v>69</v>
      </c>
      <c r="J976">
        <v>3</v>
      </c>
      <c r="K976" t="s">
        <v>50</v>
      </c>
      <c r="L976">
        <v>4335</v>
      </c>
      <c r="M976">
        <v>4</v>
      </c>
      <c r="N976" t="s">
        <v>41</v>
      </c>
      <c r="O976">
        <v>12</v>
      </c>
      <c r="P976">
        <v>3</v>
      </c>
      <c r="Q976">
        <v>1</v>
      </c>
      <c r="R976">
        <v>11</v>
      </c>
      <c r="S976">
        <v>3</v>
      </c>
      <c r="T976">
        <v>8</v>
      </c>
      <c r="U976">
        <v>1</v>
      </c>
      <c r="V976">
        <v>1</v>
      </c>
      <c r="W976" t="s">
        <v>56</v>
      </c>
      <c r="X976" s="1" t="d">
        <v>2013-03-31</v>
      </c>
      <c r="Z976" t="s">
        <v>39</v>
      </c>
      <c r="AA976" t="s">
        <v>46</v>
      </c>
      <c r="AB976">
        <v>5</v>
      </c>
      <c r="AC976">
        <v>1</v>
      </c>
      <c r="AD976" t="s">
        <v>41</v>
      </c>
      <c r="AE976" t="s">
        <v>42</v>
      </c>
      <c r="AF976" t="s">
        <v>48</v>
      </c>
    </row>
    <row r="977" spans="1:32" x14ac:dyDescent="0.25">
      <c r="A977">
        <v>40</v>
      </c>
      <c r="B977" t="s">
        <v>41</v>
      </c>
      <c r="C977" t="s">
        <v>61</v>
      </c>
      <c r="D977" t="s">
        <v>34</v>
      </c>
      <c r="E977">
        <v>2</v>
      </c>
      <c r="F977" t="s">
        <v>58</v>
      </c>
      <c r="G977">
        <v>4</v>
      </c>
      <c r="H977">
        <v>2</v>
      </c>
      <c r="I977" t="s">
        <v>69</v>
      </c>
      <c r="J977">
        <v>2</v>
      </c>
      <c r="K977" t="s">
        <v>50</v>
      </c>
      <c r="L977">
        <v>4244</v>
      </c>
      <c r="M977">
        <v>1</v>
      </c>
      <c r="N977" t="s">
        <v>41</v>
      </c>
      <c r="O977">
        <v>24</v>
      </c>
      <c r="P977">
        <v>4</v>
      </c>
      <c r="Q977">
        <v>1</v>
      </c>
      <c r="R977">
        <v>8</v>
      </c>
      <c r="S977">
        <v>2</v>
      </c>
      <c r="T977">
        <v>8</v>
      </c>
      <c r="U977">
        <v>3</v>
      </c>
      <c r="V977">
        <v>7</v>
      </c>
      <c r="W977" t="s">
        <v>51</v>
      </c>
      <c r="X977" s="1" t="d">
        <v>2013-04-27</v>
      </c>
      <c r="Z977" t="s">
        <v>39</v>
      </c>
      <c r="AA977" t="s">
        <v>46</v>
      </c>
      <c r="AB977">
        <v>5</v>
      </c>
      <c r="AC977">
        <v>1</v>
      </c>
      <c r="AD977" t="s">
        <v>32</v>
      </c>
      <c r="AE977" t="s">
        <v>42</v>
      </c>
      <c r="AF977" t="s">
        <v>48</v>
      </c>
    </row>
    <row r="978" spans="1:32" x14ac:dyDescent="0.25">
      <c r="A978">
        <v>35</v>
      </c>
      <c r="B978" t="s">
        <v>41</v>
      </c>
      <c r="C978" t="s">
        <v>33</v>
      </c>
      <c r="D978" t="s">
        <v>34</v>
      </c>
      <c r="E978">
        <v>7</v>
      </c>
      <c r="F978" t="s">
        <v>35</v>
      </c>
      <c r="G978">
        <v>3</v>
      </c>
      <c r="H978">
        <v>3</v>
      </c>
      <c r="I978" t="s">
        <v>67</v>
      </c>
      <c r="J978">
        <v>3</v>
      </c>
      <c r="K978" t="s">
        <v>37</v>
      </c>
      <c r="L978">
        <v>10221</v>
      </c>
      <c r="M978">
        <v>3</v>
      </c>
      <c r="N978" t="s">
        <v>41</v>
      </c>
      <c r="O978">
        <v>21</v>
      </c>
      <c r="P978">
        <v>4</v>
      </c>
      <c r="Q978">
        <v>0</v>
      </c>
      <c r="R978">
        <v>17</v>
      </c>
      <c r="S978">
        <v>3</v>
      </c>
      <c r="T978">
        <v>8</v>
      </c>
      <c r="U978">
        <v>1</v>
      </c>
      <c r="V978">
        <v>6</v>
      </c>
      <c r="W978" t="s">
        <v>56</v>
      </c>
      <c r="X978" s="1" t="d">
        <v>2013-01-30</v>
      </c>
      <c r="Z978" t="s">
        <v>39</v>
      </c>
      <c r="AA978" t="s">
        <v>46</v>
      </c>
      <c r="AB978">
        <v>1</v>
      </c>
      <c r="AC978">
        <v>1</v>
      </c>
      <c r="AD978" t="s">
        <v>41</v>
      </c>
      <c r="AE978" t="s">
        <v>42</v>
      </c>
      <c r="AF978" t="s">
        <v>48</v>
      </c>
    </row>
    <row r="979" spans="1:32" x14ac:dyDescent="0.25">
      <c r="A979">
        <v>28</v>
      </c>
      <c r="B979" t="s">
        <v>41</v>
      </c>
      <c r="C979" t="s">
        <v>33</v>
      </c>
      <c r="D979" t="s">
        <v>53</v>
      </c>
      <c r="E979">
        <v>2</v>
      </c>
      <c r="F979" t="s">
        <v>58</v>
      </c>
      <c r="G979">
        <v>3</v>
      </c>
      <c r="H979">
        <v>2</v>
      </c>
      <c r="I979" t="s">
        <v>64</v>
      </c>
      <c r="J979">
        <v>2</v>
      </c>
      <c r="K979" t="s">
        <v>50</v>
      </c>
      <c r="L979">
        <v>4779</v>
      </c>
      <c r="M979">
        <v>1</v>
      </c>
      <c r="N979" t="s">
        <v>32</v>
      </c>
      <c r="O979">
        <v>20</v>
      </c>
      <c r="P979">
        <v>4</v>
      </c>
      <c r="Q979">
        <v>0</v>
      </c>
      <c r="R979">
        <v>8</v>
      </c>
      <c r="S979">
        <v>2</v>
      </c>
      <c r="T979">
        <v>8</v>
      </c>
      <c r="U979">
        <v>7</v>
      </c>
      <c r="V979">
        <v>5</v>
      </c>
      <c r="W979" t="s">
        <v>38</v>
      </c>
      <c r="X979" s="1" t="d">
        <v>2013-02-13</v>
      </c>
      <c r="Z979" t="s">
        <v>39</v>
      </c>
      <c r="AA979" t="s">
        <v>40</v>
      </c>
      <c r="AB979">
        <v>0</v>
      </c>
      <c r="AC979">
        <v>1</v>
      </c>
      <c r="AD979" t="s">
        <v>41</v>
      </c>
      <c r="AE979" t="s">
        <v>60</v>
      </c>
      <c r="AF979" t="s">
        <v>43</v>
      </c>
    </row>
    <row r="980" spans="1:32" x14ac:dyDescent="0.25">
      <c r="A980">
        <v>26</v>
      </c>
      <c r="B980" t="s">
        <v>32</v>
      </c>
      <c r="C980" t="s">
        <v>61</v>
      </c>
      <c r="D980" t="s">
        <v>34</v>
      </c>
      <c r="E980">
        <v>5</v>
      </c>
      <c r="F980" t="s">
        <v>58</v>
      </c>
      <c r="G980">
        <v>2</v>
      </c>
      <c r="H980">
        <v>1</v>
      </c>
      <c r="I980" t="s">
        <v>44</v>
      </c>
      <c r="J980">
        <v>3</v>
      </c>
      <c r="K980" t="s">
        <v>50</v>
      </c>
      <c r="L980">
        <v>2366</v>
      </c>
      <c r="M980">
        <v>1</v>
      </c>
      <c r="N980" t="s">
        <v>32</v>
      </c>
      <c r="O980">
        <v>14</v>
      </c>
      <c r="P980">
        <v>3</v>
      </c>
      <c r="Q980">
        <v>1</v>
      </c>
      <c r="R980">
        <v>8</v>
      </c>
      <c r="S980">
        <v>2</v>
      </c>
      <c r="T980">
        <v>8</v>
      </c>
      <c r="U980">
        <v>1</v>
      </c>
      <c r="V980">
        <v>7</v>
      </c>
      <c r="W980" t="s">
        <v>38</v>
      </c>
      <c r="X980" s="1" t="d">
        <v>2013-04-16</v>
      </c>
      <c r="Z980" t="s">
        <v>59</v>
      </c>
      <c r="AA980" t="s">
        <v>40</v>
      </c>
      <c r="AB980">
        <v>5</v>
      </c>
      <c r="AC980">
        <v>0</v>
      </c>
      <c r="AD980" t="s">
        <v>32</v>
      </c>
      <c r="AE980" t="s">
        <v>47</v>
      </c>
      <c r="AF980" t="s">
        <v>48</v>
      </c>
    </row>
    <row r="981" spans="1:32" x14ac:dyDescent="0.25">
      <c r="A981">
        <v>44</v>
      </c>
      <c r="B981" t="s">
        <v>41</v>
      </c>
      <c r="C981" t="s">
        <v>33</v>
      </c>
      <c r="D981" t="s">
        <v>34</v>
      </c>
      <c r="E981">
        <v>9</v>
      </c>
      <c r="F981" t="s">
        <v>35</v>
      </c>
      <c r="G981">
        <v>3</v>
      </c>
      <c r="H981">
        <v>1</v>
      </c>
      <c r="I981" t="s">
        <v>44</v>
      </c>
      <c r="J981">
        <v>1</v>
      </c>
      <c r="K981" t="s">
        <v>50</v>
      </c>
      <c r="L981">
        <v>2559</v>
      </c>
      <c r="M981">
        <v>1</v>
      </c>
      <c r="N981" t="s">
        <v>32</v>
      </c>
      <c r="O981">
        <v>13</v>
      </c>
      <c r="P981">
        <v>3</v>
      </c>
      <c r="Q981">
        <v>0</v>
      </c>
      <c r="R981">
        <v>8</v>
      </c>
      <c r="S981">
        <v>0</v>
      </c>
      <c r="T981">
        <v>8</v>
      </c>
      <c r="U981">
        <v>7</v>
      </c>
      <c r="V981">
        <v>1</v>
      </c>
      <c r="W981" t="s">
        <v>56</v>
      </c>
      <c r="X981" s="1" t="d">
        <v>2013-04-26</v>
      </c>
      <c r="Z981" t="s">
        <v>63</v>
      </c>
      <c r="AA981" t="s">
        <v>46</v>
      </c>
      <c r="AB981">
        <v>3</v>
      </c>
      <c r="AC981">
        <v>1</v>
      </c>
      <c r="AD981" t="s">
        <v>32</v>
      </c>
      <c r="AE981" t="s">
        <v>47</v>
      </c>
      <c r="AF981" t="s">
        <v>48</v>
      </c>
    </row>
    <row r="982" spans="1:32" x14ac:dyDescent="0.25">
      <c r="A982">
        <v>32</v>
      </c>
      <c r="B982" t="s">
        <v>41</v>
      </c>
      <c r="C982" t="s">
        <v>33</v>
      </c>
      <c r="D982" t="s">
        <v>34</v>
      </c>
      <c r="E982">
        <v>3</v>
      </c>
      <c r="F982" t="s">
        <v>58</v>
      </c>
      <c r="G982">
        <v>3</v>
      </c>
      <c r="H982">
        <v>2</v>
      </c>
      <c r="I982" t="s">
        <v>67</v>
      </c>
      <c r="J982">
        <v>1</v>
      </c>
      <c r="K982" t="s">
        <v>50</v>
      </c>
      <c r="L982">
        <v>6725</v>
      </c>
      <c r="M982">
        <v>1</v>
      </c>
      <c r="N982" t="s">
        <v>41</v>
      </c>
      <c r="O982">
        <v>12</v>
      </c>
      <c r="P982">
        <v>3</v>
      </c>
      <c r="Q982">
        <v>1</v>
      </c>
      <c r="R982">
        <v>8</v>
      </c>
      <c r="S982">
        <v>2</v>
      </c>
      <c r="T982">
        <v>8</v>
      </c>
      <c r="U982">
        <v>6</v>
      </c>
      <c r="V982">
        <v>3</v>
      </c>
      <c r="W982" t="s">
        <v>51</v>
      </c>
      <c r="X982" s="1" t="d">
        <v>2013-02-20</v>
      </c>
      <c r="Z982" t="s">
        <v>59</v>
      </c>
      <c r="AA982" t="s">
        <v>46</v>
      </c>
      <c r="AB982">
        <v>3</v>
      </c>
      <c r="AC982">
        <v>0</v>
      </c>
      <c r="AD982" t="s">
        <v>32</v>
      </c>
      <c r="AE982" t="s">
        <v>42</v>
      </c>
      <c r="AF982" t="s">
        <v>57</v>
      </c>
    </row>
    <row r="983" spans="1:32" x14ac:dyDescent="0.25">
      <c r="A983">
        <v>30</v>
      </c>
      <c r="B983" t="s">
        <v>41</v>
      </c>
      <c r="C983" t="s">
        <v>33</v>
      </c>
      <c r="D983" t="s">
        <v>53</v>
      </c>
      <c r="E983">
        <v>8</v>
      </c>
      <c r="F983" t="s">
        <v>35</v>
      </c>
      <c r="G983">
        <v>3</v>
      </c>
      <c r="H983">
        <v>3</v>
      </c>
      <c r="I983" t="s">
        <v>64</v>
      </c>
      <c r="J983">
        <v>3</v>
      </c>
      <c r="K983" t="s">
        <v>55</v>
      </c>
      <c r="L983">
        <v>7264</v>
      </c>
      <c r="M983">
        <v>5</v>
      </c>
      <c r="N983" t="s">
        <v>41</v>
      </c>
      <c r="O983">
        <v>11</v>
      </c>
      <c r="P983">
        <v>3</v>
      </c>
      <c r="Q983">
        <v>1</v>
      </c>
      <c r="R983">
        <v>10</v>
      </c>
      <c r="S983">
        <v>2</v>
      </c>
      <c r="T983">
        <v>8</v>
      </c>
      <c r="U983">
        <v>7</v>
      </c>
      <c r="V983">
        <v>7</v>
      </c>
      <c r="W983" t="s">
        <v>56</v>
      </c>
      <c r="X983" s="1" t="d">
        <v>2013-03-19</v>
      </c>
      <c r="Z983" t="s">
        <v>39</v>
      </c>
      <c r="AA983" t="s">
        <v>46</v>
      </c>
      <c r="AB983">
        <v>5</v>
      </c>
      <c r="AC983">
        <v>2</v>
      </c>
      <c r="AD983" t="s">
        <v>32</v>
      </c>
      <c r="AE983" t="s">
        <v>47</v>
      </c>
      <c r="AF983" t="s">
        <v>48</v>
      </c>
    </row>
    <row r="984" spans="1:32" x14ac:dyDescent="0.25">
      <c r="A984">
        <v>39</v>
      </c>
      <c r="B984" t="s">
        <v>41</v>
      </c>
      <c r="C984" t="s">
        <v>33</v>
      </c>
      <c r="D984" t="s">
        <v>53</v>
      </c>
      <c r="E984">
        <v>2</v>
      </c>
      <c r="F984" t="s">
        <v>35</v>
      </c>
      <c r="G984">
        <v>4</v>
      </c>
      <c r="H984">
        <v>3</v>
      </c>
      <c r="I984" t="s">
        <v>64</v>
      </c>
      <c r="J984">
        <v>3</v>
      </c>
      <c r="K984" t="s">
        <v>37</v>
      </c>
      <c r="L984">
        <v>7880</v>
      </c>
      <c r="M984">
        <v>0</v>
      </c>
      <c r="N984" t="s">
        <v>41</v>
      </c>
      <c r="O984">
        <v>18</v>
      </c>
      <c r="P984">
        <v>3</v>
      </c>
      <c r="Q984">
        <v>0</v>
      </c>
      <c r="R984">
        <v>9</v>
      </c>
      <c r="S984">
        <v>3</v>
      </c>
      <c r="T984">
        <v>8</v>
      </c>
      <c r="U984">
        <v>0</v>
      </c>
      <c r="V984">
        <v>7</v>
      </c>
      <c r="W984" t="s">
        <v>65</v>
      </c>
      <c r="X984" s="1" t="d">
        <v>2013-02-17</v>
      </c>
      <c r="Z984" t="s">
        <v>52</v>
      </c>
      <c r="AA984" t="s">
        <v>40</v>
      </c>
      <c r="AB984">
        <v>1</v>
      </c>
      <c r="AC984">
        <v>1</v>
      </c>
      <c r="AD984" t="s">
        <v>32</v>
      </c>
      <c r="AE984" t="s">
        <v>62</v>
      </c>
      <c r="AF984" t="s">
        <v>57</v>
      </c>
    </row>
    <row r="985" spans="1:32" x14ac:dyDescent="0.25">
      <c r="A985">
        <v>46</v>
      </c>
      <c r="B985" t="s">
        <v>41</v>
      </c>
      <c r="C985" t="s">
        <v>33</v>
      </c>
      <c r="D985" t="s">
        <v>34</v>
      </c>
      <c r="E985">
        <v>7</v>
      </c>
      <c r="F985" t="s">
        <v>35</v>
      </c>
      <c r="G985">
        <v>3</v>
      </c>
      <c r="H985">
        <v>3</v>
      </c>
      <c r="I985" t="s">
        <v>67</v>
      </c>
      <c r="J985">
        <v>3</v>
      </c>
      <c r="K985" t="s">
        <v>55</v>
      </c>
      <c r="L985">
        <v>10845</v>
      </c>
      <c r="M985">
        <v>6</v>
      </c>
      <c r="N985" t="s">
        <v>41</v>
      </c>
      <c r="O985">
        <v>13</v>
      </c>
      <c r="P985">
        <v>3</v>
      </c>
      <c r="Q985">
        <v>1</v>
      </c>
      <c r="R985">
        <v>13</v>
      </c>
      <c r="S985">
        <v>3</v>
      </c>
      <c r="T985">
        <v>8</v>
      </c>
      <c r="U985">
        <v>0</v>
      </c>
      <c r="V985">
        <v>7</v>
      </c>
      <c r="W985" t="s">
        <v>51</v>
      </c>
      <c r="X985" s="1" t="d">
        <v>2013-04-26</v>
      </c>
      <c r="Z985" t="s">
        <v>45</v>
      </c>
      <c r="AA985" t="s">
        <v>46</v>
      </c>
      <c r="AB985">
        <v>2</v>
      </c>
      <c r="AC985">
        <v>0</v>
      </c>
      <c r="AD985" t="s">
        <v>41</v>
      </c>
      <c r="AE985" t="s">
        <v>42</v>
      </c>
      <c r="AF985" t="s">
        <v>43</v>
      </c>
    </row>
    <row r="986" spans="1:32" x14ac:dyDescent="0.25">
      <c r="A986">
        <v>30</v>
      </c>
      <c r="B986" t="s">
        <v>41</v>
      </c>
      <c r="C986" t="s">
        <v>33</v>
      </c>
      <c r="D986" t="s">
        <v>34</v>
      </c>
      <c r="E986">
        <v>8</v>
      </c>
      <c r="F986" t="s">
        <v>58</v>
      </c>
      <c r="G986">
        <v>4</v>
      </c>
      <c r="H986">
        <v>3</v>
      </c>
      <c r="I986" t="s">
        <v>49</v>
      </c>
      <c r="J986">
        <v>1</v>
      </c>
      <c r="K986" t="s">
        <v>50</v>
      </c>
      <c r="L986">
        <v>11416</v>
      </c>
      <c r="M986">
        <v>0</v>
      </c>
      <c r="N986" t="s">
        <v>32</v>
      </c>
      <c r="O986">
        <v>12</v>
      </c>
      <c r="P986">
        <v>3</v>
      </c>
      <c r="Q986">
        <v>3</v>
      </c>
      <c r="R986">
        <v>9</v>
      </c>
      <c r="S986">
        <v>4</v>
      </c>
      <c r="T986">
        <v>8</v>
      </c>
      <c r="U986">
        <v>1</v>
      </c>
      <c r="V986">
        <v>7</v>
      </c>
      <c r="W986" t="s">
        <v>51</v>
      </c>
      <c r="X986" s="1" t="d">
        <v>2013-05-25</v>
      </c>
      <c r="Z986" t="s">
        <v>52</v>
      </c>
      <c r="AA986" t="s">
        <v>46</v>
      </c>
      <c r="AB986">
        <v>2</v>
      </c>
      <c r="AC986">
        <v>2</v>
      </c>
      <c r="AD986" t="s">
        <v>41</v>
      </c>
      <c r="AE986" t="s">
        <v>62</v>
      </c>
      <c r="AF986" t="s">
        <v>48</v>
      </c>
    </row>
    <row r="987" spans="1:32" x14ac:dyDescent="0.25">
      <c r="A987">
        <v>26</v>
      </c>
      <c r="B987" t="s">
        <v>41</v>
      </c>
      <c r="C987" t="s">
        <v>33</v>
      </c>
      <c r="D987" t="s">
        <v>34</v>
      </c>
      <c r="E987">
        <v>2</v>
      </c>
      <c r="F987" t="s">
        <v>35</v>
      </c>
      <c r="G987">
        <v>4</v>
      </c>
      <c r="H987">
        <v>2</v>
      </c>
      <c r="I987" t="s">
        <v>67</v>
      </c>
      <c r="J987">
        <v>4</v>
      </c>
      <c r="K987" t="s">
        <v>50</v>
      </c>
      <c r="L987">
        <v>5472</v>
      </c>
      <c r="M987">
        <v>1</v>
      </c>
      <c r="N987" t="s">
        <v>41</v>
      </c>
      <c r="O987">
        <v>12</v>
      </c>
      <c r="P987">
        <v>3</v>
      </c>
      <c r="Q987">
        <v>0</v>
      </c>
      <c r="R987">
        <v>8</v>
      </c>
      <c r="S987">
        <v>2</v>
      </c>
      <c r="T987">
        <v>8</v>
      </c>
      <c r="U987">
        <v>1</v>
      </c>
      <c r="V987">
        <v>3</v>
      </c>
      <c r="W987" t="s">
        <v>56</v>
      </c>
      <c r="X987" s="1" t="d">
        <v>2013-01-15</v>
      </c>
      <c r="Z987" t="s">
        <v>59</v>
      </c>
      <c r="AA987" t="s">
        <v>46</v>
      </c>
      <c r="AB987">
        <v>5</v>
      </c>
      <c r="AC987">
        <v>0</v>
      </c>
      <c r="AD987" t="s">
        <v>41</v>
      </c>
      <c r="AE987" t="s">
        <v>47</v>
      </c>
      <c r="AF987" t="s">
        <v>57</v>
      </c>
    </row>
    <row r="988" spans="1:32" x14ac:dyDescent="0.25">
      <c r="A988">
        <v>55</v>
      </c>
      <c r="B988" t="s">
        <v>41</v>
      </c>
      <c r="C988" t="s">
        <v>61</v>
      </c>
      <c r="D988" t="s">
        <v>34</v>
      </c>
      <c r="E988">
        <v>18</v>
      </c>
      <c r="F988" t="s">
        <v>35</v>
      </c>
      <c r="G988">
        <v>3</v>
      </c>
      <c r="H988">
        <v>2</v>
      </c>
      <c r="I988" t="s">
        <v>69</v>
      </c>
      <c r="J988">
        <v>2</v>
      </c>
      <c r="K988" t="s">
        <v>50</v>
      </c>
      <c r="L988">
        <v>6385</v>
      </c>
      <c r="M988">
        <v>3</v>
      </c>
      <c r="N988" t="s">
        <v>32</v>
      </c>
      <c r="O988">
        <v>14</v>
      </c>
      <c r="P988">
        <v>3</v>
      </c>
      <c r="Q988">
        <v>2</v>
      </c>
      <c r="R988">
        <v>17</v>
      </c>
      <c r="S988">
        <v>3</v>
      </c>
      <c r="T988">
        <v>8</v>
      </c>
      <c r="U988">
        <v>6</v>
      </c>
      <c r="V988">
        <v>7</v>
      </c>
      <c r="W988" t="s">
        <v>38</v>
      </c>
      <c r="X988" s="1" t="d">
        <v>2013-03-16</v>
      </c>
      <c r="Z988" t="s">
        <v>59</v>
      </c>
      <c r="AA988" t="s">
        <v>46</v>
      </c>
      <c r="AB988">
        <v>1</v>
      </c>
      <c r="AC988">
        <v>2</v>
      </c>
      <c r="AD988" t="s">
        <v>41</v>
      </c>
      <c r="AE988" t="s">
        <v>42</v>
      </c>
      <c r="AF988" t="s">
        <v>57</v>
      </c>
    </row>
    <row r="989" spans="1:32" x14ac:dyDescent="0.25">
      <c r="A989">
        <v>32</v>
      </c>
      <c r="B989" t="s">
        <v>41</v>
      </c>
      <c r="C989" t="s">
        <v>68</v>
      </c>
      <c r="D989" t="s">
        <v>34</v>
      </c>
      <c r="E989">
        <v>29</v>
      </c>
      <c r="F989" t="s">
        <v>58</v>
      </c>
      <c r="G989">
        <v>3</v>
      </c>
      <c r="H989">
        <v>1</v>
      </c>
      <c r="I989" t="s">
        <v>36</v>
      </c>
      <c r="J989">
        <v>3</v>
      </c>
      <c r="K989" t="s">
        <v>37</v>
      </c>
      <c r="L989">
        <v>4025</v>
      </c>
      <c r="M989">
        <v>9</v>
      </c>
      <c r="N989" t="s">
        <v>41</v>
      </c>
      <c r="O989">
        <v>12</v>
      </c>
      <c r="P989">
        <v>3</v>
      </c>
      <c r="Q989">
        <v>0</v>
      </c>
      <c r="R989">
        <v>10</v>
      </c>
      <c r="S989">
        <v>2</v>
      </c>
      <c r="T989">
        <v>8</v>
      </c>
      <c r="U989">
        <v>7</v>
      </c>
      <c r="V989">
        <v>7</v>
      </c>
      <c r="W989" t="s">
        <v>56</v>
      </c>
      <c r="X989" s="1" t="d">
        <v>2013-01-21</v>
      </c>
      <c r="Z989" t="s">
        <v>52</v>
      </c>
      <c r="AA989" t="s">
        <v>46</v>
      </c>
      <c r="AB989">
        <v>2</v>
      </c>
      <c r="AC989">
        <v>3</v>
      </c>
      <c r="AD989" t="s">
        <v>41</v>
      </c>
      <c r="AE989" t="s">
        <v>42</v>
      </c>
      <c r="AF989" t="s">
        <v>57</v>
      </c>
    </row>
    <row r="990" spans="1:32" x14ac:dyDescent="0.25">
      <c r="A990">
        <v>50</v>
      </c>
      <c r="B990" t="s">
        <v>41</v>
      </c>
      <c r="C990" t="s">
        <v>33</v>
      </c>
      <c r="D990" t="s">
        <v>34</v>
      </c>
      <c r="E990">
        <v>2</v>
      </c>
      <c r="F990" t="s">
        <v>35</v>
      </c>
      <c r="G990">
        <v>3</v>
      </c>
      <c r="H990">
        <v>5</v>
      </c>
      <c r="I990" t="s">
        <v>49</v>
      </c>
      <c r="J990">
        <v>3</v>
      </c>
      <c r="K990" t="s">
        <v>50</v>
      </c>
      <c r="L990">
        <v>19237</v>
      </c>
      <c r="M990">
        <v>2</v>
      </c>
      <c r="N990" t="s">
        <v>32</v>
      </c>
      <c r="O990">
        <v>11</v>
      </c>
      <c r="P990">
        <v>3</v>
      </c>
      <c r="Q990">
        <v>1</v>
      </c>
      <c r="R990">
        <v>29</v>
      </c>
      <c r="S990">
        <v>2</v>
      </c>
      <c r="T990">
        <v>8</v>
      </c>
      <c r="U990">
        <v>7</v>
      </c>
      <c r="V990">
        <v>7</v>
      </c>
      <c r="W990" t="s">
        <v>56</v>
      </c>
      <c r="X990" s="1" t="d">
        <v>2013-05-12</v>
      </c>
      <c r="Z990" t="s">
        <v>45</v>
      </c>
      <c r="AA990" t="s">
        <v>40</v>
      </c>
      <c r="AB990">
        <v>4</v>
      </c>
      <c r="AC990">
        <v>1</v>
      </c>
      <c r="AD990" t="s">
        <v>41</v>
      </c>
      <c r="AE990" t="s">
        <v>47</v>
      </c>
      <c r="AF990" t="s">
        <v>57</v>
      </c>
    </row>
    <row r="991" spans="1:32" x14ac:dyDescent="0.25">
      <c r="A991">
        <v>28</v>
      </c>
      <c r="B991" t="s">
        <v>41</v>
      </c>
      <c r="C991" t="s">
        <v>33</v>
      </c>
      <c r="D991" t="s">
        <v>34</v>
      </c>
      <c r="E991">
        <v>10</v>
      </c>
      <c r="F991" t="s">
        <v>58</v>
      </c>
      <c r="G991">
        <v>3</v>
      </c>
      <c r="H991">
        <v>2</v>
      </c>
      <c r="I991" t="s">
        <v>44</v>
      </c>
      <c r="J991">
        <v>3</v>
      </c>
      <c r="K991" t="s">
        <v>37</v>
      </c>
      <c r="L991">
        <v>3660</v>
      </c>
      <c r="M991">
        <v>3</v>
      </c>
      <c r="N991" t="s">
        <v>41</v>
      </c>
      <c r="O991">
        <v>13</v>
      </c>
      <c r="P991">
        <v>3</v>
      </c>
      <c r="Q991">
        <v>0</v>
      </c>
      <c r="R991">
        <v>10</v>
      </c>
      <c r="S991">
        <v>4</v>
      </c>
      <c r="T991">
        <v>8</v>
      </c>
      <c r="U991">
        <v>1</v>
      </c>
      <c r="V991">
        <v>7</v>
      </c>
      <c r="W991" t="s">
        <v>51</v>
      </c>
      <c r="X991" s="1" t="d">
        <v>2013-03-05</v>
      </c>
      <c r="Z991" t="s">
        <v>59</v>
      </c>
      <c r="AA991" t="s">
        <v>46</v>
      </c>
      <c r="AB991">
        <v>0</v>
      </c>
      <c r="AC991">
        <v>2</v>
      </c>
      <c r="AD991" t="s">
        <v>32</v>
      </c>
      <c r="AE991" t="s">
        <v>47</v>
      </c>
      <c r="AF991" t="s">
        <v>48</v>
      </c>
    </row>
    <row r="992" spans="1:32" x14ac:dyDescent="0.25">
      <c r="A992">
        <v>35</v>
      </c>
      <c r="B992" t="s">
        <v>32</v>
      </c>
      <c r="C992" t="s">
        <v>33</v>
      </c>
      <c r="D992" t="s">
        <v>53</v>
      </c>
      <c r="E992">
        <v>4</v>
      </c>
      <c r="F992" t="s">
        <v>35</v>
      </c>
      <c r="G992">
        <v>3</v>
      </c>
      <c r="H992">
        <v>3</v>
      </c>
      <c r="I992" t="s">
        <v>64</v>
      </c>
      <c r="J992">
        <v>1</v>
      </c>
      <c r="K992" t="s">
        <v>37</v>
      </c>
      <c r="L992">
        <v>9582</v>
      </c>
      <c r="M992">
        <v>0</v>
      </c>
      <c r="N992" t="s">
        <v>32</v>
      </c>
      <c r="O992">
        <v>22</v>
      </c>
      <c r="P992">
        <v>4</v>
      </c>
      <c r="Q992">
        <v>0</v>
      </c>
      <c r="R992">
        <v>9</v>
      </c>
      <c r="S992">
        <v>2</v>
      </c>
      <c r="T992">
        <v>8</v>
      </c>
      <c r="U992">
        <v>4</v>
      </c>
      <c r="V992">
        <v>7</v>
      </c>
      <c r="W992" t="s">
        <v>51</v>
      </c>
      <c r="X992" s="1" t="d">
        <v>2013-05-16</v>
      </c>
      <c r="Z992" t="s">
        <v>52</v>
      </c>
      <c r="AA992" t="s">
        <v>46</v>
      </c>
      <c r="AB992">
        <v>5</v>
      </c>
      <c r="AC992">
        <v>0</v>
      </c>
      <c r="AD992" t="s">
        <v>32</v>
      </c>
      <c r="AE992" t="s">
        <v>42</v>
      </c>
      <c r="AF992" t="s">
        <v>43</v>
      </c>
    </row>
    <row r="993" spans="1:32" x14ac:dyDescent="0.25">
      <c r="A993">
        <v>52</v>
      </c>
      <c r="B993" t="s">
        <v>41</v>
      </c>
      <c r="C993" t="s">
        <v>33</v>
      </c>
      <c r="D993" t="s">
        <v>34</v>
      </c>
      <c r="E993">
        <v>7</v>
      </c>
      <c r="F993" t="s">
        <v>35</v>
      </c>
      <c r="G993">
        <v>3</v>
      </c>
      <c r="H993">
        <v>3</v>
      </c>
      <c r="I993" t="s">
        <v>69</v>
      </c>
      <c r="J993">
        <v>2</v>
      </c>
      <c r="K993" t="s">
        <v>37</v>
      </c>
      <c r="L993">
        <v>10445</v>
      </c>
      <c r="M993">
        <v>7</v>
      </c>
      <c r="N993" t="s">
        <v>41</v>
      </c>
      <c r="O993">
        <v>19</v>
      </c>
      <c r="P993">
        <v>3</v>
      </c>
      <c r="Q993">
        <v>0</v>
      </c>
      <c r="R993">
        <v>18</v>
      </c>
      <c r="S993">
        <v>4</v>
      </c>
      <c r="T993">
        <v>8</v>
      </c>
      <c r="U993">
        <v>4</v>
      </c>
      <c r="V993">
        <v>0</v>
      </c>
      <c r="W993" t="s">
        <v>51</v>
      </c>
      <c r="X993" s="1" t="d">
        <v>2013-03-02</v>
      </c>
      <c r="Z993" t="s">
        <v>39</v>
      </c>
      <c r="AA993" t="s">
        <v>40</v>
      </c>
      <c r="AB993">
        <v>0</v>
      </c>
      <c r="AC993">
        <v>3</v>
      </c>
      <c r="AD993" t="s">
        <v>32</v>
      </c>
      <c r="AE993" t="s">
        <v>62</v>
      </c>
      <c r="AF993" t="s">
        <v>57</v>
      </c>
    </row>
    <row r="994" spans="1:32" x14ac:dyDescent="0.25">
      <c r="A994">
        <v>38</v>
      </c>
      <c r="B994" t="s">
        <v>41</v>
      </c>
      <c r="C994" t="s">
        <v>33</v>
      </c>
      <c r="D994" t="s">
        <v>53</v>
      </c>
      <c r="E994">
        <v>10</v>
      </c>
      <c r="F994" t="s">
        <v>35</v>
      </c>
      <c r="G994">
        <v>2</v>
      </c>
      <c r="H994">
        <v>3</v>
      </c>
      <c r="I994" t="s">
        <v>64</v>
      </c>
      <c r="J994">
        <v>3</v>
      </c>
      <c r="K994" t="s">
        <v>55</v>
      </c>
      <c r="L994">
        <v>8740</v>
      </c>
      <c r="M994">
        <v>0</v>
      </c>
      <c r="N994" t="s">
        <v>32</v>
      </c>
      <c r="O994">
        <v>14</v>
      </c>
      <c r="P994">
        <v>3</v>
      </c>
      <c r="Q994">
        <v>2</v>
      </c>
      <c r="R994">
        <v>9</v>
      </c>
      <c r="S994">
        <v>2</v>
      </c>
      <c r="T994">
        <v>8</v>
      </c>
      <c r="U994">
        <v>2</v>
      </c>
      <c r="V994">
        <v>7</v>
      </c>
      <c r="W994" t="s">
        <v>51</v>
      </c>
      <c r="X994" s="1" t="d">
        <v>2013-02-01</v>
      </c>
      <c r="Z994" t="s">
        <v>63</v>
      </c>
      <c r="AA994" t="s">
        <v>46</v>
      </c>
      <c r="AB994">
        <v>4</v>
      </c>
      <c r="AC994">
        <v>2</v>
      </c>
      <c r="AD994" t="s">
        <v>41</v>
      </c>
      <c r="AE994" t="s">
        <v>42</v>
      </c>
      <c r="AF994" t="s">
        <v>48</v>
      </c>
    </row>
    <row r="995" spans="1:32" x14ac:dyDescent="0.25">
      <c r="A995">
        <v>43</v>
      </c>
      <c r="B995" t="s">
        <v>41</v>
      </c>
      <c r="C995" t="s">
        <v>61</v>
      </c>
      <c r="D995" t="s">
        <v>34</v>
      </c>
      <c r="E995">
        <v>27</v>
      </c>
      <c r="F995" t="s">
        <v>58</v>
      </c>
      <c r="G995">
        <v>3</v>
      </c>
      <c r="H995">
        <v>3</v>
      </c>
      <c r="I995" t="s">
        <v>67</v>
      </c>
      <c r="J995">
        <v>1</v>
      </c>
      <c r="K995" t="s">
        <v>50</v>
      </c>
      <c r="L995">
        <v>10820</v>
      </c>
      <c r="M995">
        <v>8</v>
      </c>
      <c r="N995" t="s">
        <v>41</v>
      </c>
      <c r="O995">
        <v>11</v>
      </c>
      <c r="P995">
        <v>3</v>
      </c>
      <c r="Q995">
        <v>1</v>
      </c>
      <c r="R995">
        <v>18</v>
      </c>
      <c r="S995">
        <v>1</v>
      </c>
      <c r="T995">
        <v>8</v>
      </c>
      <c r="U995">
        <v>0</v>
      </c>
      <c r="V995">
        <v>1</v>
      </c>
      <c r="W995" t="s">
        <v>65</v>
      </c>
      <c r="X995" s="1" t="d">
        <v>2013-05-23</v>
      </c>
      <c r="Z995" t="s">
        <v>39</v>
      </c>
      <c r="AA995" t="s">
        <v>40</v>
      </c>
      <c r="AB995">
        <v>1</v>
      </c>
      <c r="AC995">
        <v>1</v>
      </c>
      <c r="AD995" t="s">
        <v>32</v>
      </c>
      <c r="AE995" t="s">
        <v>62</v>
      </c>
      <c r="AF995" t="s">
        <v>57</v>
      </c>
    </row>
    <row r="996" spans="1:32" x14ac:dyDescent="0.25">
      <c r="A996">
        <v>35</v>
      </c>
      <c r="B996" t="s">
        <v>41</v>
      </c>
      <c r="C996" t="s">
        <v>33</v>
      </c>
      <c r="D996" t="s">
        <v>34</v>
      </c>
      <c r="E996">
        <v>1</v>
      </c>
      <c r="F996" t="s">
        <v>35</v>
      </c>
      <c r="G996">
        <v>2</v>
      </c>
      <c r="H996">
        <v>1</v>
      </c>
      <c r="I996" t="s">
        <v>36</v>
      </c>
      <c r="J996">
        <v>3</v>
      </c>
      <c r="K996" t="s">
        <v>50</v>
      </c>
      <c r="L996">
        <v>2258</v>
      </c>
      <c r="M996">
        <v>6</v>
      </c>
      <c r="N996" t="s">
        <v>41</v>
      </c>
      <c r="O996">
        <v>12</v>
      </c>
      <c r="P996">
        <v>3</v>
      </c>
      <c r="Q996">
        <v>1</v>
      </c>
      <c r="R996">
        <v>10</v>
      </c>
      <c r="S996">
        <v>2</v>
      </c>
      <c r="T996">
        <v>8</v>
      </c>
      <c r="U996">
        <v>1</v>
      </c>
      <c r="V996">
        <v>7</v>
      </c>
      <c r="W996" t="s">
        <v>51</v>
      </c>
      <c r="X996" s="1" t="d">
        <v>2013-04-20</v>
      </c>
      <c r="Z996" t="s">
        <v>45</v>
      </c>
      <c r="AA996" t="s">
        <v>46</v>
      </c>
      <c r="AB996">
        <v>0</v>
      </c>
      <c r="AC996">
        <v>3</v>
      </c>
      <c r="AD996" t="s">
        <v>32</v>
      </c>
      <c r="AE996" t="s">
        <v>62</v>
      </c>
      <c r="AF996" t="s">
        <v>43</v>
      </c>
    </row>
    <row r="997" spans="1:32" x14ac:dyDescent="0.25">
      <c r="A997">
        <v>26</v>
      </c>
      <c r="B997" t="s">
        <v>41</v>
      </c>
      <c r="C997" t="s">
        <v>33</v>
      </c>
      <c r="D997" t="s">
        <v>34</v>
      </c>
      <c r="E997">
        <v>3</v>
      </c>
      <c r="F997" t="s">
        <v>35</v>
      </c>
      <c r="G997">
        <v>4</v>
      </c>
      <c r="H997">
        <v>1</v>
      </c>
      <c r="I997" t="s">
        <v>36</v>
      </c>
      <c r="J997">
        <v>4</v>
      </c>
      <c r="K997" t="s">
        <v>50</v>
      </c>
      <c r="L997">
        <v>4420</v>
      </c>
      <c r="M997">
        <v>1</v>
      </c>
      <c r="N997" t="s">
        <v>41</v>
      </c>
      <c r="O997">
        <v>22</v>
      </c>
      <c r="P997">
        <v>4</v>
      </c>
      <c r="Q997">
        <v>1</v>
      </c>
      <c r="R997">
        <v>8</v>
      </c>
      <c r="S997">
        <v>2</v>
      </c>
      <c r="T997">
        <v>8</v>
      </c>
      <c r="U997">
        <v>0</v>
      </c>
      <c r="V997">
        <v>7</v>
      </c>
      <c r="W997" t="s">
        <v>56</v>
      </c>
      <c r="X997" s="1" t="d">
        <v>2013-01-15</v>
      </c>
      <c r="Z997" t="s">
        <v>63</v>
      </c>
      <c r="AA997" t="s">
        <v>40</v>
      </c>
      <c r="AB997">
        <v>0</v>
      </c>
      <c r="AC997">
        <v>0</v>
      </c>
      <c r="AD997" t="s">
        <v>32</v>
      </c>
      <c r="AE997" t="s">
        <v>47</v>
      </c>
      <c r="AF997" t="s">
        <v>43</v>
      </c>
    </row>
    <row r="998" spans="1:32" x14ac:dyDescent="0.25">
      <c r="A998">
        <v>32</v>
      </c>
      <c r="B998" t="s">
        <v>41</v>
      </c>
      <c r="C998" t="s">
        <v>61</v>
      </c>
      <c r="D998" t="s">
        <v>34</v>
      </c>
      <c r="E998">
        <v>2</v>
      </c>
      <c r="F998" t="s">
        <v>58</v>
      </c>
      <c r="G998">
        <v>3</v>
      </c>
      <c r="H998">
        <v>2</v>
      </c>
      <c r="I998" t="s">
        <v>44</v>
      </c>
      <c r="J998">
        <v>3</v>
      </c>
      <c r="K998" t="s">
        <v>37</v>
      </c>
      <c r="L998">
        <v>4998</v>
      </c>
      <c r="M998">
        <v>4</v>
      </c>
      <c r="N998" t="s">
        <v>32</v>
      </c>
      <c r="O998">
        <v>14</v>
      </c>
      <c r="P998">
        <v>3</v>
      </c>
      <c r="Q998">
        <v>0</v>
      </c>
      <c r="R998">
        <v>10</v>
      </c>
      <c r="S998">
        <v>2</v>
      </c>
      <c r="T998">
        <v>8</v>
      </c>
      <c r="U998">
        <v>0</v>
      </c>
      <c r="V998">
        <v>7</v>
      </c>
      <c r="W998" t="s">
        <v>51</v>
      </c>
      <c r="X998" s="1" t="d">
        <v>2013-05-09</v>
      </c>
      <c r="Z998" t="s">
        <v>39</v>
      </c>
      <c r="AA998" t="s">
        <v>40</v>
      </c>
      <c r="AB998">
        <v>1</v>
      </c>
      <c r="AC998">
        <v>3</v>
      </c>
      <c r="AD998" t="s">
        <v>32</v>
      </c>
      <c r="AE998" t="s">
        <v>47</v>
      </c>
      <c r="AF998" t="s">
        <v>43</v>
      </c>
    </row>
    <row r="999" spans="1:32" x14ac:dyDescent="0.25">
      <c r="A999">
        <v>43</v>
      </c>
      <c r="B999" t="s">
        <v>41</v>
      </c>
      <c r="C999" t="s">
        <v>33</v>
      </c>
      <c r="D999" t="s">
        <v>34</v>
      </c>
      <c r="E999">
        <v>3</v>
      </c>
      <c r="F999" t="s">
        <v>35</v>
      </c>
      <c r="G999">
        <v>1</v>
      </c>
      <c r="H999">
        <v>5</v>
      </c>
      <c r="I999" t="s">
        <v>49</v>
      </c>
      <c r="J999">
        <v>4</v>
      </c>
      <c r="K999" t="s">
        <v>50</v>
      </c>
      <c r="L999">
        <v>19740</v>
      </c>
      <c r="M999">
        <v>3</v>
      </c>
      <c r="N999" t="s">
        <v>41</v>
      </c>
      <c r="O999">
        <v>14</v>
      </c>
      <c r="P999">
        <v>3</v>
      </c>
      <c r="Q999">
        <v>1</v>
      </c>
      <c r="R999">
        <v>25</v>
      </c>
      <c r="S999">
        <v>2</v>
      </c>
      <c r="T999">
        <v>8</v>
      </c>
      <c r="U999">
        <v>0</v>
      </c>
      <c r="V999">
        <v>7</v>
      </c>
      <c r="W999" t="s">
        <v>51</v>
      </c>
      <c r="X999" s="1" t="d">
        <v>2013-03-10</v>
      </c>
      <c r="Z999" t="s">
        <v>59</v>
      </c>
      <c r="AA999" t="s">
        <v>40</v>
      </c>
      <c r="AB999">
        <v>2</v>
      </c>
      <c r="AC999">
        <v>0</v>
      </c>
      <c r="AD999" t="s">
        <v>32</v>
      </c>
      <c r="AE999" t="s">
        <v>47</v>
      </c>
      <c r="AF999" t="s">
        <v>48</v>
      </c>
    </row>
    <row r="1000" spans="1:32" x14ac:dyDescent="0.25">
      <c r="A1000">
        <v>26</v>
      </c>
      <c r="B1000" t="s">
        <v>41</v>
      </c>
      <c r="C1000" t="s">
        <v>33</v>
      </c>
      <c r="D1000" t="s">
        <v>34</v>
      </c>
      <c r="E1000">
        <v>4</v>
      </c>
      <c r="F1000" t="s">
        <v>35</v>
      </c>
      <c r="G1000">
        <v>3</v>
      </c>
      <c r="H1000">
        <v>1</v>
      </c>
      <c r="I1000" t="s">
        <v>44</v>
      </c>
      <c r="J1000">
        <v>4</v>
      </c>
      <c r="K1000" t="s">
        <v>37</v>
      </c>
      <c r="L1000">
        <v>2875</v>
      </c>
      <c r="M1000">
        <v>1</v>
      </c>
      <c r="N1000" t="s">
        <v>32</v>
      </c>
      <c r="O1000">
        <v>20</v>
      </c>
      <c r="P1000">
        <v>4</v>
      </c>
      <c r="Q1000">
        <v>0</v>
      </c>
      <c r="R1000">
        <v>8</v>
      </c>
      <c r="S1000">
        <v>2</v>
      </c>
      <c r="T1000">
        <v>8</v>
      </c>
      <c r="U1000">
        <v>2</v>
      </c>
      <c r="V1000">
        <v>2</v>
      </c>
      <c r="W1000" t="s">
        <v>38</v>
      </c>
      <c r="X1000" s="1" t="d">
        <v>2013-06-15</v>
      </c>
      <c r="Z1000" t="s">
        <v>59</v>
      </c>
      <c r="AA1000" t="s">
        <v>46</v>
      </c>
      <c r="AB1000">
        <v>0</v>
      </c>
      <c r="AC1000">
        <v>3</v>
      </c>
      <c r="AD1000" t="s">
        <v>32</v>
      </c>
      <c r="AE1000" t="s">
        <v>47</v>
      </c>
      <c r="AF1000" t="s">
        <v>43</v>
      </c>
    </row>
    <row r="1001" spans="1:32" x14ac:dyDescent="0.25">
      <c r="A1001">
        <v>30</v>
      </c>
      <c r="B1001" t="s">
        <v>41</v>
      </c>
      <c r="C1001" t="s">
        <v>68</v>
      </c>
      <c r="D1001" t="s">
        <v>34</v>
      </c>
      <c r="E1001">
        <v>9</v>
      </c>
      <c r="F1001" t="s">
        <v>58</v>
      </c>
      <c r="G1001">
        <v>3</v>
      </c>
      <c r="H1001">
        <v>2</v>
      </c>
      <c r="I1001" t="s">
        <v>67</v>
      </c>
      <c r="J1001">
        <v>3</v>
      </c>
      <c r="K1001" t="s">
        <v>37</v>
      </c>
      <c r="L1001">
        <v>4695</v>
      </c>
      <c r="M1001">
        <v>7</v>
      </c>
      <c r="N1001" t="s">
        <v>32</v>
      </c>
      <c r="O1001">
        <v>18</v>
      </c>
      <c r="P1001">
        <v>3</v>
      </c>
      <c r="Q1001">
        <v>0</v>
      </c>
      <c r="R1001">
        <v>10</v>
      </c>
      <c r="S1001">
        <v>3</v>
      </c>
      <c r="T1001">
        <v>8</v>
      </c>
      <c r="U1001">
        <v>1</v>
      </c>
      <c r="V1001">
        <v>7</v>
      </c>
      <c r="W1001" t="s">
        <v>56</v>
      </c>
      <c r="X1001" s="1" t="d">
        <v>2013-05-09</v>
      </c>
      <c r="Z1001" t="s">
        <v>45</v>
      </c>
      <c r="AA1001" t="s">
        <v>40</v>
      </c>
      <c r="AB1001">
        <v>4</v>
      </c>
      <c r="AC1001">
        <v>1</v>
      </c>
      <c r="AD1001" t="s">
        <v>41</v>
      </c>
      <c r="AE1001" t="s">
        <v>42</v>
      </c>
      <c r="AF1001" t="s">
        <v>57</v>
      </c>
    </row>
    <row r="1002" spans="1:32" x14ac:dyDescent="0.25">
      <c r="A1002">
        <v>52</v>
      </c>
      <c r="B1002" t="s">
        <v>32</v>
      </c>
      <c r="C1002" t="s">
        <v>33</v>
      </c>
      <c r="D1002" t="s">
        <v>53</v>
      </c>
      <c r="E1002">
        <v>5</v>
      </c>
      <c r="F1002" t="s">
        <v>35</v>
      </c>
      <c r="G1002">
        <v>3</v>
      </c>
      <c r="H1002">
        <v>3</v>
      </c>
      <c r="I1002" t="s">
        <v>64</v>
      </c>
      <c r="J1002">
        <v>2</v>
      </c>
      <c r="K1002" t="s">
        <v>37</v>
      </c>
      <c r="L1002">
        <v>8446</v>
      </c>
      <c r="M1002">
        <v>9</v>
      </c>
      <c r="N1002" t="s">
        <v>32</v>
      </c>
      <c r="O1002">
        <v>19</v>
      </c>
      <c r="P1002">
        <v>3</v>
      </c>
      <c r="Q1002">
        <v>0</v>
      </c>
      <c r="R1002">
        <v>10</v>
      </c>
      <c r="S1002">
        <v>2</v>
      </c>
      <c r="T1002">
        <v>8</v>
      </c>
      <c r="U1002">
        <v>7</v>
      </c>
      <c r="V1002">
        <v>7</v>
      </c>
      <c r="W1002" t="s">
        <v>56</v>
      </c>
      <c r="X1002" s="1" t="d">
        <v>2013-02-13</v>
      </c>
      <c r="Z1002" t="s">
        <v>39</v>
      </c>
      <c r="AA1002" t="s">
        <v>40</v>
      </c>
      <c r="AB1002">
        <v>4</v>
      </c>
      <c r="AC1002">
        <v>0</v>
      </c>
      <c r="AD1002" t="s">
        <v>32</v>
      </c>
      <c r="AE1002" t="s">
        <v>42</v>
      </c>
      <c r="AF1002" t="s">
        <v>57</v>
      </c>
    </row>
    <row r="1003" spans="1:32" x14ac:dyDescent="0.25">
      <c r="A1003">
        <v>39</v>
      </c>
      <c r="B1003" t="s">
        <v>41</v>
      </c>
      <c r="C1003" t="s">
        <v>33</v>
      </c>
      <c r="D1003" t="s">
        <v>34</v>
      </c>
      <c r="E1003">
        <v>18</v>
      </c>
      <c r="F1003" t="s">
        <v>35</v>
      </c>
      <c r="G1003">
        <v>3</v>
      </c>
      <c r="H1003">
        <v>2</v>
      </c>
      <c r="I1003" t="s">
        <v>67</v>
      </c>
      <c r="J1003">
        <v>3</v>
      </c>
      <c r="K1003" t="s">
        <v>37</v>
      </c>
      <c r="L1003">
        <v>4534</v>
      </c>
      <c r="M1003">
        <v>0</v>
      </c>
      <c r="N1003" t="s">
        <v>41</v>
      </c>
      <c r="O1003">
        <v>11</v>
      </c>
      <c r="P1003">
        <v>3</v>
      </c>
      <c r="Q1003">
        <v>0</v>
      </c>
      <c r="R1003">
        <v>9</v>
      </c>
      <c r="S1003">
        <v>6</v>
      </c>
      <c r="T1003">
        <v>8</v>
      </c>
      <c r="U1003">
        <v>1</v>
      </c>
      <c r="V1003">
        <v>7</v>
      </c>
      <c r="W1003" t="s">
        <v>38</v>
      </c>
      <c r="X1003" s="1" t="d">
        <v>2013-01-03</v>
      </c>
      <c r="Z1003" t="s">
        <v>52</v>
      </c>
      <c r="AA1003" t="s">
        <v>40</v>
      </c>
      <c r="AB1003">
        <v>3</v>
      </c>
      <c r="AC1003">
        <v>0</v>
      </c>
      <c r="AD1003" t="s">
        <v>32</v>
      </c>
      <c r="AE1003" t="s">
        <v>42</v>
      </c>
      <c r="AF1003" t="s">
        <v>43</v>
      </c>
    </row>
    <row r="1004" spans="1:32" x14ac:dyDescent="0.25">
      <c r="A1004">
        <v>34</v>
      </c>
      <c r="B1004" t="s">
        <v>41</v>
      </c>
      <c r="C1004" t="s">
        <v>33</v>
      </c>
      <c r="D1004" t="s">
        <v>34</v>
      </c>
      <c r="E1004">
        <v>29</v>
      </c>
      <c r="F1004" t="s">
        <v>35</v>
      </c>
      <c r="G1004">
        <v>3</v>
      </c>
      <c r="H1004">
        <v>2</v>
      </c>
      <c r="I1004" t="s">
        <v>36</v>
      </c>
      <c r="J1004">
        <v>3</v>
      </c>
      <c r="K1004" t="s">
        <v>50</v>
      </c>
      <c r="L1004">
        <v>5429</v>
      </c>
      <c r="M1004">
        <v>4</v>
      </c>
      <c r="N1004" t="s">
        <v>41</v>
      </c>
      <c r="O1004">
        <v>13</v>
      </c>
      <c r="P1004">
        <v>3</v>
      </c>
      <c r="Q1004">
        <v>2</v>
      </c>
      <c r="R1004">
        <v>10</v>
      </c>
      <c r="S1004">
        <v>1</v>
      </c>
      <c r="T1004">
        <v>8</v>
      </c>
      <c r="U1004">
        <v>7</v>
      </c>
      <c r="V1004">
        <v>7</v>
      </c>
      <c r="W1004" t="s">
        <v>38</v>
      </c>
      <c r="X1004" s="1" t="d">
        <v>2013-05-01</v>
      </c>
      <c r="Z1004" t="s">
        <v>59</v>
      </c>
      <c r="AA1004" t="s">
        <v>40</v>
      </c>
      <c r="AB1004">
        <v>3</v>
      </c>
      <c r="AC1004">
        <v>1</v>
      </c>
      <c r="AD1004" t="s">
        <v>41</v>
      </c>
      <c r="AE1004" t="s">
        <v>47</v>
      </c>
      <c r="AF1004" t="s">
        <v>57</v>
      </c>
    </row>
    <row r="1005" spans="1:32" x14ac:dyDescent="0.25">
      <c r="A1005">
        <v>27</v>
      </c>
      <c r="B1005" t="s">
        <v>32</v>
      </c>
      <c r="C1005" t="s">
        <v>33</v>
      </c>
      <c r="D1005" t="s">
        <v>34</v>
      </c>
      <c r="E1005">
        <v>17</v>
      </c>
      <c r="F1005" t="s">
        <v>58</v>
      </c>
      <c r="G1005">
        <v>3</v>
      </c>
      <c r="H1005">
        <v>1</v>
      </c>
      <c r="I1005" t="s">
        <v>44</v>
      </c>
      <c r="J1005">
        <v>3</v>
      </c>
      <c r="K1005" t="s">
        <v>37</v>
      </c>
      <c r="L1005">
        <v>2394</v>
      </c>
      <c r="M1005">
        <v>1</v>
      </c>
      <c r="N1005" t="s">
        <v>32</v>
      </c>
      <c r="O1005">
        <v>13</v>
      </c>
      <c r="P1005">
        <v>3</v>
      </c>
      <c r="Q1005">
        <v>0</v>
      </c>
      <c r="R1005">
        <v>8</v>
      </c>
      <c r="S1005">
        <v>2</v>
      </c>
      <c r="T1005">
        <v>8</v>
      </c>
      <c r="U1005">
        <v>7</v>
      </c>
      <c r="V1005">
        <v>7</v>
      </c>
      <c r="W1005" t="s">
        <v>65</v>
      </c>
      <c r="X1005" s="1" t="d">
        <v>2013-02-04</v>
      </c>
      <c r="Z1005" t="s">
        <v>59</v>
      </c>
      <c r="AA1005" t="s">
        <v>46</v>
      </c>
      <c r="AB1005">
        <v>1</v>
      </c>
      <c r="AC1005">
        <v>0</v>
      </c>
      <c r="AD1005" t="s">
        <v>32</v>
      </c>
      <c r="AE1005" t="s">
        <v>62</v>
      </c>
      <c r="AF1005" t="s">
        <v>43</v>
      </c>
    </row>
    <row r="1006" spans="1:32" x14ac:dyDescent="0.25">
      <c r="A1006">
        <v>29</v>
      </c>
      <c r="B1006" t="s">
        <v>32</v>
      </c>
      <c r="C1006" t="s">
        <v>61</v>
      </c>
      <c r="D1006" t="s">
        <v>34</v>
      </c>
      <c r="E1006">
        <v>14</v>
      </c>
      <c r="F1006" t="s">
        <v>58</v>
      </c>
      <c r="G1006">
        <v>3</v>
      </c>
      <c r="H1006">
        <v>3</v>
      </c>
      <c r="I1006" t="s">
        <v>69</v>
      </c>
      <c r="J1006">
        <v>4</v>
      </c>
      <c r="K1006" t="s">
        <v>37</v>
      </c>
      <c r="L1006">
        <v>7553</v>
      </c>
      <c r="M1006">
        <v>0</v>
      </c>
      <c r="N1006" t="s">
        <v>32</v>
      </c>
      <c r="O1006">
        <v>12</v>
      </c>
      <c r="P1006">
        <v>3</v>
      </c>
      <c r="Q1006">
        <v>0</v>
      </c>
      <c r="R1006">
        <v>9</v>
      </c>
      <c r="S1006">
        <v>1</v>
      </c>
      <c r="T1006">
        <v>8</v>
      </c>
      <c r="U1006">
        <v>7</v>
      </c>
      <c r="V1006">
        <v>7</v>
      </c>
      <c r="W1006" t="s">
        <v>51</v>
      </c>
      <c r="X1006" s="1" t="d">
        <v>2013-01-24</v>
      </c>
      <c r="Z1006" t="s">
        <v>45</v>
      </c>
      <c r="AA1006" t="s">
        <v>46</v>
      </c>
      <c r="AB1006">
        <v>1</v>
      </c>
      <c r="AC1006">
        <v>2</v>
      </c>
      <c r="AD1006" t="s">
        <v>32</v>
      </c>
      <c r="AE1006" t="s">
        <v>62</v>
      </c>
      <c r="AF1006" t="s">
        <v>57</v>
      </c>
    </row>
    <row r="1007" spans="1:32" x14ac:dyDescent="0.25">
      <c r="A1007">
        <v>40</v>
      </c>
      <c r="B1007" t="s">
        <v>41</v>
      </c>
      <c r="C1007" t="s">
        <v>68</v>
      </c>
      <c r="D1007" t="s">
        <v>34</v>
      </c>
      <c r="E1007">
        <v>9</v>
      </c>
      <c r="F1007" t="s">
        <v>35</v>
      </c>
      <c r="G1007">
        <v>3</v>
      </c>
      <c r="H1007">
        <v>2</v>
      </c>
      <c r="I1007" t="s">
        <v>36</v>
      </c>
      <c r="J1007">
        <v>3</v>
      </c>
      <c r="K1007" t="s">
        <v>55</v>
      </c>
      <c r="L1007">
        <v>3975</v>
      </c>
      <c r="M1007">
        <v>3</v>
      </c>
      <c r="N1007" t="s">
        <v>41</v>
      </c>
      <c r="O1007">
        <v>11</v>
      </c>
      <c r="P1007">
        <v>3</v>
      </c>
      <c r="Q1007">
        <v>2</v>
      </c>
      <c r="R1007">
        <v>11</v>
      </c>
      <c r="S1007">
        <v>2</v>
      </c>
      <c r="T1007">
        <v>8</v>
      </c>
      <c r="U1007">
        <v>0</v>
      </c>
      <c r="V1007">
        <v>7</v>
      </c>
      <c r="W1007" t="s">
        <v>56</v>
      </c>
      <c r="X1007" s="1" t="d">
        <v>2013-04-07</v>
      </c>
      <c r="Z1007" t="s">
        <v>45</v>
      </c>
      <c r="AA1007" t="s">
        <v>40</v>
      </c>
      <c r="AB1007">
        <v>4</v>
      </c>
      <c r="AC1007">
        <v>3</v>
      </c>
      <c r="AD1007" t="s">
        <v>32</v>
      </c>
      <c r="AE1007" t="s">
        <v>62</v>
      </c>
      <c r="AF1007" t="s">
        <v>57</v>
      </c>
    </row>
    <row r="1008" spans="1:32" x14ac:dyDescent="0.25">
      <c r="A1008">
        <v>49</v>
      </c>
      <c r="B1008" t="s">
        <v>41</v>
      </c>
      <c r="C1008" t="s">
        <v>33</v>
      </c>
      <c r="D1008" t="s">
        <v>34</v>
      </c>
      <c r="E1008">
        <v>7</v>
      </c>
      <c r="F1008" t="s">
        <v>35</v>
      </c>
      <c r="G1008">
        <v>3</v>
      </c>
      <c r="H1008">
        <v>3</v>
      </c>
      <c r="I1008" t="s">
        <v>69</v>
      </c>
      <c r="J1008">
        <v>2</v>
      </c>
      <c r="K1008" t="s">
        <v>55</v>
      </c>
      <c r="L1008">
        <v>10466</v>
      </c>
      <c r="M1008">
        <v>3</v>
      </c>
      <c r="N1008" t="s">
        <v>41</v>
      </c>
      <c r="O1008">
        <v>14</v>
      </c>
      <c r="P1008">
        <v>3</v>
      </c>
      <c r="Q1008">
        <v>2</v>
      </c>
      <c r="R1008">
        <v>29</v>
      </c>
      <c r="S1008">
        <v>3</v>
      </c>
      <c r="T1008">
        <v>8</v>
      </c>
      <c r="U1008">
        <v>0</v>
      </c>
      <c r="V1008">
        <v>7</v>
      </c>
      <c r="W1008" t="s">
        <v>56</v>
      </c>
      <c r="X1008" s="1" t="d">
        <v>2013-03-12</v>
      </c>
      <c r="Z1008" t="s">
        <v>45</v>
      </c>
      <c r="AA1008" t="s">
        <v>40</v>
      </c>
      <c r="AB1008">
        <v>4</v>
      </c>
      <c r="AC1008">
        <v>0</v>
      </c>
      <c r="AD1008" t="s">
        <v>32</v>
      </c>
      <c r="AE1008" t="s">
        <v>47</v>
      </c>
      <c r="AF1008" t="s">
        <v>43</v>
      </c>
    </row>
    <row r="1009" spans="1:32" x14ac:dyDescent="0.25">
      <c r="A1009">
        <v>28</v>
      </c>
      <c r="B1009" t="s">
        <v>41</v>
      </c>
      <c r="C1009" t="s">
        <v>33</v>
      </c>
      <c r="D1009" t="s">
        <v>34</v>
      </c>
      <c r="E1009">
        <v>29</v>
      </c>
      <c r="F1009" t="s">
        <v>35</v>
      </c>
      <c r="G1009">
        <v>1</v>
      </c>
      <c r="H1009">
        <v>2</v>
      </c>
      <c r="I1009" t="s">
        <v>67</v>
      </c>
      <c r="J1009">
        <v>2</v>
      </c>
      <c r="K1009" t="s">
        <v>50</v>
      </c>
      <c r="L1009">
        <v>6549</v>
      </c>
      <c r="M1009">
        <v>1</v>
      </c>
      <c r="N1009" t="s">
        <v>41</v>
      </c>
      <c r="O1009">
        <v>14</v>
      </c>
      <c r="P1009">
        <v>3</v>
      </c>
      <c r="Q1009">
        <v>2</v>
      </c>
      <c r="R1009">
        <v>8</v>
      </c>
      <c r="S1009">
        <v>2</v>
      </c>
      <c r="T1009">
        <v>8</v>
      </c>
      <c r="U1009">
        <v>1</v>
      </c>
      <c r="V1009">
        <v>7</v>
      </c>
      <c r="W1009" t="s">
        <v>56</v>
      </c>
      <c r="X1009" s="1" t="d">
        <v>2013-06-12</v>
      </c>
      <c r="Z1009" t="s">
        <v>39</v>
      </c>
      <c r="AA1009" t="s">
        <v>40</v>
      </c>
      <c r="AB1009">
        <v>3</v>
      </c>
      <c r="AC1009">
        <v>2</v>
      </c>
      <c r="AD1009" t="s">
        <v>32</v>
      </c>
      <c r="AE1009" t="s">
        <v>42</v>
      </c>
      <c r="AF1009" t="s">
        <v>57</v>
      </c>
    </row>
    <row r="1010" spans="1:32" x14ac:dyDescent="0.25">
      <c r="A1010">
        <v>40</v>
      </c>
      <c r="B1010" t="s">
        <v>41</v>
      </c>
      <c r="C1010" t="s">
        <v>33</v>
      </c>
      <c r="D1010" t="s">
        <v>53</v>
      </c>
      <c r="E1010">
        <v>9</v>
      </c>
      <c r="F1010" t="s">
        <v>35</v>
      </c>
      <c r="G1010">
        <v>3</v>
      </c>
      <c r="H1010">
        <v>2</v>
      </c>
      <c r="I1010" t="s">
        <v>64</v>
      </c>
      <c r="J1010">
        <v>1</v>
      </c>
      <c r="K1010" t="s">
        <v>50</v>
      </c>
      <c r="L1010">
        <v>5473</v>
      </c>
      <c r="M1010">
        <v>0</v>
      </c>
      <c r="N1010" t="s">
        <v>41</v>
      </c>
      <c r="O1010">
        <v>12</v>
      </c>
      <c r="P1010">
        <v>3</v>
      </c>
      <c r="Q1010">
        <v>0</v>
      </c>
      <c r="R1010">
        <v>9</v>
      </c>
      <c r="S1010">
        <v>5</v>
      </c>
      <c r="T1010">
        <v>8</v>
      </c>
      <c r="U1010">
        <v>7</v>
      </c>
      <c r="V1010">
        <v>1</v>
      </c>
      <c r="W1010" t="s">
        <v>51</v>
      </c>
      <c r="X1010" s="1" t="d">
        <v>2013-06-13</v>
      </c>
      <c r="Z1010" t="s">
        <v>52</v>
      </c>
      <c r="AA1010" t="s">
        <v>46</v>
      </c>
      <c r="AB1010">
        <v>4</v>
      </c>
      <c r="AC1010">
        <v>0</v>
      </c>
      <c r="AD1010" t="s">
        <v>32</v>
      </c>
      <c r="AE1010" t="s">
        <v>42</v>
      </c>
      <c r="AF1010" t="s">
        <v>48</v>
      </c>
    </row>
    <row r="1011" spans="1:32" x14ac:dyDescent="0.25">
      <c r="A1011">
        <v>48</v>
      </c>
      <c r="B1011" t="s">
        <v>41</v>
      </c>
      <c r="C1011" t="s">
        <v>33</v>
      </c>
      <c r="D1011" t="s">
        <v>53</v>
      </c>
      <c r="E1011">
        <v>16</v>
      </c>
      <c r="F1011" t="s">
        <v>58</v>
      </c>
      <c r="G1011">
        <v>3</v>
      </c>
      <c r="H1011">
        <v>2</v>
      </c>
      <c r="I1011" t="s">
        <v>64</v>
      </c>
      <c r="J1011">
        <v>3</v>
      </c>
      <c r="K1011" t="s">
        <v>55</v>
      </c>
      <c r="L1011">
        <v>6439</v>
      </c>
      <c r="M1011">
        <v>8</v>
      </c>
      <c r="N1011" t="s">
        <v>41</v>
      </c>
      <c r="O1011">
        <v>14</v>
      </c>
      <c r="P1011">
        <v>3</v>
      </c>
      <c r="Q1011">
        <v>1</v>
      </c>
      <c r="R1011">
        <v>18</v>
      </c>
      <c r="S1011">
        <v>2</v>
      </c>
      <c r="T1011">
        <v>8</v>
      </c>
      <c r="U1011">
        <v>7</v>
      </c>
      <c r="V1011">
        <v>7</v>
      </c>
      <c r="W1011" t="s">
        <v>56</v>
      </c>
      <c r="X1011" s="1" t="d">
        <v>2013-05-25</v>
      </c>
      <c r="Z1011" t="s">
        <v>63</v>
      </c>
      <c r="AA1011" t="s">
        <v>40</v>
      </c>
      <c r="AB1011">
        <v>5</v>
      </c>
      <c r="AC1011">
        <v>1</v>
      </c>
      <c r="AD1011" t="s">
        <v>41</v>
      </c>
      <c r="AE1011" t="s">
        <v>60</v>
      </c>
      <c r="AF1011" t="s">
        <v>48</v>
      </c>
    </row>
    <row r="1012" spans="1:32" x14ac:dyDescent="0.25">
      <c r="A1012">
        <v>48</v>
      </c>
      <c r="B1012" t="s">
        <v>41</v>
      </c>
      <c r="C1012" t="s">
        <v>33</v>
      </c>
      <c r="D1012" t="s">
        <v>34</v>
      </c>
      <c r="E1012">
        <v>15</v>
      </c>
      <c r="F1012" t="s">
        <v>58</v>
      </c>
      <c r="G1012">
        <v>3</v>
      </c>
      <c r="H1012">
        <v>1</v>
      </c>
      <c r="I1012" t="s">
        <v>44</v>
      </c>
      <c r="J1012">
        <v>1</v>
      </c>
      <c r="K1012" t="s">
        <v>50</v>
      </c>
      <c r="L1012">
        <v>2367</v>
      </c>
      <c r="M1012">
        <v>8</v>
      </c>
      <c r="N1012" t="s">
        <v>41</v>
      </c>
      <c r="O1012">
        <v>12</v>
      </c>
      <c r="P1012">
        <v>3</v>
      </c>
      <c r="Q1012">
        <v>1</v>
      </c>
      <c r="R1012">
        <v>10</v>
      </c>
      <c r="S1012">
        <v>3</v>
      </c>
      <c r="T1012">
        <v>8</v>
      </c>
      <c r="U1012">
        <v>7</v>
      </c>
      <c r="V1012">
        <v>6</v>
      </c>
      <c r="W1012" t="s">
        <v>65</v>
      </c>
      <c r="X1012" s="1" t="d">
        <v>2013-02-16</v>
      </c>
      <c r="Z1012" t="s">
        <v>39</v>
      </c>
      <c r="AA1012" t="s">
        <v>40</v>
      </c>
      <c r="AB1012">
        <v>0</v>
      </c>
      <c r="AC1012">
        <v>1</v>
      </c>
      <c r="AD1012" t="s">
        <v>32</v>
      </c>
      <c r="AE1012" t="s">
        <v>47</v>
      </c>
      <c r="AF1012" t="s">
        <v>48</v>
      </c>
    </row>
    <row r="1013" spans="1:32" x14ac:dyDescent="0.25">
      <c r="A1013">
        <v>34</v>
      </c>
      <c r="B1013" t="s">
        <v>41</v>
      </c>
      <c r="C1013" t="s">
        <v>61</v>
      </c>
      <c r="D1013" t="s">
        <v>34</v>
      </c>
      <c r="E1013">
        <v>10</v>
      </c>
      <c r="F1013" t="s">
        <v>35</v>
      </c>
      <c r="G1013">
        <v>2</v>
      </c>
      <c r="H1013">
        <v>2</v>
      </c>
      <c r="I1013" t="s">
        <v>69</v>
      </c>
      <c r="J1013">
        <v>3</v>
      </c>
      <c r="K1013" t="s">
        <v>50</v>
      </c>
      <c r="L1013">
        <v>5063</v>
      </c>
      <c r="M1013">
        <v>1</v>
      </c>
      <c r="N1013" t="s">
        <v>41</v>
      </c>
      <c r="O1013">
        <v>14</v>
      </c>
      <c r="P1013">
        <v>3</v>
      </c>
      <c r="Q1013">
        <v>1</v>
      </c>
      <c r="R1013">
        <v>8</v>
      </c>
      <c r="S1013">
        <v>3</v>
      </c>
      <c r="T1013">
        <v>8</v>
      </c>
      <c r="U1013">
        <v>7</v>
      </c>
      <c r="V1013">
        <v>7</v>
      </c>
      <c r="W1013" t="s">
        <v>51</v>
      </c>
      <c r="X1013" s="1" t="d">
        <v>2013-02-03</v>
      </c>
      <c r="Z1013" t="s">
        <v>45</v>
      </c>
      <c r="AA1013" t="s">
        <v>40</v>
      </c>
      <c r="AB1013">
        <v>5</v>
      </c>
      <c r="AC1013">
        <v>0</v>
      </c>
      <c r="AD1013" t="s">
        <v>41</v>
      </c>
      <c r="AE1013" t="s">
        <v>47</v>
      </c>
      <c r="AF1013" t="s">
        <v>57</v>
      </c>
    </row>
    <row r="1014" spans="1:32" x14ac:dyDescent="0.25">
      <c r="A1014">
        <v>37</v>
      </c>
      <c r="B1014" t="s">
        <v>41</v>
      </c>
      <c r="C1014" t="s">
        <v>33</v>
      </c>
      <c r="D1014" t="s">
        <v>34</v>
      </c>
      <c r="E1014">
        <v>10</v>
      </c>
      <c r="F1014" t="s">
        <v>58</v>
      </c>
      <c r="G1014">
        <v>3</v>
      </c>
      <c r="H1014">
        <v>1</v>
      </c>
      <c r="I1014" t="s">
        <v>44</v>
      </c>
      <c r="J1014">
        <v>2</v>
      </c>
      <c r="K1014" t="s">
        <v>50</v>
      </c>
      <c r="L1014">
        <v>3936</v>
      </c>
      <c r="M1014">
        <v>1</v>
      </c>
      <c r="N1014" t="s">
        <v>41</v>
      </c>
      <c r="O1014">
        <v>11</v>
      </c>
      <c r="P1014">
        <v>3</v>
      </c>
      <c r="Q1014">
        <v>1</v>
      </c>
      <c r="R1014">
        <v>8</v>
      </c>
      <c r="S1014">
        <v>2</v>
      </c>
      <c r="T1014">
        <v>8</v>
      </c>
      <c r="U1014">
        <v>7</v>
      </c>
      <c r="V1014">
        <v>7</v>
      </c>
      <c r="W1014" t="s">
        <v>51</v>
      </c>
      <c r="X1014" s="1" t="d">
        <v>2013-03-30</v>
      </c>
      <c r="Z1014" t="s">
        <v>63</v>
      </c>
      <c r="AA1014" t="s">
        <v>46</v>
      </c>
      <c r="AB1014">
        <v>1</v>
      </c>
      <c r="AC1014">
        <v>1</v>
      </c>
      <c r="AD1014" t="s">
        <v>41</v>
      </c>
      <c r="AE1014" t="s">
        <v>62</v>
      </c>
      <c r="AF1014" t="s">
        <v>57</v>
      </c>
    </row>
    <row r="1015" spans="1:32" x14ac:dyDescent="0.25">
      <c r="A1015">
        <v>49</v>
      </c>
      <c r="B1015" t="s">
        <v>41</v>
      </c>
      <c r="C1015" t="s">
        <v>33</v>
      </c>
      <c r="D1015" t="s">
        <v>34</v>
      </c>
      <c r="E1015">
        <v>1</v>
      </c>
      <c r="F1015" t="s">
        <v>35</v>
      </c>
      <c r="G1015">
        <v>3</v>
      </c>
      <c r="H1015">
        <v>4</v>
      </c>
      <c r="I1015" t="s">
        <v>66</v>
      </c>
      <c r="J1015">
        <v>3</v>
      </c>
      <c r="K1015" t="s">
        <v>37</v>
      </c>
      <c r="L1015">
        <v>15379</v>
      </c>
      <c r="M1015">
        <v>4</v>
      </c>
      <c r="N1015" t="s">
        <v>41</v>
      </c>
      <c r="O1015">
        <v>14</v>
      </c>
      <c r="P1015">
        <v>3</v>
      </c>
      <c r="Q1015">
        <v>0</v>
      </c>
      <c r="R1015">
        <v>23</v>
      </c>
      <c r="S1015">
        <v>2</v>
      </c>
      <c r="T1015">
        <v>8</v>
      </c>
      <c r="U1015">
        <v>0</v>
      </c>
      <c r="V1015">
        <v>0</v>
      </c>
      <c r="W1015" t="s">
        <v>56</v>
      </c>
      <c r="X1015" s="1" t="d">
        <v>2013-06-12</v>
      </c>
      <c r="Z1015" t="s">
        <v>52</v>
      </c>
      <c r="AA1015" t="s">
        <v>40</v>
      </c>
      <c r="AB1015">
        <v>3</v>
      </c>
      <c r="AC1015">
        <v>0</v>
      </c>
      <c r="AD1015" t="s">
        <v>32</v>
      </c>
      <c r="AE1015" t="s">
        <v>47</v>
      </c>
      <c r="AF1015" t="s">
        <v>43</v>
      </c>
    </row>
    <row r="1016" spans="1:32" x14ac:dyDescent="0.25">
      <c r="A1016">
        <v>44</v>
      </c>
      <c r="B1016" t="s">
        <v>41</v>
      </c>
      <c r="C1016" t="s">
        <v>33</v>
      </c>
      <c r="D1016" t="s">
        <v>34</v>
      </c>
      <c r="E1016">
        <v>2</v>
      </c>
      <c r="F1016" t="s">
        <v>58</v>
      </c>
      <c r="G1016">
        <v>4</v>
      </c>
      <c r="H1016">
        <v>3</v>
      </c>
      <c r="I1016" t="s">
        <v>69</v>
      </c>
      <c r="J1016">
        <v>4</v>
      </c>
      <c r="K1016" t="s">
        <v>50</v>
      </c>
      <c r="L1016">
        <v>7879</v>
      </c>
      <c r="M1016">
        <v>1</v>
      </c>
      <c r="N1016" t="s">
        <v>32</v>
      </c>
      <c r="O1016">
        <v>19</v>
      </c>
      <c r="P1016">
        <v>3</v>
      </c>
      <c r="Q1016">
        <v>1</v>
      </c>
      <c r="R1016">
        <v>9</v>
      </c>
      <c r="S1016">
        <v>2</v>
      </c>
      <c r="T1016">
        <v>8</v>
      </c>
      <c r="U1016">
        <v>6</v>
      </c>
      <c r="V1016">
        <v>7</v>
      </c>
      <c r="W1016" t="s">
        <v>38</v>
      </c>
      <c r="X1016" s="1" t="d">
        <v>2013-03-25</v>
      </c>
      <c r="Z1016" t="s">
        <v>59</v>
      </c>
      <c r="AA1016" t="s">
        <v>46</v>
      </c>
      <c r="AB1016">
        <v>3</v>
      </c>
      <c r="AC1016">
        <v>3</v>
      </c>
      <c r="AD1016" t="s">
        <v>41</v>
      </c>
      <c r="AE1016" t="s">
        <v>42</v>
      </c>
      <c r="AF1016" t="s">
        <v>48</v>
      </c>
    </row>
    <row r="1017" spans="1:32" x14ac:dyDescent="0.25">
      <c r="A1017">
        <v>45</v>
      </c>
      <c r="B1017" t="s">
        <v>41</v>
      </c>
      <c r="C1017" t="s">
        <v>68</v>
      </c>
      <c r="D1017" t="s">
        <v>53</v>
      </c>
      <c r="E1017">
        <v>2</v>
      </c>
      <c r="F1017" t="s">
        <v>58</v>
      </c>
      <c r="G1017">
        <v>3</v>
      </c>
      <c r="H1017">
        <v>2</v>
      </c>
      <c r="I1017" t="s">
        <v>64</v>
      </c>
      <c r="J1017">
        <v>3</v>
      </c>
      <c r="K1017" t="s">
        <v>50</v>
      </c>
      <c r="L1017">
        <v>5154</v>
      </c>
      <c r="M1017">
        <v>4</v>
      </c>
      <c r="N1017" t="s">
        <v>41</v>
      </c>
      <c r="O1017">
        <v>22</v>
      </c>
      <c r="P1017">
        <v>4</v>
      </c>
      <c r="Q1017">
        <v>2</v>
      </c>
      <c r="R1017">
        <v>10</v>
      </c>
      <c r="S1017">
        <v>3</v>
      </c>
      <c r="T1017">
        <v>8</v>
      </c>
      <c r="U1017">
        <v>5</v>
      </c>
      <c r="V1017">
        <v>7</v>
      </c>
      <c r="W1017" t="s">
        <v>51</v>
      </c>
      <c r="X1017" s="1" t="d">
        <v>2013-02-18</v>
      </c>
      <c r="Z1017" t="s">
        <v>39</v>
      </c>
      <c r="AA1017" t="s">
        <v>40</v>
      </c>
      <c r="AB1017">
        <v>4</v>
      </c>
      <c r="AC1017">
        <v>2</v>
      </c>
      <c r="AD1017" t="s">
        <v>32</v>
      </c>
      <c r="AE1017" t="s">
        <v>60</v>
      </c>
      <c r="AF1017" t="s">
        <v>48</v>
      </c>
    </row>
    <row r="1018" spans="1:32" x14ac:dyDescent="0.25">
      <c r="A1018">
        <v>46</v>
      </c>
      <c r="B1018" t="s">
        <v>32</v>
      </c>
      <c r="C1018" t="s">
        <v>33</v>
      </c>
      <c r="D1018" t="s">
        <v>53</v>
      </c>
      <c r="E1018">
        <v>10</v>
      </c>
      <c r="F1018" t="s">
        <v>58</v>
      </c>
      <c r="G1018">
        <v>3</v>
      </c>
      <c r="H1018">
        <v>3</v>
      </c>
      <c r="I1018" t="s">
        <v>64</v>
      </c>
      <c r="J1018">
        <v>2</v>
      </c>
      <c r="K1018" t="s">
        <v>50</v>
      </c>
      <c r="L1018">
        <v>7314</v>
      </c>
      <c r="M1018">
        <v>5</v>
      </c>
      <c r="N1018" t="s">
        <v>41</v>
      </c>
      <c r="O1018">
        <v>21</v>
      </c>
      <c r="P1018">
        <v>4</v>
      </c>
      <c r="Q1018">
        <v>3</v>
      </c>
      <c r="R1018">
        <v>14</v>
      </c>
      <c r="S1018">
        <v>2</v>
      </c>
      <c r="T1018">
        <v>8</v>
      </c>
      <c r="U1018">
        <v>0</v>
      </c>
      <c r="V1018">
        <v>7</v>
      </c>
      <c r="W1018" t="s">
        <v>51</v>
      </c>
      <c r="X1018" s="1" t="d">
        <v>2013-06-22</v>
      </c>
      <c r="Z1018" t="s">
        <v>39</v>
      </c>
      <c r="AA1018" t="s">
        <v>40</v>
      </c>
      <c r="AB1018">
        <v>5</v>
      </c>
      <c r="AC1018">
        <v>0</v>
      </c>
      <c r="AD1018" t="s">
        <v>32</v>
      </c>
      <c r="AE1018" t="s">
        <v>62</v>
      </c>
      <c r="AF1018" t="s">
        <v>48</v>
      </c>
    </row>
    <row r="1019" spans="1:32" x14ac:dyDescent="0.25">
      <c r="A1019">
        <v>27</v>
      </c>
      <c r="B1019" t="s">
        <v>41</v>
      </c>
      <c r="C1019" t="s">
        <v>33</v>
      </c>
      <c r="D1019" t="s">
        <v>53</v>
      </c>
      <c r="E1019">
        <v>2</v>
      </c>
      <c r="F1019" t="s">
        <v>58</v>
      </c>
      <c r="G1019">
        <v>4</v>
      </c>
      <c r="H1019">
        <v>2</v>
      </c>
      <c r="I1019" t="s">
        <v>64</v>
      </c>
      <c r="J1019">
        <v>3</v>
      </c>
      <c r="K1019" t="s">
        <v>37</v>
      </c>
      <c r="L1019">
        <v>6500</v>
      </c>
      <c r="M1019">
        <v>0</v>
      </c>
      <c r="N1019" t="s">
        <v>41</v>
      </c>
      <c r="O1019">
        <v>14</v>
      </c>
      <c r="P1019">
        <v>3</v>
      </c>
      <c r="Q1019">
        <v>0</v>
      </c>
      <c r="R1019">
        <v>9</v>
      </c>
      <c r="S1019">
        <v>5</v>
      </c>
      <c r="T1019">
        <v>8</v>
      </c>
      <c r="U1019">
        <v>0</v>
      </c>
      <c r="V1019">
        <v>7</v>
      </c>
      <c r="W1019" t="s">
        <v>65</v>
      </c>
      <c r="X1019" s="1" t="d">
        <v>2013-02-23</v>
      </c>
      <c r="Z1019" t="s">
        <v>52</v>
      </c>
      <c r="AA1019" t="s">
        <v>46</v>
      </c>
      <c r="AB1019">
        <v>1</v>
      </c>
      <c r="AC1019">
        <v>0</v>
      </c>
      <c r="AD1019" t="s">
        <v>32</v>
      </c>
      <c r="AE1019" t="s">
        <v>47</v>
      </c>
      <c r="AF1019" t="s">
        <v>43</v>
      </c>
    </row>
    <row r="1020" spans="1:32" x14ac:dyDescent="0.25">
      <c r="A1020">
        <v>47</v>
      </c>
      <c r="B1020" t="s">
        <v>41</v>
      </c>
      <c r="C1020" t="s">
        <v>68</v>
      </c>
      <c r="D1020" t="s">
        <v>34</v>
      </c>
      <c r="E1020">
        <v>14</v>
      </c>
      <c r="F1020" t="s">
        <v>35</v>
      </c>
      <c r="G1020">
        <v>3</v>
      </c>
      <c r="H1020">
        <v>2</v>
      </c>
      <c r="I1020" t="s">
        <v>44</v>
      </c>
      <c r="J1020">
        <v>2</v>
      </c>
      <c r="K1020" t="s">
        <v>50</v>
      </c>
      <c r="L1020">
        <v>5467</v>
      </c>
      <c r="M1020">
        <v>8</v>
      </c>
      <c r="N1020" t="s">
        <v>41</v>
      </c>
      <c r="O1020">
        <v>18</v>
      </c>
      <c r="P1020">
        <v>3</v>
      </c>
      <c r="Q1020">
        <v>1</v>
      </c>
      <c r="R1020">
        <v>16</v>
      </c>
      <c r="S1020">
        <v>4</v>
      </c>
      <c r="T1020">
        <v>8</v>
      </c>
      <c r="U1020">
        <v>1</v>
      </c>
      <c r="V1020">
        <v>7</v>
      </c>
      <c r="W1020" t="s">
        <v>51</v>
      </c>
      <c r="X1020" s="1" t="d">
        <v>2013-05-26</v>
      </c>
      <c r="Z1020" t="s">
        <v>63</v>
      </c>
      <c r="AA1020" t="s">
        <v>46</v>
      </c>
      <c r="AB1020">
        <v>0</v>
      </c>
      <c r="AC1020">
        <v>0</v>
      </c>
      <c r="AD1020" t="s">
        <v>41</v>
      </c>
      <c r="AE1020" t="s">
        <v>60</v>
      </c>
      <c r="AF1020" t="s">
        <v>48</v>
      </c>
    </row>
    <row r="1021" spans="1:32" x14ac:dyDescent="0.25">
      <c r="A1021">
        <v>34</v>
      </c>
      <c r="B1021" t="s">
        <v>41</v>
      </c>
      <c r="C1021" t="s">
        <v>33</v>
      </c>
      <c r="D1021" t="s">
        <v>53</v>
      </c>
      <c r="E1021">
        <v>13</v>
      </c>
      <c r="F1021" t="s">
        <v>35</v>
      </c>
      <c r="G1021">
        <v>3</v>
      </c>
      <c r="H1021">
        <v>3</v>
      </c>
      <c r="I1021" t="s">
        <v>64</v>
      </c>
      <c r="J1021">
        <v>3</v>
      </c>
      <c r="K1021" t="s">
        <v>55</v>
      </c>
      <c r="L1021">
        <v>8628</v>
      </c>
      <c r="M1021">
        <v>1</v>
      </c>
      <c r="N1021" t="s">
        <v>41</v>
      </c>
      <c r="O1021">
        <v>18</v>
      </c>
      <c r="P1021">
        <v>3</v>
      </c>
      <c r="Q1021">
        <v>1</v>
      </c>
      <c r="R1021">
        <v>9</v>
      </c>
      <c r="S1021">
        <v>2</v>
      </c>
      <c r="T1021">
        <v>8</v>
      </c>
      <c r="U1021">
        <v>1</v>
      </c>
      <c r="V1021">
        <v>1</v>
      </c>
      <c r="W1021" t="s">
        <v>38</v>
      </c>
      <c r="X1021" s="1" t="d">
        <v>2013-06-02</v>
      </c>
      <c r="Z1021" t="s">
        <v>63</v>
      </c>
      <c r="AA1021" t="s">
        <v>40</v>
      </c>
      <c r="AB1021">
        <v>3</v>
      </c>
      <c r="AC1021">
        <v>1</v>
      </c>
      <c r="AD1021" t="s">
        <v>32</v>
      </c>
      <c r="AE1021" t="s">
        <v>47</v>
      </c>
      <c r="AF1021" t="s">
        <v>48</v>
      </c>
    </row>
    <row r="1022" spans="1:32" x14ac:dyDescent="0.25">
      <c r="A1022">
        <v>38</v>
      </c>
      <c r="B1022" t="s">
        <v>41</v>
      </c>
      <c r="C1022" t="s">
        <v>61</v>
      </c>
      <c r="D1022" t="s">
        <v>34</v>
      </c>
      <c r="E1022">
        <v>6</v>
      </c>
      <c r="F1022" t="s">
        <v>35</v>
      </c>
      <c r="G1022">
        <v>2</v>
      </c>
      <c r="H1022">
        <v>2</v>
      </c>
      <c r="I1022" t="s">
        <v>67</v>
      </c>
      <c r="J1022">
        <v>3</v>
      </c>
      <c r="K1022" t="s">
        <v>50</v>
      </c>
      <c r="L1022">
        <v>5321</v>
      </c>
      <c r="M1022">
        <v>2</v>
      </c>
      <c r="N1022" t="s">
        <v>41</v>
      </c>
      <c r="O1022">
        <v>11</v>
      </c>
      <c r="P1022">
        <v>3</v>
      </c>
      <c r="Q1022">
        <v>1</v>
      </c>
      <c r="R1022">
        <v>10</v>
      </c>
      <c r="S1022">
        <v>1</v>
      </c>
      <c r="T1022">
        <v>8</v>
      </c>
      <c r="U1022">
        <v>7</v>
      </c>
      <c r="V1022">
        <v>7</v>
      </c>
      <c r="W1022" t="s">
        <v>51</v>
      </c>
      <c r="X1022" s="1" t="d">
        <v>2013-01-15</v>
      </c>
      <c r="Z1022" t="s">
        <v>52</v>
      </c>
      <c r="AA1022" t="s">
        <v>40</v>
      </c>
      <c r="AB1022">
        <v>5</v>
      </c>
      <c r="AC1022">
        <v>0</v>
      </c>
      <c r="AD1022" t="s">
        <v>32</v>
      </c>
      <c r="AE1022" t="s">
        <v>62</v>
      </c>
      <c r="AF1022" t="s">
        <v>57</v>
      </c>
    </row>
    <row r="1023" spans="1:32" x14ac:dyDescent="0.25">
      <c r="A1023">
        <v>34</v>
      </c>
      <c r="B1023" t="s">
        <v>41</v>
      </c>
      <c r="C1023" t="s">
        <v>33</v>
      </c>
      <c r="D1023" t="s">
        <v>53</v>
      </c>
      <c r="E1023">
        <v>28</v>
      </c>
      <c r="F1023" t="s">
        <v>58</v>
      </c>
      <c r="G1023">
        <v>2</v>
      </c>
      <c r="H1023">
        <v>2</v>
      </c>
      <c r="I1023" t="s">
        <v>64</v>
      </c>
      <c r="J1023">
        <v>3</v>
      </c>
      <c r="K1023" t="s">
        <v>50</v>
      </c>
      <c r="L1023">
        <v>6712</v>
      </c>
      <c r="M1023">
        <v>1</v>
      </c>
      <c r="N1023" t="s">
        <v>41</v>
      </c>
      <c r="O1023">
        <v>21</v>
      </c>
      <c r="P1023">
        <v>4</v>
      </c>
      <c r="Q1023">
        <v>2</v>
      </c>
      <c r="R1023">
        <v>8</v>
      </c>
      <c r="S1023">
        <v>2</v>
      </c>
      <c r="T1023">
        <v>8</v>
      </c>
      <c r="U1023">
        <v>1</v>
      </c>
      <c r="V1023">
        <v>7</v>
      </c>
      <c r="W1023" t="s">
        <v>51</v>
      </c>
      <c r="X1023" s="1" t="d">
        <v>2013-06-02</v>
      </c>
      <c r="Z1023" t="s">
        <v>59</v>
      </c>
      <c r="AA1023" t="s">
        <v>46</v>
      </c>
      <c r="AB1023">
        <v>0</v>
      </c>
      <c r="AC1023">
        <v>2</v>
      </c>
      <c r="AD1023" t="s">
        <v>32</v>
      </c>
      <c r="AE1023" t="s">
        <v>47</v>
      </c>
      <c r="AF1023" t="s">
        <v>43</v>
      </c>
    </row>
    <row r="1024" spans="1:32" x14ac:dyDescent="0.25">
      <c r="A1024">
        <v>38</v>
      </c>
      <c r="B1024" t="s">
        <v>41</v>
      </c>
      <c r="C1024" t="s">
        <v>61</v>
      </c>
      <c r="D1024" t="s">
        <v>34</v>
      </c>
      <c r="E1024">
        <v>23</v>
      </c>
      <c r="F1024" t="s">
        <v>35</v>
      </c>
      <c r="G1024">
        <v>2</v>
      </c>
      <c r="H1024">
        <v>3</v>
      </c>
      <c r="I1024" t="s">
        <v>67</v>
      </c>
      <c r="J1024">
        <v>3</v>
      </c>
      <c r="K1024" t="s">
        <v>37</v>
      </c>
      <c r="L1024">
        <v>9526</v>
      </c>
      <c r="M1024">
        <v>0</v>
      </c>
      <c r="N1024" t="s">
        <v>41</v>
      </c>
      <c r="O1024">
        <v>21</v>
      </c>
      <c r="P1024">
        <v>4</v>
      </c>
      <c r="Q1024">
        <v>0</v>
      </c>
      <c r="R1024">
        <v>10</v>
      </c>
      <c r="S1024">
        <v>2</v>
      </c>
      <c r="T1024">
        <v>9</v>
      </c>
      <c r="U1024">
        <v>1</v>
      </c>
      <c r="V1024">
        <v>8</v>
      </c>
      <c r="W1024" t="s">
        <v>51</v>
      </c>
      <c r="X1024" s="1" t="d">
        <v>2012-05-14</v>
      </c>
      <c r="Z1024" t="s">
        <v>45</v>
      </c>
      <c r="AA1024" t="s">
        <v>46</v>
      </c>
      <c r="AB1024">
        <v>2</v>
      </c>
      <c r="AC1024">
        <v>1</v>
      </c>
      <c r="AD1024" t="s">
        <v>41</v>
      </c>
      <c r="AE1024" t="s">
        <v>60</v>
      </c>
      <c r="AF1024" t="s">
        <v>43</v>
      </c>
    </row>
    <row r="1025" spans="1:32" x14ac:dyDescent="0.25">
      <c r="A1025">
        <v>29</v>
      </c>
      <c r="B1025" t="s">
        <v>41</v>
      </c>
      <c r="C1025" t="s">
        <v>33</v>
      </c>
      <c r="D1025" t="s">
        <v>34</v>
      </c>
      <c r="E1025">
        <v>15</v>
      </c>
      <c r="F1025" t="s">
        <v>58</v>
      </c>
      <c r="G1025">
        <v>2</v>
      </c>
      <c r="H1025">
        <v>2</v>
      </c>
      <c r="I1025" t="s">
        <v>36</v>
      </c>
      <c r="J1025">
        <v>3</v>
      </c>
      <c r="K1025" t="s">
        <v>37</v>
      </c>
      <c r="L1025">
        <v>4193</v>
      </c>
      <c r="M1025">
        <v>0</v>
      </c>
      <c r="N1025" t="s">
        <v>32</v>
      </c>
      <c r="O1025">
        <v>12</v>
      </c>
      <c r="P1025">
        <v>3</v>
      </c>
      <c r="Q1025">
        <v>0</v>
      </c>
      <c r="R1025">
        <v>10</v>
      </c>
      <c r="S1025">
        <v>3</v>
      </c>
      <c r="T1025">
        <v>9</v>
      </c>
      <c r="U1025">
        <v>0</v>
      </c>
      <c r="V1025">
        <v>8</v>
      </c>
      <c r="W1025" t="s">
        <v>56</v>
      </c>
      <c r="X1025" s="1" t="d">
        <v>2012-04-24</v>
      </c>
      <c r="Z1025" t="s">
        <v>45</v>
      </c>
      <c r="AA1025" t="s">
        <v>46</v>
      </c>
      <c r="AB1025">
        <v>5</v>
      </c>
      <c r="AC1025">
        <v>1</v>
      </c>
      <c r="AD1025" t="s">
        <v>32</v>
      </c>
      <c r="AE1025" t="s">
        <v>60</v>
      </c>
      <c r="AF1025" t="s">
        <v>57</v>
      </c>
    </row>
    <row r="1026" spans="1:32" x14ac:dyDescent="0.25">
      <c r="A1026">
        <v>42</v>
      </c>
      <c r="B1026" t="s">
        <v>41</v>
      </c>
      <c r="C1026" t="s">
        <v>33</v>
      </c>
      <c r="D1026" t="s">
        <v>53</v>
      </c>
      <c r="E1026">
        <v>8</v>
      </c>
      <c r="F1026" t="s">
        <v>35</v>
      </c>
      <c r="G1026">
        <v>3</v>
      </c>
      <c r="H1026">
        <v>2</v>
      </c>
      <c r="I1026" t="s">
        <v>64</v>
      </c>
      <c r="J1026">
        <v>2</v>
      </c>
      <c r="K1026" t="s">
        <v>50</v>
      </c>
      <c r="L1026">
        <v>6825</v>
      </c>
      <c r="M1026">
        <v>0</v>
      </c>
      <c r="N1026" t="s">
        <v>41</v>
      </c>
      <c r="O1026">
        <v>11</v>
      </c>
      <c r="P1026">
        <v>3</v>
      </c>
      <c r="Q1026">
        <v>1</v>
      </c>
      <c r="R1026">
        <v>10</v>
      </c>
      <c r="S1026">
        <v>2</v>
      </c>
      <c r="T1026">
        <v>9</v>
      </c>
      <c r="U1026">
        <v>4</v>
      </c>
      <c r="V1026">
        <v>2</v>
      </c>
      <c r="W1026" t="s">
        <v>38</v>
      </c>
      <c r="X1026" s="1" t="d">
        <v>2012-02-21</v>
      </c>
      <c r="Z1026" t="s">
        <v>63</v>
      </c>
      <c r="AA1026" t="s">
        <v>40</v>
      </c>
      <c r="AB1026">
        <v>0</v>
      </c>
      <c r="AC1026">
        <v>0</v>
      </c>
      <c r="AD1026" t="s">
        <v>41</v>
      </c>
      <c r="AE1026" t="s">
        <v>60</v>
      </c>
      <c r="AF1026" t="s">
        <v>57</v>
      </c>
    </row>
    <row r="1027" spans="1:32" x14ac:dyDescent="0.25">
      <c r="A1027">
        <v>27</v>
      </c>
      <c r="B1027" t="s">
        <v>41</v>
      </c>
      <c r="C1027" t="s">
        <v>61</v>
      </c>
      <c r="D1027" t="s">
        <v>53</v>
      </c>
      <c r="E1027">
        <v>8</v>
      </c>
      <c r="F1027" t="s">
        <v>35</v>
      </c>
      <c r="G1027">
        <v>3</v>
      </c>
      <c r="H1027">
        <v>3</v>
      </c>
      <c r="I1027" t="s">
        <v>64</v>
      </c>
      <c r="J1027">
        <v>3</v>
      </c>
      <c r="K1027" t="s">
        <v>37</v>
      </c>
      <c r="L1027">
        <v>8726</v>
      </c>
      <c r="M1027">
        <v>1</v>
      </c>
      <c r="N1027" t="s">
        <v>41</v>
      </c>
      <c r="O1027">
        <v>15</v>
      </c>
      <c r="P1027">
        <v>3</v>
      </c>
      <c r="Q1027">
        <v>0</v>
      </c>
      <c r="R1027">
        <v>9</v>
      </c>
      <c r="S1027">
        <v>0</v>
      </c>
      <c r="T1027">
        <v>9</v>
      </c>
      <c r="U1027">
        <v>1</v>
      </c>
      <c r="V1027">
        <v>7</v>
      </c>
      <c r="W1027" t="s">
        <v>51</v>
      </c>
      <c r="X1027" s="1" t="d">
        <v>2012-03-10</v>
      </c>
      <c r="Z1027" t="s">
        <v>52</v>
      </c>
      <c r="AA1027" t="s">
        <v>46</v>
      </c>
      <c r="AB1027">
        <v>5</v>
      </c>
      <c r="AC1027">
        <v>1</v>
      </c>
      <c r="AD1027" t="s">
        <v>41</v>
      </c>
      <c r="AE1027" t="s">
        <v>47</v>
      </c>
      <c r="AF1027" t="s">
        <v>57</v>
      </c>
    </row>
    <row r="1028" spans="1:32" x14ac:dyDescent="0.25">
      <c r="A1028">
        <v>34</v>
      </c>
      <c r="B1028" t="s">
        <v>41</v>
      </c>
      <c r="C1028" t="s">
        <v>68</v>
      </c>
      <c r="D1028" t="s">
        <v>53</v>
      </c>
      <c r="E1028">
        <v>23</v>
      </c>
      <c r="F1028" t="s">
        <v>35</v>
      </c>
      <c r="G1028">
        <v>3</v>
      </c>
      <c r="H1028">
        <v>2</v>
      </c>
      <c r="I1028" t="s">
        <v>64</v>
      </c>
      <c r="J1028">
        <v>3</v>
      </c>
      <c r="K1028" t="s">
        <v>37</v>
      </c>
      <c r="L1028">
        <v>4568</v>
      </c>
      <c r="M1028">
        <v>0</v>
      </c>
      <c r="N1028" t="s">
        <v>41</v>
      </c>
      <c r="O1028">
        <v>20</v>
      </c>
      <c r="P1028">
        <v>4</v>
      </c>
      <c r="Q1028">
        <v>0</v>
      </c>
      <c r="R1028">
        <v>10</v>
      </c>
      <c r="S1028">
        <v>2</v>
      </c>
      <c r="T1028">
        <v>9</v>
      </c>
      <c r="U1028">
        <v>8</v>
      </c>
      <c r="V1028">
        <v>7</v>
      </c>
      <c r="W1028" t="s">
        <v>65</v>
      </c>
      <c r="X1028" s="1" t="d">
        <v>2012-06-27</v>
      </c>
      <c r="Z1028" t="s">
        <v>52</v>
      </c>
      <c r="AA1028" t="s">
        <v>46</v>
      </c>
      <c r="AB1028">
        <v>5</v>
      </c>
      <c r="AC1028">
        <v>3</v>
      </c>
      <c r="AD1028" t="s">
        <v>32</v>
      </c>
      <c r="AE1028" t="s">
        <v>62</v>
      </c>
      <c r="AF1028" t="s">
        <v>48</v>
      </c>
    </row>
    <row r="1029" spans="1:32" x14ac:dyDescent="0.25">
      <c r="A1029">
        <v>46</v>
      </c>
      <c r="B1029" t="s">
        <v>41</v>
      </c>
      <c r="C1029" t="s">
        <v>61</v>
      </c>
      <c r="D1029" t="s">
        <v>53</v>
      </c>
      <c r="E1029">
        <v>5</v>
      </c>
      <c r="F1029" t="s">
        <v>35</v>
      </c>
      <c r="G1029">
        <v>3</v>
      </c>
      <c r="H1029">
        <v>2</v>
      </c>
      <c r="I1029" t="s">
        <v>64</v>
      </c>
      <c r="J1029">
        <v>4</v>
      </c>
      <c r="K1029" t="s">
        <v>37</v>
      </c>
      <c r="L1029">
        <v>5772</v>
      </c>
      <c r="M1029">
        <v>4</v>
      </c>
      <c r="N1029" t="s">
        <v>32</v>
      </c>
      <c r="O1029">
        <v>21</v>
      </c>
      <c r="P1029">
        <v>4</v>
      </c>
      <c r="Q1029">
        <v>0</v>
      </c>
      <c r="R1029">
        <v>14</v>
      </c>
      <c r="S1029">
        <v>4</v>
      </c>
      <c r="T1029">
        <v>9</v>
      </c>
      <c r="U1029">
        <v>0</v>
      </c>
      <c r="V1029">
        <v>8</v>
      </c>
      <c r="W1029" t="s">
        <v>65</v>
      </c>
      <c r="X1029" s="1" t="d">
        <v>2012-02-03</v>
      </c>
      <c r="Z1029" t="s">
        <v>52</v>
      </c>
      <c r="AA1029" t="s">
        <v>40</v>
      </c>
      <c r="AB1029">
        <v>4</v>
      </c>
      <c r="AC1029">
        <v>1</v>
      </c>
      <c r="AD1029" t="s">
        <v>32</v>
      </c>
      <c r="AE1029" t="s">
        <v>60</v>
      </c>
      <c r="AF1029" t="s">
        <v>43</v>
      </c>
    </row>
    <row r="1030" spans="1:32" x14ac:dyDescent="0.25">
      <c r="A1030">
        <v>35</v>
      </c>
      <c r="B1030" t="s">
        <v>41</v>
      </c>
      <c r="C1030" t="s">
        <v>61</v>
      </c>
      <c r="D1030" t="s">
        <v>53</v>
      </c>
      <c r="E1030">
        <v>18</v>
      </c>
      <c r="F1030" t="s">
        <v>35</v>
      </c>
      <c r="G1030">
        <v>3</v>
      </c>
      <c r="H1030">
        <v>3</v>
      </c>
      <c r="I1030" t="s">
        <v>64</v>
      </c>
      <c r="J1030">
        <v>1</v>
      </c>
      <c r="K1030" t="s">
        <v>50</v>
      </c>
      <c r="L1030">
        <v>9069</v>
      </c>
      <c r="M1030">
        <v>1</v>
      </c>
      <c r="N1030" t="s">
        <v>41</v>
      </c>
      <c r="O1030">
        <v>22</v>
      </c>
      <c r="P1030">
        <v>4</v>
      </c>
      <c r="Q1030">
        <v>1</v>
      </c>
      <c r="R1030">
        <v>9</v>
      </c>
      <c r="S1030">
        <v>3</v>
      </c>
      <c r="T1030">
        <v>9</v>
      </c>
      <c r="U1030">
        <v>1</v>
      </c>
      <c r="V1030">
        <v>8</v>
      </c>
      <c r="W1030" t="s">
        <v>51</v>
      </c>
      <c r="X1030" s="1" t="d">
        <v>2012-05-11</v>
      </c>
      <c r="Z1030" t="s">
        <v>52</v>
      </c>
      <c r="AA1030" t="s">
        <v>40</v>
      </c>
      <c r="AB1030">
        <v>4</v>
      </c>
      <c r="AC1030">
        <v>0</v>
      </c>
      <c r="AD1030" t="s">
        <v>41</v>
      </c>
      <c r="AE1030" t="s">
        <v>42</v>
      </c>
      <c r="AF1030" t="s">
        <v>57</v>
      </c>
    </row>
    <row r="1031" spans="1:32" x14ac:dyDescent="0.25">
      <c r="A1031">
        <v>32</v>
      </c>
      <c r="B1031" t="s">
        <v>41</v>
      </c>
      <c r="C1031" t="s">
        <v>33</v>
      </c>
      <c r="D1031" t="s">
        <v>34</v>
      </c>
      <c r="E1031">
        <v>1</v>
      </c>
      <c r="F1031" t="s">
        <v>35</v>
      </c>
      <c r="G1031">
        <v>3</v>
      </c>
      <c r="H1031">
        <v>2</v>
      </c>
      <c r="I1031" t="s">
        <v>67</v>
      </c>
      <c r="J1031">
        <v>4</v>
      </c>
      <c r="K1031" t="s">
        <v>50</v>
      </c>
      <c r="L1031">
        <v>6162</v>
      </c>
      <c r="M1031">
        <v>1</v>
      </c>
      <c r="N1031" t="s">
        <v>32</v>
      </c>
      <c r="O1031">
        <v>22</v>
      </c>
      <c r="P1031">
        <v>4</v>
      </c>
      <c r="Q1031">
        <v>1</v>
      </c>
      <c r="R1031">
        <v>9</v>
      </c>
      <c r="S1031">
        <v>3</v>
      </c>
      <c r="T1031">
        <v>9</v>
      </c>
      <c r="U1031">
        <v>7</v>
      </c>
      <c r="V1031">
        <v>8</v>
      </c>
      <c r="W1031" t="s">
        <v>38</v>
      </c>
      <c r="X1031" s="1" t="d">
        <v>2012-06-05</v>
      </c>
      <c r="Z1031" t="s">
        <v>63</v>
      </c>
      <c r="AA1031" t="s">
        <v>46</v>
      </c>
      <c r="AB1031">
        <v>0</v>
      </c>
      <c r="AC1031">
        <v>0</v>
      </c>
      <c r="AD1031" t="s">
        <v>32</v>
      </c>
      <c r="AE1031" t="s">
        <v>42</v>
      </c>
      <c r="AF1031" t="s">
        <v>57</v>
      </c>
    </row>
    <row r="1032" spans="1:32" x14ac:dyDescent="0.25">
      <c r="A1032">
        <v>46</v>
      </c>
      <c r="B1032" t="s">
        <v>32</v>
      </c>
      <c r="C1032" t="s">
        <v>33</v>
      </c>
      <c r="D1032" t="s">
        <v>53</v>
      </c>
      <c r="E1032">
        <v>9</v>
      </c>
      <c r="F1032" t="s">
        <v>35</v>
      </c>
      <c r="G1032">
        <v>2</v>
      </c>
      <c r="H1032">
        <v>3</v>
      </c>
      <c r="I1032" t="s">
        <v>64</v>
      </c>
      <c r="J1032">
        <v>4</v>
      </c>
      <c r="K1032" t="s">
        <v>37</v>
      </c>
      <c r="L1032">
        <v>9619</v>
      </c>
      <c r="M1032">
        <v>1</v>
      </c>
      <c r="N1032" t="s">
        <v>41</v>
      </c>
      <c r="O1032">
        <v>16</v>
      </c>
      <c r="P1032">
        <v>3</v>
      </c>
      <c r="Q1032">
        <v>0</v>
      </c>
      <c r="R1032">
        <v>9</v>
      </c>
      <c r="S1032">
        <v>3</v>
      </c>
      <c r="T1032">
        <v>9</v>
      </c>
      <c r="U1032">
        <v>4</v>
      </c>
      <c r="V1032">
        <v>7</v>
      </c>
      <c r="W1032" t="s">
        <v>51</v>
      </c>
      <c r="X1032" s="1" t="d">
        <v>2012-04-25</v>
      </c>
      <c r="Z1032" t="s">
        <v>59</v>
      </c>
      <c r="AA1032" t="s">
        <v>46</v>
      </c>
      <c r="AB1032">
        <v>2</v>
      </c>
      <c r="AC1032">
        <v>3</v>
      </c>
      <c r="AD1032" t="s">
        <v>41</v>
      </c>
      <c r="AE1032" t="s">
        <v>60</v>
      </c>
      <c r="AF1032" t="s">
        <v>57</v>
      </c>
    </row>
    <row r="1033" spans="1:32" x14ac:dyDescent="0.25">
      <c r="A1033">
        <v>34</v>
      </c>
      <c r="B1033" t="s">
        <v>32</v>
      </c>
      <c r="C1033" t="s">
        <v>61</v>
      </c>
      <c r="D1033" t="s">
        <v>34</v>
      </c>
      <c r="E1033">
        <v>7</v>
      </c>
      <c r="F1033" t="s">
        <v>35</v>
      </c>
      <c r="G1033">
        <v>1</v>
      </c>
      <c r="H1033">
        <v>2</v>
      </c>
      <c r="I1033" t="s">
        <v>36</v>
      </c>
      <c r="J1033">
        <v>3</v>
      </c>
      <c r="K1033" t="s">
        <v>37</v>
      </c>
      <c r="L1033">
        <v>6074</v>
      </c>
      <c r="M1033">
        <v>1</v>
      </c>
      <c r="N1033" t="s">
        <v>32</v>
      </c>
      <c r="O1033">
        <v>24</v>
      </c>
      <c r="P1033">
        <v>4</v>
      </c>
      <c r="Q1033">
        <v>0</v>
      </c>
      <c r="R1033">
        <v>9</v>
      </c>
      <c r="S1033">
        <v>3</v>
      </c>
      <c r="T1033">
        <v>9</v>
      </c>
      <c r="U1033">
        <v>0</v>
      </c>
      <c r="V1033">
        <v>6</v>
      </c>
      <c r="W1033" t="s">
        <v>38</v>
      </c>
      <c r="X1033" s="1" t="d">
        <v>2012-06-05</v>
      </c>
      <c r="Z1033" t="s">
        <v>39</v>
      </c>
      <c r="AA1033" t="s">
        <v>40</v>
      </c>
      <c r="AB1033">
        <v>4</v>
      </c>
      <c r="AC1033">
        <v>1</v>
      </c>
      <c r="AD1033" t="s">
        <v>32</v>
      </c>
      <c r="AE1033" t="s">
        <v>60</v>
      </c>
      <c r="AF1033" t="s">
        <v>48</v>
      </c>
    </row>
    <row r="1034" spans="1:32" x14ac:dyDescent="0.25">
      <c r="A1034">
        <v>36</v>
      </c>
      <c r="B1034" t="s">
        <v>41</v>
      </c>
      <c r="C1034" t="s">
        <v>61</v>
      </c>
      <c r="D1034" t="s">
        <v>53</v>
      </c>
      <c r="E1034">
        <v>11</v>
      </c>
      <c r="F1034" t="s">
        <v>58</v>
      </c>
      <c r="G1034">
        <v>3</v>
      </c>
      <c r="H1034">
        <v>3</v>
      </c>
      <c r="I1034" t="s">
        <v>64</v>
      </c>
      <c r="J1034">
        <v>4</v>
      </c>
      <c r="K1034" t="s">
        <v>50</v>
      </c>
      <c r="L1034">
        <v>9738</v>
      </c>
      <c r="M1034">
        <v>0</v>
      </c>
      <c r="N1034" t="s">
        <v>41</v>
      </c>
      <c r="O1034">
        <v>14</v>
      </c>
      <c r="P1034">
        <v>3</v>
      </c>
      <c r="Q1034">
        <v>1</v>
      </c>
      <c r="R1034">
        <v>10</v>
      </c>
      <c r="S1034">
        <v>6</v>
      </c>
      <c r="T1034">
        <v>9</v>
      </c>
      <c r="U1034">
        <v>2</v>
      </c>
      <c r="V1034">
        <v>8</v>
      </c>
      <c r="W1034" t="s">
        <v>51</v>
      </c>
      <c r="X1034" s="1" t="d">
        <v>2012-02-01</v>
      </c>
      <c r="Z1034" t="s">
        <v>63</v>
      </c>
      <c r="AA1034" t="s">
        <v>46</v>
      </c>
      <c r="AB1034">
        <v>2</v>
      </c>
      <c r="AC1034">
        <v>0</v>
      </c>
      <c r="AD1034" t="s">
        <v>41</v>
      </c>
      <c r="AE1034" t="s">
        <v>62</v>
      </c>
      <c r="AF1034" t="s">
        <v>43</v>
      </c>
    </row>
    <row r="1035" spans="1:32" x14ac:dyDescent="0.25">
      <c r="A1035">
        <v>41</v>
      </c>
      <c r="B1035" t="s">
        <v>41</v>
      </c>
      <c r="C1035" t="s">
        <v>33</v>
      </c>
      <c r="D1035" t="s">
        <v>53</v>
      </c>
      <c r="E1035">
        <v>9</v>
      </c>
      <c r="F1035" t="s">
        <v>35</v>
      </c>
      <c r="G1035">
        <v>3</v>
      </c>
      <c r="H1035">
        <v>3</v>
      </c>
      <c r="I1035" t="s">
        <v>64</v>
      </c>
      <c r="J1035">
        <v>3</v>
      </c>
      <c r="K1035" t="s">
        <v>55</v>
      </c>
      <c r="L1035">
        <v>8189</v>
      </c>
      <c r="M1035">
        <v>3</v>
      </c>
      <c r="N1035" t="s">
        <v>32</v>
      </c>
      <c r="O1035">
        <v>13</v>
      </c>
      <c r="P1035">
        <v>3</v>
      </c>
      <c r="Q1035">
        <v>1</v>
      </c>
      <c r="R1035">
        <v>12</v>
      </c>
      <c r="S1035">
        <v>2</v>
      </c>
      <c r="T1035">
        <v>9</v>
      </c>
      <c r="U1035">
        <v>0</v>
      </c>
      <c r="V1035">
        <v>7</v>
      </c>
      <c r="W1035" t="s">
        <v>51</v>
      </c>
      <c r="X1035" s="1" t="d">
        <v>2012-03-09</v>
      </c>
      <c r="Z1035" t="s">
        <v>45</v>
      </c>
      <c r="AA1035" t="s">
        <v>40</v>
      </c>
      <c r="AB1035">
        <v>3</v>
      </c>
      <c r="AC1035">
        <v>1</v>
      </c>
      <c r="AD1035" t="s">
        <v>32</v>
      </c>
      <c r="AE1035" t="s">
        <v>62</v>
      </c>
      <c r="AF1035" t="s">
        <v>48</v>
      </c>
    </row>
    <row r="1036" spans="1:32" x14ac:dyDescent="0.25">
      <c r="A1036">
        <v>32</v>
      </c>
      <c r="B1036" t="s">
        <v>41</v>
      </c>
      <c r="C1036" t="s">
        <v>61</v>
      </c>
      <c r="D1036" t="s">
        <v>53</v>
      </c>
      <c r="E1036">
        <v>8</v>
      </c>
      <c r="F1036" t="s">
        <v>58</v>
      </c>
      <c r="G1036">
        <v>3</v>
      </c>
      <c r="H1036">
        <v>3</v>
      </c>
      <c r="I1036" t="s">
        <v>64</v>
      </c>
      <c r="J1036">
        <v>4</v>
      </c>
      <c r="K1036" t="s">
        <v>37</v>
      </c>
      <c r="L1036">
        <v>8998</v>
      </c>
      <c r="M1036">
        <v>1</v>
      </c>
      <c r="N1036" t="s">
        <v>41</v>
      </c>
      <c r="O1036">
        <v>14</v>
      </c>
      <c r="P1036">
        <v>3</v>
      </c>
      <c r="Q1036">
        <v>0</v>
      </c>
      <c r="R1036">
        <v>9</v>
      </c>
      <c r="S1036">
        <v>2</v>
      </c>
      <c r="T1036">
        <v>9</v>
      </c>
      <c r="U1036">
        <v>3</v>
      </c>
      <c r="V1036">
        <v>7</v>
      </c>
      <c r="W1036" t="s">
        <v>38</v>
      </c>
      <c r="X1036" s="1" t="d">
        <v>2012-04-03</v>
      </c>
      <c r="Z1036" t="s">
        <v>39</v>
      </c>
      <c r="AA1036" t="s">
        <v>40</v>
      </c>
      <c r="AB1036">
        <v>5</v>
      </c>
      <c r="AC1036">
        <v>2</v>
      </c>
      <c r="AD1036" t="s">
        <v>32</v>
      </c>
      <c r="AE1036" t="s">
        <v>47</v>
      </c>
      <c r="AF1036" t="s">
        <v>57</v>
      </c>
    </row>
    <row r="1037" spans="1:32" x14ac:dyDescent="0.25">
      <c r="A1037">
        <v>41</v>
      </c>
      <c r="B1037" t="s">
        <v>41</v>
      </c>
      <c r="C1037" t="s">
        <v>33</v>
      </c>
      <c r="D1037" t="s">
        <v>34</v>
      </c>
      <c r="E1037">
        <v>14</v>
      </c>
      <c r="F1037" t="s">
        <v>35</v>
      </c>
      <c r="G1037">
        <v>3</v>
      </c>
      <c r="H1037">
        <v>1</v>
      </c>
      <c r="I1037" t="s">
        <v>44</v>
      </c>
      <c r="J1037">
        <v>3</v>
      </c>
      <c r="K1037" t="s">
        <v>55</v>
      </c>
      <c r="L1037">
        <v>2451</v>
      </c>
      <c r="M1037">
        <v>4</v>
      </c>
      <c r="N1037" t="s">
        <v>41</v>
      </c>
      <c r="O1037">
        <v>12</v>
      </c>
      <c r="P1037">
        <v>3</v>
      </c>
      <c r="Q1037">
        <v>1</v>
      </c>
      <c r="R1037">
        <v>13</v>
      </c>
      <c r="S1037">
        <v>2</v>
      </c>
      <c r="T1037">
        <v>9</v>
      </c>
      <c r="U1037">
        <v>1</v>
      </c>
      <c r="V1037">
        <v>8</v>
      </c>
      <c r="W1037" t="s">
        <v>56</v>
      </c>
      <c r="X1037" s="1" t="d">
        <v>2012-05-19</v>
      </c>
      <c r="Z1037" t="s">
        <v>52</v>
      </c>
      <c r="AA1037" t="s">
        <v>46</v>
      </c>
      <c r="AB1037">
        <v>4</v>
      </c>
      <c r="AC1037">
        <v>3</v>
      </c>
      <c r="AD1037" t="s">
        <v>32</v>
      </c>
      <c r="AE1037" t="s">
        <v>62</v>
      </c>
      <c r="AF1037" t="s">
        <v>43</v>
      </c>
    </row>
    <row r="1038" spans="1:32" x14ac:dyDescent="0.25">
      <c r="A1038">
        <v>37</v>
      </c>
      <c r="B1038" t="s">
        <v>41</v>
      </c>
      <c r="C1038" t="s">
        <v>61</v>
      </c>
      <c r="D1038" t="s">
        <v>53</v>
      </c>
      <c r="E1038">
        <v>4</v>
      </c>
      <c r="F1038" t="s">
        <v>35</v>
      </c>
      <c r="G1038">
        <v>3</v>
      </c>
      <c r="H1038">
        <v>1</v>
      </c>
      <c r="I1038" t="s">
        <v>54</v>
      </c>
      <c r="J1038">
        <v>4</v>
      </c>
      <c r="K1038" t="s">
        <v>55</v>
      </c>
      <c r="L1038">
        <v>2793</v>
      </c>
      <c r="M1038">
        <v>4</v>
      </c>
      <c r="N1038" t="s">
        <v>41</v>
      </c>
      <c r="O1038">
        <v>17</v>
      </c>
      <c r="P1038">
        <v>3</v>
      </c>
      <c r="Q1038">
        <v>1</v>
      </c>
      <c r="R1038">
        <v>13</v>
      </c>
      <c r="S1038">
        <v>2</v>
      </c>
      <c r="T1038">
        <v>9</v>
      </c>
      <c r="U1038">
        <v>5</v>
      </c>
      <c r="V1038">
        <v>8</v>
      </c>
      <c r="W1038" t="s">
        <v>56</v>
      </c>
      <c r="X1038" s="1" t="d">
        <v>2012-04-26</v>
      </c>
      <c r="Z1038" t="s">
        <v>59</v>
      </c>
      <c r="AA1038" t="s">
        <v>40</v>
      </c>
      <c r="AB1038">
        <v>2</v>
      </c>
      <c r="AC1038">
        <v>1</v>
      </c>
      <c r="AD1038" t="s">
        <v>32</v>
      </c>
      <c r="AE1038" t="s">
        <v>47</v>
      </c>
      <c r="AF1038" t="s">
        <v>43</v>
      </c>
    </row>
    <row r="1039" spans="1:32" x14ac:dyDescent="0.25">
      <c r="A1039">
        <v>33</v>
      </c>
      <c r="B1039" t="s">
        <v>32</v>
      </c>
      <c r="C1039" t="s">
        <v>33</v>
      </c>
      <c r="D1039" t="s">
        <v>34</v>
      </c>
      <c r="E1039">
        <v>2</v>
      </c>
      <c r="F1039" t="s">
        <v>58</v>
      </c>
      <c r="G1039">
        <v>3</v>
      </c>
      <c r="H1039">
        <v>1</v>
      </c>
      <c r="I1039" t="s">
        <v>36</v>
      </c>
      <c r="J1039">
        <v>1</v>
      </c>
      <c r="K1039" t="s">
        <v>50</v>
      </c>
      <c r="L1039">
        <v>2707</v>
      </c>
      <c r="M1039">
        <v>7</v>
      </c>
      <c r="N1039" t="s">
        <v>41</v>
      </c>
      <c r="O1039">
        <v>20</v>
      </c>
      <c r="P1039">
        <v>4</v>
      </c>
      <c r="Q1039">
        <v>0</v>
      </c>
      <c r="R1039">
        <v>13</v>
      </c>
      <c r="S1039">
        <v>3</v>
      </c>
      <c r="T1039">
        <v>9</v>
      </c>
      <c r="U1039">
        <v>1</v>
      </c>
      <c r="V1039">
        <v>7</v>
      </c>
      <c r="W1039" t="s">
        <v>51</v>
      </c>
      <c r="X1039" s="1" t="d">
        <v>2012-02-20</v>
      </c>
      <c r="Z1039" t="s">
        <v>45</v>
      </c>
      <c r="AA1039" t="s">
        <v>46</v>
      </c>
      <c r="AB1039">
        <v>0</v>
      </c>
      <c r="AC1039">
        <v>1</v>
      </c>
      <c r="AD1039" t="s">
        <v>32</v>
      </c>
      <c r="AE1039" t="s">
        <v>47</v>
      </c>
      <c r="AF1039" t="s">
        <v>57</v>
      </c>
    </row>
    <row r="1040" spans="1:32" x14ac:dyDescent="0.25">
      <c r="A1040">
        <v>40</v>
      </c>
      <c r="B1040" t="s">
        <v>41</v>
      </c>
      <c r="C1040" t="s">
        <v>33</v>
      </c>
      <c r="D1040" t="s">
        <v>34</v>
      </c>
      <c r="E1040">
        <v>24</v>
      </c>
      <c r="F1040" t="s">
        <v>35</v>
      </c>
      <c r="G1040">
        <v>3</v>
      </c>
      <c r="H1040">
        <v>2</v>
      </c>
      <c r="I1040" t="s">
        <v>44</v>
      </c>
      <c r="J1040">
        <v>4</v>
      </c>
      <c r="K1040" t="s">
        <v>55</v>
      </c>
      <c r="L1040">
        <v>3319</v>
      </c>
      <c r="M1040">
        <v>1</v>
      </c>
      <c r="N1040" t="s">
        <v>41</v>
      </c>
      <c r="O1040">
        <v>17</v>
      </c>
      <c r="P1040">
        <v>3</v>
      </c>
      <c r="Q1040">
        <v>2</v>
      </c>
      <c r="R1040">
        <v>9</v>
      </c>
      <c r="S1040">
        <v>3</v>
      </c>
      <c r="T1040">
        <v>9</v>
      </c>
      <c r="U1040">
        <v>4</v>
      </c>
      <c r="V1040">
        <v>7</v>
      </c>
      <c r="W1040" t="s">
        <v>51</v>
      </c>
      <c r="X1040" s="1" t="d">
        <v>2012-05-01</v>
      </c>
      <c r="Z1040" t="s">
        <v>39</v>
      </c>
      <c r="AA1040" t="s">
        <v>46</v>
      </c>
      <c r="AB1040">
        <v>2</v>
      </c>
      <c r="AC1040">
        <v>1</v>
      </c>
      <c r="AD1040" t="s">
        <v>32</v>
      </c>
      <c r="AE1040" t="s">
        <v>60</v>
      </c>
      <c r="AF1040" t="s">
        <v>57</v>
      </c>
    </row>
    <row r="1041" spans="1:32" x14ac:dyDescent="0.25">
      <c r="A1041">
        <v>42</v>
      </c>
      <c r="B1041" t="s">
        <v>41</v>
      </c>
      <c r="C1041" t="s">
        <v>33</v>
      </c>
      <c r="D1041" t="s">
        <v>34</v>
      </c>
      <c r="E1041">
        <v>2</v>
      </c>
      <c r="F1041" t="s">
        <v>58</v>
      </c>
      <c r="G1041">
        <v>2</v>
      </c>
      <c r="H1041">
        <v>1</v>
      </c>
      <c r="I1041" t="s">
        <v>36</v>
      </c>
      <c r="J1041">
        <v>1</v>
      </c>
      <c r="K1041" t="s">
        <v>55</v>
      </c>
      <c r="L1041">
        <v>2593</v>
      </c>
      <c r="M1041">
        <v>0</v>
      </c>
      <c r="N1041" t="s">
        <v>32</v>
      </c>
      <c r="O1041">
        <v>11</v>
      </c>
      <c r="P1041">
        <v>3</v>
      </c>
      <c r="Q1041">
        <v>1</v>
      </c>
      <c r="R1041">
        <v>10</v>
      </c>
      <c r="S1041">
        <v>4</v>
      </c>
      <c r="T1041">
        <v>9</v>
      </c>
      <c r="U1041">
        <v>7</v>
      </c>
      <c r="V1041">
        <v>8</v>
      </c>
      <c r="W1041" t="s">
        <v>65</v>
      </c>
      <c r="X1041" s="1" t="d">
        <v>2012-04-04</v>
      </c>
      <c r="Z1041" t="s">
        <v>63</v>
      </c>
      <c r="AA1041" t="s">
        <v>40</v>
      </c>
      <c r="AB1041">
        <v>4</v>
      </c>
      <c r="AC1041">
        <v>2</v>
      </c>
      <c r="AD1041" t="s">
        <v>41</v>
      </c>
      <c r="AE1041" t="s">
        <v>62</v>
      </c>
      <c r="AF1041" t="s">
        <v>43</v>
      </c>
    </row>
    <row r="1042" spans="1:32" x14ac:dyDescent="0.25">
      <c r="A1042">
        <v>31</v>
      </c>
      <c r="B1042" t="s">
        <v>41</v>
      </c>
      <c r="C1042" t="s">
        <v>33</v>
      </c>
      <c r="D1042" t="s">
        <v>34</v>
      </c>
      <c r="E1042">
        <v>23</v>
      </c>
      <c r="F1042" t="s">
        <v>35</v>
      </c>
      <c r="G1042">
        <v>2</v>
      </c>
      <c r="H1042">
        <v>2</v>
      </c>
      <c r="I1042" t="s">
        <v>69</v>
      </c>
      <c r="J1042">
        <v>4</v>
      </c>
      <c r="K1042" t="s">
        <v>50</v>
      </c>
      <c r="L1042">
        <v>5582</v>
      </c>
      <c r="M1042">
        <v>0</v>
      </c>
      <c r="N1042" t="s">
        <v>41</v>
      </c>
      <c r="O1042">
        <v>21</v>
      </c>
      <c r="P1042">
        <v>4</v>
      </c>
      <c r="Q1042">
        <v>1</v>
      </c>
      <c r="R1042">
        <v>10</v>
      </c>
      <c r="S1042">
        <v>2</v>
      </c>
      <c r="T1042">
        <v>9</v>
      </c>
      <c r="U1042">
        <v>7</v>
      </c>
      <c r="V1042">
        <v>8</v>
      </c>
      <c r="W1042" t="s">
        <v>51</v>
      </c>
      <c r="X1042" s="1" t="d">
        <v>2012-04-22</v>
      </c>
      <c r="Z1042" t="s">
        <v>45</v>
      </c>
      <c r="AA1042" t="s">
        <v>40</v>
      </c>
      <c r="AB1042">
        <v>4</v>
      </c>
      <c r="AC1042">
        <v>1</v>
      </c>
      <c r="AD1042" t="s">
        <v>41</v>
      </c>
      <c r="AE1042" t="s">
        <v>42</v>
      </c>
      <c r="AF1042" t="s">
        <v>57</v>
      </c>
    </row>
    <row r="1043" spans="1:32" x14ac:dyDescent="0.25">
      <c r="A1043">
        <v>36</v>
      </c>
      <c r="B1043" t="s">
        <v>41</v>
      </c>
      <c r="C1043" t="s">
        <v>68</v>
      </c>
      <c r="D1043" t="s">
        <v>34</v>
      </c>
      <c r="E1043">
        <v>24</v>
      </c>
      <c r="F1043" t="s">
        <v>58</v>
      </c>
      <c r="G1043">
        <v>3</v>
      </c>
      <c r="H1043">
        <v>2</v>
      </c>
      <c r="I1043" t="s">
        <v>36</v>
      </c>
      <c r="J1043">
        <v>2</v>
      </c>
      <c r="K1043" t="s">
        <v>50</v>
      </c>
      <c r="L1043">
        <v>5674</v>
      </c>
      <c r="M1043">
        <v>7</v>
      </c>
      <c r="N1043" t="s">
        <v>41</v>
      </c>
      <c r="O1043">
        <v>15</v>
      </c>
      <c r="P1043">
        <v>3</v>
      </c>
      <c r="Q1043">
        <v>1</v>
      </c>
      <c r="R1043">
        <v>11</v>
      </c>
      <c r="S1043">
        <v>3</v>
      </c>
      <c r="T1043">
        <v>9</v>
      </c>
      <c r="U1043">
        <v>0</v>
      </c>
      <c r="V1043">
        <v>8</v>
      </c>
      <c r="W1043" t="s">
        <v>65</v>
      </c>
      <c r="X1043" s="1" t="d">
        <v>2012-02-17</v>
      </c>
      <c r="Z1043" t="s">
        <v>45</v>
      </c>
      <c r="AA1043" t="s">
        <v>46</v>
      </c>
      <c r="AB1043">
        <v>5</v>
      </c>
      <c r="AC1043">
        <v>1</v>
      </c>
      <c r="AD1043" t="s">
        <v>32</v>
      </c>
      <c r="AE1043" t="s">
        <v>47</v>
      </c>
      <c r="AF1043" t="s">
        <v>43</v>
      </c>
    </row>
    <row r="1044" spans="1:32" x14ac:dyDescent="0.25">
      <c r="A1044">
        <v>43</v>
      </c>
      <c r="B1044" t="s">
        <v>41</v>
      </c>
      <c r="C1044" t="s">
        <v>61</v>
      </c>
      <c r="D1044" t="s">
        <v>34</v>
      </c>
      <c r="E1044">
        <v>10</v>
      </c>
      <c r="F1044" t="s">
        <v>58</v>
      </c>
      <c r="G1044">
        <v>2</v>
      </c>
      <c r="H1044">
        <v>2</v>
      </c>
      <c r="I1044" t="s">
        <v>36</v>
      </c>
      <c r="J1044">
        <v>3</v>
      </c>
      <c r="K1044" t="s">
        <v>55</v>
      </c>
      <c r="L1044">
        <v>5257</v>
      </c>
      <c r="M1044">
        <v>1</v>
      </c>
      <c r="N1044" t="s">
        <v>41</v>
      </c>
      <c r="O1044">
        <v>11</v>
      </c>
      <c r="P1044">
        <v>3</v>
      </c>
      <c r="Q1044">
        <v>1</v>
      </c>
      <c r="R1044">
        <v>9</v>
      </c>
      <c r="S1044">
        <v>3</v>
      </c>
      <c r="T1044">
        <v>9</v>
      </c>
      <c r="U1044">
        <v>0</v>
      </c>
      <c r="V1044">
        <v>0</v>
      </c>
      <c r="W1044" t="s">
        <v>38</v>
      </c>
      <c r="X1044" s="1" t="d">
        <v>2012-02-23</v>
      </c>
      <c r="Z1044" t="s">
        <v>59</v>
      </c>
      <c r="AA1044" t="s">
        <v>40</v>
      </c>
      <c r="AB1044">
        <v>3</v>
      </c>
      <c r="AC1044">
        <v>3</v>
      </c>
      <c r="AD1044" t="s">
        <v>41</v>
      </c>
      <c r="AE1044" t="s">
        <v>47</v>
      </c>
      <c r="AF1044" t="s">
        <v>57</v>
      </c>
    </row>
    <row r="1045" spans="1:32" x14ac:dyDescent="0.25">
      <c r="A1045">
        <v>30</v>
      </c>
      <c r="B1045" t="s">
        <v>41</v>
      </c>
      <c r="C1045" t="s">
        <v>68</v>
      </c>
      <c r="D1045" t="s">
        <v>53</v>
      </c>
      <c r="E1045">
        <v>22</v>
      </c>
      <c r="F1045" t="s">
        <v>58</v>
      </c>
      <c r="G1045">
        <v>3</v>
      </c>
      <c r="H1045">
        <v>3</v>
      </c>
      <c r="I1045" t="s">
        <v>64</v>
      </c>
      <c r="J1045">
        <v>1</v>
      </c>
      <c r="K1045" t="s">
        <v>50</v>
      </c>
      <c r="L1045">
        <v>8412</v>
      </c>
      <c r="M1045">
        <v>0</v>
      </c>
      <c r="N1045" t="s">
        <v>41</v>
      </c>
      <c r="O1045">
        <v>11</v>
      </c>
      <c r="P1045">
        <v>3</v>
      </c>
      <c r="Q1045">
        <v>0</v>
      </c>
      <c r="R1045">
        <v>10</v>
      </c>
      <c r="S1045">
        <v>3</v>
      </c>
      <c r="T1045">
        <v>9</v>
      </c>
      <c r="U1045">
        <v>7</v>
      </c>
      <c r="V1045">
        <v>8</v>
      </c>
      <c r="W1045" t="s">
        <v>38</v>
      </c>
      <c r="X1045" s="1" t="d">
        <v>2012-04-13</v>
      </c>
      <c r="Z1045" t="s">
        <v>63</v>
      </c>
      <c r="AA1045" t="s">
        <v>46</v>
      </c>
      <c r="AB1045">
        <v>4</v>
      </c>
      <c r="AC1045">
        <v>2</v>
      </c>
      <c r="AD1045" t="s">
        <v>32</v>
      </c>
      <c r="AE1045" t="s">
        <v>47</v>
      </c>
      <c r="AF1045" t="s">
        <v>48</v>
      </c>
    </row>
    <row r="1046" spans="1:32" x14ac:dyDescent="0.25">
      <c r="A1046">
        <v>48</v>
      </c>
      <c r="B1046" t="s">
        <v>41</v>
      </c>
      <c r="C1046" t="s">
        <v>33</v>
      </c>
      <c r="D1046" t="s">
        <v>53</v>
      </c>
      <c r="E1046">
        <v>2</v>
      </c>
      <c r="F1046" t="s">
        <v>58</v>
      </c>
      <c r="G1046">
        <v>3</v>
      </c>
      <c r="H1046">
        <v>2</v>
      </c>
      <c r="I1046" t="s">
        <v>64</v>
      </c>
      <c r="J1046">
        <v>4</v>
      </c>
      <c r="K1046" t="s">
        <v>50</v>
      </c>
      <c r="L1046">
        <v>4051</v>
      </c>
      <c r="M1046">
        <v>2</v>
      </c>
      <c r="N1046" t="s">
        <v>41</v>
      </c>
      <c r="O1046">
        <v>14</v>
      </c>
      <c r="P1046">
        <v>3</v>
      </c>
      <c r="Q1046">
        <v>1</v>
      </c>
      <c r="R1046">
        <v>14</v>
      </c>
      <c r="S1046">
        <v>2</v>
      </c>
      <c r="T1046">
        <v>9</v>
      </c>
      <c r="U1046">
        <v>6</v>
      </c>
      <c r="V1046">
        <v>7</v>
      </c>
      <c r="W1046" t="s">
        <v>56</v>
      </c>
      <c r="X1046" s="1" t="d">
        <v>2012-02-15</v>
      </c>
      <c r="Z1046" t="s">
        <v>45</v>
      </c>
      <c r="AA1046" t="s">
        <v>40</v>
      </c>
      <c r="AB1046">
        <v>2</v>
      </c>
      <c r="AC1046">
        <v>0</v>
      </c>
      <c r="AD1046" t="s">
        <v>32</v>
      </c>
      <c r="AE1046" t="s">
        <v>60</v>
      </c>
      <c r="AF1046" t="s">
        <v>48</v>
      </c>
    </row>
    <row r="1047" spans="1:32" x14ac:dyDescent="0.25">
      <c r="A1047">
        <v>37</v>
      </c>
      <c r="B1047" t="s">
        <v>41</v>
      </c>
      <c r="C1047" t="s">
        <v>68</v>
      </c>
      <c r="D1047" t="s">
        <v>53</v>
      </c>
      <c r="E1047">
        <v>9</v>
      </c>
      <c r="F1047" t="s">
        <v>35</v>
      </c>
      <c r="G1047">
        <v>3</v>
      </c>
      <c r="H1047">
        <v>3</v>
      </c>
      <c r="I1047" t="s">
        <v>64</v>
      </c>
      <c r="J1047">
        <v>2</v>
      </c>
      <c r="K1047" t="s">
        <v>55</v>
      </c>
      <c r="L1047">
        <v>8834</v>
      </c>
      <c r="M1047">
        <v>1</v>
      </c>
      <c r="N1047" t="s">
        <v>41</v>
      </c>
      <c r="O1047">
        <v>13</v>
      </c>
      <c r="P1047">
        <v>3</v>
      </c>
      <c r="Q1047">
        <v>1</v>
      </c>
      <c r="R1047">
        <v>9</v>
      </c>
      <c r="S1047">
        <v>6</v>
      </c>
      <c r="T1047">
        <v>9</v>
      </c>
      <c r="U1047">
        <v>7</v>
      </c>
      <c r="V1047">
        <v>7</v>
      </c>
      <c r="W1047" t="s">
        <v>56</v>
      </c>
      <c r="X1047" s="1" t="d">
        <v>2012-01-15</v>
      </c>
      <c r="Z1047" t="s">
        <v>39</v>
      </c>
      <c r="AA1047" t="s">
        <v>46</v>
      </c>
      <c r="AB1047">
        <v>3</v>
      </c>
      <c r="AC1047">
        <v>2</v>
      </c>
      <c r="AD1047" t="s">
        <v>41</v>
      </c>
      <c r="AE1047" t="s">
        <v>42</v>
      </c>
      <c r="AF1047" t="s">
        <v>57</v>
      </c>
    </row>
    <row r="1048" spans="1:32" x14ac:dyDescent="0.25">
      <c r="A1048">
        <v>54</v>
      </c>
      <c r="B1048" t="s">
        <v>41</v>
      </c>
      <c r="C1048" t="s">
        <v>33</v>
      </c>
      <c r="D1048" t="s">
        <v>70</v>
      </c>
      <c r="E1048">
        <v>19</v>
      </c>
      <c r="F1048" t="s">
        <v>35</v>
      </c>
      <c r="G1048">
        <v>3</v>
      </c>
      <c r="H1048">
        <v>3</v>
      </c>
      <c r="I1048" t="s">
        <v>70</v>
      </c>
      <c r="J1048">
        <v>2</v>
      </c>
      <c r="K1048" t="s">
        <v>50</v>
      </c>
      <c r="L1048">
        <v>10725</v>
      </c>
      <c r="M1048">
        <v>2</v>
      </c>
      <c r="N1048" t="s">
        <v>41</v>
      </c>
      <c r="O1048">
        <v>15</v>
      </c>
      <c r="P1048">
        <v>3</v>
      </c>
      <c r="Q1048">
        <v>1</v>
      </c>
      <c r="R1048">
        <v>16</v>
      </c>
      <c r="S1048">
        <v>1</v>
      </c>
      <c r="T1048">
        <v>9</v>
      </c>
      <c r="U1048">
        <v>7</v>
      </c>
      <c r="V1048">
        <v>1</v>
      </c>
      <c r="W1048" t="s">
        <v>38</v>
      </c>
      <c r="X1048" s="1" t="d">
        <v>2012-01-07</v>
      </c>
      <c r="Z1048" t="s">
        <v>52</v>
      </c>
      <c r="AA1048" t="s">
        <v>40</v>
      </c>
      <c r="AB1048">
        <v>4</v>
      </c>
      <c r="AC1048">
        <v>0</v>
      </c>
      <c r="AD1048" t="s">
        <v>41</v>
      </c>
      <c r="AE1048" t="s">
        <v>60</v>
      </c>
      <c r="AF1048" t="s">
        <v>48</v>
      </c>
    </row>
    <row r="1049" spans="1:32" x14ac:dyDescent="0.25">
      <c r="A1049">
        <v>38</v>
      </c>
      <c r="B1049" t="s">
        <v>41</v>
      </c>
      <c r="C1049" t="s">
        <v>33</v>
      </c>
      <c r="D1049" t="s">
        <v>34</v>
      </c>
      <c r="E1049">
        <v>1</v>
      </c>
      <c r="F1049" t="s">
        <v>58</v>
      </c>
      <c r="G1049">
        <v>4</v>
      </c>
      <c r="H1049">
        <v>2</v>
      </c>
      <c r="I1049" t="s">
        <v>69</v>
      </c>
      <c r="J1049">
        <v>4</v>
      </c>
      <c r="K1049" t="s">
        <v>37</v>
      </c>
      <c r="L1049">
        <v>7625</v>
      </c>
      <c r="M1049">
        <v>0</v>
      </c>
      <c r="N1049" t="s">
        <v>41</v>
      </c>
      <c r="O1049">
        <v>13</v>
      </c>
      <c r="P1049">
        <v>3</v>
      </c>
      <c r="Q1049">
        <v>0</v>
      </c>
      <c r="R1049">
        <v>10</v>
      </c>
      <c r="S1049">
        <v>4</v>
      </c>
      <c r="T1049">
        <v>9</v>
      </c>
      <c r="U1049">
        <v>1</v>
      </c>
      <c r="V1049">
        <v>8</v>
      </c>
      <c r="W1049" t="s">
        <v>65</v>
      </c>
      <c r="X1049" s="1" t="d">
        <v>2012-04-02</v>
      </c>
      <c r="Z1049" t="s">
        <v>59</v>
      </c>
      <c r="AA1049" t="s">
        <v>40</v>
      </c>
      <c r="AB1049">
        <v>3</v>
      </c>
      <c r="AC1049">
        <v>3</v>
      </c>
      <c r="AD1049" t="s">
        <v>41</v>
      </c>
      <c r="AE1049" t="s">
        <v>62</v>
      </c>
      <c r="AF1049" t="s">
        <v>43</v>
      </c>
    </row>
    <row r="1050" spans="1:32" x14ac:dyDescent="0.25">
      <c r="A1050">
        <v>27</v>
      </c>
      <c r="B1050" t="s">
        <v>41</v>
      </c>
      <c r="C1050" t="s">
        <v>33</v>
      </c>
      <c r="D1050" t="s">
        <v>34</v>
      </c>
      <c r="E1050">
        <v>1</v>
      </c>
      <c r="F1050" t="s">
        <v>58</v>
      </c>
      <c r="G1050">
        <v>3</v>
      </c>
      <c r="H1050">
        <v>3</v>
      </c>
      <c r="I1050" t="s">
        <v>67</v>
      </c>
      <c r="J1050">
        <v>1</v>
      </c>
      <c r="K1050" t="s">
        <v>50</v>
      </c>
      <c r="L1050">
        <v>7412</v>
      </c>
      <c r="M1050">
        <v>1</v>
      </c>
      <c r="N1050" t="s">
        <v>41</v>
      </c>
      <c r="O1050">
        <v>11</v>
      </c>
      <c r="P1050">
        <v>3</v>
      </c>
      <c r="Q1050">
        <v>0</v>
      </c>
      <c r="R1050">
        <v>9</v>
      </c>
      <c r="S1050">
        <v>3</v>
      </c>
      <c r="T1050">
        <v>9</v>
      </c>
      <c r="U1050">
        <v>0</v>
      </c>
      <c r="V1050">
        <v>7</v>
      </c>
      <c r="W1050" t="s">
        <v>51</v>
      </c>
      <c r="X1050" s="1" t="d">
        <v>2012-03-28</v>
      </c>
      <c r="Z1050" t="s">
        <v>59</v>
      </c>
      <c r="AA1050" t="s">
        <v>40</v>
      </c>
      <c r="AB1050">
        <v>2</v>
      </c>
      <c r="AC1050">
        <v>2</v>
      </c>
      <c r="AD1050" t="s">
        <v>32</v>
      </c>
      <c r="AE1050" t="s">
        <v>47</v>
      </c>
      <c r="AF1050" t="s">
        <v>43</v>
      </c>
    </row>
    <row r="1051" spans="1:32" x14ac:dyDescent="0.25">
      <c r="A1051">
        <v>27</v>
      </c>
      <c r="B1051" t="s">
        <v>41</v>
      </c>
      <c r="C1051" t="s">
        <v>61</v>
      </c>
      <c r="D1051" t="s">
        <v>34</v>
      </c>
      <c r="E1051">
        <v>10</v>
      </c>
      <c r="F1051" t="s">
        <v>35</v>
      </c>
      <c r="G1051">
        <v>3</v>
      </c>
      <c r="H1051">
        <v>3</v>
      </c>
      <c r="I1051" t="s">
        <v>67</v>
      </c>
      <c r="J1051">
        <v>1</v>
      </c>
      <c r="K1051" t="s">
        <v>55</v>
      </c>
      <c r="L1051">
        <v>8793</v>
      </c>
      <c r="M1051">
        <v>1</v>
      </c>
      <c r="N1051" t="s">
        <v>41</v>
      </c>
      <c r="O1051">
        <v>21</v>
      </c>
      <c r="P1051">
        <v>4</v>
      </c>
      <c r="Q1051">
        <v>2</v>
      </c>
      <c r="R1051">
        <v>9</v>
      </c>
      <c r="S1051">
        <v>4</v>
      </c>
      <c r="T1051">
        <v>9</v>
      </c>
      <c r="U1051">
        <v>1</v>
      </c>
      <c r="V1051">
        <v>7</v>
      </c>
      <c r="W1051" t="s">
        <v>56</v>
      </c>
      <c r="X1051" s="1" t="d">
        <v>2012-01-11</v>
      </c>
      <c r="Z1051" t="s">
        <v>52</v>
      </c>
      <c r="AA1051" t="s">
        <v>40</v>
      </c>
      <c r="AB1051">
        <v>1</v>
      </c>
      <c r="AC1051">
        <v>3</v>
      </c>
      <c r="AD1051" t="s">
        <v>41</v>
      </c>
      <c r="AE1051" t="s">
        <v>47</v>
      </c>
      <c r="AF1051" t="s">
        <v>43</v>
      </c>
    </row>
    <row r="1052" spans="1:32" x14ac:dyDescent="0.25">
      <c r="A1052">
        <v>36</v>
      </c>
      <c r="B1052" t="s">
        <v>41</v>
      </c>
      <c r="C1052" t="s">
        <v>33</v>
      </c>
      <c r="D1052" t="s">
        <v>34</v>
      </c>
      <c r="E1052">
        <v>1</v>
      </c>
      <c r="F1052" t="s">
        <v>58</v>
      </c>
      <c r="G1052">
        <v>3</v>
      </c>
      <c r="H1052">
        <v>2</v>
      </c>
      <c r="I1052" t="s">
        <v>67</v>
      </c>
      <c r="J1052">
        <v>2</v>
      </c>
      <c r="K1052" t="s">
        <v>50</v>
      </c>
      <c r="L1052">
        <v>5228</v>
      </c>
      <c r="M1052">
        <v>0</v>
      </c>
      <c r="N1052" t="s">
        <v>41</v>
      </c>
      <c r="O1052">
        <v>15</v>
      </c>
      <c r="P1052">
        <v>3</v>
      </c>
      <c r="Q1052">
        <v>1</v>
      </c>
      <c r="R1052">
        <v>10</v>
      </c>
      <c r="S1052">
        <v>2</v>
      </c>
      <c r="T1052">
        <v>9</v>
      </c>
      <c r="U1052">
        <v>0</v>
      </c>
      <c r="V1052">
        <v>5</v>
      </c>
      <c r="W1052" t="s">
        <v>51</v>
      </c>
      <c r="X1052" s="1" t="d">
        <v>2012-05-15</v>
      </c>
      <c r="Z1052" t="s">
        <v>52</v>
      </c>
      <c r="AA1052" t="s">
        <v>46</v>
      </c>
      <c r="AB1052">
        <v>0</v>
      </c>
      <c r="AC1052">
        <v>0</v>
      </c>
      <c r="AD1052" t="s">
        <v>32</v>
      </c>
      <c r="AE1052" t="s">
        <v>60</v>
      </c>
      <c r="AF1052" t="s">
        <v>43</v>
      </c>
    </row>
    <row r="1053" spans="1:32" x14ac:dyDescent="0.25">
      <c r="A1053">
        <v>42</v>
      </c>
      <c r="B1053" t="s">
        <v>41</v>
      </c>
      <c r="C1053" t="s">
        <v>33</v>
      </c>
      <c r="D1053" t="s">
        <v>34</v>
      </c>
      <c r="E1053">
        <v>29</v>
      </c>
      <c r="F1053" t="s">
        <v>35</v>
      </c>
      <c r="G1053">
        <v>3</v>
      </c>
      <c r="H1053">
        <v>2</v>
      </c>
      <c r="I1053" t="s">
        <v>67</v>
      </c>
      <c r="J1053">
        <v>2</v>
      </c>
      <c r="K1053" t="s">
        <v>50</v>
      </c>
      <c r="L1053">
        <v>4434</v>
      </c>
      <c r="M1053">
        <v>1</v>
      </c>
      <c r="N1053" t="s">
        <v>41</v>
      </c>
      <c r="O1053">
        <v>13</v>
      </c>
      <c r="P1053">
        <v>3</v>
      </c>
      <c r="Q1053">
        <v>1</v>
      </c>
      <c r="R1053">
        <v>10</v>
      </c>
      <c r="S1053">
        <v>3</v>
      </c>
      <c r="T1053">
        <v>9</v>
      </c>
      <c r="U1053">
        <v>7</v>
      </c>
      <c r="V1053">
        <v>8</v>
      </c>
      <c r="W1053" t="s">
        <v>38</v>
      </c>
      <c r="X1053" s="1" t="d">
        <v>2012-06-13</v>
      </c>
      <c r="Z1053" t="s">
        <v>63</v>
      </c>
      <c r="AA1053" t="s">
        <v>46</v>
      </c>
      <c r="AB1053">
        <v>4</v>
      </c>
      <c r="AC1053">
        <v>3</v>
      </c>
      <c r="AD1053" t="s">
        <v>32</v>
      </c>
      <c r="AE1053" t="s">
        <v>47</v>
      </c>
      <c r="AF1053" t="s">
        <v>57</v>
      </c>
    </row>
    <row r="1054" spans="1:32" x14ac:dyDescent="0.25">
      <c r="A1054">
        <v>49</v>
      </c>
      <c r="B1054" t="s">
        <v>32</v>
      </c>
      <c r="C1054" t="s">
        <v>33</v>
      </c>
      <c r="D1054" t="s">
        <v>53</v>
      </c>
      <c r="E1054">
        <v>11</v>
      </c>
      <c r="F1054" t="s">
        <v>58</v>
      </c>
      <c r="G1054">
        <v>3</v>
      </c>
      <c r="H1054">
        <v>3</v>
      </c>
      <c r="I1054" t="s">
        <v>64</v>
      </c>
      <c r="J1054">
        <v>4</v>
      </c>
      <c r="K1054" t="s">
        <v>50</v>
      </c>
      <c r="L1054">
        <v>7654</v>
      </c>
      <c r="M1054">
        <v>1</v>
      </c>
      <c r="N1054" t="s">
        <v>41</v>
      </c>
      <c r="O1054">
        <v>18</v>
      </c>
      <c r="P1054">
        <v>3</v>
      </c>
      <c r="Q1054">
        <v>2</v>
      </c>
      <c r="R1054">
        <v>9</v>
      </c>
      <c r="S1054">
        <v>3</v>
      </c>
      <c r="T1054">
        <v>9</v>
      </c>
      <c r="U1054">
        <v>7</v>
      </c>
      <c r="V1054">
        <v>7</v>
      </c>
      <c r="W1054" t="s">
        <v>65</v>
      </c>
      <c r="X1054" s="1" t="d">
        <v>2012-01-15</v>
      </c>
      <c r="Z1054" t="s">
        <v>45</v>
      </c>
      <c r="AA1054" t="s">
        <v>40</v>
      </c>
      <c r="AB1054">
        <v>4</v>
      </c>
      <c r="AC1054">
        <v>0</v>
      </c>
      <c r="AD1054" t="s">
        <v>32</v>
      </c>
      <c r="AE1054" t="s">
        <v>42</v>
      </c>
      <c r="AF1054" t="s">
        <v>43</v>
      </c>
    </row>
    <row r="1055" spans="1:32" x14ac:dyDescent="0.25">
      <c r="A1055">
        <v>55</v>
      </c>
      <c r="B1055" t="s">
        <v>32</v>
      </c>
      <c r="C1055" t="s">
        <v>33</v>
      </c>
      <c r="D1055" t="s">
        <v>53</v>
      </c>
      <c r="E1055">
        <v>2</v>
      </c>
      <c r="F1055" t="s">
        <v>35</v>
      </c>
      <c r="G1055">
        <v>3</v>
      </c>
      <c r="H1055">
        <v>2</v>
      </c>
      <c r="I1055" t="s">
        <v>64</v>
      </c>
      <c r="J1055">
        <v>4</v>
      </c>
      <c r="K1055" t="s">
        <v>37</v>
      </c>
      <c r="L1055">
        <v>5160</v>
      </c>
      <c r="M1055">
        <v>4</v>
      </c>
      <c r="N1055" t="s">
        <v>41</v>
      </c>
      <c r="O1055">
        <v>16</v>
      </c>
      <c r="P1055">
        <v>3</v>
      </c>
      <c r="Q1055">
        <v>0</v>
      </c>
      <c r="R1055">
        <v>12</v>
      </c>
      <c r="S1055">
        <v>3</v>
      </c>
      <c r="T1055">
        <v>9</v>
      </c>
      <c r="U1055">
        <v>7</v>
      </c>
      <c r="V1055">
        <v>3</v>
      </c>
      <c r="W1055" t="s">
        <v>51</v>
      </c>
      <c r="X1055" s="1" t="d">
        <v>2012-02-18</v>
      </c>
      <c r="Z1055" t="s">
        <v>45</v>
      </c>
      <c r="AA1055" t="s">
        <v>46</v>
      </c>
      <c r="AB1055">
        <v>0</v>
      </c>
      <c r="AC1055">
        <v>2</v>
      </c>
      <c r="AD1055" t="s">
        <v>41</v>
      </c>
      <c r="AE1055" t="s">
        <v>42</v>
      </c>
      <c r="AF1055" t="s">
        <v>48</v>
      </c>
    </row>
    <row r="1056" spans="1:32" x14ac:dyDescent="0.25">
      <c r="A1056">
        <v>27</v>
      </c>
      <c r="B1056" t="s">
        <v>41</v>
      </c>
      <c r="C1056" t="s">
        <v>33</v>
      </c>
      <c r="D1056" t="s">
        <v>34</v>
      </c>
      <c r="E1056">
        <v>5</v>
      </c>
      <c r="F1056" t="s">
        <v>35</v>
      </c>
      <c r="G1056">
        <v>2</v>
      </c>
      <c r="H1056">
        <v>3</v>
      </c>
      <c r="I1056" t="s">
        <v>49</v>
      </c>
      <c r="J1056">
        <v>4</v>
      </c>
      <c r="K1056" t="s">
        <v>55</v>
      </c>
      <c r="L1056">
        <v>12808</v>
      </c>
      <c r="M1056">
        <v>1</v>
      </c>
      <c r="N1056" t="s">
        <v>32</v>
      </c>
      <c r="O1056">
        <v>16</v>
      </c>
      <c r="P1056">
        <v>3</v>
      </c>
      <c r="Q1056">
        <v>1</v>
      </c>
      <c r="R1056">
        <v>9</v>
      </c>
      <c r="S1056">
        <v>3</v>
      </c>
      <c r="T1056">
        <v>9</v>
      </c>
      <c r="U1056">
        <v>0</v>
      </c>
      <c r="V1056">
        <v>8</v>
      </c>
      <c r="W1056" t="s">
        <v>65</v>
      </c>
      <c r="X1056" s="1" t="d">
        <v>2012-06-19</v>
      </c>
      <c r="Z1056" t="s">
        <v>45</v>
      </c>
      <c r="AA1056" t="s">
        <v>46</v>
      </c>
      <c r="AB1056">
        <v>4</v>
      </c>
      <c r="AC1056">
        <v>0</v>
      </c>
      <c r="AD1056" t="s">
        <v>32</v>
      </c>
      <c r="AE1056" t="s">
        <v>62</v>
      </c>
      <c r="AF1056" t="s">
        <v>57</v>
      </c>
    </row>
    <row r="1057" spans="1:32" x14ac:dyDescent="0.25">
      <c r="A1057">
        <v>33</v>
      </c>
      <c r="B1057" t="s">
        <v>41</v>
      </c>
      <c r="C1057" t="s">
        <v>33</v>
      </c>
      <c r="D1057" t="s">
        <v>53</v>
      </c>
      <c r="E1057">
        <v>1</v>
      </c>
      <c r="F1057" t="s">
        <v>35</v>
      </c>
      <c r="G1057">
        <v>4</v>
      </c>
      <c r="H1057">
        <v>2</v>
      </c>
      <c r="I1057" t="s">
        <v>64</v>
      </c>
      <c r="J1057">
        <v>1</v>
      </c>
      <c r="K1057" t="s">
        <v>55</v>
      </c>
      <c r="L1057">
        <v>4037</v>
      </c>
      <c r="M1057">
        <v>1</v>
      </c>
      <c r="N1057" t="s">
        <v>41</v>
      </c>
      <c r="O1057">
        <v>22</v>
      </c>
      <c r="P1057">
        <v>4</v>
      </c>
      <c r="Q1057">
        <v>1</v>
      </c>
      <c r="R1057">
        <v>9</v>
      </c>
      <c r="S1057">
        <v>5</v>
      </c>
      <c r="T1057">
        <v>9</v>
      </c>
      <c r="U1057">
        <v>0</v>
      </c>
      <c r="V1057">
        <v>8</v>
      </c>
      <c r="W1057" t="s">
        <v>56</v>
      </c>
      <c r="X1057" s="1" t="d">
        <v>2012-01-03</v>
      </c>
      <c r="Z1057" t="s">
        <v>59</v>
      </c>
      <c r="AA1057" t="s">
        <v>40</v>
      </c>
      <c r="AB1057">
        <v>2</v>
      </c>
      <c r="AC1057">
        <v>3</v>
      </c>
      <c r="AD1057" t="s">
        <v>32</v>
      </c>
      <c r="AE1057" t="s">
        <v>62</v>
      </c>
      <c r="AF1057" t="s">
        <v>57</v>
      </c>
    </row>
    <row r="1058" spans="1:32" x14ac:dyDescent="0.25">
      <c r="A1058">
        <v>52</v>
      </c>
      <c r="B1058" t="s">
        <v>41</v>
      </c>
      <c r="C1058" t="s">
        <v>61</v>
      </c>
      <c r="D1058" t="s">
        <v>34</v>
      </c>
      <c r="E1058">
        <v>25</v>
      </c>
      <c r="F1058" t="s">
        <v>58</v>
      </c>
      <c r="G1058">
        <v>2</v>
      </c>
      <c r="H1058">
        <v>4</v>
      </c>
      <c r="I1058" t="s">
        <v>67</v>
      </c>
      <c r="J1058">
        <v>4</v>
      </c>
      <c r="K1058" t="s">
        <v>50</v>
      </c>
      <c r="L1058">
        <v>13826</v>
      </c>
      <c r="M1058">
        <v>3</v>
      </c>
      <c r="N1058" t="s">
        <v>41</v>
      </c>
      <c r="O1058">
        <v>22</v>
      </c>
      <c r="P1058">
        <v>4</v>
      </c>
      <c r="Q1058">
        <v>0</v>
      </c>
      <c r="R1058">
        <v>31</v>
      </c>
      <c r="S1058">
        <v>3</v>
      </c>
      <c r="T1058">
        <v>9</v>
      </c>
      <c r="U1058">
        <v>0</v>
      </c>
      <c r="V1058">
        <v>0</v>
      </c>
      <c r="W1058" t="s">
        <v>56</v>
      </c>
      <c r="X1058" s="1" t="d">
        <v>2012-04-30</v>
      </c>
      <c r="Z1058" t="s">
        <v>59</v>
      </c>
      <c r="AA1058" t="s">
        <v>40</v>
      </c>
      <c r="AB1058">
        <v>2</v>
      </c>
      <c r="AC1058">
        <v>3</v>
      </c>
      <c r="AD1058" t="s">
        <v>41</v>
      </c>
      <c r="AE1058" t="s">
        <v>42</v>
      </c>
      <c r="AF1058" t="s">
        <v>57</v>
      </c>
    </row>
    <row r="1059" spans="1:32" x14ac:dyDescent="0.25">
      <c r="A1059">
        <v>31</v>
      </c>
      <c r="B1059" t="s">
        <v>41</v>
      </c>
      <c r="C1059" t="s">
        <v>68</v>
      </c>
      <c r="D1059" t="s">
        <v>53</v>
      </c>
      <c r="E1059">
        <v>20</v>
      </c>
      <c r="F1059" t="s">
        <v>58</v>
      </c>
      <c r="G1059">
        <v>3</v>
      </c>
      <c r="H1059">
        <v>2</v>
      </c>
      <c r="I1059" t="s">
        <v>64</v>
      </c>
      <c r="J1059">
        <v>3</v>
      </c>
      <c r="K1059" t="s">
        <v>50</v>
      </c>
      <c r="L1059">
        <v>6932</v>
      </c>
      <c r="M1059">
        <v>1</v>
      </c>
      <c r="N1059" t="s">
        <v>41</v>
      </c>
      <c r="O1059">
        <v>13</v>
      </c>
      <c r="P1059">
        <v>3</v>
      </c>
      <c r="Q1059">
        <v>1</v>
      </c>
      <c r="R1059">
        <v>9</v>
      </c>
      <c r="S1059">
        <v>2</v>
      </c>
      <c r="T1059">
        <v>9</v>
      </c>
      <c r="U1059">
        <v>0</v>
      </c>
      <c r="V1059">
        <v>0</v>
      </c>
      <c r="W1059" t="s">
        <v>56</v>
      </c>
      <c r="X1059" s="1" t="d">
        <v>2012-02-06</v>
      </c>
      <c r="Z1059" t="s">
        <v>52</v>
      </c>
      <c r="AA1059" t="s">
        <v>46</v>
      </c>
      <c r="AB1059">
        <v>3</v>
      </c>
      <c r="AC1059">
        <v>1</v>
      </c>
      <c r="AD1059" t="s">
        <v>32</v>
      </c>
      <c r="AE1059" t="s">
        <v>60</v>
      </c>
      <c r="AF1059" t="s">
        <v>43</v>
      </c>
    </row>
    <row r="1060" spans="1:32" x14ac:dyDescent="0.25">
      <c r="A1060">
        <v>31</v>
      </c>
      <c r="B1060" t="s">
        <v>41</v>
      </c>
      <c r="C1060" t="s">
        <v>33</v>
      </c>
      <c r="D1060" t="s">
        <v>34</v>
      </c>
      <c r="E1060">
        <v>12</v>
      </c>
      <c r="F1060" t="s">
        <v>58</v>
      </c>
      <c r="G1060">
        <v>3</v>
      </c>
      <c r="H1060">
        <v>2</v>
      </c>
      <c r="I1060" t="s">
        <v>69</v>
      </c>
      <c r="J1060">
        <v>4</v>
      </c>
      <c r="K1060" t="s">
        <v>50</v>
      </c>
      <c r="L1060">
        <v>5855</v>
      </c>
      <c r="M1060">
        <v>0</v>
      </c>
      <c r="N1060" t="s">
        <v>32</v>
      </c>
      <c r="O1060">
        <v>11</v>
      </c>
      <c r="P1060">
        <v>3</v>
      </c>
      <c r="Q1060">
        <v>2</v>
      </c>
      <c r="R1060">
        <v>10</v>
      </c>
      <c r="S1060">
        <v>2</v>
      </c>
      <c r="T1060">
        <v>9</v>
      </c>
      <c r="U1060">
        <v>8</v>
      </c>
      <c r="V1060">
        <v>5</v>
      </c>
      <c r="W1060" t="s">
        <v>38</v>
      </c>
      <c r="X1060" s="1" t="d">
        <v>2012-04-12</v>
      </c>
      <c r="Z1060" t="s">
        <v>52</v>
      </c>
      <c r="AA1060" t="s">
        <v>46</v>
      </c>
      <c r="AB1060">
        <v>3</v>
      </c>
      <c r="AC1060">
        <v>1</v>
      </c>
      <c r="AD1060" t="s">
        <v>32</v>
      </c>
      <c r="AE1060" t="s">
        <v>42</v>
      </c>
      <c r="AF1060" t="s">
        <v>48</v>
      </c>
    </row>
    <row r="1061" spans="1:32" x14ac:dyDescent="0.25">
      <c r="A1061">
        <v>45</v>
      </c>
      <c r="B1061" t="s">
        <v>41</v>
      </c>
      <c r="C1061" t="s">
        <v>68</v>
      </c>
      <c r="D1061" t="s">
        <v>34</v>
      </c>
      <c r="E1061">
        <v>4</v>
      </c>
      <c r="F1061" t="s">
        <v>35</v>
      </c>
      <c r="G1061">
        <v>3</v>
      </c>
      <c r="H1061">
        <v>2</v>
      </c>
      <c r="I1061" t="s">
        <v>36</v>
      </c>
      <c r="J1061">
        <v>2</v>
      </c>
      <c r="K1061" t="s">
        <v>50</v>
      </c>
      <c r="L1061">
        <v>4447</v>
      </c>
      <c r="M1061">
        <v>1</v>
      </c>
      <c r="N1061" t="s">
        <v>41</v>
      </c>
      <c r="O1061">
        <v>12</v>
      </c>
      <c r="P1061">
        <v>3</v>
      </c>
      <c r="Q1061">
        <v>0</v>
      </c>
      <c r="R1061">
        <v>9</v>
      </c>
      <c r="S1061">
        <v>5</v>
      </c>
      <c r="T1061">
        <v>9</v>
      </c>
      <c r="U1061">
        <v>0</v>
      </c>
      <c r="V1061">
        <v>8</v>
      </c>
      <c r="W1061" t="s">
        <v>38</v>
      </c>
      <c r="X1061" s="1" t="d">
        <v>2012-04-25</v>
      </c>
      <c r="Z1061" t="s">
        <v>39</v>
      </c>
      <c r="AA1061" t="s">
        <v>40</v>
      </c>
      <c r="AB1061">
        <v>2</v>
      </c>
      <c r="AC1061">
        <v>2</v>
      </c>
      <c r="AD1061" t="s">
        <v>32</v>
      </c>
      <c r="AE1061" t="s">
        <v>60</v>
      </c>
      <c r="AF1061" t="s">
        <v>57</v>
      </c>
    </row>
    <row r="1062" spans="1:32" x14ac:dyDescent="0.25">
      <c r="A1062">
        <v>52</v>
      </c>
      <c r="B1062" t="s">
        <v>41</v>
      </c>
      <c r="C1062" t="s">
        <v>33</v>
      </c>
      <c r="D1062" t="s">
        <v>34</v>
      </c>
      <c r="E1062">
        <v>1</v>
      </c>
      <c r="F1062" t="s">
        <v>35</v>
      </c>
      <c r="G1062">
        <v>3</v>
      </c>
      <c r="H1062">
        <v>4</v>
      </c>
      <c r="I1062" t="s">
        <v>66</v>
      </c>
      <c r="J1062">
        <v>4</v>
      </c>
      <c r="K1062" t="s">
        <v>50</v>
      </c>
      <c r="L1062">
        <v>17099</v>
      </c>
      <c r="M1062">
        <v>2</v>
      </c>
      <c r="N1062" t="s">
        <v>41</v>
      </c>
      <c r="O1062">
        <v>15</v>
      </c>
      <c r="P1062">
        <v>3</v>
      </c>
      <c r="Q1062">
        <v>1</v>
      </c>
      <c r="R1062">
        <v>26</v>
      </c>
      <c r="S1062">
        <v>2</v>
      </c>
      <c r="T1062">
        <v>9</v>
      </c>
      <c r="U1062">
        <v>7</v>
      </c>
      <c r="V1062">
        <v>8</v>
      </c>
      <c r="W1062" t="s">
        <v>56</v>
      </c>
      <c r="X1062" s="1" t="d">
        <v>2012-06-02</v>
      </c>
      <c r="Z1062" t="s">
        <v>39</v>
      </c>
      <c r="AA1062" t="s">
        <v>40</v>
      </c>
      <c r="AB1062">
        <v>0</v>
      </c>
      <c r="AC1062">
        <v>1</v>
      </c>
      <c r="AD1062" t="s">
        <v>41</v>
      </c>
      <c r="AE1062" t="s">
        <v>62</v>
      </c>
      <c r="AF1062" t="s">
        <v>48</v>
      </c>
    </row>
    <row r="1063" spans="1:32" x14ac:dyDescent="0.25">
      <c r="A1063">
        <v>45</v>
      </c>
      <c r="B1063" t="s">
        <v>41</v>
      </c>
      <c r="C1063" t="s">
        <v>68</v>
      </c>
      <c r="D1063" t="s">
        <v>34</v>
      </c>
      <c r="E1063">
        <v>23</v>
      </c>
      <c r="F1063" t="s">
        <v>35</v>
      </c>
      <c r="G1063">
        <v>3</v>
      </c>
      <c r="H1063">
        <v>2</v>
      </c>
      <c r="I1063" t="s">
        <v>36</v>
      </c>
      <c r="J1063">
        <v>1</v>
      </c>
      <c r="K1063" t="s">
        <v>50</v>
      </c>
      <c r="L1063">
        <v>3633</v>
      </c>
      <c r="M1063">
        <v>1</v>
      </c>
      <c r="N1063" t="s">
        <v>32</v>
      </c>
      <c r="O1063">
        <v>15</v>
      </c>
      <c r="P1063">
        <v>3</v>
      </c>
      <c r="Q1063">
        <v>1</v>
      </c>
      <c r="R1063">
        <v>9</v>
      </c>
      <c r="S1063">
        <v>2</v>
      </c>
      <c r="T1063">
        <v>9</v>
      </c>
      <c r="U1063">
        <v>0</v>
      </c>
      <c r="V1063">
        <v>8</v>
      </c>
      <c r="W1063" t="s">
        <v>38</v>
      </c>
      <c r="X1063" s="1" t="d">
        <v>2012-03-24</v>
      </c>
      <c r="Z1063" t="s">
        <v>52</v>
      </c>
      <c r="AA1063" t="s">
        <v>40</v>
      </c>
      <c r="AB1063">
        <v>1</v>
      </c>
      <c r="AC1063">
        <v>3</v>
      </c>
      <c r="AD1063" t="s">
        <v>32</v>
      </c>
      <c r="AE1063" t="s">
        <v>62</v>
      </c>
      <c r="AF1063" t="s">
        <v>57</v>
      </c>
    </row>
    <row r="1064" spans="1:32" x14ac:dyDescent="0.25">
      <c r="A1064">
        <v>47</v>
      </c>
      <c r="B1064" t="s">
        <v>41</v>
      </c>
      <c r="C1064" t="s">
        <v>33</v>
      </c>
      <c r="D1064" t="s">
        <v>53</v>
      </c>
      <c r="E1064">
        <v>4</v>
      </c>
      <c r="F1064" t="s">
        <v>58</v>
      </c>
      <c r="G1064">
        <v>3</v>
      </c>
      <c r="H1064">
        <v>2</v>
      </c>
      <c r="I1064" t="s">
        <v>64</v>
      </c>
      <c r="J1064">
        <v>4</v>
      </c>
      <c r="K1064" t="s">
        <v>37</v>
      </c>
      <c r="L1064">
        <v>4163</v>
      </c>
      <c r="M1064">
        <v>1</v>
      </c>
      <c r="N1064" t="s">
        <v>32</v>
      </c>
      <c r="O1064">
        <v>17</v>
      </c>
      <c r="P1064">
        <v>3</v>
      </c>
      <c r="Q1064">
        <v>0</v>
      </c>
      <c r="R1064">
        <v>9</v>
      </c>
      <c r="S1064">
        <v>0</v>
      </c>
      <c r="T1064">
        <v>9</v>
      </c>
      <c r="U1064">
        <v>0</v>
      </c>
      <c r="V1064">
        <v>7</v>
      </c>
      <c r="W1064" t="s">
        <v>51</v>
      </c>
      <c r="X1064" s="1" t="d">
        <v>2012-02-23</v>
      </c>
      <c r="Z1064" t="s">
        <v>39</v>
      </c>
      <c r="AA1064" t="s">
        <v>46</v>
      </c>
      <c r="AB1064">
        <v>0</v>
      </c>
      <c r="AC1064">
        <v>0</v>
      </c>
      <c r="AD1064" t="s">
        <v>32</v>
      </c>
      <c r="AE1064" t="s">
        <v>62</v>
      </c>
      <c r="AF1064" t="s">
        <v>48</v>
      </c>
    </row>
    <row r="1065" spans="1:32" x14ac:dyDescent="0.25">
      <c r="A1065">
        <v>45</v>
      </c>
      <c r="B1065" t="s">
        <v>41</v>
      </c>
      <c r="C1065" t="s">
        <v>33</v>
      </c>
      <c r="D1065" t="s">
        <v>53</v>
      </c>
      <c r="E1065">
        <v>11</v>
      </c>
      <c r="F1065" t="s">
        <v>58</v>
      </c>
      <c r="G1065">
        <v>3</v>
      </c>
      <c r="H1065">
        <v>4</v>
      </c>
      <c r="I1065" t="s">
        <v>66</v>
      </c>
      <c r="J1065">
        <v>4</v>
      </c>
      <c r="K1065" t="s">
        <v>50</v>
      </c>
      <c r="L1065">
        <v>17650</v>
      </c>
      <c r="M1065">
        <v>3</v>
      </c>
      <c r="N1065" t="s">
        <v>41</v>
      </c>
      <c r="O1065">
        <v>13</v>
      </c>
      <c r="P1065">
        <v>3</v>
      </c>
      <c r="Q1065">
        <v>1</v>
      </c>
      <c r="R1065">
        <v>26</v>
      </c>
      <c r="S1065">
        <v>4</v>
      </c>
      <c r="T1065">
        <v>9</v>
      </c>
      <c r="U1065">
        <v>1</v>
      </c>
      <c r="V1065">
        <v>1</v>
      </c>
      <c r="W1065" t="s">
        <v>56</v>
      </c>
      <c r="X1065" s="1" t="d">
        <v>2012-05-01</v>
      </c>
      <c r="Z1065" t="s">
        <v>52</v>
      </c>
      <c r="AA1065" t="s">
        <v>46</v>
      </c>
      <c r="AB1065">
        <v>5</v>
      </c>
      <c r="AC1065">
        <v>2</v>
      </c>
      <c r="AD1065" t="s">
        <v>41</v>
      </c>
      <c r="AE1065" t="s">
        <v>47</v>
      </c>
      <c r="AF1065" t="s">
        <v>43</v>
      </c>
    </row>
    <row r="1066" spans="1:32" x14ac:dyDescent="0.25">
      <c r="A1066">
        <v>54</v>
      </c>
      <c r="B1066" t="s">
        <v>41</v>
      </c>
      <c r="C1066" t="s">
        <v>33</v>
      </c>
      <c r="D1066" t="s">
        <v>53</v>
      </c>
      <c r="E1066">
        <v>2</v>
      </c>
      <c r="F1066" t="s">
        <v>58</v>
      </c>
      <c r="G1066">
        <v>2</v>
      </c>
      <c r="H1066">
        <v>3</v>
      </c>
      <c r="I1066" t="s">
        <v>64</v>
      </c>
      <c r="J1066">
        <v>3</v>
      </c>
      <c r="K1066" t="s">
        <v>50</v>
      </c>
      <c r="L1066">
        <v>10686</v>
      </c>
      <c r="M1066">
        <v>6</v>
      </c>
      <c r="N1066" t="s">
        <v>41</v>
      </c>
      <c r="O1066">
        <v>11</v>
      </c>
      <c r="P1066">
        <v>3</v>
      </c>
      <c r="Q1066">
        <v>1</v>
      </c>
      <c r="R1066">
        <v>13</v>
      </c>
      <c r="S1066">
        <v>4</v>
      </c>
      <c r="T1066">
        <v>9</v>
      </c>
      <c r="U1066">
        <v>7</v>
      </c>
      <c r="V1066">
        <v>0</v>
      </c>
      <c r="W1066" t="s">
        <v>56</v>
      </c>
      <c r="X1066" s="1" t="d">
        <v>2012-05-16</v>
      </c>
      <c r="Z1066" t="s">
        <v>52</v>
      </c>
      <c r="AA1066" t="s">
        <v>40</v>
      </c>
      <c r="AB1066">
        <v>3</v>
      </c>
      <c r="AC1066">
        <v>3</v>
      </c>
      <c r="AD1066" t="s">
        <v>41</v>
      </c>
      <c r="AE1066" t="s">
        <v>47</v>
      </c>
      <c r="AF1066" t="s">
        <v>57</v>
      </c>
    </row>
    <row r="1067" spans="1:32" x14ac:dyDescent="0.25">
      <c r="A1067">
        <v>55</v>
      </c>
      <c r="B1067" t="s">
        <v>41</v>
      </c>
      <c r="C1067" t="s">
        <v>68</v>
      </c>
      <c r="D1067" t="s">
        <v>34</v>
      </c>
      <c r="E1067">
        <v>2</v>
      </c>
      <c r="F1067" t="s">
        <v>35</v>
      </c>
      <c r="G1067">
        <v>2</v>
      </c>
      <c r="H1067">
        <v>4</v>
      </c>
      <c r="I1067" t="s">
        <v>66</v>
      </c>
      <c r="J1067">
        <v>1</v>
      </c>
      <c r="K1067" t="s">
        <v>37</v>
      </c>
      <c r="L1067">
        <v>16756</v>
      </c>
      <c r="M1067">
        <v>7</v>
      </c>
      <c r="N1067" t="s">
        <v>41</v>
      </c>
      <c r="O1067">
        <v>15</v>
      </c>
      <c r="P1067">
        <v>3</v>
      </c>
      <c r="Q1067">
        <v>0</v>
      </c>
      <c r="R1067">
        <v>31</v>
      </c>
      <c r="S1067">
        <v>3</v>
      </c>
      <c r="T1067">
        <v>9</v>
      </c>
      <c r="U1067">
        <v>6</v>
      </c>
      <c r="V1067">
        <v>2</v>
      </c>
      <c r="W1067" t="s">
        <v>51</v>
      </c>
      <c r="X1067" s="1" t="d">
        <v>2012-06-14</v>
      </c>
      <c r="Z1067" t="s">
        <v>52</v>
      </c>
      <c r="AA1067" t="s">
        <v>40</v>
      </c>
      <c r="AB1067">
        <v>4</v>
      </c>
      <c r="AC1067">
        <v>3</v>
      </c>
      <c r="AD1067" t="s">
        <v>32</v>
      </c>
      <c r="AE1067" t="s">
        <v>47</v>
      </c>
      <c r="AF1067" t="s">
        <v>43</v>
      </c>
    </row>
    <row r="1068" spans="1:32" x14ac:dyDescent="0.25">
      <c r="A1068">
        <v>28</v>
      </c>
      <c r="B1068" t="s">
        <v>41</v>
      </c>
      <c r="C1068" t="s">
        <v>33</v>
      </c>
      <c r="D1068" t="s">
        <v>34</v>
      </c>
      <c r="E1068">
        <v>3</v>
      </c>
      <c r="F1068" t="s">
        <v>58</v>
      </c>
      <c r="G1068">
        <v>3</v>
      </c>
      <c r="H1068">
        <v>3</v>
      </c>
      <c r="I1068" t="s">
        <v>67</v>
      </c>
      <c r="J1068">
        <v>2</v>
      </c>
      <c r="K1068" t="s">
        <v>55</v>
      </c>
      <c r="L1068">
        <v>7655</v>
      </c>
      <c r="M1068">
        <v>0</v>
      </c>
      <c r="N1068" t="s">
        <v>41</v>
      </c>
      <c r="O1068">
        <v>17</v>
      </c>
      <c r="P1068">
        <v>3</v>
      </c>
      <c r="Q1068">
        <v>3</v>
      </c>
      <c r="R1068">
        <v>10</v>
      </c>
      <c r="S1068">
        <v>3</v>
      </c>
      <c r="T1068">
        <v>9</v>
      </c>
      <c r="U1068">
        <v>1</v>
      </c>
      <c r="V1068">
        <v>7</v>
      </c>
      <c r="W1068" t="s">
        <v>51</v>
      </c>
      <c r="X1068" s="1" t="d">
        <v>2012-01-10</v>
      </c>
      <c r="Z1068" t="s">
        <v>59</v>
      </c>
      <c r="AA1068" t="s">
        <v>40</v>
      </c>
      <c r="AB1068">
        <v>3</v>
      </c>
      <c r="AC1068">
        <v>2</v>
      </c>
      <c r="AD1068" t="s">
        <v>41</v>
      </c>
      <c r="AE1068" t="s">
        <v>62</v>
      </c>
      <c r="AF1068" t="s">
        <v>57</v>
      </c>
    </row>
    <row r="1069" spans="1:32" x14ac:dyDescent="0.25">
      <c r="A1069">
        <v>49</v>
      </c>
      <c r="B1069" t="s">
        <v>41</v>
      </c>
      <c r="C1069" t="s">
        <v>33</v>
      </c>
      <c r="D1069" t="s">
        <v>53</v>
      </c>
      <c r="E1069">
        <v>8</v>
      </c>
      <c r="F1069" t="s">
        <v>35</v>
      </c>
      <c r="G1069">
        <v>2</v>
      </c>
      <c r="H1069">
        <v>4</v>
      </c>
      <c r="I1069" t="s">
        <v>64</v>
      </c>
      <c r="J1069">
        <v>2</v>
      </c>
      <c r="K1069" t="s">
        <v>50</v>
      </c>
      <c r="L1069">
        <v>13120</v>
      </c>
      <c r="M1069">
        <v>6</v>
      </c>
      <c r="N1069" t="s">
        <v>41</v>
      </c>
      <c r="O1069">
        <v>17</v>
      </c>
      <c r="P1069">
        <v>3</v>
      </c>
      <c r="Q1069">
        <v>1</v>
      </c>
      <c r="R1069">
        <v>22</v>
      </c>
      <c r="S1069">
        <v>3</v>
      </c>
      <c r="T1069">
        <v>9</v>
      </c>
      <c r="U1069">
        <v>2</v>
      </c>
      <c r="V1069">
        <v>3</v>
      </c>
      <c r="W1069" t="s">
        <v>65</v>
      </c>
      <c r="X1069" s="1" t="d">
        <v>2012-03-20</v>
      </c>
      <c r="Z1069" t="s">
        <v>45</v>
      </c>
      <c r="AA1069" t="s">
        <v>46</v>
      </c>
      <c r="AB1069">
        <v>5</v>
      </c>
      <c r="AC1069">
        <v>1</v>
      </c>
      <c r="AD1069" t="s">
        <v>41</v>
      </c>
      <c r="AE1069" t="s">
        <v>47</v>
      </c>
      <c r="AF1069" t="s">
        <v>48</v>
      </c>
    </row>
    <row r="1070" spans="1:32" x14ac:dyDescent="0.25">
      <c r="A1070">
        <v>27</v>
      </c>
      <c r="B1070" t="s">
        <v>41</v>
      </c>
      <c r="C1070" t="s">
        <v>33</v>
      </c>
      <c r="D1070" t="s">
        <v>34</v>
      </c>
      <c r="E1070">
        <v>14</v>
      </c>
      <c r="F1070" t="s">
        <v>35</v>
      </c>
      <c r="G1070">
        <v>3</v>
      </c>
      <c r="H1070">
        <v>1</v>
      </c>
      <c r="I1070" t="s">
        <v>44</v>
      </c>
      <c r="J1070">
        <v>1</v>
      </c>
      <c r="K1070" t="s">
        <v>50</v>
      </c>
      <c r="L1070">
        <v>2235</v>
      </c>
      <c r="M1070">
        <v>1</v>
      </c>
      <c r="N1070" t="s">
        <v>32</v>
      </c>
      <c r="O1070">
        <v>14</v>
      </c>
      <c r="P1070">
        <v>3</v>
      </c>
      <c r="Q1070">
        <v>2</v>
      </c>
      <c r="R1070">
        <v>9</v>
      </c>
      <c r="S1070">
        <v>3</v>
      </c>
      <c r="T1070">
        <v>9</v>
      </c>
      <c r="U1070">
        <v>6</v>
      </c>
      <c r="V1070">
        <v>8</v>
      </c>
      <c r="W1070" t="s">
        <v>51</v>
      </c>
      <c r="X1070" s="1" t="d">
        <v>2012-06-14</v>
      </c>
      <c r="Z1070" t="s">
        <v>45</v>
      </c>
      <c r="AA1070" t="s">
        <v>46</v>
      </c>
      <c r="AB1070">
        <v>4</v>
      </c>
      <c r="AC1070">
        <v>1</v>
      </c>
      <c r="AD1070" t="s">
        <v>41</v>
      </c>
      <c r="AE1070" t="s">
        <v>60</v>
      </c>
      <c r="AF1070" t="s">
        <v>48</v>
      </c>
    </row>
    <row r="1071" spans="1:32" x14ac:dyDescent="0.25">
      <c r="A1071">
        <v>33</v>
      </c>
      <c r="B1071" t="s">
        <v>41</v>
      </c>
      <c r="C1071" t="s">
        <v>33</v>
      </c>
      <c r="D1071" t="s">
        <v>53</v>
      </c>
      <c r="E1071">
        <v>10</v>
      </c>
      <c r="F1071" t="s">
        <v>35</v>
      </c>
      <c r="G1071">
        <v>4</v>
      </c>
      <c r="H1071">
        <v>3</v>
      </c>
      <c r="I1071" t="s">
        <v>64</v>
      </c>
      <c r="J1071">
        <v>3</v>
      </c>
      <c r="K1071" t="s">
        <v>55</v>
      </c>
      <c r="L1071">
        <v>8380</v>
      </c>
      <c r="M1071">
        <v>0</v>
      </c>
      <c r="N1071" t="s">
        <v>32</v>
      </c>
      <c r="O1071">
        <v>14</v>
      </c>
      <c r="P1071">
        <v>3</v>
      </c>
      <c r="Q1071">
        <v>2</v>
      </c>
      <c r="R1071">
        <v>10</v>
      </c>
      <c r="S1071">
        <v>3</v>
      </c>
      <c r="T1071">
        <v>9</v>
      </c>
      <c r="U1071">
        <v>0</v>
      </c>
      <c r="V1071">
        <v>8</v>
      </c>
      <c r="W1071" t="s">
        <v>51</v>
      </c>
      <c r="X1071" s="1" t="d">
        <v>2012-03-11</v>
      </c>
      <c r="Z1071" t="s">
        <v>59</v>
      </c>
      <c r="AA1071" t="s">
        <v>40</v>
      </c>
      <c r="AB1071">
        <v>2</v>
      </c>
      <c r="AC1071">
        <v>1</v>
      </c>
      <c r="AD1071" t="s">
        <v>41</v>
      </c>
      <c r="AE1071" t="s">
        <v>47</v>
      </c>
      <c r="AF1071" t="s">
        <v>57</v>
      </c>
    </row>
    <row r="1072" spans="1:32" x14ac:dyDescent="0.25">
      <c r="A1072">
        <v>59</v>
      </c>
      <c r="B1072" t="s">
        <v>41</v>
      </c>
      <c r="C1072" t="s">
        <v>33</v>
      </c>
      <c r="D1072" t="s">
        <v>34</v>
      </c>
      <c r="E1072">
        <v>18</v>
      </c>
      <c r="F1072" t="s">
        <v>35</v>
      </c>
      <c r="G1072">
        <v>3</v>
      </c>
      <c r="H1072">
        <v>3</v>
      </c>
      <c r="I1072" t="s">
        <v>67</v>
      </c>
      <c r="J1072">
        <v>4</v>
      </c>
      <c r="K1072" t="s">
        <v>37</v>
      </c>
      <c r="L1072">
        <v>10512</v>
      </c>
      <c r="M1072">
        <v>6</v>
      </c>
      <c r="N1072" t="s">
        <v>41</v>
      </c>
      <c r="O1072">
        <v>12</v>
      </c>
      <c r="P1072">
        <v>3</v>
      </c>
      <c r="Q1072">
        <v>0</v>
      </c>
      <c r="R1072">
        <v>25</v>
      </c>
      <c r="S1072">
        <v>6</v>
      </c>
      <c r="T1072">
        <v>9</v>
      </c>
      <c r="U1072">
        <v>5</v>
      </c>
      <c r="V1072">
        <v>4</v>
      </c>
      <c r="W1072" t="s">
        <v>38</v>
      </c>
      <c r="X1072" s="1" t="d">
        <v>2012-06-14</v>
      </c>
      <c r="Z1072" t="s">
        <v>52</v>
      </c>
      <c r="AA1072" t="s">
        <v>40</v>
      </c>
      <c r="AB1072">
        <v>4</v>
      </c>
      <c r="AC1072">
        <v>1</v>
      </c>
      <c r="AD1072" t="s">
        <v>41</v>
      </c>
      <c r="AE1072" t="s">
        <v>47</v>
      </c>
      <c r="AF1072" t="s">
        <v>57</v>
      </c>
    </row>
    <row r="1073" spans="1:32" x14ac:dyDescent="0.25">
      <c r="A1073">
        <v>30</v>
      </c>
      <c r="B1073" t="s">
        <v>41</v>
      </c>
      <c r="C1073" t="s">
        <v>33</v>
      </c>
      <c r="D1073" t="s">
        <v>34</v>
      </c>
      <c r="E1073">
        <v>6</v>
      </c>
      <c r="F1073" t="s">
        <v>58</v>
      </c>
      <c r="G1073">
        <v>2</v>
      </c>
      <c r="H1073">
        <v>2</v>
      </c>
      <c r="I1073" t="s">
        <v>36</v>
      </c>
      <c r="J1073">
        <v>4</v>
      </c>
      <c r="K1073" t="s">
        <v>50</v>
      </c>
      <c r="L1073">
        <v>4627</v>
      </c>
      <c r="M1073">
        <v>0</v>
      </c>
      <c r="N1073" t="s">
        <v>41</v>
      </c>
      <c r="O1073">
        <v>12</v>
      </c>
      <c r="P1073">
        <v>3</v>
      </c>
      <c r="Q1073">
        <v>1</v>
      </c>
      <c r="R1073">
        <v>10</v>
      </c>
      <c r="S1073">
        <v>6</v>
      </c>
      <c r="T1073">
        <v>9</v>
      </c>
      <c r="U1073">
        <v>6</v>
      </c>
      <c r="V1073">
        <v>7</v>
      </c>
      <c r="W1073" t="s">
        <v>51</v>
      </c>
      <c r="X1073" s="1" t="d">
        <v>2012-02-29</v>
      </c>
      <c r="Z1073" t="s">
        <v>45</v>
      </c>
      <c r="AA1073" t="s">
        <v>46</v>
      </c>
      <c r="AB1073">
        <v>3</v>
      </c>
      <c r="AC1073">
        <v>0</v>
      </c>
      <c r="AD1073" t="s">
        <v>41</v>
      </c>
      <c r="AE1073" t="s">
        <v>42</v>
      </c>
      <c r="AF1073" t="s">
        <v>43</v>
      </c>
    </row>
    <row r="1074" spans="1:32" x14ac:dyDescent="0.25">
      <c r="A1074">
        <v>28</v>
      </c>
      <c r="B1074" t="s">
        <v>41</v>
      </c>
      <c r="C1074" t="s">
        <v>68</v>
      </c>
      <c r="D1074" t="s">
        <v>34</v>
      </c>
      <c r="E1074">
        <v>1</v>
      </c>
      <c r="F1074" t="s">
        <v>58</v>
      </c>
      <c r="G1074">
        <v>1</v>
      </c>
      <c r="H1074">
        <v>2</v>
      </c>
      <c r="I1074" t="s">
        <v>36</v>
      </c>
      <c r="J1074">
        <v>4</v>
      </c>
      <c r="K1074" t="s">
        <v>50</v>
      </c>
      <c r="L1074">
        <v>6674</v>
      </c>
      <c r="M1074">
        <v>0</v>
      </c>
      <c r="N1074" t="s">
        <v>41</v>
      </c>
      <c r="O1074">
        <v>11</v>
      </c>
      <c r="P1074">
        <v>3</v>
      </c>
      <c r="Q1074">
        <v>3</v>
      </c>
      <c r="R1074">
        <v>10</v>
      </c>
      <c r="S1074">
        <v>6</v>
      </c>
      <c r="T1074">
        <v>9</v>
      </c>
      <c r="U1074">
        <v>7</v>
      </c>
      <c r="V1074">
        <v>5</v>
      </c>
      <c r="W1074" t="s">
        <v>38</v>
      </c>
      <c r="X1074" s="1" t="d">
        <v>2012-04-18</v>
      </c>
      <c r="Z1074" t="s">
        <v>63</v>
      </c>
      <c r="AA1074" t="s">
        <v>40</v>
      </c>
      <c r="AB1074">
        <v>2</v>
      </c>
      <c r="AC1074">
        <v>2</v>
      </c>
      <c r="AD1074" t="s">
        <v>41</v>
      </c>
      <c r="AE1074" t="s">
        <v>60</v>
      </c>
      <c r="AF1074" t="s">
        <v>48</v>
      </c>
    </row>
    <row r="1075" spans="1:32" x14ac:dyDescent="0.25">
      <c r="A1075">
        <v>30</v>
      </c>
      <c r="B1075" t="s">
        <v>41</v>
      </c>
      <c r="C1075" t="s">
        <v>33</v>
      </c>
      <c r="D1075" t="s">
        <v>34</v>
      </c>
      <c r="E1075">
        <v>17</v>
      </c>
      <c r="F1075" t="s">
        <v>58</v>
      </c>
      <c r="G1075">
        <v>3</v>
      </c>
      <c r="H1075">
        <v>3</v>
      </c>
      <c r="I1075" t="s">
        <v>66</v>
      </c>
      <c r="J1075">
        <v>1</v>
      </c>
      <c r="K1075" t="s">
        <v>50</v>
      </c>
      <c r="L1075">
        <v>11916</v>
      </c>
      <c r="M1075">
        <v>1</v>
      </c>
      <c r="N1075" t="s">
        <v>32</v>
      </c>
      <c r="O1075">
        <v>23</v>
      </c>
      <c r="P1075">
        <v>4</v>
      </c>
      <c r="Q1075">
        <v>2</v>
      </c>
      <c r="R1075">
        <v>9</v>
      </c>
      <c r="S1075">
        <v>2</v>
      </c>
      <c r="T1075">
        <v>9</v>
      </c>
      <c r="U1075">
        <v>0</v>
      </c>
      <c r="V1075">
        <v>8</v>
      </c>
      <c r="W1075" t="s">
        <v>38</v>
      </c>
      <c r="X1075" s="1" t="d">
        <v>2012-02-23</v>
      </c>
      <c r="Z1075" t="s">
        <v>59</v>
      </c>
      <c r="AA1075" t="s">
        <v>40</v>
      </c>
      <c r="AB1075">
        <v>1</v>
      </c>
      <c r="AC1075">
        <v>3</v>
      </c>
      <c r="AD1075" t="s">
        <v>41</v>
      </c>
      <c r="AE1075" t="s">
        <v>42</v>
      </c>
      <c r="AF1075" t="s">
        <v>48</v>
      </c>
    </row>
    <row r="1076" spans="1:32" x14ac:dyDescent="0.25">
      <c r="A1076">
        <v>34</v>
      </c>
      <c r="B1076" t="s">
        <v>41</v>
      </c>
      <c r="C1076" t="s">
        <v>33</v>
      </c>
      <c r="D1076" t="s">
        <v>34</v>
      </c>
      <c r="E1076">
        <v>9</v>
      </c>
      <c r="F1076" t="s">
        <v>35</v>
      </c>
      <c r="G1076">
        <v>3</v>
      </c>
      <c r="H1076">
        <v>3</v>
      </c>
      <c r="I1076" t="s">
        <v>69</v>
      </c>
      <c r="J1076">
        <v>4</v>
      </c>
      <c r="K1076" t="s">
        <v>55</v>
      </c>
      <c r="L1076">
        <v>8500</v>
      </c>
      <c r="M1076">
        <v>0</v>
      </c>
      <c r="N1076" t="s">
        <v>41</v>
      </c>
      <c r="O1076">
        <v>11</v>
      </c>
      <c r="P1076">
        <v>3</v>
      </c>
      <c r="Q1076">
        <v>1</v>
      </c>
      <c r="R1076">
        <v>10</v>
      </c>
      <c r="S1076">
        <v>0</v>
      </c>
      <c r="T1076">
        <v>9</v>
      </c>
      <c r="U1076">
        <v>1</v>
      </c>
      <c r="V1076">
        <v>6</v>
      </c>
      <c r="W1076" t="s">
        <v>56</v>
      </c>
      <c r="X1076" s="1" t="d">
        <v>2012-03-03</v>
      </c>
      <c r="Z1076" t="s">
        <v>63</v>
      </c>
      <c r="AA1076" t="s">
        <v>40</v>
      </c>
      <c r="AB1076">
        <v>0</v>
      </c>
      <c r="AC1076">
        <v>1</v>
      </c>
      <c r="AD1076" t="s">
        <v>41</v>
      </c>
      <c r="AE1076" t="s">
        <v>62</v>
      </c>
      <c r="AF1076" t="s">
        <v>57</v>
      </c>
    </row>
    <row r="1077" spans="1:32" x14ac:dyDescent="0.25">
      <c r="A1077">
        <v>40</v>
      </c>
      <c r="B1077" t="s">
        <v>41</v>
      </c>
      <c r="C1077" t="s">
        <v>33</v>
      </c>
      <c r="D1077" t="s">
        <v>34</v>
      </c>
      <c r="E1077">
        <v>2</v>
      </c>
      <c r="F1077" t="s">
        <v>35</v>
      </c>
      <c r="G1077">
        <v>3</v>
      </c>
      <c r="H1077">
        <v>2</v>
      </c>
      <c r="I1077" t="s">
        <v>44</v>
      </c>
      <c r="J1077">
        <v>4</v>
      </c>
      <c r="K1077" t="s">
        <v>37</v>
      </c>
      <c r="L1077">
        <v>4661</v>
      </c>
      <c r="M1077">
        <v>1</v>
      </c>
      <c r="N1077" t="s">
        <v>41</v>
      </c>
      <c r="O1077">
        <v>13</v>
      </c>
      <c r="P1077">
        <v>3</v>
      </c>
      <c r="Q1077">
        <v>0</v>
      </c>
      <c r="R1077">
        <v>9</v>
      </c>
      <c r="S1077">
        <v>4</v>
      </c>
      <c r="T1077">
        <v>9</v>
      </c>
      <c r="U1077">
        <v>8</v>
      </c>
      <c r="V1077">
        <v>8</v>
      </c>
      <c r="W1077" t="s">
        <v>51</v>
      </c>
      <c r="X1077" s="1" t="d">
        <v>2012-03-15</v>
      </c>
      <c r="Z1077" t="s">
        <v>39</v>
      </c>
      <c r="AA1077" t="s">
        <v>46</v>
      </c>
      <c r="AB1077">
        <v>0</v>
      </c>
      <c r="AC1077">
        <v>2</v>
      </c>
      <c r="AD1077" t="s">
        <v>32</v>
      </c>
      <c r="AE1077" t="s">
        <v>62</v>
      </c>
      <c r="AF1077" t="s">
        <v>48</v>
      </c>
    </row>
    <row r="1078" spans="1:32" x14ac:dyDescent="0.25">
      <c r="A1078">
        <v>41</v>
      </c>
      <c r="B1078" t="s">
        <v>41</v>
      </c>
      <c r="C1078" t="s">
        <v>61</v>
      </c>
      <c r="D1078" t="s">
        <v>53</v>
      </c>
      <c r="E1078">
        <v>1</v>
      </c>
      <c r="F1078" t="s">
        <v>58</v>
      </c>
      <c r="G1078">
        <v>3</v>
      </c>
      <c r="H1078">
        <v>2</v>
      </c>
      <c r="I1078" t="s">
        <v>64</v>
      </c>
      <c r="J1078">
        <v>1</v>
      </c>
      <c r="K1078" t="s">
        <v>55</v>
      </c>
      <c r="L1078">
        <v>4103</v>
      </c>
      <c r="M1078">
        <v>0</v>
      </c>
      <c r="N1078" t="s">
        <v>41</v>
      </c>
      <c r="O1078">
        <v>17</v>
      </c>
      <c r="P1078">
        <v>3</v>
      </c>
      <c r="Q1078">
        <v>1</v>
      </c>
      <c r="R1078">
        <v>10</v>
      </c>
      <c r="S1078">
        <v>2</v>
      </c>
      <c r="T1078">
        <v>9</v>
      </c>
      <c r="U1078">
        <v>1</v>
      </c>
      <c r="V1078">
        <v>7</v>
      </c>
      <c r="W1078" t="s">
        <v>65</v>
      </c>
      <c r="X1078" s="1" t="d">
        <v>2012-03-16</v>
      </c>
      <c r="Z1078" t="s">
        <v>63</v>
      </c>
      <c r="AA1078" t="s">
        <v>40</v>
      </c>
      <c r="AB1078">
        <v>0</v>
      </c>
      <c r="AC1078">
        <v>3</v>
      </c>
      <c r="AD1078" t="s">
        <v>41</v>
      </c>
      <c r="AE1078" t="s">
        <v>47</v>
      </c>
      <c r="AF1078" t="s">
        <v>57</v>
      </c>
    </row>
    <row r="1079" spans="1:32" x14ac:dyDescent="0.25">
      <c r="A1079">
        <v>35</v>
      </c>
      <c r="B1079" t="s">
        <v>41</v>
      </c>
      <c r="C1079" t="s">
        <v>61</v>
      </c>
      <c r="D1079" t="s">
        <v>34</v>
      </c>
      <c r="E1079">
        <v>4</v>
      </c>
      <c r="F1079" t="s">
        <v>35</v>
      </c>
      <c r="G1079">
        <v>3</v>
      </c>
      <c r="H1079">
        <v>2</v>
      </c>
      <c r="I1079" t="s">
        <v>44</v>
      </c>
      <c r="J1079">
        <v>3</v>
      </c>
      <c r="K1079" t="s">
        <v>37</v>
      </c>
      <c r="L1079">
        <v>4249</v>
      </c>
      <c r="M1079">
        <v>1</v>
      </c>
      <c r="N1079" t="s">
        <v>32</v>
      </c>
      <c r="O1079">
        <v>11</v>
      </c>
      <c r="P1079">
        <v>3</v>
      </c>
      <c r="Q1079">
        <v>0</v>
      </c>
      <c r="R1079">
        <v>9</v>
      </c>
      <c r="S1079">
        <v>3</v>
      </c>
      <c r="T1079">
        <v>9</v>
      </c>
      <c r="U1079">
        <v>1</v>
      </c>
      <c r="V1079">
        <v>1</v>
      </c>
      <c r="W1079" t="s">
        <v>38</v>
      </c>
      <c r="X1079" s="1" t="d">
        <v>2012-05-08</v>
      </c>
      <c r="Z1079" t="s">
        <v>63</v>
      </c>
      <c r="AA1079" t="s">
        <v>46</v>
      </c>
      <c r="AB1079">
        <v>1</v>
      </c>
      <c r="AC1079">
        <v>3</v>
      </c>
      <c r="AD1079" t="s">
        <v>41</v>
      </c>
      <c r="AE1079" t="s">
        <v>60</v>
      </c>
      <c r="AF1079" t="s">
        <v>57</v>
      </c>
    </row>
    <row r="1080" spans="1:32" x14ac:dyDescent="0.25">
      <c r="A1080">
        <v>35</v>
      </c>
      <c r="B1080" t="s">
        <v>41</v>
      </c>
      <c r="C1080" t="s">
        <v>33</v>
      </c>
      <c r="D1080" t="s">
        <v>34</v>
      </c>
      <c r="E1080">
        <v>1</v>
      </c>
      <c r="F1080" t="s">
        <v>58</v>
      </c>
      <c r="G1080">
        <v>2</v>
      </c>
      <c r="H1080">
        <v>2</v>
      </c>
      <c r="I1080" t="s">
        <v>36</v>
      </c>
      <c r="J1080">
        <v>4</v>
      </c>
      <c r="K1080" t="s">
        <v>50</v>
      </c>
      <c r="L1080">
        <v>5363</v>
      </c>
      <c r="M1080">
        <v>0</v>
      </c>
      <c r="N1080" t="s">
        <v>41</v>
      </c>
      <c r="O1080">
        <v>12</v>
      </c>
      <c r="P1080">
        <v>3</v>
      </c>
      <c r="Q1080">
        <v>1</v>
      </c>
      <c r="R1080">
        <v>10</v>
      </c>
      <c r="S1080">
        <v>0</v>
      </c>
      <c r="T1080">
        <v>9</v>
      </c>
      <c r="U1080">
        <v>0</v>
      </c>
      <c r="V1080">
        <v>0</v>
      </c>
      <c r="W1080" t="s">
        <v>65</v>
      </c>
      <c r="X1080" s="1" t="d">
        <v>2012-02-09</v>
      </c>
      <c r="Z1080" t="s">
        <v>59</v>
      </c>
      <c r="AA1080" t="s">
        <v>40</v>
      </c>
      <c r="AB1080">
        <v>3</v>
      </c>
      <c r="AC1080">
        <v>3</v>
      </c>
      <c r="AD1080" t="s">
        <v>41</v>
      </c>
      <c r="AE1080" t="s">
        <v>47</v>
      </c>
      <c r="AF1080" t="s">
        <v>57</v>
      </c>
    </row>
    <row r="1081" spans="1:32" x14ac:dyDescent="0.25">
      <c r="A1081">
        <v>58</v>
      </c>
      <c r="B1081" t="s">
        <v>41</v>
      </c>
      <c r="C1081" t="s">
        <v>33</v>
      </c>
      <c r="D1081" t="s">
        <v>34</v>
      </c>
      <c r="E1081">
        <v>1</v>
      </c>
      <c r="F1081" t="s">
        <v>58</v>
      </c>
      <c r="G1081">
        <v>3</v>
      </c>
      <c r="H1081">
        <v>5</v>
      </c>
      <c r="I1081" t="s">
        <v>49</v>
      </c>
      <c r="J1081">
        <v>1</v>
      </c>
      <c r="K1081" t="s">
        <v>50</v>
      </c>
      <c r="L1081">
        <v>19701</v>
      </c>
      <c r="M1081">
        <v>3</v>
      </c>
      <c r="N1081" t="s">
        <v>32</v>
      </c>
      <c r="O1081">
        <v>21</v>
      </c>
      <c r="P1081">
        <v>4</v>
      </c>
      <c r="Q1081">
        <v>1</v>
      </c>
      <c r="R1081">
        <v>32</v>
      </c>
      <c r="S1081">
        <v>3</v>
      </c>
      <c r="T1081">
        <v>9</v>
      </c>
      <c r="U1081">
        <v>1</v>
      </c>
      <c r="V1081">
        <v>5</v>
      </c>
      <c r="W1081" t="s">
        <v>56</v>
      </c>
      <c r="X1081" s="1" t="d">
        <v>2012-01-12</v>
      </c>
      <c r="Z1081" t="s">
        <v>52</v>
      </c>
      <c r="AA1081" t="s">
        <v>40</v>
      </c>
      <c r="AB1081">
        <v>4</v>
      </c>
      <c r="AC1081">
        <v>0</v>
      </c>
      <c r="AD1081" t="s">
        <v>32</v>
      </c>
      <c r="AE1081" t="s">
        <v>60</v>
      </c>
      <c r="AF1081" t="s">
        <v>48</v>
      </c>
    </row>
    <row r="1082" spans="1:32" x14ac:dyDescent="0.25">
      <c r="A1082">
        <v>40</v>
      </c>
      <c r="B1082" t="s">
        <v>41</v>
      </c>
      <c r="C1082" t="s">
        <v>68</v>
      </c>
      <c r="D1082" t="s">
        <v>34</v>
      </c>
      <c r="E1082">
        <v>8</v>
      </c>
      <c r="F1082" t="s">
        <v>35</v>
      </c>
      <c r="G1082">
        <v>2</v>
      </c>
      <c r="H1082">
        <v>3</v>
      </c>
      <c r="I1082" t="s">
        <v>49</v>
      </c>
      <c r="J1082">
        <v>2</v>
      </c>
      <c r="K1082" t="s">
        <v>55</v>
      </c>
      <c r="L1082">
        <v>13757</v>
      </c>
      <c r="M1082">
        <v>2</v>
      </c>
      <c r="N1082" t="s">
        <v>41</v>
      </c>
      <c r="O1082">
        <v>11</v>
      </c>
      <c r="P1082">
        <v>3</v>
      </c>
      <c r="Q1082">
        <v>1</v>
      </c>
      <c r="R1082">
        <v>16</v>
      </c>
      <c r="S1082">
        <v>5</v>
      </c>
      <c r="T1082">
        <v>9</v>
      </c>
      <c r="U1082">
        <v>4</v>
      </c>
      <c r="V1082">
        <v>8</v>
      </c>
      <c r="W1082" t="s">
        <v>65</v>
      </c>
      <c r="X1082" s="1" t="d">
        <v>2012-02-17</v>
      </c>
      <c r="Z1082" t="s">
        <v>52</v>
      </c>
      <c r="AA1082" t="s">
        <v>40</v>
      </c>
      <c r="AB1082">
        <v>0</v>
      </c>
      <c r="AC1082">
        <v>2</v>
      </c>
      <c r="AD1082" t="s">
        <v>32</v>
      </c>
      <c r="AE1082" t="s">
        <v>62</v>
      </c>
      <c r="AF1082" t="s">
        <v>43</v>
      </c>
    </row>
    <row r="1083" spans="1:32" x14ac:dyDescent="0.25">
      <c r="A1083">
        <v>53</v>
      </c>
      <c r="B1083" t="s">
        <v>41</v>
      </c>
      <c r="C1083" t="s">
        <v>33</v>
      </c>
      <c r="D1083" t="s">
        <v>34</v>
      </c>
      <c r="E1083">
        <v>2</v>
      </c>
      <c r="F1083" t="s">
        <v>35</v>
      </c>
      <c r="G1083">
        <v>4</v>
      </c>
      <c r="H1083">
        <v>4</v>
      </c>
      <c r="I1083" t="s">
        <v>49</v>
      </c>
      <c r="J1083">
        <v>2</v>
      </c>
      <c r="K1083" t="s">
        <v>37</v>
      </c>
      <c r="L1083">
        <v>16598</v>
      </c>
      <c r="M1083">
        <v>4</v>
      </c>
      <c r="N1083" t="s">
        <v>41</v>
      </c>
      <c r="O1083">
        <v>12</v>
      </c>
      <c r="P1083">
        <v>3</v>
      </c>
      <c r="Q1083">
        <v>0</v>
      </c>
      <c r="R1083">
        <v>35</v>
      </c>
      <c r="S1083">
        <v>2</v>
      </c>
      <c r="T1083">
        <v>9</v>
      </c>
      <c r="U1083">
        <v>8</v>
      </c>
      <c r="V1083">
        <v>8</v>
      </c>
      <c r="W1083" t="s">
        <v>51</v>
      </c>
      <c r="X1083" s="1" t="d">
        <v>2012-04-28</v>
      </c>
      <c r="Z1083" t="s">
        <v>63</v>
      </c>
      <c r="AA1083" t="s">
        <v>40</v>
      </c>
      <c r="AB1083">
        <v>0</v>
      </c>
      <c r="AC1083">
        <v>1</v>
      </c>
      <c r="AD1083" t="s">
        <v>41</v>
      </c>
      <c r="AE1083" t="s">
        <v>47</v>
      </c>
      <c r="AF1083" t="s">
        <v>57</v>
      </c>
    </row>
    <row r="1084" spans="1:32" x14ac:dyDescent="0.25">
      <c r="A1084">
        <v>29</v>
      </c>
      <c r="B1084" t="s">
        <v>32</v>
      </c>
      <c r="C1084" t="s">
        <v>33</v>
      </c>
      <c r="D1084" t="s">
        <v>34</v>
      </c>
      <c r="E1084">
        <v>1</v>
      </c>
      <c r="F1084" t="s">
        <v>35</v>
      </c>
      <c r="G1084">
        <v>2</v>
      </c>
      <c r="H1084">
        <v>1</v>
      </c>
      <c r="I1084" t="s">
        <v>44</v>
      </c>
      <c r="J1084">
        <v>1</v>
      </c>
      <c r="K1084" t="s">
        <v>37</v>
      </c>
      <c r="L1084">
        <v>2362</v>
      </c>
      <c r="M1084">
        <v>6</v>
      </c>
      <c r="N1084" t="s">
        <v>41</v>
      </c>
      <c r="O1084">
        <v>13</v>
      </c>
      <c r="P1084">
        <v>3</v>
      </c>
      <c r="Q1084">
        <v>0</v>
      </c>
      <c r="R1084">
        <v>11</v>
      </c>
      <c r="S1084">
        <v>2</v>
      </c>
      <c r="T1084">
        <v>9</v>
      </c>
      <c r="U1084">
        <v>0</v>
      </c>
      <c r="V1084">
        <v>7</v>
      </c>
      <c r="W1084" t="s">
        <v>56</v>
      </c>
      <c r="X1084" s="1" t="d">
        <v>2012-02-03</v>
      </c>
      <c r="Z1084" t="s">
        <v>39</v>
      </c>
      <c r="AA1084" t="s">
        <v>40</v>
      </c>
      <c r="AB1084">
        <v>4</v>
      </c>
      <c r="AC1084">
        <v>3</v>
      </c>
      <c r="AD1084" t="s">
        <v>41</v>
      </c>
      <c r="AE1084" t="s">
        <v>47</v>
      </c>
      <c r="AF1084" t="s">
        <v>57</v>
      </c>
    </row>
    <row r="1085" spans="1:32" x14ac:dyDescent="0.25">
      <c r="A1085">
        <v>38</v>
      </c>
      <c r="B1085" t="s">
        <v>41</v>
      </c>
      <c r="C1085" t="s">
        <v>33</v>
      </c>
      <c r="D1085" t="s">
        <v>53</v>
      </c>
      <c r="E1085">
        <v>14</v>
      </c>
      <c r="F1085" t="s">
        <v>35</v>
      </c>
      <c r="G1085">
        <v>3</v>
      </c>
      <c r="H1085">
        <v>2</v>
      </c>
      <c r="I1085" t="s">
        <v>64</v>
      </c>
      <c r="J1085">
        <v>2</v>
      </c>
      <c r="K1085" t="s">
        <v>50</v>
      </c>
      <c r="L1085">
        <v>9924</v>
      </c>
      <c r="M1085">
        <v>0</v>
      </c>
      <c r="N1085" t="s">
        <v>41</v>
      </c>
      <c r="O1085">
        <v>11</v>
      </c>
      <c r="P1085">
        <v>3</v>
      </c>
      <c r="Q1085">
        <v>1</v>
      </c>
      <c r="R1085">
        <v>10</v>
      </c>
      <c r="S1085">
        <v>3</v>
      </c>
      <c r="T1085">
        <v>9</v>
      </c>
      <c r="U1085">
        <v>7</v>
      </c>
      <c r="V1085">
        <v>7</v>
      </c>
      <c r="W1085" t="s">
        <v>51</v>
      </c>
      <c r="X1085" s="1" t="d">
        <v>2012-02-05</v>
      </c>
      <c r="Z1085" t="s">
        <v>59</v>
      </c>
      <c r="AA1085" t="s">
        <v>40</v>
      </c>
      <c r="AB1085">
        <v>4</v>
      </c>
      <c r="AC1085">
        <v>3</v>
      </c>
      <c r="AD1085" t="s">
        <v>41</v>
      </c>
      <c r="AE1085" t="s">
        <v>60</v>
      </c>
      <c r="AF1085" t="s">
        <v>43</v>
      </c>
    </row>
    <row r="1086" spans="1:32" x14ac:dyDescent="0.25">
      <c r="A1086">
        <v>34</v>
      </c>
      <c r="B1086" t="s">
        <v>41</v>
      </c>
      <c r="C1086" t="s">
        <v>61</v>
      </c>
      <c r="D1086" t="s">
        <v>34</v>
      </c>
      <c r="E1086">
        <v>10</v>
      </c>
      <c r="F1086" t="s">
        <v>35</v>
      </c>
      <c r="G1086">
        <v>4</v>
      </c>
      <c r="H1086">
        <v>2</v>
      </c>
      <c r="I1086" t="s">
        <v>67</v>
      </c>
      <c r="J1086">
        <v>4</v>
      </c>
      <c r="K1086" t="s">
        <v>55</v>
      </c>
      <c r="L1086">
        <v>4724</v>
      </c>
      <c r="M1086">
        <v>1</v>
      </c>
      <c r="N1086" t="s">
        <v>41</v>
      </c>
      <c r="O1086">
        <v>13</v>
      </c>
      <c r="P1086">
        <v>3</v>
      </c>
      <c r="Q1086">
        <v>1</v>
      </c>
      <c r="R1086">
        <v>9</v>
      </c>
      <c r="S1086">
        <v>3</v>
      </c>
      <c r="T1086">
        <v>9</v>
      </c>
      <c r="U1086">
        <v>7</v>
      </c>
      <c r="V1086">
        <v>2</v>
      </c>
      <c r="W1086" t="s">
        <v>56</v>
      </c>
      <c r="X1086" s="1" t="d">
        <v>2012-01-28</v>
      </c>
      <c r="Z1086" t="s">
        <v>52</v>
      </c>
      <c r="AA1086" t="s">
        <v>46</v>
      </c>
      <c r="AB1086">
        <v>1</v>
      </c>
      <c r="AC1086">
        <v>1</v>
      </c>
      <c r="AD1086" t="s">
        <v>41</v>
      </c>
      <c r="AE1086" t="s">
        <v>42</v>
      </c>
      <c r="AF1086" t="s">
        <v>43</v>
      </c>
    </row>
    <row r="1087" spans="1:32" x14ac:dyDescent="0.25">
      <c r="A1087">
        <v>49</v>
      </c>
      <c r="B1087" t="s">
        <v>41</v>
      </c>
      <c r="C1087" t="s">
        <v>33</v>
      </c>
      <c r="D1087" t="s">
        <v>34</v>
      </c>
      <c r="E1087">
        <v>25</v>
      </c>
      <c r="F1087" t="s">
        <v>58</v>
      </c>
      <c r="G1087">
        <v>3</v>
      </c>
      <c r="H1087">
        <v>1</v>
      </c>
      <c r="I1087" t="s">
        <v>36</v>
      </c>
      <c r="J1087">
        <v>1</v>
      </c>
      <c r="K1087" t="s">
        <v>50</v>
      </c>
      <c r="L1087">
        <v>3211</v>
      </c>
      <c r="M1087">
        <v>1</v>
      </c>
      <c r="N1087" t="s">
        <v>41</v>
      </c>
      <c r="O1087">
        <v>14</v>
      </c>
      <c r="P1087">
        <v>3</v>
      </c>
      <c r="Q1087">
        <v>1</v>
      </c>
      <c r="R1087">
        <v>10</v>
      </c>
      <c r="S1087">
        <v>3</v>
      </c>
      <c r="T1087">
        <v>9</v>
      </c>
      <c r="U1087">
        <v>1</v>
      </c>
      <c r="V1087">
        <v>4</v>
      </c>
      <c r="W1087" t="s">
        <v>51</v>
      </c>
      <c r="X1087" s="1" t="d">
        <v>2012-02-16</v>
      </c>
      <c r="Z1087" t="s">
        <v>63</v>
      </c>
      <c r="AA1087" t="s">
        <v>40</v>
      </c>
      <c r="AB1087">
        <v>5</v>
      </c>
      <c r="AC1087">
        <v>3</v>
      </c>
      <c r="AD1087" t="s">
        <v>32</v>
      </c>
      <c r="AE1087" t="s">
        <v>42</v>
      </c>
      <c r="AF1087" t="s">
        <v>48</v>
      </c>
    </row>
    <row r="1088" spans="1:32" x14ac:dyDescent="0.25">
      <c r="A1088">
        <v>39</v>
      </c>
      <c r="B1088" t="s">
        <v>41</v>
      </c>
      <c r="C1088" t="s">
        <v>61</v>
      </c>
      <c r="D1088" t="s">
        <v>34</v>
      </c>
      <c r="E1088">
        <v>4</v>
      </c>
      <c r="F1088" t="s">
        <v>58</v>
      </c>
      <c r="G1088">
        <v>3</v>
      </c>
      <c r="H1088">
        <v>2</v>
      </c>
      <c r="I1088" t="s">
        <v>67</v>
      </c>
      <c r="J1088">
        <v>3</v>
      </c>
      <c r="K1088" t="s">
        <v>37</v>
      </c>
      <c r="L1088">
        <v>5042</v>
      </c>
      <c r="M1088">
        <v>0</v>
      </c>
      <c r="N1088" t="s">
        <v>41</v>
      </c>
      <c r="O1088">
        <v>13</v>
      </c>
      <c r="P1088">
        <v>3</v>
      </c>
      <c r="Q1088">
        <v>0</v>
      </c>
      <c r="R1088">
        <v>10</v>
      </c>
      <c r="S1088">
        <v>2</v>
      </c>
      <c r="T1088">
        <v>9</v>
      </c>
      <c r="U1088">
        <v>3</v>
      </c>
      <c r="V1088">
        <v>8</v>
      </c>
      <c r="W1088" t="s">
        <v>38</v>
      </c>
      <c r="X1088" s="1" t="d">
        <v>2012-06-30</v>
      </c>
      <c r="Z1088" t="s">
        <v>45</v>
      </c>
      <c r="AA1088" t="s">
        <v>46</v>
      </c>
      <c r="AB1088">
        <v>5</v>
      </c>
      <c r="AC1088">
        <v>2</v>
      </c>
      <c r="AD1088" t="s">
        <v>41</v>
      </c>
      <c r="AE1088" t="s">
        <v>60</v>
      </c>
      <c r="AF1088" t="s">
        <v>48</v>
      </c>
    </row>
    <row r="1089" spans="1:32" x14ac:dyDescent="0.25">
      <c r="A1089">
        <v>32</v>
      </c>
      <c r="B1089" t="s">
        <v>41</v>
      </c>
      <c r="C1089" t="s">
        <v>33</v>
      </c>
      <c r="D1089" t="s">
        <v>34</v>
      </c>
      <c r="E1089">
        <v>2</v>
      </c>
      <c r="F1089" t="s">
        <v>35</v>
      </c>
      <c r="G1089">
        <v>3</v>
      </c>
      <c r="H1089">
        <v>2</v>
      </c>
      <c r="I1089" t="s">
        <v>44</v>
      </c>
      <c r="J1089">
        <v>2</v>
      </c>
      <c r="K1089" t="s">
        <v>55</v>
      </c>
      <c r="L1089">
        <v>5470</v>
      </c>
      <c r="M1089">
        <v>0</v>
      </c>
      <c r="N1089" t="s">
        <v>41</v>
      </c>
      <c r="O1089">
        <v>13</v>
      </c>
      <c r="P1089">
        <v>3</v>
      </c>
      <c r="Q1089">
        <v>2</v>
      </c>
      <c r="R1089">
        <v>10</v>
      </c>
      <c r="S1089">
        <v>4</v>
      </c>
      <c r="T1089">
        <v>9</v>
      </c>
      <c r="U1089">
        <v>1</v>
      </c>
      <c r="V1089">
        <v>6</v>
      </c>
      <c r="W1089" t="s">
        <v>38</v>
      </c>
      <c r="X1089" s="1" t="d">
        <v>2012-02-19</v>
      </c>
      <c r="Z1089" t="s">
        <v>39</v>
      </c>
      <c r="AA1089" t="s">
        <v>40</v>
      </c>
      <c r="AB1089">
        <v>5</v>
      </c>
      <c r="AC1089">
        <v>1</v>
      </c>
      <c r="AD1089" t="s">
        <v>41</v>
      </c>
      <c r="AE1089" t="s">
        <v>60</v>
      </c>
      <c r="AF1089" t="s">
        <v>43</v>
      </c>
    </row>
    <row r="1090" spans="1:32" x14ac:dyDescent="0.25">
      <c r="A1090">
        <v>48</v>
      </c>
      <c r="B1090" t="s">
        <v>32</v>
      </c>
      <c r="C1090" t="s">
        <v>61</v>
      </c>
      <c r="D1090" t="s">
        <v>53</v>
      </c>
      <c r="E1090">
        <v>7</v>
      </c>
      <c r="F1090" t="s">
        <v>58</v>
      </c>
      <c r="G1090">
        <v>3</v>
      </c>
      <c r="H1090">
        <v>1</v>
      </c>
      <c r="I1090" t="s">
        <v>54</v>
      </c>
      <c r="J1090">
        <v>3</v>
      </c>
      <c r="K1090" t="s">
        <v>50</v>
      </c>
      <c r="L1090">
        <v>2655</v>
      </c>
      <c r="M1090">
        <v>2</v>
      </c>
      <c r="N1090" t="s">
        <v>32</v>
      </c>
      <c r="O1090">
        <v>11</v>
      </c>
      <c r="P1090">
        <v>3</v>
      </c>
      <c r="Q1090">
        <v>2</v>
      </c>
      <c r="R1090">
        <v>19</v>
      </c>
      <c r="S1090">
        <v>3</v>
      </c>
      <c r="T1090">
        <v>9</v>
      </c>
      <c r="U1090">
        <v>7</v>
      </c>
      <c r="V1090">
        <v>7</v>
      </c>
      <c r="W1090" t="s">
        <v>65</v>
      </c>
      <c r="X1090" s="1" t="d">
        <v>2012-05-28</v>
      </c>
      <c r="Z1090" t="s">
        <v>59</v>
      </c>
      <c r="AA1090" t="s">
        <v>46</v>
      </c>
      <c r="AB1090">
        <v>3</v>
      </c>
      <c r="AC1090">
        <v>0</v>
      </c>
      <c r="AD1090" t="s">
        <v>41</v>
      </c>
      <c r="AE1090" t="s">
        <v>42</v>
      </c>
      <c r="AF1090" t="s">
        <v>43</v>
      </c>
    </row>
    <row r="1091" spans="1:32" x14ac:dyDescent="0.25">
      <c r="A1091">
        <v>39</v>
      </c>
      <c r="B1091" t="s">
        <v>41</v>
      </c>
      <c r="C1091" t="s">
        <v>68</v>
      </c>
      <c r="D1091" t="s">
        <v>34</v>
      </c>
      <c r="E1091">
        <v>1</v>
      </c>
      <c r="F1091" t="s">
        <v>35</v>
      </c>
      <c r="G1091">
        <v>3</v>
      </c>
      <c r="H1091">
        <v>2</v>
      </c>
      <c r="I1091" t="s">
        <v>36</v>
      </c>
      <c r="J1091">
        <v>4</v>
      </c>
      <c r="K1091" t="s">
        <v>50</v>
      </c>
      <c r="L1091">
        <v>6472</v>
      </c>
      <c r="M1091">
        <v>1</v>
      </c>
      <c r="N1091" t="s">
        <v>32</v>
      </c>
      <c r="O1091">
        <v>15</v>
      </c>
      <c r="P1091">
        <v>3</v>
      </c>
      <c r="Q1091">
        <v>1</v>
      </c>
      <c r="R1091">
        <v>9</v>
      </c>
      <c r="S1091">
        <v>2</v>
      </c>
      <c r="T1091">
        <v>9</v>
      </c>
      <c r="U1091">
        <v>5</v>
      </c>
      <c r="V1091">
        <v>8</v>
      </c>
      <c r="W1091" t="s">
        <v>38</v>
      </c>
      <c r="X1091" s="1" t="d">
        <v>2012-06-23</v>
      </c>
      <c r="Z1091" t="s">
        <v>52</v>
      </c>
      <c r="AA1091" t="s">
        <v>40</v>
      </c>
      <c r="AB1091">
        <v>4</v>
      </c>
      <c r="AC1091">
        <v>2</v>
      </c>
      <c r="AD1091" t="s">
        <v>32</v>
      </c>
      <c r="AE1091" t="s">
        <v>42</v>
      </c>
      <c r="AF1091" t="s">
        <v>43</v>
      </c>
    </row>
    <row r="1092" spans="1:32" x14ac:dyDescent="0.25">
      <c r="A1092">
        <v>30</v>
      </c>
      <c r="B1092" t="s">
        <v>41</v>
      </c>
      <c r="C1092" t="s">
        <v>61</v>
      </c>
      <c r="D1092" t="s">
        <v>34</v>
      </c>
      <c r="E1092">
        <v>2</v>
      </c>
      <c r="F1092" t="s">
        <v>58</v>
      </c>
      <c r="G1092">
        <v>2</v>
      </c>
      <c r="H1092">
        <v>1</v>
      </c>
      <c r="I1092" t="s">
        <v>44</v>
      </c>
      <c r="J1092">
        <v>1</v>
      </c>
      <c r="K1092" t="s">
        <v>37</v>
      </c>
      <c r="L1092">
        <v>4968</v>
      </c>
      <c r="M1092">
        <v>0</v>
      </c>
      <c r="N1092" t="s">
        <v>41</v>
      </c>
      <c r="O1092">
        <v>16</v>
      </c>
      <c r="P1092">
        <v>3</v>
      </c>
      <c r="Q1092">
        <v>0</v>
      </c>
      <c r="R1092">
        <v>10</v>
      </c>
      <c r="S1092">
        <v>2</v>
      </c>
      <c r="T1092">
        <v>9</v>
      </c>
      <c r="U1092">
        <v>0</v>
      </c>
      <c r="V1092">
        <v>7</v>
      </c>
      <c r="W1092" t="s">
        <v>51</v>
      </c>
      <c r="X1092" s="1" t="d">
        <v>2012-01-02</v>
      </c>
      <c r="Z1092" t="s">
        <v>45</v>
      </c>
      <c r="AA1092" t="s">
        <v>46</v>
      </c>
      <c r="AB1092">
        <v>0</v>
      </c>
      <c r="AC1092">
        <v>2</v>
      </c>
      <c r="AD1092" t="s">
        <v>41</v>
      </c>
      <c r="AE1092" t="s">
        <v>60</v>
      </c>
      <c r="AF1092" t="s">
        <v>48</v>
      </c>
    </row>
    <row r="1093" spans="1:32" x14ac:dyDescent="0.25">
      <c r="A1093">
        <v>33</v>
      </c>
      <c r="B1093" t="s">
        <v>41</v>
      </c>
      <c r="C1093" t="s">
        <v>68</v>
      </c>
      <c r="D1093" t="s">
        <v>34</v>
      </c>
      <c r="E1093">
        <v>4</v>
      </c>
      <c r="F1093" t="s">
        <v>35</v>
      </c>
      <c r="G1093">
        <v>3</v>
      </c>
      <c r="H1093">
        <v>2</v>
      </c>
      <c r="I1093" t="s">
        <v>44</v>
      </c>
      <c r="J1093">
        <v>2</v>
      </c>
      <c r="K1093" t="s">
        <v>55</v>
      </c>
      <c r="L1093">
        <v>3055</v>
      </c>
      <c r="M1093">
        <v>5</v>
      </c>
      <c r="N1093" t="s">
        <v>41</v>
      </c>
      <c r="O1093">
        <v>15</v>
      </c>
      <c r="P1093">
        <v>3</v>
      </c>
      <c r="Q1093">
        <v>2</v>
      </c>
      <c r="R1093">
        <v>11</v>
      </c>
      <c r="S1093">
        <v>2</v>
      </c>
      <c r="T1093">
        <v>9</v>
      </c>
      <c r="U1093">
        <v>1</v>
      </c>
      <c r="V1093">
        <v>7</v>
      </c>
      <c r="W1093" t="s">
        <v>56</v>
      </c>
      <c r="X1093" s="1" t="d">
        <v>2012-01-08</v>
      </c>
      <c r="Z1093" t="s">
        <v>52</v>
      </c>
      <c r="AA1093" t="s">
        <v>46</v>
      </c>
      <c r="AB1093">
        <v>4</v>
      </c>
      <c r="AC1093">
        <v>2</v>
      </c>
      <c r="AD1093" t="s">
        <v>32</v>
      </c>
      <c r="AE1093" t="s">
        <v>42</v>
      </c>
      <c r="AF1093" t="s">
        <v>43</v>
      </c>
    </row>
    <row r="1094" spans="1:32" x14ac:dyDescent="0.25">
      <c r="A1094">
        <v>43</v>
      </c>
      <c r="B1094" t="s">
        <v>41</v>
      </c>
      <c r="C1094" t="s">
        <v>33</v>
      </c>
      <c r="D1094" t="s">
        <v>70</v>
      </c>
      <c r="E1094">
        <v>2</v>
      </c>
      <c r="F1094" t="s">
        <v>35</v>
      </c>
      <c r="G1094">
        <v>3</v>
      </c>
      <c r="H1094">
        <v>1</v>
      </c>
      <c r="I1094" t="s">
        <v>70</v>
      </c>
      <c r="J1094">
        <v>4</v>
      </c>
      <c r="K1094" t="s">
        <v>37</v>
      </c>
      <c r="L1094">
        <v>3539</v>
      </c>
      <c r="M1094">
        <v>0</v>
      </c>
      <c r="N1094" t="s">
        <v>41</v>
      </c>
      <c r="O1094">
        <v>13</v>
      </c>
      <c r="P1094">
        <v>3</v>
      </c>
      <c r="Q1094">
        <v>0</v>
      </c>
      <c r="R1094">
        <v>10</v>
      </c>
      <c r="S1094">
        <v>5</v>
      </c>
      <c r="T1094">
        <v>9</v>
      </c>
      <c r="U1094">
        <v>1</v>
      </c>
      <c r="V1094">
        <v>8</v>
      </c>
      <c r="W1094" t="s">
        <v>56</v>
      </c>
      <c r="X1094" s="1" t="d">
        <v>2012-05-03</v>
      </c>
      <c r="Z1094" t="s">
        <v>63</v>
      </c>
      <c r="AA1094" t="s">
        <v>40</v>
      </c>
      <c r="AB1094">
        <v>3</v>
      </c>
      <c r="AC1094">
        <v>1</v>
      </c>
      <c r="AD1094" t="s">
        <v>41</v>
      </c>
      <c r="AE1094" t="s">
        <v>47</v>
      </c>
      <c r="AF1094" t="s">
        <v>43</v>
      </c>
    </row>
    <row r="1095" spans="1:32" x14ac:dyDescent="0.25">
      <c r="A1095">
        <v>46</v>
      </c>
      <c r="B1095" t="s">
        <v>32</v>
      </c>
      <c r="C1095" t="s">
        <v>33</v>
      </c>
      <c r="D1095" t="s">
        <v>34</v>
      </c>
      <c r="E1095">
        <v>21</v>
      </c>
      <c r="F1095" t="s">
        <v>58</v>
      </c>
      <c r="G1095">
        <v>3</v>
      </c>
      <c r="H1095">
        <v>2</v>
      </c>
      <c r="I1095" t="s">
        <v>69</v>
      </c>
      <c r="J1095">
        <v>2</v>
      </c>
      <c r="K1095" t="s">
        <v>50</v>
      </c>
      <c r="L1095">
        <v>8926</v>
      </c>
      <c r="M1095">
        <v>4</v>
      </c>
      <c r="N1095" t="s">
        <v>41</v>
      </c>
      <c r="O1095">
        <v>22</v>
      </c>
      <c r="P1095">
        <v>4</v>
      </c>
      <c r="Q1095">
        <v>1</v>
      </c>
      <c r="R1095">
        <v>13</v>
      </c>
      <c r="S1095">
        <v>2</v>
      </c>
      <c r="T1095">
        <v>9</v>
      </c>
      <c r="U1095">
        <v>3</v>
      </c>
      <c r="V1095">
        <v>7</v>
      </c>
      <c r="W1095" t="s">
        <v>38</v>
      </c>
      <c r="X1095" s="1" t="d">
        <v>2012-06-26</v>
      </c>
      <c r="Z1095" t="s">
        <v>59</v>
      </c>
      <c r="AA1095" t="s">
        <v>40</v>
      </c>
      <c r="AB1095">
        <v>0</v>
      </c>
      <c r="AC1095">
        <v>3</v>
      </c>
      <c r="AD1095" t="s">
        <v>41</v>
      </c>
      <c r="AE1095" t="s">
        <v>62</v>
      </c>
      <c r="AF1095" t="s">
        <v>48</v>
      </c>
    </row>
    <row r="1096" spans="1:32" x14ac:dyDescent="0.25">
      <c r="A1096">
        <v>46</v>
      </c>
      <c r="B1096" t="s">
        <v>41</v>
      </c>
      <c r="C1096" t="s">
        <v>33</v>
      </c>
      <c r="D1096" t="s">
        <v>34</v>
      </c>
      <c r="E1096">
        <v>2</v>
      </c>
      <c r="F1096" t="s">
        <v>35</v>
      </c>
      <c r="G1096">
        <v>3</v>
      </c>
      <c r="H1096">
        <v>3</v>
      </c>
      <c r="I1096" t="s">
        <v>67</v>
      </c>
      <c r="J1096">
        <v>4</v>
      </c>
      <c r="K1096" t="s">
        <v>55</v>
      </c>
      <c r="L1096">
        <v>8578</v>
      </c>
      <c r="M1096">
        <v>3</v>
      </c>
      <c r="N1096" t="s">
        <v>41</v>
      </c>
      <c r="O1096">
        <v>14</v>
      </c>
      <c r="P1096">
        <v>3</v>
      </c>
      <c r="Q1096">
        <v>1</v>
      </c>
      <c r="R1096">
        <v>12</v>
      </c>
      <c r="S1096">
        <v>4</v>
      </c>
      <c r="T1096">
        <v>9</v>
      </c>
      <c r="U1096">
        <v>4</v>
      </c>
      <c r="V1096">
        <v>7</v>
      </c>
      <c r="W1096" t="s">
        <v>65</v>
      </c>
      <c r="X1096" s="1" t="d">
        <v>2012-01-28</v>
      </c>
      <c r="Z1096" t="s">
        <v>59</v>
      </c>
      <c r="AA1096" t="s">
        <v>40</v>
      </c>
      <c r="AB1096">
        <v>2</v>
      </c>
      <c r="AC1096">
        <v>3</v>
      </c>
      <c r="AD1096" t="s">
        <v>32</v>
      </c>
      <c r="AE1096" t="s">
        <v>42</v>
      </c>
      <c r="AF1096" t="s">
        <v>43</v>
      </c>
    </row>
    <row r="1097" spans="1:32" x14ac:dyDescent="0.25">
      <c r="A1097">
        <v>27</v>
      </c>
      <c r="B1097" t="s">
        <v>41</v>
      </c>
      <c r="C1097" t="s">
        <v>33</v>
      </c>
      <c r="D1097" t="s">
        <v>53</v>
      </c>
      <c r="E1097">
        <v>23</v>
      </c>
      <c r="F1097" t="s">
        <v>58</v>
      </c>
      <c r="G1097">
        <v>2</v>
      </c>
      <c r="H1097">
        <v>2</v>
      </c>
      <c r="I1097" t="s">
        <v>54</v>
      </c>
      <c r="J1097">
        <v>3</v>
      </c>
      <c r="K1097" t="s">
        <v>50</v>
      </c>
      <c r="L1097">
        <v>3540</v>
      </c>
      <c r="M1097">
        <v>1</v>
      </c>
      <c r="N1097" t="s">
        <v>41</v>
      </c>
      <c r="O1097">
        <v>21</v>
      </c>
      <c r="P1097">
        <v>4</v>
      </c>
      <c r="Q1097">
        <v>1</v>
      </c>
      <c r="R1097">
        <v>9</v>
      </c>
      <c r="S1097">
        <v>5</v>
      </c>
      <c r="T1097">
        <v>9</v>
      </c>
      <c r="U1097">
        <v>5</v>
      </c>
      <c r="V1097">
        <v>8</v>
      </c>
      <c r="W1097" t="s">
        <v>51</v>
      </c>
      <c r="X1097" s="1" t="d">
        <v>2012-05-09</v>
      </c>
      <c r="Z1097" t="s">
        <v>45</v>
      </c>
      <c r="AA1097" t="s">
        <v>46</v>
      </c>
      <c r="AB1097">
        <v>3</v>
      </c>
      <c r="AC1097">
        <v>2</v>
      </c>
      <c r="AD1097" t="s">
        <v>41</v>
      </c>
      <c r="AE1097" t="s">
        <v>60</v>
      </c>
      <c r="AF1097" t="s">
        <v>43</v>
      </c>
    </row>
    <row r="1098" spans="1:32" x14ac:dyDescent="0.25">
      <c r="A1098">
        <v>45</v>
      </c>
      <c r="B1098" t="s">
        <v>41</v>
      </c>
      <c r="C1098" t="s">
        <v>33</v>
      </c>
      <c r="D1098" t="s">
        <v>34</v>
      </c>
      <c r="E1098">
        <v>25</v>
      </c>
      <c r="F1098" t="s">
        <v>58</v>
      </c>
      <c r="G1098">
        <v>2</v>
      </c>
      <c r="H1098">
        <v>2</v>
      </c>
      <c r="I1098" t="s">
        <v>67</v>
      </c>
      <c r="J1098">
        <v>4</v>
      </c>
      <c r="K1098" t="s">
        <v>50</v>
      </c>
      <c r="L1098">
        <v>5906</v>
      </c>
      <c r="M1098">
        <v>0</v>
      </c>
      <c r="N1098" t="s">
        <v>41</v>
      </c>
      <c r="O1098">
        <v>13</v>
      </c>
      <c r="P1098">
        <v>3</v>
      </c>
      <c r="Q1098">
        <v>2</v>
      </c>
      <c r="R1098">
        <v>10</v>
      </c>
      <c r="S1098">
        <v>2</v>
      </c>
      <c r="T1098">
        <v>9</v>
      </c>
      <c r="U1098">
        <v>3</v>
      </c>
      <c r="V1098">
        <v>8</v>
      </c>
      <c r="W1098" t="s">
        <v>51</v>
      </c>
      <c r="X1098" s="1" t="d">
        <v>2012-06-16</v>
      </c>
      <c r="Z1098" t="s">
        <v>59</v>
      </c>
      <c r="AA1098" t="s">
        <v>46</v>
      </c>
      <c r="AB1098">
        <v>3</v>
      </c>
      <c r="AC1098">
        <v>1</v>
      </c>
      <c r="AD1098" t="s">
        <v>32</v>
      </c>
      <c r="AE1098" t="s">
        <v>60</v>
      </c>
      <c r="AF1098" t="s">
        <v>43</v>
      </c>
    </row>
    <row r="1099" spans="1:32" x14ac:dyDescent="0.25">
      <c r="A1099">
        <v>33</v>
      </c>
      <c r="B1099" t="s">
        <v>41</v>
      </c>
      <c r="C1099" t="s">
        <v>61</v>
      </c>
      <c r="D1099" t="s">
        <v>34</v>
      </c>
      <c r="E1099">
        <v>7</v>
      </c>
      <c r="F1099" t="s">
        <v>35</v>
      </c>
      <c r="G1099">
        <v>3</v>
      </c>
      <c r="H1099">
        <v>2</v>
      </c>
      <c r="I1099" t="s">
        <v>69</v>
      </c>
      <c r="J1099">
        <v>3</v>
      </c>
      <c r="K1099" t="s">
        <v>55</v>
      </c>
      <c r="L1099">
        <v>5968</v>
      </c>
      <c r="M1099">
        <v>1</v>
      </c>
      <c r="N1099" t="s">
        <v>41</v>
      </c>
      <c r="O1099">
        <v>20</v>
      </c>
      <c r="P1099">
        <v>4</v>
      </c>
      <c r="Q1099">
        <v>3</v>
      </c>
      <c r="R1099">
        <v>9</v>
      </c>
      <c r="S1099">
        <v>2</v>
      </c>
      <c r="T1099">
        <v>9</v>
      </c>
      <c r="U1099">
        <v>2</v>
      </c>
      <c r="V1099">
        <v>8</v>
      </c>
      <c r="W1099" t="s">
        <v>65</v>
      </c>
      <c r="X1099" s="1" t="d">
        <v>2012-04-26</v>
      </c>
      <c r="Z1099" t="s">
        <v>63</v>
      </c>
      <c r="AA1099" t="s">
        <v>46</v>
      </c>
      <c r="AB1099">
        <v>1</v>
      </c>
      <c r="AC1099">
        <v>0</v>
      </c>
      <c r="AD1099" t="s">
        <v>41</v>
      </c>
      <c r="AE1099" t="s">
        <v>42</v>
      </c>
      <c r="AF1099" t="s">
        <v>43</v>
      </c>
    </row>
    <row r="1100" spans="1:32" x14ac:dyDescent="0.25">
      <c r="A1100">
        <v>33</v>
      </c>
      <c r="B1100" t="s">
        <v>41</v>
      </c>
      <c r="C1100" t="s">
        <v>33</v>
      </c>
      <c r="D1100" t="s">
        <v>34</v>
      </c>
      <c r="E1100">
        <v>15</v>
      </c>
      <c r="F1100" t="s">
        <v>58</v>
      </c>
      <c r="G1100">
        <v>3</v>
      </c>
      <c r="H1100">
        <v>2</v>
      </c>
      <c r="I1100" t="s">
        <v>69</v>
      </c>
      <c r="J1100">
        <v>4</v>
      </c>
      <c r="K1100" t="s">
        <v>50</v>
      </c>
      <c r="L1100">
        <v>4878</v>
      </c>
      <c r="M1100">
        <v>0</v>
      </c>
      <c r="N1100" t="s">
        <v>32</v>
      </c>
      <c r="O1100">
        <v>13</v>
      </c>
      <c r="P1100">
        <v>3</v>
      </c>
      <c r="Q1100">
        <v>1</v>
      </c>
      <c r="R1100">
        <v>10</v>
      </c>
      <c r="S1100">
        <v>6</v>
      </c>
      <c r="T1100">
        <v>9</v>
      </c>
      <c r="U1100">
        <v>8</v>
      </c>
      <c r="V1100">
        <v>1</v>
      </c>
      <c r="W1100" t="s">
        <v>51</v>
      </c>
      <c r="X1100" s="1" t="d">
        <v>2012-03-05</v>
      </c>
      <c r="Z1100" t="s">
        <v>63</v>
      </c>
      <c r="AA1100" t="s">
        <v>40</v>
      </c>
      <c r="AB1100">
        <v>0</v>
      </c>
      <c r="AC1100">
        <v>3</v>
      </c>
      <c r="AD1100" t="s">
        <v>41</v>
      </c>
      <c r="AE1100" t="s">
        <v>60</v>
      </c>
      <c r="AF1100" t="s">
        <v>48</v>
      </c>
    </row>
    <row r="1101" spans="1:32" x14ac:dyDescent="0.25">
      <c r="A1101">
        <v>52</v>
      </c>
      <c r="B1101" t="s">
        <v>41</v>
      </c>
      <c r="C1101" t="s">
        <v>68</v>
      </c>
      <c r="D1101" t="s">
        <v>53</v>
      </c>
      <c r="E1101">
        <v>29</v>
      </c>
      <c r="F1101" t="s">
        <v>35</v>
      </c>
      <c r="G1101">
        <v>3</v>
      </c>
      <c r="H1101">
        <v>1</v>
      </c>
      <c r="I1101" t="s">
        <v>54</v>
      </c>
      <c r="J1101">
        <v>4</v>
      </c>
      <c r="K1101" t="s">
        <v>55</v>
      </c>
      <c r="L1101">
        <v>3482</v>
      </c>
      <c r="M1101">
        <v>2</v>
      </c>
      <c r="N1101" t="s">
        <v>41</v>
      </c>
      <c r="O1101">
        <v>15</v>
      </c>
      <c r="P1101">
        <v>3</v>
      </c>
      <c r="Q1101">
        <v>2</v>
      </c>
      <c r="R1101">
        <v>16</v>
      </c>
      <c r="S1101">
        <v>3</v>
      </c>
      <c r="T1101">
        <v>9</v>
      </c>
      <c r="U1101">
        <v>0</v>
      </c>
      <c r="V1101">
        <v>0</v>
      </c>
      <c r="W1101" t="s">
        <v>56</v>
      </c>
      <c r="X1101" s="1" t="d">
        <v>2012-03-10</v>
      </c>
      <c r="Z1101" t="s">
        <v>39</v>
      </c>
      <c r="AA1101" t="s">
        <v>46</v>
      </c>
      <c r="AB1101">
        <v>1</v>
      </c>
      <c r="AC1101">
        <v>1</v>
      </c>
      <c r="AD1101" t="s">
        <v>41</v>
      </c>
      <c r="AE1101" t="s">
        <v>42</v>
      </c>
      <c r="AF1101" t="s">
        <v>48</v>
      </c>
    </row>
    <row r="1102" spans="1:32" x14ac:dyDescent="0.25">
      <c r="A1102">
        <v>36</v>
      </c>
      <c r="B1102" t="s">
        <v>41</v>
      </c>
      <c r="C1102" t="s">
        <v>33</v>
      </c>
      <c r="D1102" t="s">
        <v>53</v>
      </c>
      <c r="E1102">
        <v>3</v>
      </c>
      <c r="F1102" t="s">
        <v>58</v>
      </c>
      <c r="G1102">
        <v>2</v>
      </c>
      <c r="H1102">
        <v>3</v>
      </c>
      <c r="I1102" t="s">
        <v>64</v>
      </c>
      <c r="J1102">
        <v>4</v>
      </c>
      <c r="K1102" t="s">
        <v>50</v>
      </c>
      <c r="L1102">
        <v>7644</v>
      </c>
      <c r="M1102">
        <v>0</v>
      </c>
      <c r="N1102" t="s">
        <v>41</v>
      </c>
      <c r="O1102">
        <v>19</v>
      </c>
      <c r="P1102">
        <v>3</v>
      </c>
      <c r="Q1102">
        <v>2</v>
      </c>
      <c r="R1102">
        <v>10</v>
      </c>
      <c r="S1102">
        <v>2</v>
      </c>
      <c r="T1102">
        <v>9</v>
      </c>
      <c r="U1102">
        <v>3</v>
      </c>
      <c r="V1102">
        <v>4</v>
      </c>
      <c r="W1102" t="s">
        <v>38</v>
      </c>
      <c r="X1102" s="1" t="d">
        <v>2012-05-07</v>
      </c>
      <c r="Z1102" t="s">
        <v>39</v>
      </c>
      <c r="AA1102" t="s">
        <v>40</v>
      </c>
      <c r="AB1102">
        <v>5</v>
      </c>
      <c r="AC1102">
        <v>0</v>
      </c>
      <c r="AD1102" t="s">
        <v>32</v>
      </c>
      <c r="AE1102" t="s">
        <v>47</v>
      </c>
      <c r="AF1102" t="s">
        <v>48</v>
      </c>
    </row>
    <row r="1103" spans="1:32" x14ac:dyDescent="0.25">
      <c r="A1103">
        <v>35</v>
      </c>
      <c r="B1103" t="s">
        <v>41</v>
      </c>
      <c r="C1103" t="s">
        <v>33</v>
      </c>
      <c r="D1103" t="s">
        <v>70</v>
      </c>
      <c r="E1103">
        <v>26</v>
      </c>
      <c r="F1103" t="s">
        <v>58</v>
      </c>
      <c r="G1103">
        <v>3</v>
      </c>
      <c r="H1103">
        <v>3</v>
      </c>
      <c r="I1103" t="s">
        <v>70</v>
      </c>
      <c r="J1103">
        <v>4</v>
      </c>
      <c r="K1103" t="s">
        <v>37</v>
      </c>
      <c r="L1103">
        <v>8837</v>
      </c>
      <c r="M1103">
        <v>1</v>
      </c>
      <c r="N1103" t="s">
        <v>32</v>
      </c>
      <c r="O1103">
        <v>16</v>
      </c>
      <c r="P1103">
        <v>3</v>
      </c>
      <c r="Q1103">
        <v>0</v>
      </c>
      <c r="R1103">
        <v>9</v>
      </c>
      <c r="S1103">
        <v>2</v>
      </c>
      <c r="T1103">
        <v>9</v>
      </c>
      <c r="U1103">
        <v>1</v>
      </c>
      <c r="V1103">
        <v>7</v>
      </c>
      <c r="W1103" t="s">
        <v>38</v>
      </c>
      <c r="X1103" s="1" t="d">
        <v>2012-06-14</v>
      </c>
      <c r="Z1103" t="s">
        <v>45</v>
      </c>
      <c r="AA1103" t="s">
        <v>46</v>
      </c>
      <c r="AB1103">
        <v>4</v>
      </c>
      <c r="AC1103">
        <v>1</v>
      </c>
      <c r="AD1103" t="s">
        <v>32</v>
      </c>
      <c r="AE1103" t="s">
        <v>42</v>
      </c>
      <c r="AF1103" t="s">
        <v>48</v>
      </c>
    </row>
    <row r="1104" spans="1:32" x14ac:dyDescent="0.25">
      <c r="A1104">
        <v>31</v>
      </c>
      <c r="B1104" t="s">
        <v>41</v>
      </c>
      <c r="C1104" t="s">
        <v>68</v>
      </c>
      <c r="D1104" t="s">
        <v>34</v>
      </c>
      <c r="E1104">
        <v>5</v>
      </c>
      <c r="F1104" t="s">
        <v>35</v>
      </c>
      <c r="G1104">
        <v>3</v>
      </c>
      <c r="H1104">
        <v>2</v>
      </c>
      <c r="I1104" t="s">
        <v>67</v>
      </c>
      <c r="J1104">
        <v>1</v>
      </c>
      <c r="K1104" t="s">
        <v>37</v>
      </c>
      <c r="L1104">
        <v>9936</v>
      </c>
      <c r="M1104">
        <v>0</v>
      </c>
      <c r="N1104" t="s">
        <v>41</v>
      </c>
      <c r="O1104">
        <v>19</v>
      </c>
      <c r="P1104">
        <v>3</v>
      </c>
      <c r="Q1104">
        <v>0</v>
      </c>
      <c r="R1104">
        <v>10</v>
      </c>
      <c r="S1104">
        <v>2</v>
      </c>
      <c r="T1104">
        <v>9</v>
      </c>
      <c r="U1104">
        <v>1</v>
      </c>
      <c r="V1104">
        <v>7</v>
      </c>
      <c r="W1104" t="s">
        <v>56</v>
      </c>
      <c r="X1104" s="1" t="d">
        <v>2012-02-24</v>
      </c>
      <c r="Z1104" t="s">
        <v>59</v>
      </c>
      <c r="AA1104" t="s">
        <v>46</v>
      </c>
      <c r="AB1104">
        <v>2</v>
      </c>
      <c r="AC1104">
        <v>2</v>
      </c>
      <c r="AD1104" t="s">
        <v>41</v>
      </c>
      <c r="AE1104" t="s">
        <v>60</v>
      </c>
      <c r="AF1104" t="s">
        <v>43</v>
      </c>
    </row>
    <row r="1105" spans="1:32" x14ac:dyDescent="0.25">
      <c r="A1105">
        <v>49</v>
      </c>
      <c r="B1105" t="s">
        <v>41</v>
      </c>
      <c r="C1105" t="s">
        <v>61</v>
      </c>
      <c r="D1105" t="s">
        <v>53</v>
      </c>
      <c r="E1105">
        <v>2</v>
      </c>
      <c r="F1105" t="s">
        <v>35</v>
      </c>
      <c r="G1105">
        <v>2</v>
      </c>
      <c r="H1105">
        <v>2</v>
      </c>
      <c r="I1105" t="s">
        <v>64</v>
      </c>
      <c r="J1105">
        <v>2</v>
      </c>
      <c r="K1105" t="s">
        <v>50</v>
      </c>
      <c r="L1105">
        <v>5390</v>
      </c>
      <c r="M1105">
        <v>2</v>
      </c>
      <c r="N1105" t="s">
        <v>41</v>
      </c>
      <c r="O1105">
        <v>14</v>
      </c>
      <c r="P1105">
        <v>3</v>
      </c>
      <c r="Q1105">
        <v>0</v>
      </c>
      <c r="R1105">
        <v>17</v>
      </c>
      <c r="S1105">
        <v>3</v>
      </c>
      <c r="T1105">
        <v>9</v>
      </c>
      <c r="U1105">
        <v>0</v>
      </c>
      <c r="V1105">
        <v>8</v>
      </c>
      <c r="W1105" t="s">
        <v>56</v>
      </c>
      <c r="X1105" s="1" t="d">
        <v>2012-03-17</v>
      </c>
      <c r="Z1105" t="s">
        <v>39</v>
      </c>
      <c r="AA1105" t="s">
        <v>46</v>
      </c>
      <c r="AB1105">
        <v>3</v>
      </c>
      <c r="AC1105">
        <v>0</v>
      </c>
      <c r="AD1105" t="s">
        <v>41</v>
      </c>
      <c r="AE1105" t="s">
        <v>60</v>
      </c>
      <c r="AF1105" t="s">
        <v>43</v>
      </c>
    </row>
    <row r="1106" spans="1:32" x14ac:dyDescent="0.25">
      <c r="A1106">
        <v>49</v>
      </c>
      <c r="B1106" t="s">
        <v>41</v>
      </c>
      <c r="C1106" t="s">
        <v>61</v>
      </c>
      <c r="D1106" t="s">
        <v>34</v>
      </c>
      <c r="E1106">
        <v>8</v>
      </c>
      <c r="F1106" t="s">
        <v>35</v>
      </c>
      <c r="G1106">
        <v>2</v>
      </c>
      <c r="H1106">
        <v>2</v>
      </c>
      <c r="I1106" t="s">
        <v>44</v>
      </c>
      <c r="J1106">
        <v>2</v>
      </c>
      <c r="K1106" t="s">
        <v>50</v>
      </c>
      <c r="L1106">
        <v>5130</v>
      </c>
      <c r="M1106">
        <v>1</v>
      </c>
      <c r="N1106" t="s">
        <v>41</v>
      </c>
      <c r="O1106">
        <v>23</v>
      </c>
      <c r="P1106">
        <v>4</v>
      </c>
      <c r="Q1106">
        <v>1</v>
      </c>
      <c r="R1106">
        <v>10</v>
      </c>
      <c r="S1106">
        <v>3</v>
      </c>
      <c r="T1106">
        <v>10</v>
      </c>
      <c r="U1106">
        <v>1</v>
      </c>
      <c r="V1106">
        <v>7</v>
      </c>
      <c r="W1106" t="s">
        <v>38</v>
      </c>
      <c r="X1106" s="1" t="d">
        <v>2011-03-06</v>
      </c>
      <c r="Z1106" t="s">
        <v>39</v>
      </c>
      <c r="AA1106" t="s">
        <v>40</v>
      </c>
      <c r="AB1106">
        <v>2</v>
      </c>
      <c r="AC1106">
        <v>0</v>
      </c>
      <c r="AD1106" t="s">
        <v>41</v>
      </c>
      <c r="AE1106" t="s">
        <v>47</v>
      </c>
      <c r="AF1106" t="s">
        <v>57</v>
      </c>
    </row>
    <row r="1107" spans="1:32" x14ac:dyDescent="0.25">
      <c r="A1107">
        <v>29</v>
      </c>
      <c r="B1107" t="s">
        <v>41</v>
      </c>
      <c r="C1107" t="s">
        <v>33</v>
      </c>
      <c r="D1107" t="s">
        <v>34</v>
      </c>
      <c r="E1107">
        <v>21</v>
      </c>
      <c r="F1107" t="s">
        <v>58</v>
      </c>
      <c r="G1107">
        <v>4</v>
      </c>
      <c r="H1107">
        <v>3</v>
      </c>
      <c r="I1107" t="s">
        <v>67</v>
      </c>
      <c r="J1107">
        <v>1</v>
      </c>
      <c r="K1107" t="s">
        <v>55</v>
      </c>
      <c r="L1107">
        <v>9980</v>
      </c>
      <c r="M1107">
        <v>1</v>
      </c>
      <c r="N1107" t="s">
        <v>41</v>
      </c>
      <c r="O1107">
        <v>11</v>
      </c>
      <c r="P1107">
        <v>3</v>
      </c>
      <c r="Q1107">
        <v>1</v>
      </c>
      <c r="R1107">
        <v>10</v>
      </c>
      <c r="S1107">
        <v>1</v>
      </c>
      <c r="T1107">
        <v>10</v>
      </c>
      <c r="U1107">
        <v>8</v>
      </c>
      <c r="V1107">
        <v>8</v>
      </c>
      <c r="W1107" t="s">
        <v>38</v>
      </c>
      <c r="X1107" s="1" t="d">
        <v>2011-03-27</v>
      </c>
      <c r="Z1107" t="s">
        <v>63</v>
      </c>
      <c r="AA1107" t="s">
        <v>40</v>
      </c>
      <c r="AB1107">
        <v>3</v>
      </c>
      <c r="AC1107">
        <v>3</v>
      </c>
      <c r="AD1107" t="s">
        <v>41</v>
      </c>
      <c r="AE1107" t="s">
        <v>47</v>
      </c>
      <c r="AF1107" t="s">
        <v>48</v>
      </c>
    </row>
    <row r="1108" spans="1:32" x14ac:dyDescent="0.25">
      <c r="A1108">
        <v>32</v>
      </c>
      <c r="B1108" t="s">
        <v>32</v>
      </c>
      <c r="C1108" t="s">
        <v>61</v>
      </c>
      <c r="D1108" t="s">
        <v>34</v>
      </c>
      <c r="E1108">
        <v>16</v>
      </c>
      <c r="F1108" t="s">
        <v>58</v>
      </c>
      <c r="G1108">
        <v>1</v>
      </c>
      <c r="H1108">
        <v>1</v>
      </c>
      <c r="I1108" t="s">
        <v>44</v>
      </c>
      <c r="J1108">
        <v>1</v>
      </c>
      <c r="K1108" t="s">
        <v>37</v>
      </c>
      <c r="L1108">
        <v>3919</v>
      </c>
      <c r="M1108">
        <v>1</v>
      </c>
      <c r="N1108" t="s">
        <v>32</v>
      </c>
      <c r="O1108">
        <v>22</v>
      </c>
      <c r="P1108">
        <v>4</v>
      </c>
      <c r="Q1108">
        <v>0</v>
      </c>
      <c r="R1108">
        <v>10</v>
      </c>
      <c r="S1108">
        <v>5</v>
      </c>
      <c r="T1108">
        <v>10</v>
      </c>
      <c r="U1108">
        <v>6</v>
      </c>
      <c r="V1108">
        <v>7</v>
      </c>
      <c r="W1108" t="s">
        <v>65</v>
      </c>
      <c r="X1108" s="1" t="d">
        <v>2011-06-20</v>
      </c>
      <c r="Z1108" t="s">
        <v>63</v>
      </c>
      <c r="AA1108" t="s">
        <v>40</v>
      </c>
      <c r="AB1108">
        <v>1</v>
      </c>
      <c r="AC1108">
        <v>2</v>
      </c>
      <c r="AD1108" t="s">
        <v>41</v>
      </c>
      <c r="AE1108" t="s">
        <v>42</v>
      </c>
      <c r="AF1108" t="s">
        <v>57</v>
      </c>
    </row>
    <row r="1109" spans="1:32" x14ac:dyDescent="0.25">
      <c r="A1109">
        <v>30</v>
      </c>
      <c r="B1109" t="s">
        <v>41</v>
      </c>
      <c r="C1109" t="s">
        <v>33</v>
      </c>
      <c r="D1109" t="s">
        <v>34</v>
      </c>
      <c r="E1109">
        <v>9</v>
      </c>
      <c r="F1109" t="s">
        <v>35</v>
      </c>
      <c r="G1109">
        <v>2</v>
      </c>
      <c r="H1109">
        <v>1</v>
      </c>
      <c r="I1109" t="s">
        <v>36</v>
      </c>
      <c r="J1109">
        <v>3</v>
      </c>
      <c r="K1109" t="s">
        <v>37</v>
      </c>
      <c r="L1109">
        <v>2206</v>
      </c>
      <c r="M1109">
        <v>1</v>
      </c>
      <c r="N1109" t="s">
        <v>41</v>
      </c>
      <c r="O1109">
        <v>13</v>
      </c>
      <c r="P1109">
        <v>3</v>
      </c>
      <c r="Q1109">
        <v>0</v>
      </c>
      <c r="R1109">
        <v>10</v>
      </c>
      <c r="S1109">
        <v>5</v>
      </c>
      <c r="T1109">
        <v>10</v>
      </c>
      <c r="U1109">
        <v>1</v>
      </c>
      <c r="V1109">
        <v>8</v>
      </c>
      <c r="W1109" t="s">
        <v>51</v>
      </c>
      <c r="X1109" s="1" t="d">
        <v>2011-01-06</v>
      </c>
      <c r="Z1109" t="s">
        <v>63</v>
      </c>
      <c r="AA1109" t="s">
        <v>46</v>
      </c>
      <c r="AB1109">
        <v>1</v>
      </c>
      <c r="AC1109">
        <v>1</v>
      </c>
      <c r="AD1109" t="s">
        <v>41</v>
      </c>
      <c r="AE1109" t="s">
        <v>47</v>
      </c>
      <c r="AF1109" t="s">
        <v>43</v>
      </c>
    </row>
    <row r="1110" spans="1:32" x14ac:dyDescent="0.25">
      <c r="A1110">
        <v>38</v>
      </c>
      <c r="B1110" t="s">
        <v>41</v>
      </c>
      <c r="C1110" t="s">
        <v>61</v>
      </c>
      <c r="D1110" t="s">
        <v>34</v>
      </c>
      <c r="E1110">
        <v>29</v>
      </c>
      <c r="F1110" t="s">
        <v>58</v>
      </c>
      <c r="G1110">
        <v>3</v>
      </c>
      <c r="H1110">
        <v>2</v>
      </c>
      <c r="I1110" t="s">
        <v>36</v>
      </c>
      <c r="J1110">
        <v>4</v>
      </c>
      <c r="K1110" t="s">
        <v>37</v>
      </c>
      <c r="L1110">
        <v>2406</v>
      </c>
      <c r="M1110">
        <v>1</v>
      </c>
      <c r="N1110" t="s">
        <v>41</v>
      </c>
      <c r="O1110">
        <v>11</v>
      </c>
      <c r="P1110">
        <v>3</v>
      </c>
      <c r="Q1110">
        <v>0</v>
      </c>
      <c r="R1110">
        <v>10</v>
      </c>
      <c r="S1110">
        <v>2</v>
      </c>
      <c r="T1110">
        <v>10</v>
      </c>
      <c r="U1110">
        <v>9</v>
      </c>
      <c r="V1110">
        <v>9</v>
      </c>
      <c r="W1110" t="s">
        <v>65</v>
      </c>
      <c r="X1110" s="1" t="d">
        <v>2011-03-22</v>
      </c>
      <c r="Z1110" t="s">
        <v>39</v>
      </c>
      <c r="AA1110" t="s">
        <v>40</v>
      </c>
      <c r="AB1110">
        <v>1</v>
      </c>
      <c r="AC1110">
        <v>0</v>
      </c>
      <c r="AD1110" t="s">
        <v>41</v>
      </c>
      <c r="AE1110" t="s">
        <v>60</v>
      </c>
      <c r="AF1110" t="s">
        <v>48</v>
      </c>
    </row>
    <row r="1111" spans="1:32" x14ac:dyDescent="0.25">
      <c r="A1111">
        <v>32</v>
      </c>
      <c r="B1111" t="s">
        <v>41</v>
      </c>
      <c r="C1111" t="s">
        <v>33</v>
      </c>
      <c r="D1111" t="s">
        <v>34</v>
      </c>
      <c r="E1111">
        <v>1</v>
      </c>
      <c r="F1111" t="s">
        <v>35</v>
      </c>
      <c r="G1111">
        <v>3</v>
      </c>
      <c r="H1111">
        <v>2</v>
      </c>
      <c r="I1111" t="s">
        <v>44</v>
      </c>
      <c r="J1111">
        <v>2</v>
      </c>
      <c r="K1111" t="s">
        <v>50</v>
      </c>
      <c r="L1111">
        <v>6220</v>
      </c>
      <c r="M1111">
        <v>1</v>
      </c>
      <c r="N1111" t="s">
        <v>41</v>
      </c>
      <c r="O1111">
        <v>17</v>
      </c>
      <c r="P1111">
        <v>3</v>
      </c>
      <c r="Q1111">
        <v>2</v>
      </c>
      <c r="R1111">
        <v>10</v>
      </c>
      <c r="S1111">
        <v>3</v>
      </c>
      <c r="T1111">
        <v>10</v>
      </c>
      <c r="U1111">
        <v>0</v>
      </c>
      <c r="V1111">
        <v>9</v>
      </c>
      <c r="W1111" t="s">
        <v>51</v>
      </c>
      <c r="X1111" s="1" t="d">
        <v>2011-05-15</v>
      </c>
      <c r="Z1111" t="s">
        <v>59</v>
      </c>
      <c r="AA1111" t="s">
        <v>46</v>
      </c>
      <c r="AB1111">
        <v>4</v>
      </c>
      <c r="AC1111">
        <v>3</v>
      </c>
      <c r="AD1111" t="s">
        <v>41</v>
      </c>
      <c r="AE1111" t="s">
        <v>47</v>
      </c>
      <c r="AF1111" t="s">
        <v>57</v>
      </c>
    </row>
    <row r="1112" spans="1:32" x14ac:dyDescent="0.25">
      <c r="A1112">
        <v>30</v>
      </c>
      <c r="B1112" t="s">
        <v>41</v>
      </c>
      <c r="C1112" t="s">
        <v>33</v>
      </c>
      <c r="D1112" t="s">
        <v>34</v>
      </c>
      <c r="E1112">
        <v>1</v>
      </c>
      <c r="F1112" t="s">
        <v>35</v>
      </c>
      <c r="G1112">
        <v>2</v>
      </c>
      <c r="H1112">
        <v>2</v>
      </c>
      <c r="I1112" t="s">
        <v>36</v>
      </c>
      <c r="J1112">
        <v>4</v>
      </c>
      <c r="K1112" t="s">
        <v>50</v>
      </c>
      <c r="L1112">
        <v>5126</v>
      </c>
      <c r="M1112">
        <v>1</v>
      </c>
      <c r="N1112" t="s">
        <v>32</v>
      </c>
      <c r="O1112">
        <v>12</v>
      </c>
      <c r="P1112">
        <v>3</v>
      </c>
      <c r="Q1112">
        <v>2</v>
      </c>
      <c r="R1112">
        <v>10</v>
      </c>
      <c r="S1112">
        <v>1</v>
      </c>
      <c r="T1112">
        <v>10</v>
      </c>
      <c r="U1112">
        <v>3</v>
      </c>
      <c r="V1112">
        <v>0</v>
      </c>
      <c r="W1112" t="s">
        <v>38</v>
      </c>
      <c r="X1112" s="1" t="d">
        <v>2011-06-30</v>
      </c>
      <c r="Z1112" t="s">
        <v>52</v>
      </c>
      <c r="AA1112" t="s">
        <v>46</v>
      </c>
      <c r="AB1112">
        <v>2</v>
      </c>
      <c r="AC1112">
        <v>2</v>
      </c>
      <c r="AD1112" t="s">
        <v>32</v>
      </c>
      <c r="AE1112" t="s">
        <v>60</v>
      </c>
      <c r="AF1112" t="s">
        <v>48</v>
      </c>
    </row>
    <row r="1113" spans="1:32" x14ac:dyDescent="0.25">
      <c r="A1113">
        <v>51</v>
      </c>
      <c r="B1113" t="s">
        <v>41</v>
      </c>
      <c r="C1113" t="s">
        <v>33</v>
      </c>
      <c r="D1113" t="s">
        <v>53</v>
      </c>
      <c r="E1113">
        <v>21</v>
      </c>
      <c r="F1113" t="s">
        <v>35</v>
      </c>
      <c r="G1113">
        <v>3</v>
      </c>
      <c r="H1113">
        <v>2</v>
      </c>
      <c r="I1113" t="s">
        <v>64</v>
      </c>
      <c r="J1113">
        <v>4</v>
      </c>
      <c r="K1113" t="s">
        <v>37</v>
      </c>
      <c r="L1113">
        <v>5441</v>
      </c>
      <c r="M1113">
        <v>0</v>
      </c>
      <c r="N1113" t="s">
        <v>32</v>
      </c>
      <c r="O1113">
        <v>22</v>
      </c>
      <c r="P1113">
        <v>4</v>
      </c>
      <c r="Q1113">
        <v>0</v>
      </c>
      <c r="R1113">
        <v>11</v>
      </c>
      <c r="S1113">
        <v>2</v>
      </c>
      <c r="T1113">
        <v>10</v>
      </c>
      <c r="U1113">
        <v>1</v>
      </c>
      <c r="V1113">
        <v>0</v>
      </c>
      <c r="W1113" t="s">
        <v>51</v>
      </c>
      <c r="X1113" s="1" t="d">
        <v>2011-04-27</v>
      </c>
      <c r="Z1113" t="s">
        <v>52</v>
      </c>
      <c r="AA1113" t="s">
        <v>40</v>
      </c>
      <c r="AB1113">
        <v>5</v>
      </c>
      <c r="AC1113">
        <v>3</v>
      </c>
      <c r="AD1113" t="s">
        <v>32</v>
      </c>
      <c r="AE1113" t="s">
        <v>60</v>
      </c>
      <c r="AF1113" t="s">
        <v>48</v>
      </c>
    </row>
    <row r="1114" spans="1:32" x14ac:dyDescent="0.25">
      <c r="A1114">
        <v>46</v>
      </c>
      <c r="B1114" t="s">
        <v>41</v>
      </c>
      <c r="C1114" t="s">
        <v>61</v>
      </c>
      <c r="D1114" t="s">
        <v>34</v>
      </c>
      <c r="E1114">
        <v>1</v>
      </c>
      <c r="F1114" t="s">
        <v>35</v>
      </c>
      <c r="G1114">
        <v>2</v>
      </c>
      <c r="H1114">
        <v>3</v>
      </c>
      <c r="I1114" t="s">
        <v>69</v>
      </c>
      <c r="J1114">
        <v>1</v>
      </c>
      <c r="K1114" t="s">
        <v>50</v>
      </c>
      <c r="L1114">
        <v>10673</v>
      </c>
      <c r="M1114">
        <v>2</v>
      </c>
      <c r="N1114" t="s">
        <v>32</v>
      </c>
      <c r="O1114">
        <v>13</v>
      </c>
      <c r="P1114">
        <v>3</v>
      </c>
      <c r="Q1114">
        <v>1</v>
      </c>
      <c r="R1114">
        <v>21</v>
      </c>
      <c r="S1114">
        <v>5</v>
      </c>
      <c r="T1114">
        <v>10</v>
      </c>
      <c r="U1114">
        <v>9</v>
      </c>
      <c r="V1114">
        <v>5</v>
      </c>
      <c r="W1114" t="s">
        <v>56</v>
      </c>
      <c r="X1114" s="1" t="d">
        <v>2011-06-21</v>
      </c>
      <c r="Z1114" t="s">
        <v>39</v>
      </c>
      <c r="AA1114" t="s">
        <v>46</v>
      </c>
      <c r="AB1114">
        <v>4</v>
      </c>
      <c r="AC1114">
        <v>3</v>
      </c>
      <c r="AD1114" t="s">
        <v>41</v>
      </c>
      <c r="AE1114" t="s">
        <v>62</v>
      </c>
      <c r="AF1114" t="s">
        <v>43</v>
      </c>
    </row>
    <row r="1115" spans="1:32" x14ac:dyDescent="0.25">
      <c r="A1115">
        <v>30</v>
      </c>
      <c r="B1115" t="s">
        <v>41</v>
      </c>
      <c r="C1115" t="s">
        <v>61</v>
      </c>
      <c r="D1115" t="s">
        <v>34</v>
      </c>
      <c r="E1115">
        <v>23</v>
      </c>
      <c r="F1115" t="s">
        <v>35</v>
      </c>
      <c r="G1115">
        <v>1</v>
      </c>
      <c r="H1115">
        <v>1</v>
      </c>
      <c r="I1115" t="s">
        <v>44</v>
      </c>
      <c r="J1115">
        <v>3</v>
      </c>
      <c r="K1115" t="s">
        <v>55</v>
      </c>
      <c r="L1115">
        <v>2613</v>
      </c>
      <c r="M1115">
        <v>1</v>
      </c>
      <c r="N1115" t="s">
        <v>41</v>
      </c>
      <c r="O1115">
        <v>25</v>
      </c>
      <c r="P1115">
        <v>4</v>
      </c>
      <c r="Q1115">
        <v>3</v>
      </c>
      <c r="R1115">
        <v>10</v>
      </c>
      <c r="S1115">
        <v>2</v>
      </c>
      <c r="T1115">
        <v>10</v>
      </c>
      <c r="U1115">
        <v>0</v>
      </c>
      <c r="V1115">
        <v>9</v>
      </c>
      <c r="W1115" t="s">
        <v>38</v>
      </c>
      <c r="X1115" s="1" t="d">
        <v>2011-04-21</v>
      </c>
      <c r="Z1115" t="s">
        <v>63</v>
      </c>
      <c r="AA1115" t="s">
        <v>40</v>
      </c>
      <c r="AB1115">
        <v>5</v>
      </c>
      <c r="AC1115">
        <v>0</v>
      </c>
      <c r="AD1115" t="s">
        <v>32</v>
      </c>
      <c r="AE1115" t="s">
        <v>62</v>
      </c>
      <c r="AF1115" t="s">
        <v>57</v>
      </c>
    </row>
    <row r="1116" spans="1:32" x14ac:dyDescent="0.25">
      <c r="A1116">
        <v>35</v>
      </c>
      <c r="B1116" t="s">
        <v>41</v>
      </c>
      <c r="C1116" t="s">
        <v>33</v>
      </c>
      <c r="D1116" t="s">
        <v>53</v>
      </c>
      <c r="E1116">
        <v>1</v>
      </c>
      <c r="F1116" t="s">
        <v>35</v>
      </c>
      <c r="G1116">
        <v>3</v>
      </c>
      <c r="H1116">
        <v>3</v>
      </c>
      <c r="I1116" t="s">
        <v>64</v>
      </c>
      <c r="J1116">
        <v>2</v>
      </c>
      <c r="K1116" t="s">
        <v>50</v>
      </c>
      <c r="L1116">
        <v>7295</v>
      </c>
      <c r="M1116">
        <v>1</v>
      </c>
      <c r="N1116" t="s">
        <v>41</v>
      </c>
      <c r="O1116">
        <v>13</v>
      </c>
      <c r="P1116">
        <v>3</v>
      </c>
      <c r="Q1116">
        <v>2</v>
      </c>
      <c r="R1116">
        <v>10</v>
      </c>
      <c r="S1116">
        <v>3</v>
      </c>
      <c r="T1116">
        <v>10</v>
      </c>
      <c r="U1116">
        <v>0</v>
      </c>
      <c r="V1116">
        <v>6</v>
      </c>
      <c r="W1116" t="s">
        <v>56</v>
      </c>
      <c r="X1116" s="1" t="d">
        <v>2011-02-18</v>
      </c>
      <c r="Z1116" t="s">
        <v>45</v>
      </c>
      <c r="AA1116" t="s">
        <v>40</v>
      </c>
      <c r="AB1116">
        <v>0</v>
      </c>
      <c r="AC1116">
        <v>0</v>
      </c>
      <c r="AD1116" t="s">
        <v>32</v>
      </c>
      <c r="AE1116" t="s">
        <v>62</v>
      </c>
      <c r="AF1116" t="s">
        <v>43</v>
      </c>
    </row>
    <row r="1117" spans="1:32" x14ac:dyDescent="0.25">
      <c r="A1117">
        <v>29</v>
      </c>
      <c r="B1117" t="s">
        <v>41</v>
      </c>
      <c r="C1117" t="s">
        <v>68</v>
      </c>
      <c r="D1117" t="s">
        <v>34</v>
      </c>
      <c r="E1117">
        <v>1</v>
      </c>
      <c r="F1117" t="s">
        <v>35</v>
      </c>
      <c r="G1117">
        <v>3</v>
      </c>
      <c r="H1117">
        <v>2</v>
      </c>
      <c r="I1117" t="s">
        <v>67</v>
      </c>
      <c r="J1117">
        <v>3</v>
      </c>
      <c r="K1117" t="s">
        <v>50</v>
      </c>
      <c r="L1117">
        <v>4319</v>
      </c>
      <c r="M1117">
        <v>1</v>
      </c>
      <c r="N1117" t="s">
        <v>41</v>
      </c>
      <c r="O1117">
        <v>13</v>
      </c>
      <c r="P1117">
        <v>3</v>
      </c>
      <c r="Q1117">
        <v>1</v>
      </c>
      <c r="R1117">
        <v>10</v>
      </c>
      <c r="S1117">
        <v>1</v>
      </c>
      <c r="T1117">
        <v>10</v>
      </c>
      <c r="U1117">
        <v>0</v>
      </c>
      <c r="V1117">
        <v>9</v>
      </c>
      <c r="W1117" t="s">
        <v>56</v>
      </c>
      <c r="X1117" s="1" t="d">
        <v>2011-05-24</v>
      </c>
      <c r="Z1117" t="s">
        <v>45</v>
      </c>
      <c r="AA1117" t="s">
        <v>40</v>
      </c>
      <c r="AB1117">
        <v>4</v>
      </c>
      <c r="AC1117">
        <v>1</v>
      </c>
      <c r="AD1117" t="s">
        <v>41</v>
      </c>
      <c r="AE1117" t="s">
        <v>62</v>
      </c>
      <c r="AF1117" t="s">
        <v>48</v>
      </c>
    </row>
    <row r="1118" spans="1:32" x14ac:dyDescent="0.25">
      <c r="A1118">
        <v>30</v>
      </c>
      <c r="B1118" t="s">
        <v>41</v>
      </c>
      <c r="C1118" t="s">
        <v>33</v>
      </c>
      <c r="D1118" t="s">
        <v>53</v>
      </c>
      <c r="E1118">
        <v>5</v>
      </c>
      <c r="F1118" t="s">
        <v>58</v>
      </c>
      <c r="G1118">
        <v>3</v>
      </c>
      <c r="H1118">
        <v>3</v>
      </c>
      <c r="I1118" t="s">
        <v>64</v>
      </c>
      <c r="J1118">
        <v>4</v>
      </c>
      <c r="K1118" t="s">
        <v>50</v>
      </c>
      <c r="L1118">
        <v>9419</v>
      </c>
      <c r="M1118">
        <v>2</v>
      </c>
      <c r="N1118" t="s">
        <v>41</v>
      </c>
      <c r="O1118">
        <v>12</v>
      </c>
      <c r="P1118">
        <v>3</v>
      </c>
      <c r="Q1118">
        <v>1</v>
      </c>
      <c r="R1118">
        <v>12</v>
      </c>
      <c r="S1118">
        <v>2</v>
      </c>
      <c r="T1118">
        <v>10</v>
      </c>
      <c r="U1118">
        <v>7</v>
      </c>
      <c r="V1118">
        <v>4</v>
      </c>
      <c r="W1118" t="s">
        <v>56</v>
      </c>
      <c r="X1118" s="1" t="d">
        <v>2011-06-09</v>
      </c>
      <c r="Z1118" t="s">
        <v>59</v>
      </c>
      <c r="AA1118" t="s">
        <v>46</v>
      </c>
      <c r="AB1118">
        <v>1</v>
      </c>
      <c r="AC1118">
        <v>2</v>
      </c>
      <c r="AD1118" t="s">
        <v>32</v>
      </c>
      <c r="AE1118" t="s">
        <v>47</v>
      </c>
      <c r="AF1118" t="s">
        <v>57</v>
      </c>
    </row>
    <row r="1119" spans="1:32" x14ac:dyDescent="0.25">
      <c r="A1119">
        <v>34</v>
      </c>
      <c r="B1119" t="s">
        <v>41</v>
      </c>
      <c r="C1119" t="s">
        <v>61</v>
      </c>
      <c r="D1119" t="s">
        <v>34</v>
      </c>
      <c r="E1119">
        <v>2</v>
      </c>
      <c r="F1119" t="s">
        <v>35</v>
      </c>
      <c r="G1119">
        <v>2</v>
      </c>
      <c r="H1119">
        <v>2</v>
      </c>
      <c r="I1119" t="s">
        <v>67</v>
      </c>
      <c r="J1119">
        <v>3</v>
      </c>
      <c r="K1119" t="s">
        <v>50</v>
      </c>
      <c r="L1119">
        <v>9547</v>
      </c>
      <c r="M1119">
        <v>1</v>
      </c>
      <c r="N1119" t="s">
        <v>41</v>
      </c>
      <c r="O1119">
        <v>17</v>
      </c>
      <c r="P1119">
        <v>3</v>
      </c>
      <c r="Q1119">
        <v>0</v>
      </c>
      <c r="R1119">
        <v>10</v>
      </c>
      <c r="S1119">
        <v>2</v>
      </c>
      <c r="T1119">
        <v>10</v>
      </c>
      <c r="U1119">
        <v>1</v>
      </c>
      <c r="V1119">
        <v>9</v>
      </c>
      <c r="W1119" t="s">
        <v>38</v>
      </c>
      <c r="X1119" s="1" t="d">
        <v>2011-04-20</v>
      </c>
      <c r="Z1119" t="s">
        <v>45</v>
      </c>
      <c r="AA1119" t="s">
        <v>46</v>
      </c>
      <c r="AB1119">
        <v>2</v>
      </c>
      <c r="AC1119">
        <v>1</v>
      </c>
      <c r="AD1119" t="s">
        <v>41</v>
      </c>
      <c r="AE1119" t="s">
        <v>47</v>
      </c>
      <c r="AF1119" t="s">
        <v>48</v>
      </c>
    </row>
    <row r="1120" spans="1:32" x14ac:dyDescent="0.25">
      <c r="A1120">
        <v>29</v>
      </c>
      <c r="B1120" t="s">
        <v>32</v>
      </c>
      <c r="C1120" t="s">
        <v>33</v>
      </c>
      <c r="D1120" t="s">
        <v>53</v>
      </c>
      <c r="E1120">
        <v>27</v>
      </c>
      <c r="F1120" t="s">
        <v>58</v>
      </c>
      <c r="G1120">
        <v>3</v>
      </c>
      <c r="H1120">
        <v>3</v>
      </c>
      <c r="I1120" t="s">
        <v>64</v>
      </c>
      <c r="J1120">
        <v>4</v>
      </c>
      <c r="K1120" t="s">
        <v>50</v>
      </c>
      <c r="L1120">
        <v>7639</v>
      </c>
      <c r="M1120">
        <v>1</v>
      </c>
      <c r="N1120" t="s">
        <v>41</v>
      </c>
      <c r="O1120">
        <v>22</v>
      </c>
      <c r="P1120">
        <v>4</v>
      </c>
      <c r="Q1120">
        <v>3</v>
      </c>
      <c r="R1120">
        <v>10</v>
      </c>
      <c r="S1120">
        <v>3</v>
      </c>
      <c r="T1120">
        <v>10</v>
      </c>
      <c r="U1120">
        <v>1</v>
      </c>
      <c r="V1120">
        <v>9</v>
      </c>
      <c r="W1120" t="s">
        <v>51</v>
      </c>
      <c r="X1120" s="1" t="d">
        <v>2011-04-17</v>
      </c>
      <c r="Z1120" t="s">
        <v>52</v>
      </c>
      <c r="AA1120" t="s">
        <v>40</v>
      </c>
      <c r="AB1120">
        <v>0</v>
      </c>
      <c r="AC1120">
        <v>0</v>
      </c>
      <c r="AD1120" t="s">
        <v>32</v>
      </c>
      <c r="AE1120" t="s">
        <v>42</v>
      </c>
      <c r="AF1120" t="s">
        <v>43</v>
      </c>
    </row>
    <row r="1121" spans="1:32" x14ac:dyDescent="0.25">
      <c r="A1121">
        <v>51</v>
      </c>
      <c r="B1121" t="s">
        <v>41</v>
      </c>
      <c r="C1121" t="s">
        <v>33</v>
      </c>
      <c r="D1121" t="s">
        <v>34</v>
      </c>
      <c r="E1121">
        <v>8</v>
      </c>
      <c r="F1121" t="s">
        <v>35</v>
      </c>
      <c r="G1121">
        <v>2</v>
      </c>
      <c r="H1121">
        <v>3</v>
      </c>
      <c r="I1121" t="s">
        <v>49</v>
      </c>
      <c r="J1121">
        <v>2</v>
      </c>
      <c r="K1121" t="s">
        <v>50</v>
      </c>
      <c r="L1121">
        <v>12490</v>
      </c>
      <c r="M1121">
        <v>5</v>
      </c>
      <c r="N1121" t="s">
        <v>41</v>
      </c>
      <c r="O1121">
        <v>16</v>
      </c>
      <c r="P1121">
        <v>3</v>
      </c>
      <c r="Q1121">
        <v>2</v>
      </c>
      <c r="R1121">
        <v>16</v>
      </c>
      <c r="S1121">
        <v>5</v>
      </c>
      <c r="T1121">
        <v>10</v>
      </c>
      <c r="U1121">
        <v>4</v>
      </c>
      <c r="V1121">
        <v>7</v>
      </c>
      <c r="W1121" t="s">
        <v>51</v>
      </c>
      <c r="X1121" s="1" t="d">
        <v>2011-01-13</v>
      </c>
      <c r="Z1121" t="s">
        <v>59</v>
      </c>
      <c r="AA1121" t="s">
        <v>46</v>
      </c>
      <c r="AB1121">
        <v>3</v>
      </c>
      <c r="AC1121">
        <v>3</v>
      </c>
      <c r="AD1121" t="s">
        <v>32</v>
      </c>
      <c r="AE1121" t="s">
        <v>42</v>
      </c>
      <c r="AF1121" t="s">
        <v>43</v>
      </c>
    </row>
    <row r="1122" spans="1:32" x14ac:dyDescent="0.25">
      <c r="A1122">
        <v>37</v>
      </c>
      <c r="B1122" t="s">
        <v>41</v>
      </c>
      <c r="C1122" t="s">
        <v>61</v>
      </c>
      <c r="D1122" t="s">
        <v>34</v>
      </c>
      <c r="E1122">
        <v>11</v>
      </c>
      <c r="F1122" t="s">
        <v>35</v>
      </c>
      <c r="G1122">
        <v>3</v>
      </c>
      <c r="H1122">
        <v>3</v>
      </c>
      <c r="I1122" t="s">
        <v>49</v>
      </c>
      <c r="J1122">
        <v>4</v>
      </c>
      <c r="K1122" t="s">
        <v>55</v>
      </c>
      <c r="L1122">
        <v>12185</v>
      </c>
      <c r="M1122">
        <v>1</v>
      </c>
      <c r="N1122" t="s">
        <v>32</v>
      </c>
      <c r="O1122">
        <v>14</v>
      </c>
      <c r="P1122">
        <v>3</v>
      </c>
      <c r="Q1122">
        <v>3</v>
      </c>
      <c r="R1122">
        <v>10</v>
      </c>
      <c r="S1122">
        <v>1</v>
      </c>
      <c r="T1122">
        <v>10</v>
      </c>
      <c r="U1122">
        <v>0</v>
      </c>
      <c r="V1122">
        <v>7</v>
      </c>
      <c r="W1122" t="s">
        <v>65</v>
      </c>
      <c r="X1122" s="1" t="d">
        <v>2011-05-05</v>
      </c>
      <c r="Z1122" t="s">
        <v>45</v>
      </c>
      <c r="AA1122" t="s">
        <v>40</v>
      </c>
      <c r="AB1122">
        <v>5</v>
      </c>
      <c r="AC1122">
        <v>0</v>
      </c>
      <c r="AD1122" t="s">
        <v>41</v>
      </c>
      <c r="AE1122" t="s">
        <v>47</v>
      </c>
      <c r="AF1122" t="s">
        <v>57</v>
      </c>
    </row>
    <row r="1123" spans="1:32" x14ac:dyDescent="0.25">
      <c r="A1123">
        <v>35</v>
      </c>
      <c r="B1123" t="s">
        <v>41</v>
      </c>
      <c r="C1123" t="s">
        <v>61</v>
      </c>
      <c r="D1123" t="s">
        <v>53</v>
      </c>
      <c r="E1123">
        <v>1</v>
      </c>
      <c r="F1123" t="s">
        <v>58</v>
      </c>
      <c r="G1123">
        <v>3</v>
      </c>
      <c r="H1123">
        <v>3</v>
      </c>
      <c r="I1123" t="s">
        <v>64</v>
      </c>
      <c r="J1123">
        <v>3</v>
      </c>
      <c r="K1123" t="s">
        <v>37</v>
      </c>
      <c r="L1123">
        <v>8789</v>
      </c>
      <c r="M1123">
        <v>1</v>
      </c>
      <c r="N1123" t="s">
        <v>41</v>
      </c>
      <c r="O1123">
        <v>14</v>
      </c>
      <c r="P1123">
        <v>3</v>
      </c>
      <c r="Q1123">
        <v>0</v>
      </c>
      <c r="R1123">
        <v>10</v>
      </c>
      <c r="S1123">
        <v>3</v>
      </c>
      <c r="T1123">
        <v>10</v>
      </c>
      <c r="U1123">
        <v>0</v>
      </c>
      <c r="V1123">
        <v>8</v>
      </c>
      <c r="W1123" t="s">
        <v>51</v>
      </c>
      <c r="X1123" s="1" t="d">
        <v>2011-03-03</v>
      </c>
      <c r="Z1123" t="s">
        <v>45</v>
      </c>
      <c r="AA1123" t="s">
        <v>46</v>
      </c>
      <c r="AB1123">
        <v>5</v>
      </c>
      <c r="AC1123">
        <v>1</v>
      </c>
      <c r="AD1123" t="s">
        <v>41</v>
      </c>
      <c r="AE1123" t="s">
        <v>60</v>
      </c>
      <c r="AF1123" t="s">
        <v>48</v>
      </c>
    </row>
    <row r="1124" spans="1:32" x14ac:dyDescent="0.25">
      <c r="A1124">
        <v>47</v>
      </c>
      <c r="B1124" t="s">
        <v>32</v>
      </c>
      <c r="C1124" t="s">
        <v>68</v>
      </c>
      <c r="D1124" t="s">
        <v>34</v>
      </c>
      <c r="E1124">
        <v>29</v>
      </c>
      <c r="F1124" t="s">
        <v>35</v>
      </c>
      <c r="G1124">
        <v>3</v>
      </c>
      <c r="H1124">
        <v>3</v>
      </c>
      <c r="I1124" t="s">
        <v>66</v>
      </c>
      <c r="J1124">
        <v>2</v>
      </c>
      <c r="K1124" t="s">
        <v>50</v>
      </c>
      <c r="L1124">
        <v>11849</v>
      </c>
      <c r="M1124">
        <v>1</v>
      </c>
      <c r="N1124" t="s">
        <v>32</v>
      </c>
      <c r="O1124">
        <v>12</v>
      </c>
      <c r="P1124">
        <v>3</v>
      </c>
      <c r="Q1124">
        <v>1</v>
      </c>
      <c r="R1124">
        <v>10</v>
      </c>
      <c r="S1124">
        <v>2</v>
      </c>
      <c r="T1124">
        <v>10</v>
      </c>
      <c r="U1124">
        <v>9</v>
      </c>
      <c r="V1124">
        <v>9</v>
      </c>
      <c r="W1124" t="s">
        <v>51</v>
      </c>
      <c r="X1124" s="1" t="d">
        <v>2011-04-06</v>
      </c>
      <c r="Z1124" t="s">
        <v>45</v>
      </c>
      <c r="AA1124" t="s">
        <v>46</v>
      </c>
      <c r="AB1124">
        <v>3</v>
      </c>
      <c r="AC1124">
        <v>1</v>
      </c>
      <c r="AD1124" t="s">
        <v>41</v>
      </c>
      <c r="AE1124" t="s">
        <v>62</v>
      </c>
      <c r="AF1124" t="s">
        <v>43</v>
      </c>
    </row>
    <row r="1125" spans="1:32" x14ac:dyDescent="0.25">
      <c r="A1125">
        <v>50</v>
      </c>
      <c r="B1125" t="s">
        <v>41</v>
      </c>
      <c r="C1125" t="s">
        <v>33</v>
      </c>
      <c r="D1125" t="s">
        <v>34</v>
      </c>
      <c r="E1125">
        <v>4</v>
      </c>
      <c r="F1125" t="s">
        <v>35</v>
      </c>
      <c r="G1125">
        <v>3</v>
      </c>
      <c r="H1125">
        <v>5</v>
      </c>
      <c r="I1125" t="s">
        <v>49</v>
      </c>
      <c r="J1125">
        <v>2</v>
      </c>
      <c r="K1125" t="s">
        <v>55</v>
      </c>
      <c r="L1125">
        <v>19144</v>
      </c>
      <c r="M1125">
        <v>3</v>
      </c>
      <c r="N1125" t="s">
        <v>41</v>
      </c>
      <c r="O1125">
        <v>14</v>
      </c>
      <c r="P1125">
        <v>3</v>
      </c>
      <c r="Q1125">
        <v>2</v>
      </c>
      <c r="R1125">
        <v>28</v>
      </c>
      <c r="S1125">
        <v>4</v>
      </c>
      <c r="T1125">
        <v>10</v>
      </c>
      <c r="U1125">
        <v>1</v>
      </c>
      <c r="V1125">
        <v>6</v>
      </c>
      <c r="W1125" t="s">
        <v>56</v>
      </c>
      <c r="X1125" s="1" t="d">
        <v>2011-01-31</v>
      </c>
      <c r="Z1125" t="s">
        <v>52</v>
      </c>
      <c r="AA1125" t="s">
        <v>40</v>
      </c>
      <c r="AB1125">
        <v>2</v>
      </c>
      <c r="AC1125">
        <v>1</v>
      </c>
      <c r="AD1125" t="s">
        <v>41</v>
      </c>
      <c r="AE1125" t="s">
        <v>42</v>
      </c>
      <c r="AF1125" t="s">
        <v>43</v>
      </c>
    </row>
    <row r="1126" spans="1:32" x14ac:dyDescent="0.25">
      <c r="A1126">
        <v>29</v>
      </c>
      <c r="B1126" t="s">
        <v>41</v>
      </c>
      <c r="C1126" t="s">
        <v>61</v>
      </c>
      <c r="D1126" t="s">
        <v>53</v>
      </c>
      <c r="E1126">
        <v>2</v>
      </c>
      <c r="F1126" t="s">
        <v>35</v>
      </c>
      <c r="G1126">
        <v>3</v>
      </c>
      <c r="H1126">
        <v>2</v>
      </c>
      <c r="I1126" t="s">
        <v>64</v>
      </c>
      <c r="J1126">
        <v>4</v>
      </c>
      <c r="K1126" t="s">
        <v>37</v>
      </c>
      <c r="L1126">
        <v>4554</v>
      </c>
      <c r="M1126">
        <v>1</v>
      </c>
      <c r="N1126" t="s">
        <v>41</v>
      </c>
      <c r="O1126">
        <v>18</v>
      </c>
      <c r="P1126">
        <v>3</v>
      </c>
      <c r="Q1126">
        <v>0</v>
      </c>
      <c r="R1126">
        <v>10</v>
      </c>
      <c r="S1126">
        <v>3</v>
      </c>
      <c r="T1126">
        <v>10</v>
      </c>
      <c r="U1126">
        <v>0</v>
      </c>
      <c r="V1126">
        <v>9</v>
      </c>
      <c r="W1126" t="s">
        <v>56</v>
      </c>
      <c r="X1126" s="1" t="d">
        <v>2011-06-17</v>
      </c>
      <c r="Z1126" t="s">
        <v>45</v>
      </c>
      <c r="AA1126" t="s">
        <v>40</v>
      </c>
      <c r="AB1126">
        <v>2</v>
      </c>
      <c r="AC1126">
        <v>2</v>
      </c>
      <c r="AD1126" t="s">
        <v>32</v>
      </c>
      <c r="AE1126" t="s">
        <v>62</v>
      </c>
      <c r="AF1126" t="s">
        <v>43</v>
      </c>
    </row>
    <row r="1127" spans="1:32" x14ac:dyDescent="0.25">
      <c r="A1127">
        <v>55</v>
      </c>
      <c r="B1127" t="s">
        <v>41</v>
      </c>
      <c r="C1127" t="s">
        <v>33</v>
      </c>
      <c r="D1127" t="s">
        <v>34</v>
      </c>
      <c r="E1127">
        <v>20</v>
      </c>
      <c r="F1127" t="s">
        <v>35</v>
      </c>
      <c r="G1127">
        <v>3</v>
      </c>
      <c r="H1127">
        <v>2</v>
      </c>
      <c r="I1127" t="s">
        <v>36</v>
      </c>
      <c r="J1127">
        <v>4</v>
      </c>
      <c r="K1127" t="s">
        <v>50</v>
      </c>
      <c r="L1127">
        <v>5415</v>
      </c>
      <c r="M1127">
        <v>3</v>
      </c>
      <c r="N1127" t="s">
        <v>32</v>
      </c>
      <c r="O1127">
        <v>19</v>
      </c>
      <c r="P1127">
        <v>3</v>
      </c>
      <c r="Q1127">
        <v>1</v>
      </c>
      <c r="R1127">
        <v>12</v>
      </c>
      <c r="S1127">
        <v>4</v>
      </c>
      <c r="T1127">
        <v>10</v>
      </c>
      <c r="U1127">
        <v>0</v>
      </c>
      <c r="V1127">
        <v>8</v>
      </c>
      <c r="W1127" t="s">
        <v>51</v>
      </c>
      <c r="X1127" s="1" t="d">
        <v>2011-02-12</v>
      </c>
      <c r="Z1127" t="s">
        <v>45</v>
      </c>
      <c r="AA1127" t="s">
        <v>46</v>
      </c>
      <c r="AB1127">
        <v>3</v>
      </c>
      <c r="AC1127">
        <v>3</v>
      </c>
      <c r="AD1127" t="s">
        <v>32</v>
      </c>
      <c r="AE1127" t="s">
        <v>42</v>
      </c>
      <c r="AF1127" t="s">
        <v>57</v>
      </c>
    </row>
    <row r="1128" spans="1:32" x14ac:dyDescent="0.25">
      <c r="A1128">
        <v>38</v>
      </c>
      <c r="B1128" t="s">
        <v>41</v>
      </c>
      <c r="C1128" t="s">
        <v>33</v>
      </c>
      <c r="D1128" t="s">
        <v>34</v>
      </c>
      <c r="E1128">
        <v>25</v>
      </c>
      <c r="F1128" t="s">
        <v>58</v>
      </c>
      <c r="G1128">
        <v>2</v>
      </c>
      <c r="H1128">
        <v>3</v>
      </c>
      <c r="I1128" t="s">
        <v>49</v>
      </c>
      <c r="J1128">
        <v>2</v>
      </c>
      <c r="K1128" t="s">
        <v>50</v>
      </c>
      <c r="L1128">
        <v>12061</v>
      </c>
      <c r="M1128">
        <v>3</v>
      </c>
      <c r="N1128" t="s">
        <v>41</v>
      </c>
      <c r="O1128">
        <v>17</v>
      </c>
      <c r="P1128">
        <v>3</v>
      </c>
      <c r="Q1128">
        <v>1</v>
      </c>
      <c r="R1128">
        <v>19</v>
      </c>
      <c r="S1128">
        <v>2</v>
      </c>
      <c r="T1128">
        <v>10</v>
      </c>
      <c r="U1128">
        <v>0</v>
      </c>
      <c r="V1128">
        <v>1</v>
      </c>
      <c r="W1128" t="s">
        <v>38</v>
      </c>
      <c r="X1128" s="1" t="d">
        <v>2011-01-10</v>
      </c>
      <c r="Z1128" t="s">
        <v>63</v>
      </c>
      <c r="AA1128" t="s">
        <v>46</v>
      </c>
      <c r="AB1128">
        <v>0</v>
      </c>
      <c r="AC1128">
        <v>1</v>
      </c>
      <c r="AD1128" t="s">
        <v>41</v>
      </c>
      <c r="AE1128" t="s">
        <v>42</v>
      </c>
      <c r="AF1128" t="s">
        <v>48</v>
      </c>
    </row>
    <row r="1129" spans="1:32" x14ac:dyDescent="0.25">
      <c r="A1129">
        <v>33</v>
      </c>
      <c r="B1129" t="s">
        <v>41</v>
      </c>
      <c r="C1129" t="s">
        <v>61</v>
      </c>
      <c r="D1129" t="s">
        <v>34</v>
      </c>
      <c r="E1129">
        <v>5</v>
      </c>
      <c r="F1129" t="s">
        <v>58</v>
      </c>
      <c r="G1129">
        <v>3</v>
      </c>
      <c r="H1129">
        <v>3</v>
      </c>
      <c r="I1129" t="s">
        <v>66</v>
      </c>
      <c r="J1129">
        <v>2</v>
      </c>
      <c r="K1129" t="s">
        <v>50</v>
      </c>
      <c r="L1129">
        <v>11878</v>
      </c>
      <c r="M1129">
        <v>6</v>
      </c>
      <c r="N1129" t="s">
        <v>41</v>
      </c>
      <c r="O1129">
        <v>11</v>
      </c>
      <c r="P1129">
        <v>3</v>
      </c>
      <c r="Q1129">
        <v>2</v>
      </c>
      <c r="R1129">
        <v>12</v>
      </c>
      <c r="S1129">
        <v>2</v>
      </c>
      <c r="T1129">
        <v>10</v>
      </c>
      <c r="U1129">
        <v>8</v>
      </c>
      <c r="V1129">
        <v>8</v>
      </c>
      <c r="W1129" t="s">
        <v>38</v>
      </c>
      <c r="X1129" s="1" t="d">
        <v>2011-06-08</v>
      </c>
      <c r="Z1129" t="s">
        <v>59</v>
      </c>
      <c r="AA1129" t="s">
        <v>40</v>
      </c>
      <c r="AB1129">
        <v>3</v>
      </c>
      <c r="AC1129">
        <v>2</v>
      </c>
      <c r="AD1129" t="s">
        <v>32</v>
      </c>
      <c r="AE1129" t="s">
        <v>62</v>
      </c>
      <c r="AF1129" t="s">
        <v>57</v>
      </c>
    </row>
    <row r="1130" spans="1:32" x14ac:dyDescent="0.25">
      <c r="A1130">
        <v>30</v>
      </c>
      <c r="B1130" t="s">
        <v>41</v>
      </c>
      <c r="C1130" t="s">
        <v>33</v>
      </c>
      <c r="D1130" t="s">
        <v>34</v>
      </c>
      <c r="E1130">
        <v>28</v>
      </c>
      <c r="F1130" t="s">
        <v>58</v>
      </c>
      <c r="G1130">
        <v>3</v>
      </c>
      <c r="H1130">
        <v>2</v>
      </c>
      <c r="I1130" t="s">
        <v>44</v>
      </c>
      <c r="J1130">
        <v>4</v>
      </c>
      <c r="K1130" t="s">
        <v>50</v>
      </c>
      <c r="L1130">
        <v>5775</v>
      </c>
      <c r="M1130">
        <v>1</v>
      </c>
      <c r="N1130" t="s">
        <v>41</v>
      </c>
      <c r="O1130">
        <v>13</v>
      </c>
      <c r="P1130">
        <v>3</v>
      </c>
      <c r="Q1130">
        <v>2</v>
      </c>
      <c r="R1130">
        <v>11</v>
      </c>
      <c r="S1130">
        <v>2</v>
      </c>
      <c r="T1130">
        <v>10</v>
      </c>
      <c r="U1130">
        <v>1</v>
      </c>
      <c r="V1130">
        <v>9</v>
      </c>
      <c r="W1130" t="s">
        <v>56</v>
      </c>
      <c r="X1130" s="1" t="d">
        <v>2011-05-30</v>
      </c>
      <c r="Z1130" t="s">
        <v>39</v>
      </c>
      <c r="AA1130" t="s">
        <v>46</v>
      </c>
      <c r="AB1130">
        <v>4</v>
      </c>
      <c r="AC1130">
        <v>1</v>
      </c>
      <c r="AD1130" t="s">
        <v>32</v>
      </c>
      <c r="AE1130" t="s">
        <v>42</v>
      </c>
      <c r="AF1130" t="s">
        <v>43</v>
      </c>
    </row>
    <row r="1131" spans="1:32" x14ac:dyDescent="0.25">
      <c r="A1131">
        <v>31</v>
      </c>
      <c r="B1131" t="s">
        <v>41</v>
      </c>
      <c r="C1131" t="s">
        <v>61</v>
      </c>
      <c r="D1131" t="s">
        <v>34</v>
      </c>
      <c r="E1131">
        <v>7</v>
      </c>
      <c r="F1131" t="s">
        <v>58</v>
      </c>
      <c r="G1131">
        <v>2</v>
      </c>
      <c r="H1131">
        <v>3</v>
      </c>
      <c r="I1131" t="s">
        <v>67</v>
      </c>
      <c r="J1131">
        <v>3</v>
      </c>
      <c r="K1131" t="s">
        <v>50</v>
      </c>
      <c r="L1131">
        <v>8943</v>
      </c>
      <c r="M1131">
        <v>1</v>
      </c>
      <c r="N1131" t="s">
        <v>41</v>
      </c>
      <c r="O1131">
        <v>24</v>
      </c>
      <c r="P1131">
        <v>4</v>
      </c>
      <c r="Q1131">
        <v>1</v>
      </c>
      <c r="R1131">
        <v>10</v>
      </c>
      <c r="S1131">
        <v>2</v>
      </c>
      <c r="T1131">
        <v>10</v>
      </c>
      <c r="U1131">
        <v>8</v>
      </c>
      <c r="V1131">
        <v>9</v>
      </c>
      <c r="W1131" t="s">
        <v>56</v>
      </c>
      <c r="X1131" s="1" t="d">
        <v>2011-02-12</v>
      </c>
      <c r="Z1131" t="s">
        <v>52</v>
      </c>
      <c r="AA1131" t="s">
        <v>40</v>
      </c>
      <c r="AB1131">
        <v>1</v>
      </c>
      <c r="AC1131">
        <v>0</v>
      </c>
      <c r="AD1131" t="s">
        <v>41</v>
      </c>
      <c r="AE1131" t="s">
        <v>47</v>
      </c>
      <c r="AF1131" t="s">
        <v>43</v>
      </c>
    </row>
    <row r="1132" spans="1:32" x14ac:dyDescent="0.25">
      <c r="A1132">
        <v>45</v>
      </c>
      <c r="B1132" t="s">
        <v>41</v>
      </c>
      <c r="C1132" t="s">
        <v>33</v>
      </c>
      <c r="D1132" t="s">
        <v>34</v>
      </c>
      <c r="E1132">
        <v>8</v>
      </c>
      <c r="F1132" t="s">
        <v>35</v>
      </c>
      <c r="G1132">
        <v>3</v>
      </c>
      <c r="H1132">
        <v>2</v>
      </c>
      <c r="I1132" t="s">
        <v>44</v>
      </c>
      <c r="J1132">
        <v>4</v>
      </c>
      <c r="K1132" t="s">
        <v>50</v>
      </c>
      <c r="L1132">
        <v>3697</v>
      </c>
      <c r="M1132">
        <v>9</v>
      </c>
      <c r="N1132" t="s">
        <v>41</v>
      </c>
      <c r="O1132">
        <v>14</v>
      </c>
      <c r="P1132">
        <v>3</v>
      </c>
      <c r="Q1132">
        <v>2</v>
      </c>
      <c r="R1132">
        <v>12</v>
      </c>
      <c r="S1132">
        <v>3</v>
      </c>
      <c r="T1132">
        <v>10</v>
      </c>
      <c r="U1132">
        <v>9</v>
      </c>
      <c r="V1132">
        <v>8</v>
      </c>
      <c r="W1132" t="s">
        <v>38</v>
      </c>
      <c r="X1132" s="1" t="d">
        <v>2011-01-17</v>
      </c>
      <c r="Z1132" t="s">
        <v>45</v>
      </c>
      <c r="AA1132" t="s">
        <v>46</v>
      </c>
      <c r="AB1132">
        <v>4</v>
      </c>
      <c r="AC1132">
        <v>0</v>
      </c>
      <c r="AD1132" t="s">
        <v>32</v>
      </c>
      <c r="AE1132" t="s">
        <v>47</v>
      </c>
      <c r="AF1132" t="s">
        <v>57</v>
      </c>
    </row>
    <row r="1133" spans="1:32" x14ac:dyDescent="0.25">
      <c r="A1133">
        <v>30</v>
      </c>
      <c r="B1133" t="s">
        <v>41</v>
      </c>
      <c r="C1133" t="s">
        <v>33</v>
      </c>
      <c r="D1133" t="s">
        <v>53</v>
      </c>
      <c r="E1133">
        <v>5</v>
      </c>
      <c r="F1133" t="s">
        <v>58</v>
      </c>
      <c r="G1133">
        <v>2</v>
      </c>
      <c r="H1133">
        <v>2</v>
      </c>
      <c r="I1133" t="s">
        <v>64</v>
      </c>
      <c r="J1133">
        <v>3</v>
      </c>
      <c r="K1133" t="s">
        <v>55</v>
      </c>
      <c r="L1133">
        <v>6118</v>
      </c>
      <c r="M1133">
        <v>1</v>
      </c>
      <c r="N1133" t="s">
        <v>41</v>
      </c>
      <c r="O1133">
        <v>13</v>
      </c>
      <c r="P1133">
        <v>3</v>
      </c>
      <c r="Q1133">
        <v>3</v>
      </c>
      <c r="R1133">
        <v>10</v>
      </c>
      <c r="S1133">
        <v>2</v>
      </c>
      <c r="T1133">
        <v>10</v>
      </c>
      <c r="U1133">
        <v>1</v>
      </c>
      <c r="V1133">
        <v>2</v>
      </c>
      <c r="W1133" t="s">
        <v>51</v>
      </c>
      <c r="X1133" s="1" t="d">
        <v>2011-05-23</v>
      </c>
      <c r="Z1133" t="s">
        <v>45</v>
      </c>
      <c r="AA1133" t="s">
        <v>46</v>
      </c>
      <c r="AB1133">
        <v>2</v>
      </c>
      <c r="AC1133">
        <v>2</v>
      </c>
      <c r="AD1133" t="s">
        <v>32</v>
      </c>
      <c r="AE1133" t="s">
        <v>42</v>
      </c>
      <c r="AF1133" t="s">
        <v>57</v>
      </c>
    </row>
    <row r="1134" spans="1:32" x14ac:dyDescent="0.25">
      <c r="A1134">
        <v>36</v>
      </c>
      <c r="B1134" t="s">
        <v>41</v>
      </c>
      <c r="C1134" t="s">
        <v>33</v>
      </c>
      <c r="D1134" t="s">
        <v>53</v>
      </c>
      <c r="E1134">
        <v>2</v>
      </c>
      <c r="F1134" t="s">
        <v>35</v>
      </c>
      <c r="G1134">
        <v>2</v>
      </c>
      <c r="H1134">
        <v>3</v>
      </c>
      <c r="I1134" t="s">
        <v>64</v>
      </c>
      <c r="J1134">
        <v>3</v>
      </c>
      <c r="K1134" t="s">
        <v>50</v>
      </c>
      <c r="L1134">
        <v>7596</v>
      </c>
      <c r="M1134">
        <v>1</v>
      </c>
      <c r="N1134" t="s">
        <v>41</v>
      </c>
      <c r="O1134">
        <v>13</v>
      </c>
      <c r="P1134">
        <v>3</v>
      </c>
      <c r="Q1134">
        <v>2</v>
      </c>
      <c r="R1134">
        <v>10</v>
      </c>
      <c r="S1134">
        <v>2</v>
      </c>
      <c r="T1134">
        <v>10</v>
      </c>
      <c r="U1134">
        <v>9</v>
      </c>
      <c r="V1134">
        <v>0</v>
      </c>
      <c r="W1134" t="s">
        <v>65</v>
      </c>
      <c r="X1134" s="1" t="d">
        <v>2011-03-21</v>
      </c>
      <c r="Z1134" t="s">
        <v>45</v>
      </c>
      <c r="AA1134" t="s">
        <v>40</v>
      </c>
      <c r="AB1134">
        <v>1</v>
      </c>
      <c r="AC1134">
        <v>2</v>
      </c>
      <c r="AD1134" t="s">
        <v>41</v>
      </c>
      <c r="AE1134" t="s">
        <v>60</v>
      </c>
      <c r="AF1134" t="s">
        <v>48</v>
      </c>
    </row>
    <row r="1135" spans="1:32" x14ac:dyDescent="0.25">
      <c r="A1135">
        <v>41</v>
      </c>
      <c r="B1135" t="s">
        <v>41</v>
      </c>
      <c r="C1135" t="s">
        <v>33</v>
      </c>
      <c r="D1135" t="s">
        <v>53</v>
      </c>
      <c r="E1135">
        <v>1</v>
      </c>
      <c r="F1135" t="s">
        <v>35</v>
      </c>
      <c r="G1135">
        <v>4</v>
      </c>
      <c r="H1135">
        <v>3</v>
      </c>
      <c r="I1135" t="s">
        <v>64</v>
      </c>
      <c r="J1135">
        <v>1</v>
      </c>
      <c r="K1135" t="s">
        <v>50</v>
      </c>
      <c r="L1135">
        <v>8392</v>
      </c>
      <c r="M1135">
        <v>1</v>
      </c>
      <c r="N1135" t="s">
        <v>41</v>
      </c>
      <c r="O1135">
        <v>16</v>
      </c>
      <c r="P1135">
        <v>3</v>
      </c>
      <c r="Q1135">
        <v>1</v>
      </c>
      <c r="R1135">
        <v>10</v>
      </c>
      <c r="S1135">
        <v>2</v>
      </c>
      <c r="T1135">
        <v>10</v>
      </c>
      <c r="U1135">
        <v>0</v>
      </c>
      <c r="V1135">
        <v>7</v>
      </c>
      <c r="W1135" t="s">
        <v>65</v>
      </c>
      <c r="X1135" s="1" t="d">
        <v>2011-04-27</v>
      </c>
      <c r="Z1135" t="s">
        <v>45</v>
      </c>
      <c r="AA1135" t="s">
        <v>40</v>
      </c>
      <c r="AB1135">
        <v>2</v>
      </c>
      <c r="AC1135">
        <v>2</v>
      </c>
      <c r="AD1135" t="s">
        <v>41</v>
      </c>
      <c r="AE1135" t="s">
        <v>47</v>
      </c>
      <c r="AF1135" t="s">
        <v>48</v>
      </c>
    </row>
    <row r="1136" spans="1:32" x14ac:dyDescent="0.25">
      <c r="A1136">
        <v>28</v>
      </c>
      <c r="B1136" t="s">
        <v>41</v>
      </c>
      <c r="C1136" t="s">
        <v>33</v>
      </c>
      <c r="D1136" t="s">
        <v>34</v>
      </c>
      <c r="E1136">
        <v>17</v>
      </c>
      <c r="F1136" t="s">
        <v>35</v>
      </c>
      <c r="G1136">
        <v>3</v>
      </c>
      <c r="H1136">
        <v>2</v>
      </c>
      <c r="I1136" t="s">
        <v>36</v>
      </c>
      <c r="J1136">
        <v>1</v>
      </c>
      <c r="K1136" t="s">
        <v>55</v>
      </c>
      <c r="L1136">
        <v>4558</v>
      </c>
      <c r="M1136">
        <v>1</v>
      </c>
      <c r="N1136" t="s">
        <v>41</v>
      </c>
      <c r="O1136">
        <v>12</v>
      </c>
      <c r="P1136">
        <v>3</v>
      </c>
      <c r="Q1136">
        <v>1</v>
      </c>
      <c r="R1136">
        <v>10</v>
      </c>
      <c r="S1136">
        <v>2</v>
      </c>
      <c r="T1136">
        <v>10</v>
      </c>
      <c r="U1136">
        <v>1</v>
      </c>
      <c r="V1136">
        <v>8</v>
      </c>
      <c r="W1136" t="s">
        <v>38</v>
      </c>
      <c r="X1136" s="1" t="d">
        <v>2011-03-04</v>
      </c>
      <c r="Z1136" t="s">
        <v>52</v>
      </c>
      <c r="AA1136" t="s">
        <v>46</v>
      </c>
      <c r="AB1136">
        <v>2</v>
      </c>
      <c r="AC1136">
        <v>1</v>
      </c>
      <c r="AD1136" t="s">
        <v>32</v>
      </c>
      <c r="AE1136" t="s">
        <v>60</v>
      </c>
      <c r="AF1136" t="s">
        <v>57</v>
      </c>
    </row>
    <row r="1137" spans="1:32" x14ac:dyDescent="0.25">
      <c r="A1137">
        <v>46</v>
      </c>
      <c r="B1137" t="s">
        <v>41</v>
      </c>
      <c r="C1137" t="s">
        <v>33</v>
      </c>
      <c r="D1137" t="s">
        <v>34</v>
      </c>
      <c r="E1137">
        <v>18</v>
      </c>
      <c r="F1137" t="s">
        <v>58</v>
      </c>
      <c r="G1137">
        <v>3</v>
      </c>
      <c r="H1137">
        <v>2</v>
      </c>
      <c r="I1137" t="s">
        <v>67</v>
      </c>
      <c r="J1137">
        <v>3</v>
      </c>
      <c r="K1137" t="s">
        <v>55</v>
      </c>
      <c r="L1137">
        <v>4810</v>
      </c>
      <c r="M1137">
        <v>2</v>
      </c>
      <c r="N1137" t="s">
        <v>41</v>
      </c>
      <c r="O1137">
        <v>14</v>
      </c>
      <c r="P1137">
        <v>3</v>
      </c>
      <c r="Q1137">
        <v>1</v>
      </c>
      <c r="R1137">
        <v>19</v>
      </c>
      <c r="S1137">
        <v>5</v>
      </c>
      <c r="T1137">
        <v>10</v>
      </c>
      <c r="U1137">
        <v>0</v>
      </c>
      <c r="V1137">
        <v>8</v>
      </c>
      <c r="W1137" t="s">
        <v>56</v>
      </c>
      <c r="X1137" s="1" t="d">
        <v>2011-03-07</v>
      </c>
      <c r="Z1137" t="s">
        <v>63</v>
      </c>
      <c r="AA1137" t="s">
        <v>46</v>
      </c>
      <c r="AB1137">
        <v>0</v>
      </c>
      <c r="AC1137">
        <v>2</v>
      </c>
      <c r="AD1137" t="s">
        <v>32</v>
      </c>
      <c r="AE1137" t="s">
        <v>60</v>
      </c>
      <c r="AF1137" t="s">
        <v>43</v>
      </c>
    </row>
    <row r="1138" spans="1:32" x14ac:dyDescent="0.25">
      <c r="A1138">
        <v>29</v>
      </c>
      <c r="B1138" t="s">
        <v>41</v>
      </c>
      <c r="C1138" t="s">
        <v>33</v>
      </c>
      <c r="D1138" t="s">
        <v>34</v>
      </c>
      <c r="E1138">
        <v>3</v>
      </c>
      <c r="F1138" t="s">
        <v>35</v>
      </c>
      <c r="G1138">
        <v>2</v>
      </c>
      <c r="H1138">
        <v>3</v>
      </c>
      <c r="I1138" t="s">
        <v>49</v>
      </c>
      <c r="J1138">
        <v>3</v>
      </c>
      <c r="K1138" t="s">
        <v>50</v>
      </c>
      <c r="L1138">
        <v>11935</v>
      </c>
      <c r="M1138">
        <v>1</v>
      </c>
      <c r="N1138" t="s">
        <v>41</v>
      </c>
      <c r="O1138">
        <v>18</v>
      </c>
      <c r="P1138">
        <v>3</v>
      </c>
      <c r="Q1138">
        <v>0</v>
      </c>
      <c r="R1138">
        <v>10</v>
      </c>
      <c r="S1138">
        <v>2</v>
      </c>
      <c r="T1138">
        <v>10</v>
      </c>
      <c r="U1138">
        <v>0</v>
      </c>
      <c r="V1138">
        <v>7</v>
      </c>
      <c r="W1138" t="s">
        <v>51</v>
      </c>
      <c r="X1138" s="1" t="d">
        <v>2011-01-23</v>
      </c>
      <c r="Z1138" t="s">
        <v>52</v>
      </c>
      <c r="AA1138" t="s">
        <v>46</v>
      </c>
      <c r="AB1138">
        <v>0</v>
      </c>
      <c r="AC1138">
        <v>1</v>
      </c>
      <c r="AD1138" t="s">
        <v>41</v>
      </c>
      <c r="AE1138" t="s">
        <v>42</v>
      </c>
      <c r="AF1138" t="s">
        <v>57</v>
      </c>
    </row>
    <row r="1139" spans="1:32" x14ac:dyDescent="0.25">
      <c r="A1139">
        <v>36</v>
      </c>
      <c r="B1139" t="s">
        <v>41</v>
      </c>
      <c r="C1139" t="s">
        <v>68</v>
      </c>
      <c r="D1139" t="s">
        <v>53</v>
      </c>
      <c r="E1139">
        <v>10</v>
      </c>
      <c r="F1139" t="s">
        <v>35</v>
      </c>
      <c r="G1139">
        <v>3</v>
      </c>
      <c r="H1139">
        <v>3</v>
      </c>
      <c r="I1139" t="s">
        <v>64</v>
      </c>
      <c r="J1139">
        <v>4</v>
      </c>
      <c r="K1139" t="s">
        <v>37</v>
      </c>
      <c r="L1139">
        <v>9980</v>
      </c>
      <c r="M1139">
        <v>1</v>
      </c>
      <c r="N1139" t="s">
        <v>41</v>
      </c>
      <c r="O1139">
        <v>14</v>
      </c>
      <c r="P1139">
        <v>3</v>
      </c>
      <c r="Q1139">
        <v>0</v>
      </c>
      <c r="R1139">
        <v>10</v>
      </c>
      <c r="S1139">
        <v>3</v>
      </c>
      <c r="T1139">
        <v>10</v>
      </c>
      <c r="U1139">
        <v>9</v>
      </c>
      <c r="V1139">
        <v>7</v>
      </c>
      <c r="W1139" t="s">
        <v>56</v>
      </c>
      <c r="X1139" s="1" t="d">
        <v>2011-05-12</v>
      </c>
      <c r="Z1139" t="s">
        <v>45</v>
      </c>
      <c r="AA1139" t="s">
        <v>46</v>
      </c>
      <c r="AB1139">
        <v>3</v>
      </c>
      <c r="AC1139">
        <v>3</v>
      </c>
      <c r="AD1139" t="s">
        <v>41</v>
      </c>
      <c r="AE1139" t="s">
        <v>47</v>
      </c>
      <c r="AF1139" t="s">
        <v>43</v>
      </c>
    </row>
    <row r="1140" spans="1:32" x14ac:dyDescent="0.25">
      <c r="A1140">
        <v>55</v>
      </c>
      <c r="B1140" t="s">
        <v>41</v>
      </c>
      <c r="C1140" t="s">
        <v>33</v>
      </c>
      <c r="D1140" t="s">
        <v>53</v>
      </c>
      <c r="E1140">
        <v>18</v>
      </c>
      <c r="F1140" t="s">
        <v>58</v>
      </c>
      <c r="G1140">
        <v>3</v>
      </c>
      <c r="H1140">
        <v>4</v>
      </c>
      <c r="I1140" t="s">
        <v>66</v>
      </c>
      <c r="J1140">
        <v>2</v>
      </c>
      <c r="K1140" t="s">
        <v>37</v>
      </c>
      <c r="L1140">
        <v>16835</v>
      </c>
      <c r="M1140">
        <v>3</v>
      </c>
      <c r="N1140" t="s">
        <v>41</v>
      </c>
      <c r="O1140">
        <v>23</v>
      </c>
      <c r="P1140">
        <v>4</v>
      </c>
      <c r="Q1140">
        <v>0</v>
      </c>
      <c r="R1140">
        <v>37</v>
      </c>
      <c r="S1140">
        <v>2</v>
      </c>
      <c r="T1140">
        <v>10</v>
      </c>
      <c r="U1140">
        <v>7</v>
      </c>
      <c r="V1140">
        <v>7</v>
      </c>
      <c r="W1140" t="s">
        <v>38</v>
      </c>
      <c r="X1140" s="1" t="d">
        <v>2011-03-08</v>
      </c>
      <c r="Z1140" t="s">
        <v>45</v>
      </c>
      <c r="AA1140" t="s">
        <v>46</v>
      </c>
      <c r="AB1140">
        <v>2</v>
      </c>
      <c r="AC1140">
        <v>0</v>
      </c>
      <c r="AD1140" t="s">
        <v>32</v>
      </c>
      <c r="AE1140" t="s">
        <v>42</v>
      </c>
      <c r="AF1140" t="s">
        <v>57</v>
      </c>
    </row>
    <row r="1141" spans="1:32" x14ac:dyDescent="0.25">
      <c r="A1141">
        <v>42</v>
      </c>
      <c r="B1141" t="s">
        <v>41</v>
      </c>
      <c r="C1141" t="s">
        <v>33</v>
      </c>
      <c r="D1141" t="s">
        <v>34</v>
      </c>
      <c r="E1141">
        <v>24</v>
      </c>
      <c r="F1141" t="s">
        <v>35</v>
      </c>
      <c r="G1141">
        <v>3</v>
      </c>
      <c r="H1141">
        <v>3</v>
      </c>
      <c r="I1141" t="s">
        <v>67</v>
      </c>
      <c r="J1141">
        <v>1</v>
      </c>
      <c r="K1141" t="s">
        <v>50</v>
      </c>
      <c r="L1141">
        <v>7406</v>
      </c>
      <c r="M1141">
        <v>1</v>
      </c>
      <c r="N1141" t="s">
        <v>32</v>
      </c>
      <c r="O1141">
        <v>21</v>
      </c>
      <c r="P1141">
        <v>4</v>
      </c>
      <c r="Q1141">
        <v>1</v>
      </c>
      <c r="R1141">
        <v>10</v>
      </c>
      <c r="S1141">
        <v>5</v>
      </c>
      <c r="T1141">
        <v>10</v>
      </c>
      <c r="U1141">
        <v>5</v>
      </c>
      <c r="V1141">
        <v>8</v>
      </c>
      <c r="W1141" t="s">
        <v>51</v>
      </c>
      <c r="X1141" s="1" t="d">
        <v>2011-05-15</v>
      </c>
      <c r="Z1141" t="s">
        <v>39</v>
      </c>
      <c r="AA1141" t="s">
        <v>46</v>
      </c>
      <c r="AB1141">
        <v>3</v>
      </c>
      <c r="AC1141">
        <v>1</v>
      </c>
      <c r="AD1141" t="s">
        <v>41</v>
      </c>
      <c r="AE1141" t="s">
        <v>47</v>
      </c>
      <c r="AF1141" t="s">
        <v>48</v>
      </c>
    </row>
    <row r="1142" spans="1:32" x14ac:dyDescent="0.25">
      <c r="A1142">
        <v>34</v>
      </c>
      <c r="B1142" t="s">
        <v>41</v>
      </c>
      <c r="C1142" t="s">
        <v>33</v>
      </c>
      <c r="D1142" t="s">
        <v>53</v>
      </c>
      <c r="E1142">
        <v>21</v>
      </c>
      <c r="F1142" t="s">
        <v>35</v>
      </c>
      <c r="G1142">
        <v>4</v>
      </c>
      <c r="H1142">
        <v>2</v>
      </c>
      <c r="I1142" t="s">
        <v>64</v>
      </c>
      <c r="J1142">
        <v>4</v>
      </c>
      <c r="K1142" t="s">
        <v>37</v>
      </c>
      <c r="L1142">
        <v>5337</v>
      </c>
      <c r="M1142">
        <v>1</v>
      </c>
      <c r="N1142" t="s">
        <v>41</v>
      </c>
      <c r="O1142">
        <v>12</v>
      </c>
      <c r="P1142">
        <v>3</v>
      </c>
      <c r="Q1142">
        <v>0</v>
      </c>
      <c r="R1142">
        <v>10</v>
      </c>
      <c r="S1142">
        <v>3</v>
      </c>
      <c r="T1142">
        <v>10</v>
      </c>
      <c r="U1142">
        <v>5</v>
      </c>
      <c r="V1142">
        <v>7</v>
      </c>
      <c r="W1142" t="s">
        <v>38</v>
      </c>
      <c r="X1142" s="1" t="d">
        <v>2011-04-02</v>
      </c>
      <c r="Z1142" t="s">
        <v>39</v>
      </c>
      <c r="AA1142" t="s">
        <v>40</v>
      </c>
      <c r="AB1142">
        <v>2</v>
      </c>
      <c r="AC1142">
        <v>3</v>
      </c>
      <c r="AD1142" t="s">
        <v>41</v>
      </c>
      <c r="AE1142" t="s">
        <v>60</v>
      </c>
      <c r="AF1142" t="s">
        <v>48</v>
      </c>
    </row>
    <row r="1143" spans="1:32" x14ac:dyDescent="0.25">
      <c r="A1143">
        <v>52</v>
      </c>
      <c r="B1143" t="s">
        <v>41</v>
      </c>
      <c r="C1143" t="s">
        <v>33</v>
      </c>
      <c r="D1143" t="s">
        <v>34</v>
      </c>
      <c r="E1143">
        <v>6</v>
      </c>
      <c r="F1143" t="s">
        <v>35</v>
      </c>
      <c r="G1143">
        <v>3</v>
      </c>
      <c r="H1143">
        <v>2</v>
      </c>
      <c r="I1143" t="s">
        <v>44</v>
      </c>
      <c r="J1143">
        <v>1</v>
      </c>
      <c r="K1143" t="s">
        <v>55</v>
      </c>
      <c r="L1143">
        <v>5577</v>
      </c>
      <c r="M1143">
        <v>3</v>
      </c>
      <c r="N1143" t="s">
        <v>32</v>
      </c>
      <c r="O1143">
        <v>12</v>
      </c>
      <c r="P1143">
        <v>3</v>
      </c>
      <c r="Q1143">
        <v>2</v>
      </c>
      <c r="R1143">
        <v>18</v>
      </c>
      <c r="S1143">
        <v>3</v>
      </c>
      <c r="T1143">
        <v>10</v>
      </c>
      <c r="U1143">
        <v>6</v>
      </c>
      <c r="V1143">
        <v>9</v>
      </c>
      <c r="W1143" t="s">
        <v>65</v>
      </c>
      <c r="X1143" s="1" t="d">
        <v>2011-02-27</v>
      </c>
      <c r="Z1143" t="s">
        <v>52</v>
      </c>
      <c r="AA1143" t="s">
        <v>40</v>
      </c>
      <c r="AB1143">
        <v>3</v>
      </c>
      <c r="AC1143">
        <v>2</v>
      </c>
      <c r="AD1143" t="s">
        <v>41</v>
      </c>
      <c r="AE1143" t="s">
        <v>47</v>
      </c>
      <c r="AF1143" t="s">
        <v>43</v>
      </c>
    </row>
    <row r="1144" spans="1:32" x14ac:dyDescent="0.25">
      <c r="A1144">
        <v>42</v>
      </c>
      <c r="B1144" t="s">
        <v>41</v>
      </c>
      <c r="C1144" t="s">
        <v>33</v>
      </c>
      <c r="D1144" t="s">
        <v>34</v>
      </c>
      <c r="E1144">
        <v>2</v>
      </c>
      <c r="F1144" t="s">
        <v>58</v>
      </c>
      <c r="G1144">
        <v>3</v>
      </c>
      <c r="H1144">
        <v>2</v>
      </c>
      <c r="I1144" t="s">
        <v>69</v>
      </c>
      <c r="J1144">
        <v>4</v>
      </c>
      <c r="K1144" t="s">
        <v>50</v>
      </c>
      <c r="L1144">
        <v>4089</v>
      </c>
      <c r="M1144">
        <v>1</v>
      </c>
      <c r="N1144" t="s">
        <v>41</v>
      </c>
      <c r="O1144">
        <v>13</v>
      </c>
      <c r="P1144">
        <v>3</v>
      </c>
      <c r="Q1144">
        <v>2</v>
      </c>
      <c r="R1144">
        <v>10</v>
      </c>
      <c r="S1144">
        <v>4</v>
      </c>
      <c r="T1144">
        <v>10</v>
      </c>
      <c r="U1144">
        <v>2</v>
      </c>
      <c r="V1144">
        <v>2</v>
      </c>
      <c r="W1144" t="s">
        <v>65</v>
      </c>
      <c r="X1144" s="1" t="d">
        <v>2011-02-10</v>
      </c>
      <c r="Z1144" t="s">
        <v>39</v>
      </c>
      <c r="AA1144" t="s">
        <v>46</v>
      </c>
      <c r="AB1144">
        <v>5</v>
      </c>
      <c r="AC1144">
        <v>0</v>
      </c>
      <c r="AD1144" t="s">
        <v>41</v>
      </c>
      <c r="AE1144" t="s">
        <v>60</v>
      </c>
      <c r="AF1144" t="s">
        <v>57</v>
      </c>
    </row>
    <row r="1145" spans="1:32" x14ac:dyDescent="0.25">
      <c r="A1145">
        <v>34</v>
      </c>
      <c r="B1145" t="s">
        <v>41</v>
      </c>
      <c r="C1145" t="s">
        <v>33</v>
      </c>
      <c r="D1145" t="s">
        <v>34</v>
      </c>
      <c r="E1145">
        <v>1</v>
      </c>
      <c r="F1145" t="s">
        <v>35</v>
      </c>
      <c r="G1145">
        <v>3</v>
      </c>
      <c r="H1145">
        <v>1</v>
      </c>
      <c r="I1145" t="s">
        <v>44</v>
      </c>
      <c r="J1145">
        <v>4</v>
      </c>
      <c r="K1145" t="s">
        <v>50</v>
      </c>
      <c r="L1145">
        <v>2691</v>
      </c>
      <c r="M1145">
        <v>1</v>
      </c>
      <c r="N1145" t="s">
        <v>41</v>
      </c>
      <c r="O1145">
        <v>12</v>
      </c>
      <c r="P1145">
        <v>3</v>
      </c>
      <c r="Q1145">
        <v>1</v>
      </c>
      <c r="R1145">
        <v>10</v>
      </c>
      <c r="S1145">
        <v>4</v>
      </c>
      <c r="T1145">
        <v>10</v>
      </c>
      <c r="U1145">
        <v>8</v>
      </c>
      <c r="V1145">
        <v>8</v>
      </c>
      <c r="W1145" t="s">
        <v>56</v>
      </c>
      <c r="X1145" s="1" t="d">
        <v>2011-05-15</v>
      </c>
      <c r="Z1145" t="s">
        <v>59</v>
      </c>
      <c r="AA1145" t="s">
        <v>46</v>
      </c>
      <c r="AB1145">
        <v>5</v>
      </c>
      <c r="AC1145">
        <v>2</v>
      </c>
      <c r="AD1145" t="s">
        <v>32</v>
      </c>
      <c r="AE1145" t="s">
        <v>42</v>
      </c>
      <c r="AF1145" t="s">
        <v>48</v>
      </c>
    </row>
    <row r="1146" spans="1:32" x14ac:dyDescent="0.25">
      <c r="A1146">
        <v>37</v>
      </c>
      <c r="B1146" t="s">
        <v>41</v>
      </c>
      <c r="C1146" t="s">
        <v>33</v>
      </c>
      <c r="D1146" t="s">
        <v>34</v>
      </c>
      <c r="E1146">
        <v>3</v>
      </c>
      <c r="F1146" t="s">
        <v>35</v>
      </c>
      <c r="G1146">
        <v>3</v>
      </c>
      <c r="H1146">
        <v>3</v>
      </c>
      <c r="I1146" t="s">
        <v>67</v>
      </c>
      <c r="J1146">
        <v>3</v>
      </c>
      <c r="K1146" t="s">
        <v>50</v>
      </c>
      <c r="L1146">
        <v>9434</v>
      </c>
      <c r="M1146">
        <v>1</v>
      </c>
      <c r="N1146" t="s">
        <v>41</v>
      </c>
      <c r="O1146">
        <v>15</v>
      </c>
      <c r="P1146">
        <v>3</v>
      </c>
      <c r="Q1146">
        <v>1</v>
      </c>
      <c r="R1146">
        <v>10</v>
      </c>
      <c r="S1146">
        <v>2</v>
      </c>
      <c r="T1146">
        <v>10</v>
      </c>
      <c r="U1146">
        <v>7</v>
      </c>
      <c r="V1146">
        <v>8</v>
      </c>
      <c r="W1146" t="s">
        <v>51</v>
      </c>
      <c r="X1146" s="1" t="d">
        <v>2011-01-16</v>
      </c>
      <c r="Z1146" t="s">
        <v>59</v>
      </c>
      <c r="AA1146" t="s">
        <v>46</v>
      </c>
      <c r="AB1146">
        <v>0</v>
      </c>
      <c r="AC1146">
        <v>1</v>
      </c>
      <c r="AD1146" t="s">
        <v>41</v>
      </c>
      <c r="AE1146" t="s">
        <v>42</v>
      </c>
      <c r="AF1146" t="s">
        <v>48</v>
      </c>
    </row>
    <row r="1147" spans="1:32" x14ac:dyDescent="0.25">
      <c r="A1147">
        <v>33</v>
      </c>
      <c r="B1147" t="s">
        <v>32</v>
      </c>
      <c r="C1147" t="s">
        <v>61</v>
      </c>
      <c r="D1147" t="s">
        <v>34</v>
      </c>
      <c r="E1147">
        <v>3</v>
      </c>
      <c r="F1147" t="s">
        <v>35</v>
      </c>
      <c r="G1147">
        <v>3</v>
      </c>
      <c r="H1147">
        <v>1</v>
      </c>
      <c r="I1147" t="s">
        <v>44</v>
      </c>
      <c r="J1147">
        <v>1</v>
      </c>
      <c r="K1147" t="s">
        <v>37</v>
      </c>
      <c r="L1147">
        <v>3348</v>
      </c>
      <c r="M1147">
        <v>1</v>
      </c>
      <c r="N1147" t="s">
        <v>32</v>
      </c>
      <c r="O1147">
        <v>11</v>
      </c>
      <c r="P1147">
        <v>3</v>
      </c>
      <c r="Q1147">
        <v>0</v>
      </c>
      <c r="R1147">
        <v>10</v>
      </c>
      <c r="S1147">
        <v>3</v>
      </c>
      <c r="T1147">
        <v>10</v>
      </c>
      <c r="U1147">
        <v>9</v>
      </c>
      <c r="V1147">
        <v>7</v>
      </c>
      <c r="W1147" t="s">
        <v>51</v>
      </c>
      <c r="X1147" s="1" t="d">
        <v>2011-03-03</v>
      </c>
      <c r="Z1147" t="s">
        <v>63</v>
      </c>
      <c r="AA1147" t="s">
        <v>46</v>
      </c>
      <c r="AB1147">
        <v>1</v>
      </c>
      <c r="AC1147">
        <v>3</v>
      </c>
      <c r="AD1147" t="s">
        <v>41</v>
      </c>
      <c r="AE1147" t="s">
        <v>60</v>
      </c>
      <c r="AF1147" t="s">
        <v>57</v>
      </c>
    </row>
    <row r="1148" spans="1:32" x14ac:dyDescent="0.25">
      <c r="A1148">
        <v>29</v>
      </c>
      <c r="B1148" t="s">
        <v>41</v>
      </c>
      <c r="C1148" t="s">
        <v>61</v>
      </c>
      <c r="D1148" t="s">
        <v>34</v>
      </c>
      <c r="E1148">
        <v>1</v>
      </c>
      <c r="F1148" t="s">
        <v>35</v>
      </c>
      <c r="G1148">
        <v>1</v>
      </c>
      <c r="H1148">
        <v>1</v>
      </c>
      <c r="I1148" t="s">
        <v>44</v>
      </c>
      <c r="J1148">
        <v>4</v>
      </c>
      <c r="K1148" t="s">
        <v>55</v>
      </c>
      <c r="L1148">
        <v>2720</v>
      </c>
      <c r="M1148">
        <v>1</v>
      </c>
      <c r="N1148" t="s">
        <v>41</v>
      </c>
      <c r="O1148">
        <v>18</v>
      </c>
      <c r="P1148">
        <v>3</v>
      </c>
      <c r="Q1148">
        <v>1</v>
      </c>
      <c r="R1148">
        <v>10</v>
      </c>
      <c r="S1148">
        <v>5</v>
      </c>
      <c r="T1148">
        <v>10</v>
      </c>
      <c r="U1148">
        <v>2</v>
      </c>
      <c r="V1148">
        <v>8</v>
      </c>
      <c r="W1148" t="s">
        <v>38</v>
      </c>
      <c r="X1148" s="1" t="d">
        <v>2011-06-17</v>
      </c>
      <c r="Z1148" t="s">
        <v>52</v>
      </c>
      <c r="AA1148" t="s">
        <v>46</v>
      </c>
      <c r="AB1148">
        <v>4</v>
      </c>
      <c r="AC1148">
        <v>0</v>
      </c>
      <c r="AD1148" t="s">
        <v>41</v>
      </c>
      <c r="AE1148" t="s">
        <v>60</v>
      </c>
      <c r="AF1148" t="s">
        <v>57</v>
      </c>
    </row>
    <row r="1149" spans="1:32" x14ac:dyDescent="0.25">
      <c r="A1149">
        <v>32</v>
      </c>
      <c r="B1149" t="s">
        <v>41</v>
      </c>
      <c r="C1149" t="s">
        <v>33</v>
      </c>
      <c r="D1149" t="s">
        <v>53</v>
      </c>
      <c r="E1149">
        <v>10</v>
      </c>
      <c r="F1149" t="s">
        <v>35</v>
      </c>
      <c r="G1149">
        <v>3</v>
      </c>
      <c r="H1149">
        <v>2</v>
      </c>
      <c r="I1149" t="s">
        <v>64</v>
      </c>
      <c r="J1149">
        <v>4</v>
      </c>
      <c r="K1149" t="s">
        <v>37</v>
      </c>
      <c r="L1149">
        <v>5396</v>
      </c>
      <c r="M1149">
        <v>1</v>
      </c>
      <c r="N1149" t="s">
        <v>41</v>
      </c>
      <c r="O1149">
        <v>12</v>
      </c>
      <c r="P1149">
        <v>3</v>
      </c>
      <c r="Q1149">
        <v>0</v>
      </c>
      <c r="R1149">
        <v>10</v>
      </c>
      <c r="S1149">
        <v>2</v>
      </c>
      <c r="T1149">
        <v>10</v>
      </c>
      <c r="U1149">
        <v>0</v>
      </c>
      <c r="V1149">
        <v>8</v>
      </c>
      <c r="W1149" t="s">
        <v>38</v>
      </c>
      <c r="X1149" s="1" t="d">
        <v>2011-01-02</v>
      </c>
      <c r="Z1149" t="s">
        <v>39</v>
      </c>
      <c r="AA1149" t="s">
        <v>46</v>
      </c>
      <c r="AB1149">
        <v>1</v>
      </c>
      <c r="AC1149">
        <v>1</v>
      </c>
      <c r="AD1149" t="s">
        <v>32</v>
      </c>
      <c r="AE1149" t="s">
        <v>60</v>
      </c>
      <c r="AF1149" t="s">
        <v>57</v>
      </c>
    </row>
    <row r="1150" spans="1:32" x14ac:dyDescent="0.25">
      <c r="A1150">
        <v>56</v>
      </c>
      <c r="B1150" t="s">
        <v>41</v>
      </c>
      <c r="C1150" t="s">
        <v>33</v>
      </c>
      <c r="D1150" t="s">
        <v>34</v>
      </c>
      <c r="E1150">
        <v>9</v>
      </c>
      <c r="F1150" t="s">
        <v>35</v>
      </c>
      <c r="G1150">
        <v>3</v>
      </c>
      <c r="H1150">
        <v>4</v>
      </c>
      <c r="I1150" t="s">
        <v>69</v>
      </c>
      <c r="J1150">
        <v>4</v>
      </c>
      <c r="K1150" t="s">
        <v>50</v>
      </c>
      <c r="L1150">
        <v>11103</v>
      </c>
      <c r="M1150">
        <v>7</v>
      </c>
      <c r="N1150" t="s">
        <v>41</v>
      </c>
      <c r="O1150">
        <v>11</v>
      </c>
      <c r="P1150">
        <v>3</v>
      </c>
      <c r="Q1150">
        <v>0</v>
      </c>
      <c r="R1150">
        <v>30</v>
      </c>
      <c r="S1150">
        <v>1</v>
      </c>
      <c r="T1150">
        <v>10</v>
      </c>
      <c r="U1150">
        <v>1</v>
      </c>
      <c r="V1150">
        <v>1</v>
      </c>
      <c r="W1150" t="s">
        <v>65</v>
      </c>
      <c r="X1150" s="1" t="d">
        <v>2011-01-04</v>
      </c>
      <c r="Z1150" t="s">
        <v>52</v>
      </c>
      <c r="AA1150" t="s">
        <v>40</v>
      </c>
      <c r="AB1150">
        <v>4</v>
      </c>
      <c r="AC1150">
        <v>1</v>
      </c>
      <c r="AD1150" t="s">
        <v>32</v>
      </c>
      <c r="AE1150" t="s">
        <v>47</v>
      </c>
      <c r="AF1150" t="s">
        <v>57</v>
      </c>
    </row>
    <row r="1151" spans="1:32" x14ac:dyDescent="0.25">
      <c r="A1151">
        <v>32</v>
      </c>
      <c r="B1151" t="s">
        <v>41</v>
      </c>
      <c r="C1151" t="s">
        <v>61</v>
      </c>
      <c r="D1151" t="s">
        <v>34</v>
      </c>
      <c r="E1151">
        <v>24</v>
      </c>
      <c r="F1151" t="s">
        <v>35</v>
      </c>
      <c r="G1151">
        <v>3</v>
      </c>
      <c r="H1151">
        <v>2</v>
      </c>
      <c r="I1151" t="s">
        <v>36</v>
      </c>
      <c r="J1151">
        <v>4</v>
      </c>
      <c r="K1151" t="s">
        <v>50</v>
      </c>
      <c r="L1151">
        <v>5309</v>
      </c>
      <c r="M1151">
        <v>1</v>
      </c>
      <c r="N1151" t="s">
        <v>41</v>
      </c>
      <c r="O1151">
        <v>15</v>
      </c>
      <c r="P1151">
        <v>3</v>
      </c>
      <c r="Q1151">
        <v>2</v>
      </c>
      <c r="R1151">
        <v>10</v>
      </c>
      <c r="S1151">
        <v>2</v>
      </c>
      <c r="T1151">
        <v>10</v>
      </c>
      <c r="U1151">
        <v>4</v>
      </c>
      <c r="V1151">
        <v>7</v>
      </c>
      <c r="W1151" t="s">
        <v>65</v>
      </c>
      <c r="X1151" s="1" t="d">
        <v>2011-04-02</v>
      </c>
      <c r="Z1151" t="s">
        <v>39</v>
      </c>
      <c r="AA1151" t="s">
        <v>40</v>
      </c>
      <c r="AB1151">
        <v>2</v>
      </c>
      <c r="AC1151">
        <v>2</v>
      </c>
      <c r="AD1151" t="s">
        <v>41</v>
      </c>
      <c r="AE1151" t="s">
        <v>42</v>
      </c>
      <c r="AF1151" t="s">
        <v>43</v>
      </c>
    </row>
    <row r="1152" spans="1:32" x14ac:dyDescent="0.25">
      <c r="A1152">
        <v>33</v>
      </c>
      <c r="B1152" t="s">
        <v>32</v>
      </c>
      <c r="C1152" t="s">
        <v>33</v>
      </c>
      <c r="D1152" t="s">
        <v>34</v>
      </c>
      <c r="E1152">
        <v>1</v>
      </c>
      <c r="F1152" t="s">
        <v>35</v>
      </c>
      <c r="G1152">
        <v>3</v>
      </c>
      <c r="H1152">
        <v>1</v>
      </c>
      <c r="I1152" t="s">
        <v>44</v>
      </c>
      <c r="J1152">
        <v>4</v>
      </c>
      <c r="K1152" t="s">
        <v>37</v>
      </c>
      <c r="L1152">
        <v>2686</v>
      </c>
      <c r="M1152">
        <v>1</v>
      </c>
      <c r="N1152" t="s">
        <v>32</v>
      </c>
      <c r="O1152">
        <v>13</v>
      </c>
      <c r="P1152">
        <v>3</v>
      </c>
      <c r="Q1152">
        <v>0</v>
      </c>
      <c r="R1152">
        <v>10</v>
      </c>
      <c r="S1152">
        <v>2</v>
      </c>
      <c r="T1152">
        <v>10</v>
      </c>
      <c r="U1152">
        <v>7</v>
      </c>
      <c r="V1152">
        <v>8</v>
      </c>
      <c r="W1152" t="s">
        <v>38</v>
      </c>
      <c r="X1152" s="1" t="d">
        <v>2011-04-12</v>
      </c>
      <c r="Z1152" t="s">
        <v>39</v>
      </c>
      <c r="AA1152" t="s">
        <v>46</v>
      </c>
      <c r="AB1152">
        <v>2</v>
      </c>
      <c r="AC1152">
        <v>0</v>
      </c>
      <c r="AD1152" t="s">
        <v>41</v>
      </c>
      <c r="AE1152" t="s">
        <v>62</v>
      </c>
      <c r="AF1152" t="s">
        <v>43</v>
      </c>
    </row>
    <row r="1153" spans="1:32" x14ac:dyDescent="0.25">
      <c r="A1153">
        <v>36</v>
      </c>
      <c r="B1153" t="s">
        <v>41</v>
      </c>
      <c r="C1153" t="s">
        <v>68</v>
      </c>
      <c r="D1153" t="s">
        <v>53</v>
      </c>
      <c r="E1153">
        <v>8</v>
      </c>
      <c r="F1153" t="s">
        <v>35</v>
      </c>
      <c r="G1153">
        <v>2</v>
      </c>
      <c r="H1153">
        <v>3</v>
      </c>
      <c r="I1153" t="s">
        <v>64</v>
      </c>
      <c r="J1153">
        <v>1</v>
      </c>
      <c r="K1153" t="s">
        <v>37</v>
      </c>
      <c r="L1153">
        <v>7587</v>
      </c>
      <c r="M1153">
        <v>1</v>
      </c>
      <c r="N1153" t="s">
        <v>41</v>
      </c>
      <c r="O1153">
        <v>15</v>
      </c>
      <c r="P1153">
        <v>3</v>
      </c>
      <c r="Q1153">
        <v>0</v>
      </c>
      <c r="R1153">
        <v>10</v>
      </c>
      <c r="S1153">
        <v>1</v>
      </c>
      <c r="T1153">
        <v>10</v>
      </c>
      <c r="U1153">
        <v>0</v>
      </c>
      <c r="V1153">
        <v>9</v>
      </c>
      <c r="W1153" t="s">
        <v>38</v>
      </c>
      <c r="X1153" s="1" t="d">
        <v>2011-04-22</v>
      </c>
      <c r="Z1153" t="s">
        <v>59</v>
      </c>
      <c r="AA1153" t="s">
        <v>40</v>
      </c>
      <c r="AB1153">
        <v>1</v>
      </c>
      <c r="AC1153">
        <v>1</v>
      </c>
      <c r="AD1153" t="s">
        <v>41</v>
      </c>
      <c r="AE1153" t="s">
        <v>42</v>
      </c>
      <c r="AF1153" t="s">
        <v>48</v>
      </c>
    </row>
    <row r="1154" spans="1:32" x14ac:dyDescent="0.25">
      <c r="A1154">
        <v>29</v>
      </c>
      <c r="B1154" t="s">
        <v>41</v>
      </c>
      <c r="C1154" t="s">
        <v>33</v>
      </c>
      <c r="D1154" t="s">
        <v>34</v>
      </c>
      <c r="E1154">
        <v>23</v>
      </c>
      <c r="F1154" t="s">
        <v>35</v>
      </c>
      <c r="G1154">
        <v>4</v>
      </c>
      <c r="H1154">
        <v>1</v>
      </c>
      <c r="I1154" t="s">
        <v>44</v>
      </c>
      <c r="J1154">
        <v>3</v>
      </c>
      <c r="K1154" t="s">
        <v>50</v>
      </c>
      <c r="L1154">
        <v>2700</v>
      </c>
      <c r="M1154">
        <v>1</v>
      </c>
      <c r="N1154" t="s">
        <v>41</v>
      </c>
      <c r="O1154">
        <v>24</v>
      </c>
      <c r="P1154">
        <v>4</v>
      </c>
      <c r="Q1154">
        <v>1</v>
      </c>
      <c r="R1154">
        <v>10</v>
      </c>
      <c r="S1154">
        <v>3</v>
      </c>
      <c r="T1154">
        <v>10</v>
      </c>
      <c r="U1154">
        <v>0</v>
      </c>
      <c r="V1154">
        <v>7</v>
      </c>
      <c r="W1154" t="s">
        <v>56</v>
      </c>
      <c r="X1154" s="1" t="d">
        <v>2011-01-29</v>
      </c>
      <c r="Z1154" t="s">
        <v>52</v>
      </c>
      <c r="AA1154" t="s">
        <v>40</v>
      </c>
      <c r="AB1154">
        <v>0</v>
      </c>
      <c r="AC1154">
        <v>2</v>
      </c>
      <c r="AD1154" t="s">
        <v>41</v>
      </c>
      <c r="AE1154" t="s">
        <v>47</v>
      </c>
      <c r="AF1154" t="s">
        <v>48</v>
      </c>
    </row>
    <row r="1155" spans="1:32" x14ac:dyDescent="0.25">
      <c r="A1155">
        <v>35</v>
      </c>
      <c r="B1155" t="s">
        <v>32</v>
      </c>
      <c r="C1155" t="s">
        <v>61</v>
      </c>
      <c r="D1155" t="s">
        <v>34</v>
      </c>
      <c r="E1155">
        <v>25</v>
      </c>
      <c r="F1155" t="s">
        <v>58</v>
      </c>
      <c r="G1155">
        <v>3</v>
      </c>
      <c r="H1155">
        <v>1</v>
      </c>
      <c r="I1155" t="s">
        <v>44</v>
      </c>
      <c r="J1155">
        <v>2</v>
      </c>
      <c r="K1155" t="s">
        <v>55</v>
      </c>
      <c r="L1155">
        <v>2022</v>
      </c>
      <c r="M1155">
        <v>1</v>
      </c>
      <c r="N1155" t="s">
        <v>32</v>
      </c>
      <c r="O1155">
        <v>19</v>
      </c>
      <c r="P1155">
        <v>3</v>
      </c>
      <c r="Q1155">
        <v>1</v>
      </c>
      <c r="R1155">
        <v>10</v>
      </c>
      <c r="S1155">
        <v>3</v>
      </c>
      <c r="T1155">
        <v>10</v>
      </c>
      <c r="U1155">
        <v>7</v>
      </c>
      <c r="V1155">
        <v>8</v>
      </c>
      <c r="W1155" t="s">
        <v>65</v>
      </c>
      <c r="X1155" s="1" t="d">
        <v>2011-05-12</v>
      </c>
      <c r="Z1155" t="s">
        <v>59</v>
      </c>
      <c r="AA1155" t="s">
        <v>46</v>
      </c>
      <c r="AB1155">
        <v>5</v>
      </c>
      <c r="AC1155">
        <v>0</v>
      </c>
      <c r="AD1155" t="s">
        <v>41</v>
      </c>
      <c r="AE1155" t="s">
        <v>47</v>
      </c>
      <c r="AF1155" t="s">
        <v>57</v>
      </c>
    </row>
    <row r="1156" spans="1:32" x14ac:dyDescent="0.25">
      <c r="A1156">
        <v>32</v>
      </c>
      <c r="B1156" t="s">
        <v>41</v>
      </c>
      <c r="C1156" t="s">
        <v>61</v>
      </c>
      <c r="D1156" t="s">
        <v>53</v>
      </c>
      <c r="E1156">
        <v>5</v>
      </c>
      <c r="F1156" t="s">
        <v>35</v>
      </c>
      <c r="G1156">
        <v>3</v>
      </c>
      <c r="H1156">
        <v>2</v>
      </c>
      <c r="I1156" t="s">
        <v>64</v>
      </c>
      <c r="J1156">
        <v>2</v>
      </c>
      <c r="K1156" t="s">
        <v>50</v>
      </c>
      <c r="L1156">
        <v>6524</v>
      </c>
      <c r="M1156">
        <v>1</v>
      </c>
      <c r="N1156" t="s">
        <v>41</v>
      </c>
      <c r="O1156">
        <v>14</v>
      </c>
      <c r="P1156">
        <v>3</v>
      </c>
      <c r="Q1156">
        <v>1</v>
      </c>
      <c r="R1156">
        <v>10</v>
      </c>
      <c r="S1156">
        <v>3</v>
      </c>
      <c r="T1156">
        <v>10</v>
      </c>
      <c r="U1156">
        <v>5</v>
      </c>
      <c r="V1156">
        <v>3</v>
      </c>
      <c r="W1156" t="s">
        <v>51</v>
      </c>
      <c r="X1156" s="1" t="d">
        <v>2011-04-13</v>
      </c>
      <c r="Z1156" t="s">
        <v>52</v>
      </c>
      <c r="AA1156" t="s">
        <v>46</v>
      </c>
      <c r="AB1156">
        <v>5</v>
      </c>
      <c r="AC1156">
        <v>3</v>
      </c>
      <c r="AD1156" t="s">
        <v>41</v>
      </c>
      <c r="AE1156" t="s">
        <v>47</v>
      </c>
      <c r="AF1156" t="s">
        <v>57</v>
      </c>
    </row>
    <row r="1157" spans="1:32" x14ac:dyDescent="0.25">
      <c r="A1157">
        <v>37</v>
      </c>
      <c r="B1157" t="s">
        <v>41</v>
      </c>
      <c r="C1157" t="s">
        <v>68</v>
      </c>
      <c r="D1157" t="s">
        <v>53</v>
      </c>
      <c r="E1157">
        <v>19</v>
      </c>
      <c r="F1157" t="s">
        <v>35</v>
      </c>
      <c r="G1157">
        <v>3</v>
      </c>
      <c r="H1157">
        <v>3</v>
      </c>
      <c r="I1157" t="s">
        <v>64</v>
      </c>
      <c r="J1157">
        <v>2</v>
      </c>
      <c r="K1157" t="s">
        <v>37</v>
      </c>
      <c r="L1157">
        <v>7642</v>
      </c>
      <c r="M1157">
        <v>1</v>
      </c>
      <c r="N1157" t="s">
        <v>32</v>
      </c>
      <c r="O1157">
        <v>13</v>
      </c>
      <c r="P1157">
        <v>3</v>
      </c>
      <c r="Q1157">
        <v>0</v>
      </c>
      <c r="R1157">
        <v>10</v>
      </c>
      <c r="S1157">
        <v>2</v>
      </c>
      <c r="T1157">
        <v>10</v>
      </c>
      <c r="U1157">
        <v>0</v>
      </c>
      <c r="V1157">
        <v>9</v>
      </c>
      <c r="W1157" t="s">
        <v>56</v>
      </c>
      <c r="X1157" s="1" t="d">
        <v>2011-06-27</v>
      </c>
      <c r="Z1157" t="s">
        <v>63</v>
      </c>
      <c r="AA1157" t="s">
        <v>40</v>
      </c>
      <c r="AB1157">
        <v>4</v>
      </c>
      <c r="AC1157">
        <v>3</v>
      </c>
      <c r="AD1157" t="s">
        <v>32</v>
      </c>
      <c r="AE1157" t="s">
        <v>60</v>
      </c>
      <c r="AF1157" t="s">
        <v>48</v>
      </c>
    </row>
    <row r="1158" spans="1:32" x14ac:dyDescent="0.25">
      <c r="A1158">
        <v>35</v>
      </c>
      <c r="B1158" t="s">
        <v>41</v>
      </c>
      <c r="C1158" t="s">
        <v>33</v>
      </c>
      <c r="D1158" t="s">
        <v>34</v>
      </c>
      <c r="E1158">
        <v>21</v>
      </c>
      <c r="F1158" t="s">
        <v>58</v>
      </c>
      <c r="G1158">
        <v>3</v>
      </c>
      <c r="H1158">
        <v>2</v>
      </c>
      <c r="I1158" t="s">
        <v>69</v>
      </c>
      <c r="J1158">
        <v>4</v>
      </c>
      <c r="K1158" t="s">
        <v>50</v>
      </c>
      <c r="L1158">
        <v>4014</v>
      </c>
      <c r="M1158">
        <v>1</v>
      </c>
      <c r="N1158" t="s">
        <v>32</v>
      </c>
      <c r="O1158">
        <v>25</v>
      </c>
      <c r="P1158">
        <v>4</v>
      </c>
      <c r="Q1158">
        <v>1</v>
      </c>
      <c r="R1158">
        <v>10</v>
      </c>
      <c r="S1158">
        <v>2</v>
      </c>
      <c r="T1158">
        <v>10</v>
      </c>
      <c r="U1158">
        <v>0</v>
      </c>
      <c r="V1158">
        <v>7</v>
      </c>
      <c r="W1158" t="s">
        <v>38</v>
      </c>
      <c r="X1158" s="1" t="d">
        <v>2011-02-19</v>
      </c>
      <c r="Z1158" t="s">
        <v>59</v>
      </c>
      <c r="AA1158" t="s">
        <v>46</v>
      </c>
      <c r="AB1158">
        <v>2</v>
      </c>
      <c r="AC1158">
        <v>2</v>
      </c>
      <c r="AD1158" t="s">
        <v>41</v>
      </c>
      <c r="AE1158" t="s">
        <v>60</v>
      </c>
      <c r="AF1158" t="s">
        <v>43</v>
      </c>
    </row>
    <row r="1159" spans="1:32" x14ac:dyDescent="0.25">
      <c r="A1159">
        <v>35</v>
      </c>
      <c r="B1159" t="s">
        <v>41</v>
      </c>
      <c r="C1159" t="s">
        <v>33</v>
      </c>
      <c r="D1159" t="s">
        <v>53</v>
      </c>
      <c r="E1159">
        <v>3</v>
      </c>
      <c r="F1159" t="s">
        <v>35</v>
      </c>
      <c r="G1159">
        <v>3</v>
      </c>
      <c r="H1159">
        <v>3</v>
      </c>
      <c r="I1159" t="s">
        <v>64</v>
      </c>
      <c r="J1159">
        <v>4</v>
      </c>
      <c r="K1159" t="s">
        <v>55</v>
      </c>
      <c r="L1159">
        <v>7823</v>
      </c>
      <c r="M1159">
        <v>6</v>
      </c>
      <c r="N1159" t="s">
        <v>41</v>
      </c>
      <c r="O1159">
        <v>13</v>
      </c>
      <c r="P1159">
        <v>3</v>
      </c>
      <c r="Q1159">
        <v>1</v>
      </c>
      <c r="R1159">
        <v>12</v>
      </c>
      <c r="S1159">
        <v>2</v>
      </c>
      <c r="T1159">
        <v>10</v>
      </c>
      <c r="U1159">
        <v>0</v>
      </c>
      <c r="V1159">
        <v>8</v>
      </c>
      <c r="W1159" t="s">
        <v>51</v>
      </c>
      <c r="X1159" s="1" t="d">
        <v>2011-05-08</v>
      </c>
      <c r="Z1159" t="s">
        <v>63</v>
      </c>
      <c r="AA1159" t="s">
        <v>40</v>
      </c>
      <c r="AB1159">
        <v>5</v>
      </c>
      <c r="AC1159">
        <v>1</v>
      </c>
      <c r="AD1159" t="s">
        <v>32</v>
      </c>
      <c r="AE1159" t="s">
        <v>47</v>
      </c>
      <c r="AF1159" t="s">
        <v>48</v>
      </c>
    </row>
    <row r="1160" spans="1:32" x14ac:dyDescent="0.25">
      <c r="A1160">
        <v>33</v>
      </c>
      <c r="B1160" t="s">
        <v>41</v>
      </c>
      <c r="C1160" t="s">
        <v>68</v>
      </c>
      <c r="D1160" t="s">
        <v>53</v>
      </c>
      <c r="E1160">
        <v>17</v>
      </c>
      <c r="F1160" t="s">
        <v>35</v>
      </c>
      <c r="G1160">
        <v>3</v>
      </c>
      <c r="H1160">
        <v>4</v>
      </c>
      <c r="I1160" t="s">
        <v>66</v>
      </c>
      <c r="J1160">
        <v>3</v>
      </c>
      <c r="K1160" t="s">
        <v>37</v>
      </c>
      <c r="L1160">
        <v>17444</v>
      </c>
      <c r="M1160">
        <v>1</v>
      </c>
      <c r="N1160" t="s">
        <v>41</v>
      </c>
      <c r="O1160">
        <v>11</v>
      </c>
      <c r="P1160">
        <v>3</v>
      </c>
      <c r="Q1160">
        <v>0</v>
      </c>
      <c r="R1160">
        <v>10</v>
      </c>
      <c r="S1160">
        <v>2</v>
      </c>
      <c r="T1160">
        <v>10</v>
      </c>
      <c r="U1160">
        <v>6</v>
      </c>
      <c r="V1160">
        <v>0</v>
      </c>
      <c r="W1160" t="s">
        <v>56</v>
      </c>
      <c r="X1160" s="1" t="d">
        <v>2011-06-01</v>
      </c>
      <c r="Z1160" t="s">
        <v>59</v>
      </c>
      <c r="AA1160" t="s">
        <v>40</v>
      </c>
      <c r="AB1160">
        <v>0</v>
      </c>
      <c r="AC1160">
        <v>2</v>
      </c>
      <c r="AD1160" t="s">
        <v>32</v>
      </c>
      <c r="AE1160" t="s">
        <v>42</v>
      </c>
      <c r="AF1160" t="s">
        <v>43</v>
      </c>
    </row>
    <row r="1161" spans="1:32" x14ac:dyDescent="0.25">
      <c r="A1161">
        <v>54</v>
      </c>
      <c r="B1161" t="s">
        <v>41</v>
      </c>
      <c r="C1161" t="s">
        <v>33</v>
      </c>
      <c r="D1161" t="s">
        <v>34</v>
      </c>
      <c r="E1161">
        <v>17</v>
      </c>
      <c r="F1161" t="s">
        <v>58</v>
      </c>
      <c r="G1161">
        <v>3</v>
      </c>
      <c r="H1161">
        <v>3</v>
      </c>
      <c r="I1161" t="s">
        <v>67</v>
      </c>
      <c r="J1161">
        <v>3</v>
      </c>
      <c r="K1161" t="s">
        <v>50</v>
      </c>
      <c r="L1161">
        <v>10739</v>
      </c>
      <c r="M1161">
        <v>8</v>
      </c>
      <c r="N1161" t="s">
        <v>41</v>
      </c>
      <c r="O1161">
        <v>11</v>
      </c>
      <c r="P1161">
        <v>3</v>
      </c>
      <c r="Q1161">
        <v>1</v>
      </c>
      <c r="R1161">
        <v>22</v>
      </c>
      <c r="S1161">
        <v>2</v>
      </c>
      <c r="T1161">
        <v>10</v>
      </c>
      <c r="U1161">
        <v>0</v>
      </c>
      <c r="V1161">
        <v>8</v>
      </c>
      <c r="W1161" t="s">
        <v>51</v>
      </c>
      <c r="X1161" s="1" t="d">
        <v>2011-03-06</v>
      </c>
      <c r="Z1161" t="s">
        <v>52</v>
      </c>
      <c r="AA1161" t="s">
        <v>46</v>
      </c>
      <c r="AB1161">
        <v>5</v>
      </c>
      <c r="AC1161">
        <v>0</v>
      </c>
      <c r="AD1161" t="s">
        <v>41</v>
      </c>
      <c r="AE1161" t="s">
        <v>62</v>
      </c>
      <c r="AF1161" t="s">
        <v>48</v>
      </c>
    </row>
    <row r="1162" spans="1:32" x14ac:dyDescent="0.25">
      <c r="A1162">
        <v>51</v>
      </c>
      <c r="B1162" t="s">
        <v>32</v>
      </c>
      <c r="C1162" t="s">
        <v>33</v>
      </c>
      <c r="D1162" t="s">
        <v>34</v>
      </c>
      <c r="E1162">
        <v>4</v>
      </c>
      <c r="F1162" t="s">
        <v>35</v>
      </c>
      <c r="G1162">
        <v>3</v>
      </c>
      <c r="H1162">
        <v>1</v>
      </c>
      <c r="I1162" t="s">
        <v>44</v>
      </c>
      <c r="J1162">
        <v>3</v>
      </c>
      <c r="K1162" t="s">
        <v>50</v>
      </c>
      <c r="L1162">
        <v>2461</v>
      </c>
      <c r="M1162">
        <v>9</v>
      </c>
      <c r="N1162" t="s">
        <v>32</v>
      </c>
      <c r="O1162">
        <v>12</v>
      </c>
      <c r="P1162">
        <v>3</v>
      </c>
      <c r="Q1162">
        <v>3</v>
      </c>
      <c r="R1162">
        <v>18</v>
      </c>
      <c r="S1162">
        <v>2</v>
      </c>
      <c r="T1162">
        <v>10</v>
      </c>
      <c r="U1162">
        <v>2</v>
      </c>
      <c r="V1162">
        <v>7</v>
      </c>
      <c r="W1162" t="s">
        <v>38</v>
      </c>
      <c r="X1162" s="1" t="d">
        <v>2011-04-01</v>
      </c>
      <c r="Z1162" t="s">
        <v>63</v>
      </c>
      <c r="AA1162" t="s">
        <v>46</v>
      </c>
      <c r="AB1162">
        <v>1</v>
      </c>
      <c r="AC1162">
        <v>1</v>
      </c>
      <c r="AD1162" t="s">
        <v>41</v>
      </c>
      <c r="AE1162" t="s">
        <v>60</v>
      </c>
      <c r="AF1162" t="s">
        <v>48</v>
      </c>
    </row>
    <row r="1163" spans="1:32" x14ac:dyDescent="0.25">
      <c r="A1163">
        <v>28</v>
      </c>
      <c r="B1163" t="s">
        <v>32</v>
      </c>
      <c r="C1163" t="s">
        <v>68</v>
      </c>
      <c r="D1163" t="s">
        <v>34</v>
      </c>
      <c r="E1163">
        <v>24</v>
      </c>
      <c r="F1163" t="s">
        <v>35</v>
      </c>
      <c r="G1163">
        <v>2</v>
      </c>
      <c r="H1163">
        <v>3</v>
      </c>
      <c r="I1163" t="s">
        <v>69</v>
      </c>
      <c r="J1163">
        <v>1</v>
      </c>
      <c r="K1163" t="s">
        <v>37</v>
      </c>
      <c r="L1163">
        <v>8722</v>
      </c>
      <c r="M1163">
        <v>1</v>
      </c>
      <c r="N1163" t="s">
        <v>41</v>
      </c>
      <c r="O1163">
        <v>12</v>
      </c>
      <c r="P1163">
        <v>3</v>
      </c>
      <c r="Q1163">
        <v>0</v>
      </c>
      <c r="R1163">
        <v>10</v>
      </c>
      <c r="S1163">
        <v>2</v>
      </c>
      <c r="T1163">
        <v>10</v>
      </c>
      <c r="U1163">
        <v>1</v>
      </c>
      <c r="V1163">
        <v>9</v>
      </c>
      <c r="W1163" t="s">
        <v>65</v>
      </c>
      <c r="X1163" s="1" t="d">
        <v>2011-02-08</v>
      </c>
      <c r="Z1163" t="s">
        <v>45</v>
      </c>
      <c r="AA1163" t="s">
        <v>40</v>
      </c>
      <c r="AB1163">
        <v>3</v>
      </c>
      <c r="AC1163">
        <v>1</v>
      </c>
      <c r="AD1163" t="s">
        <v>41</v>
      </c>
      <c r="AE1163" t="s">
        <v>47</v>
      </c>
      <c r="AF1163" t="s">
        <v>57</v>
      </c>
    </row>
    <row r="1164" spans="1:32" x14ac:dyDescent="0.25">
      <c r="A1164">
        <v>41</v>
      </c>
      <c r="B1164" t="s">
        <v>41</v>
      </c>
      <c r="C1164" t="s">
        <v>33</v>
      </c>
      <c r="D1164" t="s">
        <v>34</v>
      </c>
      <c r="E1164">
        <v>7</v>
      </c>
      <c r="F1164" t="s">
        <v>58</v>
      </c>
      <c r="G1164">
        <v>4</v>
      </c>
      <c r="H1164">
        <v>1</v>
      </c>
      <c r="I1164" t="s">
        <v>44</v>
      </c>
      <c r="J1164">
        <v>3</v>
      </c>
      <c r="K1164" t="s">
        <v>50</v>
      </c>
      <c r="L1164">
        <v>3376</v>
      </c>
      <c r="M1164">
        <v>1</v>
      </c>
      <c r="N1164" t="s">
        <v>41</v>
      </c>
      <c r="O1164">
        <v>13</v>
      </c>
      <c r="P1164">
        <v>3</v>
      </c>
      <c r="Q1164">
        <v>0</v>
      </c>
      <c r="R1164">
        <v>10</v>
      </c>
      <c r="S1164">
        <v>3</v>
      </c>
      <c r="T1164">
        <v>10</v>
      </c>
      <c r="U1164">
        <v>0</v>
      </c>
      <c r="V1164">
        <v>8</v>
      </c>
      <c r="W1164" t="s">
        <v>56</v>
      </c>
      <c r="X1164" s="1" t="d">
        <v>2011-05-18</v>
      </c>
      <c r="Z1164" t="s">
        <v>45</v>
      </c>
      <c r="AA1164" t="s">
        <v>40</v>
      </c>
      <c r="AB1164">
        <v>2</v>
      </c>
      <c r="AC1164">
        <v>1</v>
      </c>
      <c r="AD1164" t="s">
        <v>41</v>
      </c>
      <c r="AE1164" t="s">
        <v>60</v>
      </c>
      <c r="AF1164" t="s">
        <v>57</v>
      </c>
    </row>
    <row r="1165" spans="1:32" x14ac:dyDescent="0.25">
      <c r="A1165">
        <v>29</v>
      </c>
      <c r="B1165" t="s">
        <v>41</v>
      </c>
      <c r="C1165" t="s">
        <v>33</v>
      </c>
      <c r="D1165" t="s">
        <v>34</v>
      </c>
      <c r="E1165">
        <v>8</v>
      </c>
      <c r="F1165" t="s">
        <v>35</v>
      </c>
      <c r="G1165">
        <v>2</v>
      </c>
      <c r="H1165">
        <v>2</v>
      </c>
      <c r="I1165" t="s">
        <v>67</v>
      </c>
      <c r="J1165">
        <v>4</v>
      </c>
      <c r="K1165" t="s">
        <v>50</v>
      </c>
      <c r="L1165">
        <v>5056</v>
      </c>
      <c r="M1165">
        <v>1</v>
      </c>
      <c r="N1165" t="s">
        <v>32</v>
      </c>
      <c r="O1165">
        <v>15</v>
      </c>
      <c r="P1165">
        <v>3</v>
      </c>
      <c r="Q1165">
        <v>1</v>
      </c>
      <c r="R1165">
        <v>10</v>
      </c>
      <c r="S1165">
        <v>2</v>
      </c>
      <c r="T1165">
        <v>10</v>
      </c>
      <c r="U1165">
        <v>1</v>
      </c>
      <c r="V1165">
        <v>2</v>
      </c>
      <c r="W1165" t="s">
        <v>38</v>
      </c>
      <c r="X1165" s="1" t="d">
        <v>2011-04-03</v>
      </c>
      <c r="Z1165" t="s">
        <v>45</v>
      </c>
      <c r="AA1165" t="s">
        <v>46</v>
      </c>
      <c r="AB1165">
        <v>1</v>
      </c>
      <c r="AC1165">
        <v>2</v>
      </c>
      <c r="AD1165" t="s">
        <v>41</v>
      </c>
      <c r="AE1165" t="s">
        <v>62</v>
      </c>
      <c r="AF1165" t="s">
        <v>48</v>
      </c>
    </row>
    <row r="1166" spans="1:32" x14ac:dyDescent="0.25">
      <c r="A1166">
        <v>30</v>
      </c>
      <c r="B1166" t="s">
        <v>41</v>
      </c>
      <c r="C1166" t="s">
        <v>33</v>
      </c>
      <c r="D1166" t="s">
        <v>53</v>
      </c>
      <c r="E1166">
        <v>10</v>
      </c>
      <c r="F1166" t="s">
        <v>35</v>
      </c>
      <c r="G1166">
        <v>2</v>
      </c>
      <c r="H1166">
        <v>2</v>
      </c>
      <c r="I1166" t="s">
        <v>64</v>
      </c>
      <c r="J1166">
        <v>3</v>
      </c>
      <c r="K1166" t="s">
        <v>50</v>
      </c>
      <c r="L1166">
        <v>6578</v>
      </c>
      <c r="M1166">
        <v>1</v>
      </c>
      <c r="N1166" t="s">
        <v>41</v>
      </c>
      <c r="O1166">
        <v>18</v>
      </c>
      <c r="P1166">
        <v>3</v>
      </c>
      <c r="Q1166">
        <v>1</v>
      </c>
      <c r="R1166">
        <v>10</v>
      </c>
      <c r="S1166">
        <v>3</v>
      </c>
      <c r="T1166">
        <v>10</v>
      </c>
      <c r="U1166">
        <v>1</v>
      </c>
      <c r="V1166">
        <v>4</v>
      </c>
      <c r="W1166" t="s">
        <v>56</v>
      </c>
      <c r="X1166" s="1" t="d">
        <v>2011-05-27</v>
      </c>
      <c r="Z1166" t="s">
        <v>52</v>
      </c>
      <c r="AA1166" t="s">
        <v>46</v>
      </c>
      <c r="AB1166">
        <v>4</v>
      </c>
      <c r="AC1166">
        <v>3</v>
      </c>
      <c r="AD1166" t="s">
        <v>32</v>
      </c>
      <c r="AE1166" t="s">
        <v>47</v>
      </c>
      <c r="AF1166" t="s">
        <v>48</v>
      </c>
    </row>
    <row r="1167" spans="1:32" x14ac:dyDescent="0.25">
      <c r="A1167">
        <v>29</v>
      </c>
      <c r="B1167" t="s">
        <v>41</v>
      </c>
      <c r="C1167" t="s">
        <v>33</v>
      </c>
      <c r="D1167" t="s">
        <v>34</v>
      </c>
      <c r="E1167">
        <v>6</v>
      </c>
      <c r="F1167" t="s">
        <v>58</v>
      </c>
      <c r="G1167">
        <v>3</v>
      </c>
      <c r="H1167">
        <v>1</v>
      </c>
      <c r="I1167" t="s">
        <v>36</v>
      </c>
      <c r="J1167">
        <v>4</v>
      </c>
      <c r="K1167" t="s">
        <v>50</v>
      </c>
      <c r="L1167">
        <v>3131</v>
      </c>
      <c r="M1167">
        <v>1</v>
      </c>
      <c r="N1167" t="s">
        <v>41</v>
      </c>
      <c r="O1167">
        <v>13</v>
      </c>
      <c r="P1167">
        <v>3</v>
      </c>
      <c r="Q1167">
        <v>1</v>
      </c>
      <c r="R1167">
        <v>10</v>
      </c>
      <c r="S1167">
        <v>5</v>
      </c>
      <c r="T1167">
        <v>10</v>
      </c>
      <c r="U1167">
        <v>0</v>
      </c>
      <c r="V1167">
        <v>8</v>
      </c>
      <c r="W1167" t="s">
        <v>51</v>
      </c>
      <c r="X1167" s="1" t="d">
        <v>2011-03-23</v>
      </c>
      <c r="Z1167" t="s">
        <v>45</v>
      </c>
      <c r="AA1167" t="s">
        <v>46</v>
      </c>
      <c r="AB1167">
        <v>0</v>
      </c>
      <c r="AC1167">
        <v>2</v>
      </c>
      <c r="AD1167" t="s">
        <v>32</v>
      </c>
      <c r="AE1167" t="s">
        <v>60</v>
      </c>
      <c r="AF1167" t="s">
        <v>57</v>
      </c>
    </row>
    <row r="1168" spans="1:32" x14ac:dyDescent="0.25">
      <c r="A1168">
        <v>33</v>
      </c>
      <c r="B1168" t="s">
        <v>41</v>
      </c>
      <c r="C1168" t="s">
        <v>61</v>
      </c>
      <c r="D1168" t="s">
        <v>53</v>
      </c>
      <c r="E1168">
        <v>25</v>
      </c>
      <c r="F1168" t="s">
        <v>58</v>
      </c>
      <c r="G1168">
        <v>3</v>
      </c>
      <c r="H1168">
        <v>2</v>
      </c>
      <c r="I1168" t="s">
        <v>64</v>
      </c>
      <c r="J1168">
        <v>3</v>
      </c>
      <c r="K1168" t="s">
        <v>50</v>
      </c>
      <c r="L1168">
        <v>4539</v>
      </c>
      <c r="M1168">
        <v>1</v>
      </c>
      <c r="N1168" t="s">
        <v>41</v>
      </c>
      <c r="O1168">
        <v>12</v>
      </c>
      <c r="P1168">
        <v>3</v>
      </c>
      <c r="Q1168">
        <v>1</v>
      </c>
      <c r="R1168">
        <v>10</v>
      </c>
      <c r="S1168">
        <v>3</v>
      </c>
      <c r="T1168">
        <v>10</v>
      </c>
      <c r="U1168">
        <v>0</v>
      </c>
      <c r="V1168">
        <v>1</v>
      </c>
      <c r="W1168" t="s">
        <v>51</v>
      </c>
      <c r="X1168" s="1" t="d">
        <v>2011-01-06</v>
      </c>
      <c r="Z1168" t="s">
        <v>45</v>
      </c>
      <c r="AA1168" t="s">
        <v>40</v>
      </c>
      <c r="AB1168">
        <v>5</v>
      </c>
      <c r="AC1168">
        <v>2</v>
      </c>
      <c r="AD1168" t="s">
        <v>41</v>
      </c>
      <c r="AE1168" t="s">
        <v>47</v>
      </c>
      <c r="AF1168" t="s">
        <v>57</v>
      </c>
    </row>
    <row r="1169" spans="1:32" x14ac:dyDescent="0.25">
      <c r="A1169">
        <v>30</v>
      </c>
      <c r="B1169" t="s">
        <v>41</v>
      </c>
      <c r="C1169" t="s">
        <v>33</v>
      </c>
      <c r="D1169" t="s">
        <v>34</v>
      </c>
      <c r="E1169">
        <v>7</v>
      </c>
      <c r="F1169" t="s">
        <v>35</v>
      </c>
      <c r="G1169">
        <v>3</v>
      </c>
      <c r="H1169">
        <v>2</v>
      </c>
      <c r="I1169" t="s">
        <v>36</v>
      </c>
      <c r="J1169">
        <v>3</v>
      </c>
      <c r="K1169" t="s">
        <v>55</v>
      </c>
      <c r="L1169">
        <v>3491</v>
      </c>
      <c r="M1169">
        <v>1</v>
      </c>
      <c r="N1169" t="s">
        <v>41</v>
      </c>
      <c r="O1169">
        <v>13</v>
      </c>
      <c r="P1169">
        <v>3</v>
      </c>
      <c r="Q1169">
        <v>3</v>
      </c>
      <c r="R1169">
        <v>10</v>
      </c>
      <c r="S1169">
        <v>4</v>
      </c>
      <c r="T1169">
        <v>10</v>
      </c>
      <c r="U1169">
        <v>8</v>
      </c>
      <c r="V1169">
        <v>9</v>
      </c>
      <c r="W1169" t="s">
        <v>38</v>
      </c>
      <c r="X1169" s="1" t="d">
        <v>2011-05-26</v>
      </c>
      <c r="Z1169" t="s">
        <v>59</v>
      </c>
      <c r="AA1169" t="s">
        <v>40</v>
      </c>
      <c r="AB1169">
        <v>3</v>
      </c>
      <c r="AC1169">
        <v>3</v>
      </c>
      <c r="AD1169" t="s">
        <v>41</v>
      </c>
      <c r="AE1169" t="s">
        <v>42</v>
      </c>
      <c r="AF1169" t="s">
        <v>48</v>
      </c>
    </row>
    <row r="1170" spans="1:32" x14ac:dyDescent="0.25">
      <c r="A1170">
        <v>44</v>
      </c>
      <c r="B1170" t="s">
        <v>41</v>
      </c>
      <c r="C1170" t="s">
        <v>33</v>
      </c>
      <c r="D1170" t="s">
        <v>34</v>
      </c>
      <c r="E1170">
        <v>2</v>
      </c>
      <c r="F1170" t="s">
        <v>58</v>
      </c>
      <c r="G1170">
        <v>4</v>
      </c>
      <c r="H1170">
        <v>1</v>
      </c>
      <c r="I1170" t="s">
        <v>44</v>
      </c>
      <c r="J1170">
        <v>4</v>
      </c>
      <c r="K1170" t="s">
        <v>50</v>
      </c>
      <c r="L1170">
        <v>2011</v>
      </c>
      <c r="M1170">
        <v>1</v>
      </c>
      <c r="N1170" t="s">
        <v>41</v>
      </c>
      <c r="O1170">
        <v>13</v>
      </c>
      <c r="P1170">
        <v>3</v>
      </c>
      <c r="Q1170">
        <v>1</v>
      </c>
      <c r="R1170">
        <v>10</v>
      </c>
      <c r="S1170">
        <v>5</v>
      </c>
      <c r="T1170">
        <v>10</v>
      </c>
      <c r="U1170">
        <v>7</v>
      </c>
      <c r="V1170">
        <v>7</v>
      </c>
      <c r="W1170" t="s">
        <v>38</v>
      </c>
      <c r="X1170" s="1" t="d">
        <v>2011-02-19</v>
      </c>
      <c r="Z1170" t="s">
        <v>39</v>
      </c>
      <c r="AA1170" t="s">
        <v>40</v>
      </c>
      <c r="AB1170">
        <v>1</v>
      </c>
      <c r="AC1170">
        <v>3</v>
      </c>
      <c r="AD1170" t="s">
        <v>32</v>
      </c>
      <c r="AE1170" t="s">
        <v>62</v>
      </c>
      <c r="AF1170" t="s">
        <v>43</v>
      </c>
    </row>
    <row r="1171" spans="1:32" x14ac:dyDescent="0.25">
      <c r="A1171">
        <v>54</v>
      </c>
      <c r="B1171" t="s">
        <v>41</v>
      </c>
      <c r="C1171" t="s">
        <v>33</v>
      </c>
      <c r="D1171" t="s">
        <v>34</v>
      </c>
      <c r="E1171">
        <v>3</v>
      </c>
      <c r="F1171" t="s">
        <v>35</v>
      </c>
      <c r="G1171">
        <v>3</v>
      </c>
      <c r="H1171">
        <v>4</v>
      </c>
      <c r="I1171" t="s">
        <v>49</v>
      </c>
      <c r="J1171">
        <v>4</v>
      </c>
      <c r="K1171" t="s">
        <v>50</v>
      </c>
      <c r="L1171">
        <v>17779</v>
      </c>
      <c r="M1171">
        <v>3</v>
      </c>
      <c r="N1171" t="s">
        <v>41</v>
      </c>
      <c r="O1171">
        <v>14</v>
      </c>
      <c r="P1171">
        <v>3</v>
      </c>
      <c r="Q1171">
        <v>0</v>
      </c>
      <c r="R1171">
        <v>36</v>
      </c>
      <c r="S1171">
        <v>2</v>
      </c>
      <c r="T1171">
        <v>10</v>
      </c>
      <c r="U1171">
        <v>0</v>
      </c>
      <c r="V1171">
        <v>9</v>
      </c>
      <c r="W1171" t="s">
        <v>65</v>
      </c>
      <c r="X1171" s="1" t="d">
        <v>2011-04-25</v>
      </c>
      <c r="Z1171" t="s">
        <v>39</v>
      </c>
      <c r="AA1171" t="s">
        <v>46</v>
      </c>
      <c r="AB1171">
        <v>0</v>
      </c>
      <c r="AC1171">
        <v>0</v>
      </c>
      <c r="AD1171" t="s">
        <v>32</v>
      </c>
      <c r="AE1171" t="s">
        <v>42</v>
      </c>
      <c r="AF1171" t="s">
        <v>48</v>
      </c>
    </row>
    <row r="1172" spans="1:32" x14ac:dyDescent="0.25">
      <c r="A1172">
        <v>31</v>
      </c>
      <c r="B1172" t="s">
        <v>41</v>
      </c>
      <c r="C1172" t="s">
        <v>33</v>
      </c>
      <c r="D1172" t="s">
        <v>34</v>
      </c>
      <c r="E1172">
        <v>24</v>
      </c>
      <c r="F1172" t="s">
        <v>58</v>
      </c>
      <c r="G1172">
        <v>2</v>
      </c>
      <c r="H1172">
        <v>2</v>
      </c>
      <c r="I1172" t="s">
        <v>69</v>
      </c>
      <c r="J1172">
        <v>1</v>
      </c>
      <c r="K1172" t="s">
        <v>37</v>
      </c>
      <c r="L1172">
        <v>6812</v>
      </c>
      <c r="M1172">
        <v>1</v>
      </c>
      <c r="N1172" t="s">
        <v>41</v>
      </c>
      <c r="O1172">
        <v>19</v>
      </c>
      <c r="P1172">
        <v>3</v>
      </c>
      <c r="Q1172">
        <v>0</v>
      </c>
      <c r="R1172">
        <v>10</v>
      </c>
      <c r="S1172">
        <v>2</v>
      </c>
      <c r="T1172">
        <v>10</v>
      </c>
      <c r="U1172">
        <v>1</v>
      </c>
      <c r="V1172">
        <v>8</v>
      </c>
      <c r="W1172" t="s">
        <v>65</v>
      </c>
      <c r="X1172" s="1" t="d">
        <v>2011-04-11</v>
      </c>
      <c r="Z1172" t="s">
        <v>52</v>
      </c>
      <c r="AA1172" t="s">
        <v>40</v>
      </c>
      <c r="AB1172">
        <v>5</v>
      </c>
      <c r="AC1172">
        <v>0</v>
      </c>
      <c r="AD1172" t="s">
        <v>41</v>
      </c>
      <c r="AE1172" t="s">
        <v>62</v>
      </c>
      <c r="AF1172" t="s">
        <v>48</v>
      </c>
    </row>
    <row r="1173" spans="1:32" x14ac:dyDescent="0.25">
      <c r="A1173">
        <v>34</v>
      </c>
      <c r="B1173" t="s">
        <v>41</v>
      </c>
      <c r="C1173" t="s">
        <v>61</v>
      </c>
      <c r="D1173" t="s">
        <v>70</v>
      </c>
      <c r="E1173">
        <v>11</v>
      </c>
      <c r="F1173" t="s">
        <v>35</v>
      </c>
      <c r="G1173">
        <v>2</v>
      </c>
      <c r="H1173">
        <v>2</v>
      </c>
      <c r="I1173" t="s">
        <v>70</v>
      </c>
      <c r="J1173">
        <v>2</v>
      </c>
      <c r="K1173" t="s">
        <v>50</v>
      </c>
      <c r="L1173">
        <v>4490</v>
      </c>
      <c r="M1173">
        <v>4</v>
      </c>
      <c r="N1173" t="s">
        <v>41</v>
      </c>
      <c r="O1173">
        <v>11</v>
      </c>
      <c r="P1173">
        <v>3</v>
      </c>
      <c r="Q1173">
        <v>2</v>
      </c>
      <c r="R1173">
        <v>14</v>
      </c>
      <c r="S1173">
        <v>5</v>
      </c>
      <c r="T1173">
        <v>10</v>
      </c>
      <c r="U1173">
        <v>1</v>
      </c>
      <c r="V1173">
        <v>8</v>
      </c>
      <c r="W1173" t="s">
        <v>65</v>
      </c>
      <c r="X1173" s="1" t="d">
        <v>2011-03-27</v>
      </c>
      <c r="Z1173" t="s">
        <v>39</v>
      </c>
      <c r="AA1173" t="s">
        <v>46</v>
      </c>
      <c r="AB1173">
        <v>2</v>
      </c>
      <c r="AC1173">
        <v>3</v>
      </c>
      <c r="AD1173" t="s">
        <v>32</v>
      </c>
      <c r="AE1173" t="s">
        <v>60</v>
      </c>
      <c r="AF1173" t="s">
        <v>57</v>
      </c>
    </row>
    <row r="1174" spans="1:32" x14ac:dyDescent="0.25">
      <c r="A1174">
        <v>44</v>
      </c>
      <c r="B1174" t="s">
        <v>32</v>
      </c>
      <c r="C1174" t="s">
        <v>33</v>
      </c>
      <c r="D1174" t="s">
        <v>34</v>
      </c>
      <c r="E1174">
        <v>15</v>
      </c>
      <c r="F1174" t="s">
        <v>58</v>
      </c>
      <c r="G1174">
        <v>3</v>
      </c>
      <c r="H1174">
        <v>3</v>
      </c>
      <c r="I1174" t="s">
        <v>69</v>
      </c>
      <c r="J1174">
        <v>4</v>
      </c>
      <c r="K1174" t="s">
        <v>50</v>
      </c>
      <c r="L1174">
        <v>7978</v>
      </c>
      <c r="M1174">
        <v>1</v>
      </c>
      <c r="N1174" t="s">
        <v>41</v>
      </c>
      <c r="O1174">
        <v>11</v>
      </c>
      <c r="P1174">
        <v>3</v>
      </c>
      <c r="Q1174">
        <v>1</v>
      </c>
      <c r="R1174">
        <v>10</v>
      </c>
      <c r="S1174">
        <v>2</v>
      </c>
      <c r="T1174">
        <v>10</v>
      </c>
      <c r="U1174">
        <v>0</v>
      </c>
      <c r="V1174">
        <v>5</v>
      </c>
      <c r="W1174" t="s">
        <v>56</v>
      </c>
      <c r="X1174" s="1" t="d">
        <v>2011-04-17</v>
      </c>
      <c r="Z1174" t="s">
        <v>63</v>
      </c>
      <c r="AA1174" t="s">
        <v>40</v>
      </c>
      <c r="AB1174">
        <v>5</v>
      </c>
      <c r="AC1174">
        <v>1</v>
      </c>
      <c r="AD1174" t="s">
        <v>41</v>
      </c>
      <c r="AE1174" t="s">
        <v>42</v>
      </c>
      <c r="AF1174" t="s">
        <v>43</v>
      </c>
    </row>
    <row r="1175" spans="1:32" x14ac:dyDescent="0.25">
      <c r="A1175">
        <v>32</v>
      </c>
      <c r="B1175" t="s">
        <v>41</v>
      </c>
      <c r="C1175" t="s">
        <v>33</v>
      </c>
      <c r="D1175" t="s">
        <v>53</v>
      </c>
      <c r="E1175">
        <v>8</v>
      </c>
      <c r="F1175" t="s">
        <v>35</v>
      </c>
      <c r="G1175">
        <v>4</v>
      </c>
      <c r="H1175">
        <v>2</v>
      </c>
      <c r="I1175" t="s">
        <v>64</v>
      </c>
      <c r="J1175">
        <v>4</v>
      </c>
      <c r="K1175" t="s">
        <v>50</v>
      </c>
      <c r="L1175">
        <v>6209</v>
      </c>
      <c r="M1175">
        <v>1</v>
      </c>
      <c r="N1175" t="s">
        <v>41</v>
      </c>
      <c r="O1175">
        <v>15</v>
      </c>
      <c r="P1175">
        <v>3</v>
      </c>
      <c r="Q1175">
        <v>2</v>
      </c>
      <c r="R1175">
        <v>10</v>
      </c>
      <c r="S1175">
        <v>4</v>
      </c>
      <c r="T1175">
        <v>10</v>
      </c>
      <c r="U1175">
        <v>0</v>
      </c>
      <c r="V1175">
        <v>8</v>
      </c>
      <c r="W1175" t="s">
        <v>51</v>
      </c>
      <c r="X1175" s="1" t="d">
        <v>2011-01-21</v>
      </c>
      <c r="Z1175" t="s">
        <v>52</v>
      </c>
      <c r="AA1175" t="s">
        <v>46</v>
      </c>
      <c r="AB1175">
        <v>0</v>
      </c>
      <c r="AC1175">
        <v>3</v>
      </c>
      <c r="AD1175" t="s">
        <v>41</v>
      </c>
      <c r="AE1175" t="s">
        <v>42</v>
      </c>
      <c r="AF1175" t="s">
        <v>48</v>
      </c>
    </row>
    <row r="1176" spans="1:32" x14ac:dyDescent="0.25">
      <c r="A1176">
        <v>32</v>
      </c>
      <c r="B1176" t="s">
        <v>32</v>
      </c>
      <c r="C1176" t="s">
        <v>33</v>
      </c>
      <c r="D1176" t="s">
        <v>34</v>
      </c>
      <c r="E1176">
        <v>7</v>
      </c>
      <c r="F1176" t="s">
        <v>35</v>
      </c>
      <c r="G1176">
        <v>3</v>
      </c>
      <c r="H1176">
        <v>2</v>
      </c>
      <c r="I1176" t="s">
        <v>36</v>
      </c>
      <c r="J1176">
        <v>3</v>
      </c>
      <c r="K1176" t="s">
        <v>50</v>
      </c>
      <c r="L1176">
        <v>4883</v>
      </c>
      <c r="M1176">
        <v>1</v>
      </c>
      <c r="N1176" t="s">
        <v>41</v>
      </c>
      <c r="O1176">
        <v>18</v>
      </c>
      <c r="P1176">
        <v>3</v>
      </c>
      <c r="Q1176">
        <v>1</v>
      </c>
      <c r="R1176">
        <v>10</v>
      </c>
      <c r="S1176">
        <v>3</v>
      </c>
      <c r="T1176">
        <v>10</v>
      </c>
      <c r="U1176">
        <v>1</v>
      </c>
      <c r="V1176">
        <v>1</v>
      </c>
      <c r="W1176" t="s">
        <v>38</v>
      </c>
      <c r="X1176" s="1" t="d">
        <v>2011-05-25</v>
      </c>
      <c r="Z1176" t="s">
        <v>45</v>
      </c>
      <c r="AA1176" t="s">
        <v>46</v>
      </c>
      <c r="AB1176">
        <v>0</v>
      </c>
      <c r="AC1176">
        <v>2</v>
      </c>
      <c r="AD1176" t="s">
        <v>32</v>
      </c>
      <c r="AE1176" t="s">
        <v>47</v>
      </c>
      <c r="AF1176" t="s">
        <v>57</v>
      </c>
    </row>
    <row r="1177" spans="1:32" x14ac:dyDescent="0.25">
      <c r="A1177">
        <v>31</v>
      </c>
      <c r="B1177" t="s">
        <v>41</v>
      </c>
      <c r="C1177" t="s">
        <v>68</v>
      </c>
      <c r="D1177" t="s">
        <v>53</v>
      </c>
      <c r="E1177">
        <v>2</v>
      </c>
      <c r="F1177" t="s">
        <v>58</v>
      </c>
      <c r="G1177">
        <v>3</v>
      </c>
      <c r="H1177">
        <v>3</v>
      </c>
      <c r="I1177" t="s">
        <v>64</v>
      </c>
      <c r="J1177">
        <v>3</v>
      </c>
      <c r="K1177" t="s">
        <v>55</v>
      </c>
      <c r="L1177">
        <v>9852</v>
      </c>
      <c r="M1177">
        <v>1</v>
      </c>
      <c r="N1177" t="s">
        <v>32</v>
      </c>
      <c r="O1177">
        <v>19</v>
      </c>
      <c r="P1177">
        <v>3</v>
      </c>
      <c r="Q1177">
        <v>1</v>
      </c>
      <c r="R1177">
        <v>10</v>
      </c>
      <c r="S1177">
        <v>5</v>
      </c>
      <c r="T1177">
        <v>10</v>
      </c>
      <c r="U1177">
        <v>9</v>
      </c>
      <c r="V1177">
        <v>6</v>
      </c>
      <c r="W1177" t="s">
        <v>56</v>
      </c>
      <c r="X1177" s="1" t="d">
        <v>2011-05-16</v>
      </c>
      <c r="Z1177" t="s">
        <v>45</v>
      </c>
      <c r="AA1177" t="s">
        <v>40</v>
      </c>
      <c r="AB1177">
        <v>5</v>
      </c>
      <c r="AC1177">
        <v>0</v>
      </c>
      <c r="AD1177" t="s">
        <v>32</v>
      </c>
      <c r="AE1177" t="s">
        <v>62</v>
      </c>
      <c r="AF1177" t="s">
        <v>57</v>
      </c>
    </row>
    <row r="1178" spans="1:32" x14ac:dyDescent="0.25">
      <c r="A1178">
        <v>34</v>
      </c>
      <c r="B1178" t="s">
        <v>41</v>
      </c>
      <c r="C1178" t="s">
        <v>33</v>
      </c>
      <c r="D1178" t="s">
        <v>53</v>
      </c>
      <c r="E1178">
        <v>15</v>
      </c>
      <c r="F1178" t="s">
        <v>58</v>
      </c>
      <c r="G1178">
        <v>3</v>
      </c>
      <c r="H1178">
        <v>2</v>
      </c>
      <c r="I1178" t="s">
        <v>64</v>
      </c>
      <c r="J1178">
        <v>1</v>
      </c>
      <c r="K1178" t="s">
        <v>37</v>
      </c>
      <c r="L1178">
        <v>6125</v>
      </c>
      <c r="M1178">
        <v>1</v>
      </c>
      <c r="N1178" t="s">
        <v>41</v>
      </c>
      <c r="O1178">
        <v>12</v>
      </c>
      <c r="P1178">
        <v>3</v>
      </c>
      <c r="Q1178">
        <v>0</v>
      </c>
      <c r="R1178">
        <v>10</v>
      </c>
      <c r="S1178">
        <v>6</v>
      </c>
      <c r="T1178">
        <v>10</v>
      </c>
      <c r="U1178">
        <v>9</v>
      </c>
      <c r="V1178">
        <v>6</v>
      </c>
      <c r="W1178" t="s">
        <v>56</v>
      </c>
      <c r="X1178" s="1" t="d">
        <v>2011-04-20</v>
      </c>
      <c r="Z1178" t="s">
        <v>39</v>
      </c>
      <c r="AA1178" t="s">
        <v>46</v>
      </c>
      <c r="AB1178">
        <v>4</v>
      </c>
      <c r="AC1178">
        <v>1</v>
      </c>
      <c r="AD1178" t="s">
        <v>32</v>
      </c>
      <c r="AE1178" t="s">
        <v>62</v>
      </c>
      <c r="AF1178" t="s">
        <v>57</v>
      </c>
    </row>
    <row r="1179" spans="1:32" x14ac:dyDescent="0.25">
      <c r="A1179">
        <v>58</v>
      </c>
      <c r="B1179" t="s">
        <v>32</v>
      </c>
      <c r="C1179" t="s">
        <v>33</v>
      </c>
      <c r="D1179" t="s">
        <v>34</v>
      </c>
      <c r="E1179">
        <v>7</v>
      </c>
      <c r="F1179" t="s">
        <v>58</v>
      </c>
      <c r="G1179">
        <v>2</v>
      </c>
      <c r="H1179">
        <v>3</v>
      </c>
      <c r="I1179" t="s">
        <v>67</v>
      </c>
      <c r="J1179">
        <v>1</v>
      </c>
      <c r="K1179" t="s">
        <v>50</v>
      </c>
      <c r="L1179">
        <v>10008</v>
      </c>
      <c r="M1179">
        <v>7</v>
      </c>
      <c r="N1179" t="s">
        <v>32</v>
      </c>
      <c r="O1179">
        <v>14</v>
      </c>
      <c r="P1179">
        <v>3</v>
      </c>
      <c r="Q1179">
        <v>0</v>
      </c>
      <c r="R1179">
        <v>31</v>
      </c>
      <c r="S1179">
        <v>0</v>
      </c>
      <c r="T1179">
        <v>10</v>
      </c>
      <c r="U1179">
        <v>5</v>
      </c>
      <c r="V1179">
        <v>9</v>
      </c>
      <c r="W1179" t="s">
        <v>38</v>
      </c>
      <c r="X1179" s="1" t="d">
        <v>2011-04-07</v>
      </c>
      <c r="Z1179" t="s">
        <v>45</v>
      </c>
      <c r="AA1179" t="s">
        <v>46</v>
      </c>
      <c r="AB1179">
        <v>3</v>
      </c>
      <c r="AC1179">
        <v>2</v>
      </c>
      <c r="AD1179" t="s">
        <v>41</v>
      </c>
      <c r="AE1179" t="s">
        <v>60</v>
      </c>
      <c r="AF1179" t="s">
        <v>48</v>
      </c>
    </row>
    <row r="1180" spans="1:32" x14ac:dyDescent="0.25">
      <c r="A1180">
        <v>48</v>
      </c>
      <c r="B1180" t="s">
        <v>41</v>
      </c>
      <c r="C1180" t="s">
        <v>33</v>
      </c>
      <c r="D1180" t="s">
        <v>34</v>
      </c>
      <c r="E1180">
        <v>4</v>
      </c>
      <c r="F1180" t="s">
        <v>35</v>
      </c>
      <c r="G1180">
        <v>3</v>
      </c>
      <c r="H1180">
        <v>3</v>
      </c>
      <c r="I1180" t="s">
        <v>67</v>
      </c>
      <c r="J1180">
        <v>4</v>
      </c>
      <c r="K1180" t="s">
        <v>37</v>
      </c>
      <c r="L1180">
        <v>7898</v>
      </c>
      <c r="M1180">
        <v>1</v>
      </c>
      <c r="N1180" t="s">
        <v>41</v>
      </c>
      <c r="O1180">
        <v>11</v>
      </c>
      <c r="P1180">
        <v>3</v>
      </c>
      <c r="Q1180">
        <v>0</v>
      </c>
      <c r="R1180">
        <v>11</v>
      </c>
      <c r="S1180">
        <v>2</v>
      </c>
      <c r="T1180">
        <v>10</v>
      </c>
      <c r="U1180">
        <v>0</v>
      </c>
      <c r="V1180">
        <v>8</v>
      </c>
      <c r="W1180" t="s">
        <v>56</v>
      </c>
      <c r="X1180" s="1" t="d">
        <v>2011-06-28</v>
      </c>
      <c r="Z1180" t="s">
        <v>45</v>
      </c>
      <c r="AA1180" t="s">
        <v>40</v>
      </c>
      <c r="AB1180">
        <v>0</v>
      </c>
      <c r="AC1180">
        <v>2</v>
      </c>
      <c r="AD1180" t="s">
        <v>32</v>
      </c>
      <c r="AE1180" t="s">
        <v>62</v>
      </c>
      <c r="AF1180" t="s">
        <v>43</v>
      </c>
    </row>
    <row r="1181" spans="1:32" x14ac:dyDescent="0.25">
      <c r="A1181">
        <v>31</v>
      </c>
      <c r="B1181" t="s">
        <v>32</v>
      </c>
      <c r="C1181" t="s">
        <v>33</v>
      </c>
      <c r="D1181" t="s">
        <v>34</v>
      </c>
      <c r="E1181">
        <v>22</v>
      </c>
      <c r="F1181" t="s">
        <v>35</v>
      </c>
      <c r="G1181">
        <v>3</v>
      </c>
      <c r="H1181">
        <v>2</v>
      </c>
      <c r="I1181" t="s">
        <v>67</v>
      </c>
      <c r="J1181">
        <v>3</v>
      </c>
      <c r="K1181" t="s">
        <v>50</v>
      </c>
      <c r="L1181">
        <v>6179</v>
      </c>
      <c r="M1181">
        <v>1</v>
      </c>
      <c r="N1181" t="s">
        <v>32</v>
      </c>
      <c r="O1181">
        <v>15</v>
      </c>
      <c r="P1181">
        <v>3</v>
      </c>
      <c r="Q1181">
        <v>2</v>
      </c>
      <c r="R1181">
        <v>10</v>
      </c>
      <c r="S1181">
        <v>3</v>
      </c>
      <c r="T1181">
        <v>10</v>
      </c>
      <c r="U1181">
        <v>6</v>
      </c>
      <c r="V1181">
        <v>7</v>
      </c>
      <c r="W1181" t="s">
        <v>65</v>
      </c>
      <c r="X1181" s="1" t="d">
        <v>2011-05-03</v>
      </c>
      <c r="Z1181" t="s">
        <v>59</v>
      </c>
      <c r="AA1181" t="s">
        <v>46</v>
      </c>
      <c r="AB1181">
        <v>5</v>
      </c>
      <c r="AC1181">
        <v>1</v>
      </c>
      <c r="AD1181" t="s">
        <v>41</v>
      </c>
      <c r="AE1181" t="s">
        <v>42</v>
      </c>
      <c r="AF1181" t="s">
        <v>43</v>
      </c>
    </row>
    <row r="1182" spans="1:32" x14ac:dyDescent="0.25">
      <c r="A1182">
        <v>29</v>
      </c>
      <c r="B1182" t="s">
        <v>41</v>
      </c>
      <c r="C1182" t="s">
        <v>33</v>
      </c>
      <c r="D1182" t="s">
        <v>70</v>
      </c>
      <c r="E1182">
        <v>17</v>
      </c>
      <c r="F1182" t="s">
        <v>35</v>
      </c>
      <c r="G1182">
        <v>2</v>
      </c>
      <c r="H1182">
        <v>3</v>
      </c>
      <c r="I1182" t="s">
        <v>70</v>
      </c>
      <c r="J1182">
        <v>1</v>
      </c>
      <c r="K1182" t="s">
        <v>37</v>
      </c>
      <c r="L1182">
        <v>7988</v>
      </c>
      <c r="M1182">
        <v>1</v>
      </c>
      <c r="N1182" t="s">
        <v>41</v>
      </c>
      <c r="O1182">
        <v>13</v>
      </c>
      <c r="P1182">
        <v>3</v>
      </c>
      <c r="Q1182">
        <v>0</v>
      </c>
      <c r="R1182">
        <v>10</v>
      </c>
      <c r="S1182">
        <v>3</v>
      </c>
      <c r="T1182">
        <v>10</v>
      </c>
      <c r="U1182">
        <v>0</v>
      </c>
      <c r="V1182">
        <v>9</v>
      </c>
      <c r="W1182" t="s">
        <v>56</v>
      </c>
      <c r="X1182" s="1" t="d">
        <v>2011-03-27</v>
      </c>
      <c r="Z1182" t="s">
        <v>52</v>
      </c>
      <c r="AA1182" t="s">
        <v>40</v>
      </c>
      <c r="AB1182">
        <v>2</v>
      </c>
      <c r="AC1182">
        <v>2</v>
      </c>
      <c r="AD1182" t="s">
        <v>32</v>
      </c>
      <c r="AE1182" t="s">
        <v>47</v>
      </c>
      <c r="AF1182" t="s">
        <v>43</v>
      </c>
    </row>
    <row r="1183" spans="1:32" x14ac:dyDescent="0.25">
      <c r="A1183">
        <v>36</v>
      </c>
      <c r="B1183" t="s">
        <v>41</v>
      </c>
      <c r="C1183" t="s">
        <v>33</v>
      </c>
      <c r="D1183" t="s">
        <v>34</v>
      </c>
      <c r="E1183">
        <v>4</v>
      </c>
      <c r="F1183" t="s">
        <v>35</v>
      </c>
      <c r="G1183">
        <v>2</v>
      </c>
      <c r="H1183">
        <v>2</v>
      </c>
      <c r="I1183" t="s">
        <v>36</v>
      </c>
      <c r="J1183">
        <v>4</v>
      </c>
      <c r="K1183" t="s">
        <v>37</v>
      </c>
      <c r="L1183">
        <v>5810</v>
      </c>
      <c r="M1183">
        <v>1</v>
      </c>
      <c r="N1183" t="s">
        <v>41</v>
      </c>
      <c r="O1183">
        <v>16</v>
      </c>
      <c r="P1183">
        <v>3</v>
      </c>
      <c r="Q1183">
        <v>0</v>
      </c>
      <c r="R1183">
        <v>10</v>
      </c>
      <c r="S1183">
        <v>2</v>
      </c>
      <c r="T1183">
        <v>10</v>
      </c>
      <c r="U1183">
        <v>1</v>
      </c>
      <c r="V1183">
        <v>8</v>
      </c>
      <c r="W1183" t="s">
        <v>65</v>
      </c>
      <c r="X1183" s="1" t="d">
        <v>2011-05-22</v>
      </c>
      <c r="Z1183" t="s">
        <v>59</v>
      </c>
      <c r="AA1183" t="s">
        <v>46</v>
      </c>
      <c r="AB1183">
        <v>4</v>
      </c>
      <c r="AC1183">
        <v>2</v>
      </c>
      <c r="AD1183" t="s">
        <v>41</v>
      </c>
      <c r="AE1183" t="s">
        <v>42</v>
      </c>
      <c r="AF1183" t="s">
        <v>48</v>
      </c>
    </row>
    <row r="1184" spans="1:32" x14ac:dyDescent="0.25">
      <c r="A1184">
        <v>31</v>
      </c>
      <c r="B1184" t="s">
        <v>32</v>
      </c>
      <c r="C1184" t="s">
        <v>61</v>
      </c>
      <c r="D1184" t="s">
        <v>34</v>
      </c>
      <c r="E1184">
        <v>1</v>
      </c>
      <c r="F1184" t="s">
        <v>58</v>
      </c>
      <c r="G1184">
        <v>4</v>
      </c>
      <c r="H1184">
        <v>3</v>
      </c>
      <c r="I1184" t="s">
        <v>67</v>
      </c>
      <c r="J1184">
        <v>2</v>
      </c>
      <c r="K1184" t="s">
        <v>37</v>
      </c>
      <c r="L1184">
        <v>7446</v>
      </c>
      <c r="M1184">
        <v>1</v>
      </c>
      <c r="N1184" t="s">
        <v>41</v>
      </c>
      <c r="O1184">
        <v>11</v>
      </c>
      <c r="P1184">
        <v>3</v>
      </c>
      <c r="Q1184">
        <v>0</v>
      </c>
      <c r="R1184">
        <v>10</v>
      </c>
      <c r="S1184">
        <v>2</v>
      </c>
      <c r="T1184">
        <v>10</v>
      </c>
      <c r="U1184">
        <v>4</v>
      </c>
      <c r="V1184">
        <v>7</v>
      </c>
      <c r="W1184" t="s">
        <v>51</v>
      </c>
      <c r="X1184" s="1" t="d">
        <v>2011-04-05</v>
      </c>
      <c r="Z1184" t="s">
        <v>39</v>
      </c>
      <c r="AA1184" t="s">
        <v>46</v>
      </c>
      <c r="AB1184">
        <v>2</v>
      </c>
      <c r="AC1184">
        <v>2</v>
      </c>
      <c r="AD1184" t="s">
        <v>32</v>
      </c>
      <c r="AE1184" t="s">
        <v>60</v>
      </c>
      <c r="AF1184" t="s">
        <v>43</v>
      </c>
    </row>
    <row r="1185" spans="1:32" x14ac:dyDescent="0.25">
      <c r="A1185">
        <v>29</v>
      </c>
      <c r="B1185" t="s">
        <v>41</v>
      </c>
      <c r="C1185" t="s">
        <v>33</v>
      </c>
      <c r="D1185" t="s">
        <v>53</v>
      </c>
      <c r="E1185">
        <v>19</v>
      </c>
      <c r="F1185" t="s">
        <v>35</v>
      </c>
      <c r="G1185">
        <v>2</v>
      </c>
      <c r="H1185">
        <v>2</v>
      </c>
      <c r="I1185" t="s">
        <v>64</v>
      </c>
      <c r="J1185">
        <v>3</v>
      </c>
      <c r="K1185" t="s">
        <v>55</v>
      </c>
      <c r="L1185">
        <v>8620</v>
      </c>
      <c r="M1185">
        <v>1</v>
      </c>
      <c r="N1185" t="s">
        <v>41</v>
      </c>
      <c r="O1185">
        <v>14</v>
      </c>
      <c r="P1185">
        <v>3</v>
      </c>
      <c r="Q1185">
        <v>2</v>
      </c>
      <c r="R1185">
        <v>10</v>
      </c>
      <c r="S1185">
        <v>3</v>
      </c>
      <c r="T1185">
        <v>10</v>
      </c>
      <c r="U1185">
        <v>0</v>
      </c>
      <c r="V1185">
        <v>4</v>
      </c>
      <c r="W1185" t="s">
        <v>65</v>
      </c>
      <c r="X1185" s="1" t="d">
        <v>2011-03-19</v>
      </c>
      <c r="Z1185" t="s">
        <v>39</v>
      </c>
      <c r="AA1185" t="s">
        <v>46</v>
      </c>
      <c r="AB1185">
        <v>0</v>
      </c>
      <c r="AC1185">
        <v>0</v>
      </c>
      <c r="AD1185" t="s">
        <v>41</v>
      </c>
      <c r="AE1185" t="s">
        <v>62</v>
      </c>
      <c r="AF1185" t="s">
        <v>57</v>
      </c>
    </row>
    <row r="1186" spans="1:32" x14ac:dyDescent="0.25">
      <c r="A1186">
        <v>34</v>
      </c>
      <c r="B1186" t="s">
        <v>41</v>
      </c>
      <c r="C1186" t="s">
        <v>33</v>
      </c>
      <c r="D1186" t="s">
        <v>53</v>
      </c>
      <c r="E1186">
        <v>1</v>
      </c>
      <c r="F1186" t="s">
        <v>35</v>
      </c>
      <c r="G1186">
        <v>2</v>
      </c>
      <c r="H1186">
        <v>3</v>
      </c>
      <c r="I1186" t="s">
        <v>64</v>
      </c>
      <c r="J1186">
        <v>3</v>
      </c>
      <c r="K1186" t="s">
        <v>50</v>
      </c>
      <c r="L1186">
        <v>7083</v>
      </c>
      <c r="M1186">
        <v>1</v>
      </c>
      <c r="N1186" t="s">
        <v>32</v>
      </c>
      <c r="O1186">
        <v>14</v>
      </c>
      <c r="P1186">
        <v>3</v>
      </c>
      <c r="Q1186">
        <v>0</v>
      </c>
      <c r="R1186">
        <v>10</v>
      </c>
      <c r="S1186">
        <v>3</v>
      </c>
      <c r="T1186">
        <v>10</v>
      </c>
      <c r="U1186">
        <v>8</v>
      </c>
      <c r="V1186">
        <v>6</v>
      </c>
      <c r="W1186" t="s">
        <v>38</v>
      </c>
      <c r="X1186" s="1" t="d">
        <v>2011-03-01</v>
      </c>
      <c r="Z1186" t="s">
        <v>59</v>
      </c>
      <c r="AA1186" t="s">
        <v>46</v>
      </c>
      <c r="AB1186">
        <v>3</v>
      </c>
      <c r="AC1186">
        <v>2</v>
      </c>
      <c r="AD1186" t="s">
        <v>32</v>
      </c>
      <c r="AE1186" t="s">
        <v>60</v>
      </c>
      <c r="AF1186" t="s">
        <v>43</v>
      </c>
    </row>
    <row r="1187" spans="1:32" x14ac:dyDescent="0.25">
      <c r="A1187">
        <v>37</v>
      </c>
      <c r="B1187" t="s">
        <v>41</v>
      </c>
      <c r="C1187" t="s">
        <v>33</v>
      </c>
      <c r="D1187" t="s">
        <v>34</v>
      </c>
      <c r="E1187">
        <v>13</v>
      </c>
      <c r="F1187" t="s">
        <v>35</v>
      </c>
      <c r="G1187">
        <v>3</v>
      </c>
      <c r="H1187">
        <v>2</v>
      </c>
      <c r="I1187" t="s">
        <v>44</v>
      </c>
      <c r="J1187">
        <v>4</v>
      </c>
      <c r="K1187" t="s">
        <v>50</v>
      </c>
      <c r="L1187">
        <v>4285</v>
      </c>
      <c r="M1187">
        <v>1</v>
      </c>
      <c r="N1187" t="s">
        <v>41</v>
      </c>
      <c r="O1187">
        <v>17</v>
      </c>
      <c r="P1187">
        <v>3</v>
      </c>
      <c r="Q1187">
        <v>0</v>
      </c>
      <c r="R1187">
        <v>10</v>
      </c>
      <c r="S1187">
        <v>2</v>
      </c>
      <c r="T1187">
        <v>10</v>
      </c>
      <c r="U1187">
        <v>3</v>
      </c>
      <c r="V1187">
        <v>7</v>
      </c>
      <c r="W1187" t="s">
        <v>56</v>
      </c>
      <c r="X1187" s="1" t="d">
        <v>2011-03-11</v>
      </c>
      <c r="Z1187" t="s">
        <v>63</v>
      </c>
      <c r="AA1187" t="s">
        <v>40</v>
      </c>
      <c r="AB1187">
        <v>1</v>
      </c>
      <c r="AC1187">
        <v>3</v>
      </c>
      <c r="AD1187" t="s">
        <v>41</v>
      </c>
      <c r="AE1187" t="s">
        <v>60</v>
      </c>
      <c r="AF1187" t="s">
        <v>57</v>
      </c>
    </row>
    <row r="1188" spans="1:32" x14ac:dyDescent="0.25">
      <c r="A1188">
        <v>45</v>
      </c>
      <c r="B1188" t="s">
        <v>41</v>
      </c>
      <c r="C1188" t="s">
        <v>33</v>
      </c>
      <c r="D1188" t="s">
        <v>34</v>
      </c>
      <c r="E1188">
        <v>1</v>
      </c>
      <c r="F1188" t="s">
        <v>35</v>
      </c>
      <c r="G1188">
        <v>3</v>
      </c>
      <c r="H1188">
        <v>3</v>
      </c>
      <c r="I1188" t="s">
        <v>69</v>
      </c>
      <c r="J1188">
        <v>2</v>
      </c>
      <c r="K1188" t="s">
        <v>55</v>
      </c>
      <c r="L1188">
        <v>7441</v>
      </c>
      <c r="M1188">
        <v>1</v>
      </c>
      <c r="N1188" t="s">
        <v>41</v>
      </c>
      <c r="O1188">
        <v>12</v>
      </c>
      <c r="P1188">
        <v>3</v>
      </c>
      <c r="Q1188">
        <v>3</v>
      </c>
      <c r="R1188">
        <v>10</v>
      </c>
      <c r="S1188">
        <v>4</v>
      </c>
      <c r="T1188">
        <v>10</v>
      </c>
      <c r="U1188">
        <v>7</v>
      </c>
      <c r="V1188">
        <v>7</v>
      </c>
      <c r="W1188" t="s">
        <v>56</v>
      </c>
      <c r="X1188" s="1" t="d">
        <v>2011-05-06</v>
      </c>
      <c r="Z1188" t="s">
        <v>59</v>
      </c>
      <c r="AA1188" t="s">
        <v>40</v>
      </c>
      <c r="AB1188">
        <v>4</v>
      </c>
      <c r="AC1188">
        <v>0</v>
      </c>
      <c r="AD1188" t="s">
        <v>41</v>
      </c>
      <c r="AE1188" t="s">
        <v>42</v>
      </c>
      <c r="AF1188" t="s">
        <v>48</v>
      </c>
    </row>
    <row r="1189" spans="1:32" x14ac:dyDescent="0.25">
      <c r="A1189">
        <v>30</v>
      </c>
      <c r="B1189" t="s">
        <v>32</v>
      </c>
      <c r="C1189" t="s">
        <v>33</v>
      </c>
      <c r="D1189" t="s">
        <v>53</v>
      </c>
      <c r="E1189">
        <v>1</v>
      </c>
      <c r="F1189" t="s">
        <v>35</v>
      </c>
      <c r="G1189">
        <v>2</v>
      </c>
      <c r="H1189">
        <v>2</v>
      </c>
      <c r="I1189" t="s">
        <v>64</v>
      </c>
      <c r="J1189">
        <v>1</v>
      </c>
      <c r="K1189" t="s">
        <v>50</v>
      </c>
      <c r="L1189">
        <v>9714</v>
      </c>
      <c r="M1189">
        <v>1</v>
      </c>
      <c r="N1189" t="s">
        <v>41</v>
      </c>
      <c r="O1189">
        <v>11</v>
      </c>
      <c r="P1189">
        <v>3</v>
      </c>
      <c r="Q1189">
        <v>1</v>
      </c>
      <c r="R1189">
        <v>10</v>
      </c>
      <c r="S1189">
        <v>4</v>
      </c>
      <c r="T1189">
        <v>10</v>
      </c>
      <c r="U1189">
        <v>6</v>
      </c>
      <c r="V1189">
        <v>7</v>
      </c>
      <c r="W1189" t="s">
        <v>51</v>
      </c>
      <c r="X1189" s="1" t="d">
        <v>2011-01-02</v>
      </c>
      <c r="Z1189" t="s">
        <v>52</v>
      </c>
      <c r="AA1189" t="s">
        <v>46</v>
      </c>
      <c r="AB1189">
        <v>5</v>
      </c>
      <c r="AC1189">
        <v>1</v>
      </c>
      <c r="AD1189" t="s">
        <v>41</v>
      </c>
      <c r="AE1189" t="s">
        <v>42</v>
      </c>
      <c r="AF1189" t="s">
        <v>48</v>
      </c>
    </row>
    <row r="1190" spans="1:32" x14ac:dyDescent="0.25">
      <c r="A1190">
        <v>29</v>
      </c>
      <c r="B1190" t="s">
        <v>41</v>
      </c>
      <c r="C1190" t="s">
        <v>33</v>
      </c>
      <c r="D1190" t="s">
        <v>34</v>
      </c>
      <c r="E1190">
        <v>3</v>
      </c>
      <c r="F1190" t="s">
        <v>35</v>
      </c>
      <c r="G1190">
        <v>3</v>
      </c>
      <c r="H1190">
        <v>1</v>
      </c>
      <c r="I1190" t="s">
        <v>36</v>
      </c>
      <c r="J1190">
        <v>1</v>
      </c>
      <c r="K1190" t="s">
        <v>37</v>
      </c>
      <c r="L1190">
        <v>4723</v>
      </c>
      <c r="M1190">
        <v>1</v>
      </c>
      <c r="N1190" t="s">
        <v>32</v>
      </c>
      <c r="O1190">
        <v>18</v>
      </c>
      <c r="P1190">
        <v>3</v>
      </c>
      <c r="Q1190">
        <v>0</v>
      </c>
      <c r="R1190">
        <v>10</v>
      </c>
      <c r="S1190">
        <v>3</v>
      </c>
      <c r="T1190">
        <v>10</v>
      </c>
      <c r="U1190">
        <v>1</v>
      </c>
      <c r="V1190">
        <v>5</v>
      </c>
      <c r="W1190" t="s">
        <v>56</v>
      </c>
      <c r="X1190" s="1" t="d">
        <v>2011-02-06</v>
      </c>
      <c r="Z1190" t="s">
        <v>39</v>
      </c>
      <c r="AA1190" t="s">
        <v>46</v>
      </c>
      <c r="AB1190">
        <v>3</v>
      </c>
      <c r="AC1190">
        <v>1</v>
      </c>
      <c r="AD1190" t="s">
        <v>32</v>
      </c>
      <c r="AE1190" t="s">
        <v>62</v>
      </c>
      <c r="AF1190" t="s">
        <v>57</v>
      </c>
    </row>
    <row r="1191" spans="1:32" x14ac:dyDescent="0.25">
      <c r="A1191">
        <v>35</v>
      </c>
      <c r="B1191" t="s">
        <v>41</v>
      </c>
      <c r="C1191" t="s">
        <v>33</v>
      </c>
      <c r="D1191" t="s">
        <v>34</v>
      </c>
      <c r="E1191">
        <v>28</v>
      </c>
      <c r="F1191" t="s">
        <v>35</v>
      </c>
      <c r="G1191">
        <v>4</v>
      </c>
      <c r="H1191">
        <v>2</v>
      </c>
      <c r="I1191" t="s">
        <v>36</v>
      </c>
      <c r="J1191">
        <v>3</v>
      </c>
      <c r="K1191" t="s">
        <v>50</v>
      </c>
      <c r="L1191">
        <v>3407</v>
      </c>
      <c r="M1191">
        <v>1</v>
      </c>
      <c r="N1191" t="s">
        <v>41</v>
      </c>
      <c r="O1191">
        <v>17</v>
      </c>
      <c r="P1191">
        <v>3</v>
      </c>
      <c r="Q1191">
        <v>2</v>
      </c>
      <c r="R1191">
        <v>10</v>
      </c>
      <c r="S1191">
        <v>3</v>
      </c>
      <c r="T1191">
        <v>10</v>
      </c>
      <c r="U1191">
        <v>6</v>
      </c>
      <c r="V1191">
        <v>8</v>
      </c>
      <c r="W1191" t="s">
        <v>56</v>
      </c>
      <c r="X1191" s="1" t="d">
        <v>2011-04-22</v>
      </c>
      <c r="Z1191" t="s">
        <v>45</v>
      </c>
      <c r="AA1191" t="s">
        <v>40</v>
      </c>
      <c r="AB1191">
        <v>3</v>
      </c>
      <c r="AC1191">
        <v>3</v>
      </c>
      <c r="AD1191" t="s">
        <v>32</v>
      </c>
      <c r="AE1191" t="s">
        <v>47</v>
      </c>
      <c r="AF1191" t="s">
        <v>43</v>
      </c>
    </row>
    <row r="1192" spans="1:32" x14ac:dyDescent="0.25">
      <c r="A1192">
        <v>45</v>
      </c>
      <c r="B1192" t="s">
        <v>41</v>
      </c>
      <c r="C1192" t="s">
        <v>33</v>
      </c>
      <c r="D1192" t="s">
        <v>34</v>
      </c>
      <c r="E1192">
        <v>5</v>
      </c>
      <c r="F1192" t="s">
        <v>58</v>
      </c>
      <c r="G1192">
        <v>1</v>
      </c>
      <c r="H1192">
        <v>2</v>
      </c>
      <c r="I1192" t="s">
        <v>36</v>
      </c>
      <c r="J1192">
        <v>1</v>
      </c>
      <c r="K1192" t="s">
        <v>37</v>
      </c>
      <c r="L1192">
        <v>5769</v>
      </c>
      <c r="M1192">
        <v>1</v>
      </c>
      <c r="N1192" t="s">
        <v>32</v>
      </c>
      <c r="O1192">
        <v>14</v>
      </c>
      <c r="P1192">
        <v>3</v>
      </c>
      <c r="Q1192">
        <v>0</v>
      </c>
      <c r="R1192">
        <v>10</v>
      </c>
      <c r="S1192">
        <v>3</v>
      </c>
      <c r="T1192">
        <v>10</v>
      </c>
      <c r="U1192">
        <v>1</v>
      </c>
      <c r="V1192">
        <v>4</v>
      </c>
      <c r="W1192" t="s">
        <v>56</v>
      </c>
      <c r="X1192" s="1" t="d">
        <v>2011-03-30</v>
      </c>
      <c r="Z1192" t="s">
        <v>63</v>
      </c>
      <c r="AA1192" t="s">
        <v>46</v>
      </c>
      <c r="AB1192">
        <v>4</v>
      </c>
      <c r="AC1192">
        <v>3</v>
      </c>
      <c r="AD1192" t="s">
        <v>32</v>
      </c>
      <c r="AE1192" t="s">
        <v>62</v>
      </c>
      <c r="AF1192" t="s">
        <v>48</v>
      </c>
    </row>
    <row r="1193" spans="1:32" x14ac:dyDescent="0.25">
      <c r="A1193">
        <v>45</v>
      </c>
      <c r="B1193" t="s">
        <v>41</v>
      </c>
      <c r="C1193" t="s">
        <v>68</v>
      </c>
      <c r="D1193" t="s">
        <v>53</v>
      </c>
      <c r="E1193">
        <v>26</v>
      </c>
      <c r="F1193" t="s">
        <v>35</v>
      </c>
      <c r="G1193">
        <v>2</v>
      </c>
      <c r="H1193">
        <v>2</v>
      </c>
      <c r="I1193" t="s">
        <v>64</v>
      </c>
      <c r="J1193">
        <v>1</v>
      </c>
      <c r="K1193" t="s">
        <v>50</v>
      </c>
      <c r="L1193">
        <v>4385</v>
      </c>
      <c r="M1193">
        <v>1</v>
      </c>
      <c r="N1193" t="s">
        <v>41</v>
      </c>
      <c r="O1193">
        <v>15</v>
      </c>
      <c r="P1193">
        <v>3</v>
      </c>
      <c r="Q1193">
        <v>1</v>
      </c>
      <c r="R1193">
        <v>10</v>
      </c>
      <c r="S1193">
        <v>2</v>
      </c>
      <c r="T1193">
        <v>10</v>
      </c>
      <c r="U1193">
        <v>4</v>
      </c>
      <c r="V1193">
        <v>5</v>
      </c>
      <c r="W1193" t="s">
        <v>38</v>
      </c>
      <c r="X1193" s="1" t="d">
        <v>2011-04-01</v>
      </c>
      <c r="Z1193" t="s">
        <v>52</v>
      </c>
      <c r="AA1193" t="s">
        <v>40</v>
      </c>
      <c r="AB1193">
        <v>3</v>
      </c>
      <c r="AC1193">
        <v>3</v>
      </c>
      <c r="AD1193" t="s">
        <v>32</v>
      </c>
      <c r="AE1193" t="s">
        <v>60</v>
      </c>
      <c r="AF1193" t="s">
        <v>57</v>
      </c>
    </row>
    <row r="1194" spans="1:32" x14ac:dyDescent="0.25">
      <c r="A1194">
        <v>39</v>
      </c>
      <c r="B1194" t="s">
        <v>41</v>
      </c>
      <c r="C1194" t="s">
        <v>33</v>
      </c>
      <c r="D1194" t="s">
        <v>34</v>
      </c>
      <c r="E1194">
        <v>3</v>
      </c>
      <c r="F1194" t="s">
        <v>35</v>
      </c>
      <c r="G1194">
        <v>2</v>
      </c>
      <c r="H1194">
        <v>2</v>
      </c>
      <c r="I1194" t="s">
        <v>36</v>
      </c>
      <c r="J1194">
        <v>3</v>
      </c>
      <c r="K1194" t="s">
        <v>55</v>
      </c>
      <c r="L1194">
        <v>3069</v>
      </c>
      <c r="M1194">
        <v>0</v>
      </c>
      <c r="N1194" t="s">
        <v>41</v>
      </c>
      <c r="O1194">
        <v>15</v>
      </c>
      <c r="P1194">
        <v>3</v>
      </c>
      <c r="Q1194">
        <v>1</v>
      </c>
      <c r="R1194">
        <v>11</v>
      </c>
      <c r="S1194">
        <v>3</v>
      </c>
      <c r="T1194">
        <v>10</v>
      </c>
      <c r="U1194">
        <v>0</v>
      </c>
      <c r="V1194">
        <v>7</v>
      </c>
      <c r="W1194" t="s">
        <v>38</v>
      </c>
      <c r="X1194" s="1" t="d">
        <v>2011-04-03</v>
      </c>
      <c r="Z1194" t="s">
        <v>52</v>
      </c>
      <c r="AA1194" t="s">
        <v>46</v>
      </c>
      <c r="AB1194">
        <v>5</v>
      </c>
      <c r="AC1194">
        <v>0</v>
      </c>
      <c r="AD1194" t="s">
        <v>32</v>
      </c>
      <c r="AE1194" t="s">
        <v>42</v>
      </c>
      <c r="AF1194" t="s">
        <v>43</v>
      </c>
    </row>
    <row r="1195" spans="1:32" x14ac:dyDescent="0.25">
      <c r="A1195">
        <v>45</v>
      </c>
      <c r="B1195" t="s">
        <v>41</v>
      </c>
      <c r="C1195" t="s">
        <v>33</v>
      </c>
      <c r="D1195" t="s">
        <v>34</v>
      </c>
      <c r="E1195">
        <v>2</v>
      </c>
      <c r="F1195" t="s">
        <v>58</v>
      </c>
      <c r="G1195">
        <v>2</v>
      </c>
      <c r="H1195">
        <v>2</v>
      </c>
      <c r="I1195" t="s">
        <v>67</v>
      </c>
      <c r="J1195">
        <v>4</v>
      </c>
      <c r="K1195" t="s">
        <v>55</v>
      </c>
      <c r="L1195">
        <v>5770</v>
      </c>
      <c r="M1195">
        <v>1</v>
      </c>
      <c r="N1195" t="s">
        <v>41</v>
      </c>
      <c r="O1195">
        <v>19</v>
      </c>
      <c r="P1195">
        <v>3</v>
      </c>
      <c r="Q1195">
        <v>2</v>
      </c>
      <c r="R1195">
        <v>10</v>
      </c>
      <c r="S1195">
        <v>3</v>
      </c>
      <c r="T1195">
        <v>10</v>
      </c>
      <c r="U1195">
        <v>3</v>
      </c>
      <c r="V1195">
        <v>9</v>
      </c>
      <c r="W1195" t="s">
        <v>65</v>
      </c>
      <c r="X1195" s="1" t="d">
        <v>2011-02-26</v>
      </c>
      <c r="Z1195" t="s">
        <v>63</v>
      </c>
      <c r="AA1195" t="s">
        <v>46</v>
      </c>
      <c r="AB1195">
        <v>1</v>
      </c>
      <c r="AC1195">
        <v>3</v>
      </c>
      <c r="AD1195" t="s">
        <v>32</v>
      </c>
      <c r="AE1195" t="s">
        <v>47</v>
      </c>
      <c r="AF1195" t="s">
        <v>48</v>
      </c>
    </row>
    <row r="1196" spans="1:32" x14ac:dyDescent="0.25">
      <c r="A1196">
        <v>44</v>
      </c>
      <c r="B1196" t="s">
        <v>41</v>
      </c>
      <c r="C1196" t="s">
        <v>61</v>
      </c>
      <c r="D1196" t="s">
        <v>70</v>
      </c>
      <c r="E1196">
        <v>1</v>
      </c>
      <c r="F1196" t="s">
        <v>35</v>
      </c>
      <c r="G1196">
        <v>3</v>
      </c>
      <c r="H1196">
        <v>2</v>
      </c>
      <c r="I1196" t="s">
        <v>70</v>
      </c>
      <c r="J1196">
        <v>4</v>
      </c>
      <c r="K1196" t="s">
        <v>50</v>
      </c>
      <c r="L1196">
        <v>5743</v>
      </c>
      <c r="M1196">
        <v>4</v>
      </c>
      <c r="N1196" t="s">
        <v>32</v>
      </c>
      <c r="O1196">
        <v>11</v>
      </c>
      <c r="P1196">
        <v>3</v>
      </c>
      <c r="Q1196">
        <v>0</v>
      </c>
      <c r="R1196">
        <v>14</v>
      </c>
      <c r="S1196">
        <v>3</v>
      </c>
      <c r="T1196">
        <v>10</v>
      </c>
      <c r="U1196">
        <v>0</v>
      </c>
      <c r="V1196">
        <v>2</v>
      </c>
      <c r="W1196" t="s">
        <v>51</v>
      </c>
      <c r="X1196" s="1" t="d">
        <v>2011-06-28</v>
      </c>
      <c r="Z1196" t="s">
        <v>59</v>
      </c>
      <c r="AA1196" t="s">
        <v>40</v>
      </c>
      <c r="AB1196">
        <v>3</v>
      </c>
      <c r="AC1196">
        <v>2</v>
      </c>
      <c r="AD1196" t="s">
        <v>32</v>
      </c>
      <c r="AE1196" t="s">
        <v>47</v>
      </c>
      <c r="AF1196" t="s">
        <v>48</v>
      </c>
    </row>
    <row r="1197" spans="1:32" x14ac:dyDescent="0.25">
      <c r="A1197">
        <v>54</v>
      </c>
      <c r="B1197" t="s">
        <v>41</v>
      </c>
      <c r="C1197" t="s">
        <v>33</v>
      </c>
      <c r="D1197" t="s">
        <v>34</v>
      </c>
      <c r="E1197">
        <v>22</v>
      </c>
      <c r="F1197" t="s">
        <v>58</v>
      </c>
      <c r="G1197">
        <v>3</v>
      </c>
      <c r="H1197">
        <v>4</v>
      </c>
      <c r="I1197" t="s">
        <v>66</v>
      </c>
      <c r="J1197">
        <v>3</v>
      </c>
      <c r="K1197" t="s">
        <v>50</v>
      </c>
      <c r="L1197">
        <v>17426</v>
      </c>
      <c r="M1197">
        <v>3</v>
      </c>
      <c r="N1197" t="s">
        <v>41</v>
      </c>
      <c r="O1197">
        <v>25</v>
      </c>
      <c r="P1197">
        <v>4</v>
      </c>
      <c r="Q1197">
        <v>1</v>
      </c>
      <c r="R1197">
        <v>36</v>
      </c>
      <c r="S1197">
        <v>6</v>
      </c>
      <c r="T1197">
        <v>10</v>
      </c>
      <c r="U1197">
        <v>4</v>
      </c>
      <c r="V1197">
        <v>7</v>
      </c>
      <c r="W1197" t="s">
        <v>65</v>
      </c>
      <c r="X1197" s="1" t="d">
        <v>2011-02-28</v>
      </c>
      <c r="Z1197" t="s">
        <v>45</v>
      </c>
      <c r="AA1197" t="s">
        <v>46</v>
      </c>
      <c r="AB1197">
        <v>1</v>
      </c>
      <c r="AC1197">
        <v>0</v>
      </c>
      <c r="AD1197" t="s">
        <v>41</v>
      </c>
      <c r="AE1197" t="s">
        <v>47</v>
      </c>
      <c r="AF1197" t="s">
        <v>43</v>
      </c>
    </row>
    <row r="1198" spans="1:32" x14ac:dyDescent="0.25">
      <c r="A1198">
        <v>29</v>
      </c>
      <c r="B1198" t="s">
        <v>41</v>
      </c>
      <c r="C1198" t="s">
        <v>33</v>
      </c>
      <c r="D1198" t="s">
        <v>53</v>
      </c>
      <c r="E1198">
        <v>5</v>
      </c>
      <c r="F1198" t="s">
        <v>35</v>
      </c>
      <c r="G1198">
        <v>2</v>
      </c>
      <c r="H1198">
        <v>2</v>
      </c>
      <c r="I1198" t="s">
        <v>64</v>
      </c>
      <c r="J1198">
        <v>2</v>
      </c>
      <c r="K1198" t="s">
        <v>55</v>
      </c>
      <c r="L1198">
        <v>4187</v>
      </c>
      <c r="M1198">
        <v>1</v>
      </c>
      <c r="N1198" t="s">
        <v>32</v>
      </c>
      <c r="O1198">
        <v>13</v>
      </c>
      <c r="P1198">
        <v>3</v>
      </c>
      <c r="Q1198">
        <v>1</v>
      </c>
      <c r="R1198">
        <v>10</v>
      </c>
      <c r="S1198">
        <v>3</v>
      </c>
      <c r="T1198">
        <v>10</v>
      </c>
      <c r="U1198">
        <v>0</v>
      </c>
      <c r="V1198">
        <v>9</v>
      </c>
      <c r="W1198" t="s">
        <v>51</v>
      </c>
      <c r="X1198" s="1" t="d">
        <v>2011-05-06</v>
      </c>
      <c r="Z1198" t="s">
        <v>45</v>
      </c>
      <c r="AA1198" t="s">
        <v>46</v>
      </c>
      <c r="AB1198">
        <v>4</v>
      </c>
      <c r="AC1198">
        <v>3</v>
      </c>
      <c r="AD1198" t="s">
        <v>41</v>
      </c>
      <c r="AE1198" t="s">
        <v>60</v>
      </c>
      <c r="AF1198" t="s">
        <v>43</v>
      </c>
    </row>
    <row r="1199" spans="1:32" x14ac:dyDescent="0.25">
      <c r="A1199">
        <v>31</v>
      </c>
      <c r="B1199" t="s">
        <v>41</v>
      </c>
      <c r="C1199" t="s">
        <v>33</v>
      </c>
      <c r="D1199" t="s">
        <v>53</v>
      </c>
      <c r="E1199">
        <v>5</v>
      </c>
      <c r="F1199" t="s">
        <v>58</v>
      </c>
      <c r="G1199">
        <v>3</v>
      </c>
      <c r="H1199">
        <v>2</v>
      </c>
      <c r="I1199" t="s">
        <v>64</v>
      </c>
      <c r="J1199">
        <v>4</v>
      </c>
      <c r="K1199" t="s">
        <v>50</v>
      </c>
      <c r="L1199">
        <v>5476</v>
      </c>
      <c r="M1199">
        <v>1</v>
      </c>
      <c r="N1199" t="s">
        <v>41</v>
      </c>
      <c r="O1199">
        <v>11</v>
      </c>
      <c r="P1199">
        <v>3</v>
      </c>
      <c r="Q1199">
        <v>2</v>
      </c>
      <c r="R1199">
        <v>10</v>
      </c>
      <c r="S1199">
        <v>2</v>
      </c>
      <c r="T1199">
        <v>10</v>
      </c>
      <c r="U1199">
        <v>0</v>
      </c>
      <c r="V1199">
        <v>2</v>
      </c>
      <c r="W1199" t="s">
        <v>51</v>
      </c>
      <c r="X1199" s="1" t="d">
        <v>2011-02-24</v>
      </c>
      <c r="Z1199" t="s">
        <v>39</v>
      </c>
      <c r="AA1199" t="s">
        <v>46</v>
      </c>
      <c r="AB1199">
        <v>5</v>
      </c>
      <c r="AC1199">
        <v>2</v>
      </c>
      <c r="AD1199" t="s">
        <v>41</v>
      </c>
      <c r="AE1199" t="s">
        <v>47</v>
      </c>
      <c r="AF1199" t="s">
        <v>43</v>
      </c>
    </row>
    <row r="1200" spans="1:32" x14ac:dyDescent="0.25">
      <c r="A1200">
        <v>34</v>
      </c>
      <c r="B1200" t="s">
        <v>41</v>
      </c>
      <c r="C1200" t="s">
        <v>33</v>
      </c>
      <c r="D1200" t="s">
        <v>34</v>
      </c>
      <c r="E1200">
        <v>19</v>
      </c>
      <c r="F1200" t="s">
        <v>58</v>
      </c>
      <c r="G1200">
        <v>2</v>
      </c>
      <c r="H1200">
        <v>1</v>
      </c>
      <c r="I1200" t="s">
        <v>44</v>
      </c>
      <c r="J1200">
        <v>4</v>
      </c>
      <c r="K1200" t="s">
        <v>50</v>
      </c>
      <c r="L1200">
        <v>2929</v>
      </c>
      <c r="M1200">
        <v>1</v>
      </c>
      <c r="N1200" t="s">
        <v>41</v>
      </c>
      <c r="O1200">
        <v>12</v>
      </c>
      <c r="P1200">
        <v>3</v>
      </c>
      <c r="Q1200">
        <v>0</v>
      </c>
      <c r="R1200">
        <v>10</v>
      </c>
      <c r="S1200">
        <v>3</v>
      </c>
      <c r="T1200">
        <v>10</v>
      </c>
      <c r="U1200">
        <v>8</v>
      </c>
      <c r="V1200">
        <v>7</v>
      </c>
      <c r="W1200" t="s">
        <v>65</v>
      </c>
      <c r="X1200" s="1" t="d">
        <v>2011-03-26</v>
      </c>
      <c r="Z1200" t="s">
        <v>59</v>
      </c>
      <c r="AA1200" t="s">
        <v>46</v>
      </c>
      <c r="AB1200">
        <v>0</v>
      </c>
      <c r="AC1200">
        <v>2</v>
      </c>
      <c r="AD1200" t="s">
        <v>41</v>
      </c>
      <c r="AE1200" t="s">
        <v>42</v>
      </c>
      <c r="AF1200" t="s">
        <v>57</v>
      </c>
    </row>
    <row r="1201" spans="1:32" x14ac:dyDescent="0.25">
      <c r="A1201">
        <v>43</v>
      </c>
      <c r="B1201" t="s">
        <v>41</v>
      </c>
      <c r="C1201" t="s">
        <v>33</v>
      </c>
      <c r="D1201" t="s">
        <v>53</v>
      </c>
      <c r="E1201">
        <v>2</v>
      </c>
      <c r="F1201" t="s">
        <v>35</v>
      </c>
      <c r="G1201">
        <v>3</v>
      </c>
      <c r="H1201">
        <v>2</v>
      </c>
      <c r="I1201" t="s">
        <v>64</v>
      </c>
      <c r="J1201">
        <v>4</v>
      </c>
      <c r="K1201" t="s">
        <v>50</v>
      </c>
      <c r="L1201">
        <v>7847</v>
      </c>
      <c r="M1201">
        <v>1</v>
      </c>
      <c r="N1201" t="s">
        <v>32</v>
      </c>
      <c r="O1201">
        <v>17</v>
      </c>
      <c r="P1201">
        <v>3</v>
      </c>
      <c r="Q1201">
        <v>1</v>
      </c>
      <c r="R1201">
        <v>10</v>
      </c>
      <c r="S1201">
        <v>3</v>
      </c>
      <c r="T1201">
        <v>10</v>
      </c>
      <c r="U1201">
        <v>8</v>
      </c>
      <c r="V1201">
        <v>8</v>
      </c>
      <c r="W1201" t="s">
        <v>38</v>
      </c>
      <c r="X1201" s="1" t="d">
        <v>2011-06-01</v>
      </c>
      <c r="Z1201" t="s">
        <v>59</v>
      </c>
      <c r="AA1201" t="s">
        <v>40</v>
      </c>
      <c r="AB1201">
        <v>5</v>
      </c>
      <c r="AC1201">
        <v>0</v>
      </c>
      <c r="AD1201" t="s">
        <v>32</v>
      </c>
      <c r="AE1201" t="s">
        <v>42</v>
      </c>
      <c r="AF1201" t="s">
        <v>43</v>
      </c>
    </row>
    <row r="1202" spans="1:32" x14ac:dyDescent="0.25">
      <c r="A1202">
        <v>41</v>
      </c>
      <c r="B1202" t="s">
        <v>41</v>
      </c>
      <c r="C1202" t="s">
        <v>33</v>
      </c>
      <c r="D1202" t="s">
        <v>53</v>
      </c>
      <c r="E1202">
        <v>6</v>
      </c>
      <c r="F1202" t="s">
        <v>35</v>
      </c>
      <c r="G1202">
        <v>3</v>
      </c>
      <c r="H1202">
        <v>3</v>
      </c>
      <c r="I1202" t="s">
        <v>64</v>
      </c>
      <c r="J1202">
        <v>3</v>
      </c>
      <c r="K1202" t="s">
        <v>37</v>
      </c>
      <c r="L1202">
        <v>9241</v>
      </c>
      <c r="M1202">
        <v>1</v>
      </c>
      <c r="N1202" t="s">
        <v>41</v>
      </c>
      <c r="O1202">
        <v>12</v>
      </c>
      <c r="P1202">
        <v>3</v>
      </c>
      <c r="Q1202">
        <v>0</v>
      </c>
      <c r="R1202">
        <v>10</v>
      </c>
      <c r="S1202">
        <v>3</v>
      </c>
      <c r="T1202">
        <v>10</v>
      </c>
      <c r="U1202">
        <v>8</v>
      </c>
      <c r="V1202">
        <v>7</v>
      </c>
      <c r="W1202" t="s">
        <v>51</v>
      </c>
      <c r="X1202" s="1" t="d">
        <v>2011-06-09</v>
      </c>
      <c r="Z1202" t="s">
        <v>45</v>
      </c>
      <c r="AA1202" t="s">
        <v>46</v>
      </c>
      <c r="AB1202">
        <v>5</v>
      </c>
      <c r="AC1202">
        <v>3</v>
      </c>
      <c r="AD1202" t="s">
        <v>32</v>
      </c>
      <c r="AE1202" t="s">
        <v>62</v>
      </c>
      <c r="AF1202" t="s">
        <v>48</v>
      </c>
    </row>
    <row r="1203" spans="1:32" x14ac:dyDescent="0.25">
      <c r="A1203">
        <v>46</v>
      </c>
      <c r="B1203" t="s">
        <v>41</v>
      </c>
      <c r="C1203" t="s">
        <v>33</v>
      </c>
      <c r="D1203" t="s">
        <v>34</v>
      </c>
      <c r="E1203">
        <v>13</v>
      </c>
      <c r="F1203" t="s">
        <v>35</v>
      </c>
      <c r="G1203">
        <v>3</v>
      </c>
      <c r="H1203">
        <v>2</v>
      </c>
      <c r="I1203" t="s">
        <v>69</v>
      </c>
      <c r="J1203">
        <v>2</v>
      </c>
      <c r="K1203" t="s">
        <v>37</v>
      </c>
      <c r="L1203">
        <v>5562</v>
      </c>
      <c r="M1203">
        <v>6</v>
      </c>
      <c r="N1203" t="s">
        <v>41</v>
      </c>
      <c r="O1203">
        <v>14</v>
      </c>
      <c r="P1203">
        <v>3</v>
      </c>
      <c r="Q1203">
        <v>0</v>
      </c>
      <c r="R1203">
        <v>19</v>
      </c>
      <c r="S1203">
        <v>3</v>
      </c>
      <c r="T1203">
        <v>10</v>
      </c>
      <c r="U1203">
        <v>0</v>
      </c>
      <c r="V1203">
        <v>9</v>
      </c>
      <c r="W1203" t="s">
        <v>65</v>
      </c>
      <c r="X1203" s="1" t="d">
        <v>2011-03-16</v>
      </c>
      <c r="Z1203" t="s">
        <v>39</v>
      </c>
      <c r="AA1203" t="s">
        <v>46</v>
      </c>
      <c r="AB1203">
        <v>4</v>
      </c>
      <c r="AC1203">
        <v>2</v>
      </c>
      <c r="AD1203" t="s">
        <v>41</v>
      </c>
      <c r="AE1203" t="s">
        <v>42</v>
      </c>
      <c r="AF1203" t="s">
        <v>43</v>
      </c>
    </row>
    <row r="1204" spans="1:32" x14ac:dyDescent="0.25">
      <c r="A1204">
        <v>30</v>
      </c>
      <c r="B1204" t="s">
        <v>41</v>
      </c>
      <c r="C1204" t="s">
        <v>33</v>
      </c>
      <c r="D1204" t="s">
        <v>34</v>
      </c>
      <c r="E1204">
        <v>16</v>
      </c>
      <c r="F1204" t="s">
        <v>35</v>
      </c>
      <c r="G1204">
        <v>3</v>
      </c>
      <c r="H1204">
        <v>1</v>
      </c>
      <c r="I1204" t="s">
        <v>44</v>
      </c>
      <c r="J1204">
        <v>4</v>
      </c>
      <c r="K1204" t="s">
        <v>50</v>
      </c>
      <c r="L1204">
        <v>2862</v>
      </c>
      <c r="M1204">
        <v>1</v>
      </c>
      <c r="N1204" t="s">
        <v>41</v>
      </c>
      <c r="O1204">
        <v>12</v>
      </c>
      <c r="P1204">
        <v>3</v>
      </c>
      <c r="Q1204">
        <v>1</v>
      </c>
      <c r="R1204">
        <v>10</v>
      </c>
      <c r="S1204">
        <v>2</v>
      </c>
      <c r="T1204">
        <v>10</v>
      </c>
      <c r="U1204">
        <v>0</v>
      </c>
      <c r="V1204">
        <v>8</v>
      </c>
      <c r="W1204" t="s">
        <v>38</v>
      </c>
      <c r="X1204" s="1" t="d">
        <v>2011-03-04</v>
      </c>
      <c r="Z1204" t="s">
        <v>45</v>
      </c>
      <c r="AA1204" t="s">
        <v>46</v>
      </c>
      <c r="AB1204">
        <v>3</v>
      </c>
      <c r="AC1204">
        <v>3</v>
      </c>
      <c r="AD1204" t="s">
        <v>32</v>
      </c>
      <c r="AE1204" t="s">
        <v>42</v>
      </c>
      <c r="AF1204" t="s">
        <v>48</v>
      </c>
    </row>
    <row r="1205" spans="1:32" x14ac:dyDescent="0.25">
      <c r="A1205">
        <v>46</v>
      </c>
      <c r="B1205" t="s">
        <v>41</v>
      </c>
      <c r="C1205" t="s">
        <v>33</v>
      </c>
      <c r="D1205" t="s">
        <v>53</v>
      </c>
      <c r="E1205">
        <v>2</v>
      </c>
      <c r="F1205" t="s">
        <v>35</v>
      </c>
      <c r="G1205">
        <v>3</v>
      </c>
      <c r="H1205">
        <v>3</v>
      </c>
      <c r="I1205" t="s">
        <v>64</v>
      </c>
      <c r="J1205">
        <v>4</v>
      </c>
      <c r="K1205" t="s">
        <v>55</v>
      </c>
      <c r="L1205">
        <v>10368</v>
      </c>
      <c r="M1205">
        <v>4</v>
      </c>
      <c r="N1205" t="s">
        <v>32</v>
      </c>
      <c r="O1205">
        <v>12</v>
      </c>
      <c r="P1205">
        <v>3</v>
      </c>
      <c r="Q1205">
        <v>1</v>
      </c>
      <c r="R1205">
        <v>13</v>
      </c>
      <c r="S1205">
        <v>5</v>
      </c>
      <c r="T1205">
        <v>10</v>
      </c>
      <c r="U1205">
        <v>0</v>
      </c>
      <c r="V1205">
        <v>3</v>
      </c>
      <c r="W1205" t="s">
        <v>56</v>
      </c>
      <c r="X1205" s="1" t="d">
        <v>2011-04-20</v>
      </c>
      <c r="Z1205" t="s">
        <v>45</v>
      </c>
      <c r="AA1205" t="s">
        <v>46</v>
      </c>
      <c r="AB1205">
        <v>0</v>
      </c>
      <c r="AC1205">
        <v>1</v>
      </c>
      <c r="AD1205" t="s">
        <v>32</v>
      </c>
      <c r="AE1205" t="s">
        <v>60</v>
      </c>
      <c r="AF1205" t="s">
        <v>43</v>
      </c>
    </row>
    <row r="1206" spans="1:32" x14ac:dyDescent="0.25">
      <c r="A1206">
        <v>37</v>
      </c>
      <c r="B1206" t="s">
        <v>41</v>
      </c>
      <c r="C1206" t="s">
        <v>33</v>
      </c>
      <c r="D1206" t="s">
        <v>70</v>
      </c>
      <c r="E1206">
        <v>8</v>
      </c>
      <c r="F1206" t="s">
        <v>35</v>
      </c>
      <c r="G1206">
        <v>3</v>
      </c>
      <c r="H1206">
        <v>2</v>
      </c>
      <c r="I1206" t="s">
        <v>70</v>
      </c>
      <c r="J1206">
        <v>2</v>
      </c>
      <c r="K1206" t="s">
        <v>55</v>
      </c>
      <c r="L1206">
        <v>4071</v>
      </c>
      <c r="M1206">
        <v>2</v>
      </c>
      <c r="N1206" t="s">
        <v>41</v>
      </c>
      <c r="O1206">
        <v>13</v>
      </c>
      <c r="P1206">
        <v>3</v>
      </c>
      <c r="Q1206">
        <v>0</v>
      </c>
      <c r="R1206">
        <v>19</v>
      </c>
      <c r="S1206">
        <v>4</v>
      </c>
      <c r="T1206">
        <v>10</v>
      </c>
      <c r="U1206">
        <v>4</v>
      </c>
      <c r="V1206">
        <v>7</v>
      </c>
      <c r="W1206" t="s">
        <v>51</v>
      </c>
      <c r="X1206" s="1" t="d">
        <v>2011-04-13</v>
      </c>
      <c r="Z1206" t="s">
        <v>52</v>
      </c>
      <c r="AA1206" t="s">
        <v>40</v>
      </c>
      <c r="AB1206">
        <v>2</v>
      </c>
      <c r="AC1206">
        <v>1</v>
      </c>
      <c r="AD1206" t="s">
        <v>41</v>
      </c>
      <c r="AE1206" t="s">
        <v>47</v>
      </c>
      <c r="AF1206" t="s">
        <v>43</v>
      </c>
    </row>
    <row r="1207" spans="1:32" x14ac:dyDescent="0.25">
      <c r="A1207">
        <v>35</v>
      </c>
      <c r="B1207" t="s">
        <v>32</v>
      </c>
      <c r="C1207" t="s">
        <v>33</v>
      </c>
      <c r="D1207" t="s">
        <v>53</v>
      </c>
      <c r="E1207">
        <v>27</v>
      </c>
      <c r="F1207" t="s">
        <v>35</v>
      </c>
      <c r="G1207">
        <v>3</v>
      </c>
      <c r="H1207">
        <v>2</v>
      </c>
      <c r="I1207" t="s">
        <v>64</v>
      </c>
      <c r="J1207">
        <v>4</v>
      </c>
      <c r="K1207" t="s">
        <v>37</v>
      </c>
      <c r="L1207">
        <v>5813</v>
      </c>
      <c r="M1207">
        <v>1</v>
      </c>
      <c r="N1207" t="s">
        <v>32</v>
      </c>
      <c r="O1207">
        <v>18</v>
      </c>
      <c r="P1207">
        <v>3</v>
      </c>
      <c r="Q1207">
        <v>0</v>
      </c>
      <c r="R1207">
        <v>10</v>
      </c>
      <c r="S1207">
        <v>2</v>
      </c>
      <c r="T1207">
        <v>10</v>
      </c>
      <c r="U1207">
        <v>7</v>
      </c>
      <c r="V1207">
        <v>7</v>
      </c>
      <c r="W1207" t="s">
        <v>38</v>
      </c>
      <c r="X1207" s="1" t="d">
        <v>2011-03-20</v>
      </c>
      <c r="Z1207" t="s">
        <v>63</v>
      </c>
      <c r="AA1207" t="s">
        <v>40</v>
      </c>
      <c r="AB1207">
        <v>4</v>
      </c>
      <c r="AC1207">
        <v>1</v>
      </c>
      <c r="AD1207" t="s">
        <v>32</v>
      </c>
      <c r="AE1207" t="s">
        <v>42</v>
      </c>
      <c r="AF1207" t="s">
        <v>43</v>
      </c>
    </row>
    <row r="1208" spans="1:32" x14ac:dyDescent="0.25">
      <c r="A1208">
        <v>33</v>
      </c>
      <c r="B1208" t="s">
        <v>41</v>
      </c>
      <c r="C1208" t="s">
        <v>33</v>
      </c>
      <c r="D1208" t="s">
        <v>34</v>
      </c>
      <c r="E1208">
        <v>8</v>
      </c>
      <c r="F1208" t="s">
        <v>35</v>
      </c>
      <c r="G1208">
        <v>4</v>
      </c>
      <c r="H1208">
        <v>1</v>
      </c>
      <c r="I1208" t="s">
        <v>44</v>
      </c>
      <c r="J1208">
        <v>1</v>
      </c>
      <c r="K1208" t="s">
        <v>50</v>
      </c>
      <c r="L1208">
        <v>3143</v>
      </c>
      <c r="M1208">
        <v>6</v>
      </c>
      <c r="N1208" t="s">
        <v>41</v>
      </c>
      <c r="O1208">
        <v>19</v>
      </c>
      <c r="P1208">
        <v>3</v>
      </c>
      <c r="Q1208">
        <v>1</v>
      </c>
      <c r="R1208">
        <v>14</v>
      </c>
      <c r="S1208">
        <v>1</v>
      </c>
      <c r="T1208">
        <v>10</v>
      </c>
      <c r="U1208">
        <v>7</v>
      </c>
      <c r="V1208">
        <v>6</v>
      </c>
      <c r="W1208" t="s">
        <v>56</v>
      </c>
      <c r="X1208" s="1" t="d">
        <v>2011-05-03</v>
      </c>
      <c r="Z1208" t="s">
        <v>45</v>
      </c>
      <c r="AA1208" t="s">
        <v>40</v>
      </c>
      <c r="AB1208">
        <v>0</v>
      </c>
      <c r="AC1208">
        <v>0</v>
      </c>
      <c r="AD1208" t="s">
        <v>41</v>
      </c>
      <c r="AE1208" t="s">
        <v>62</v>
      </c>
      <c r="AF1208" t="s">
        <v>48</v>
      </c>
    </row>
    <row r="1209" spans="1:32" x14ac:dyDescent="0.25">
      <c r="A1209">
        <v>37</v>
      </c>
      <c r="B1209" t="s">
        <v>32</v>
      </c>
      <c r="C1209" t="s">
        <v>33</v>
      </c>
      <c r="D1209" t="s">
        <v>34</v>
      </c>
      <c r="E1209">
        <v>10</v>
      </c>
      <c r="F1209" t="s">
        <v>35</v>
      </c>
      <c r="G1209">
        <v>3</v>
      </c>
      <c r="H1209">
        <v>2</v>
      </c>
      <c r="I1209" t="s">
        <v>67</v>
      </c>
      <c r="J1209">
        <v>1</v>
      </c>
      <c r="K1209" t="s">
        <v>37</v>
      </c>
      <c r="L1209">
        <v>4213</v>
      </c>
      <c r="M1209">
        <v>1</v>
      </c>
      <c r="N1209" t="s">
        <v>41</v>
      </c>
      <c r="O1209">
        <v>15</v>
      </c>
      <c r="P1209">
        <v>3</v>
      </c>
      <c r="Q1209">
        <v>0</v>
      </c>
      <c r="R1209">
        <v>10</v>
      </c>
      <c r="S1209">
        <v>4</v>
      </c>
      <c r="T1209">
        <v>10</v>
      </c>
      <c r="U1209">
        <v>0</v>
      </c>
      <c r="V1209">
        <v>8</v>
      </c>
      <c r="W1209" t="s">
        <v>56</v>
      </c>
      <c r="X1209" s="1" t="d">
        <v>2011-02-01</v>
      </c>
      <c r="Z1209" t="s">
        <v>39</v>
      </c>
      <c r="AA1209" t="s">
        <v>40</v>
      </c>
      <c r="AB1209">
        <v>4</v>
      </c>
      <c r="AC1209">
        <v>2</v>
      </c>
      <c r="AD1209" t="s">
        <v>32</v>
      </c>
      <c r="AE1209" t="s">
        <v>60</v>
      </c>
      <c r="AF1209" t="s">
        <v>57</v>
      </c>
    </row>
    <row r="1210" spans="1:32" x14ac:dyDescent="0.25">
      <c r="A1210">
        <v>34</v>
      </c>
      <c r="B1210" t="s">
        <v>41</v>
      </c>
      <c r="C1210" t="s">
        <v>33</v>
      </c>
      <c r="D1210" t="s">
        <v>53</v>
      </c>
      <c r="E1210">
        <v>8</v>
      </c>
      <c r="F1210" t="s">
        <v>35</v>
      </c>
      <c r="G1210">
        <v>4</v>
      </c>
      <c r="H1210">
        <v>2</v>
      </c>
      <c r="I1210" t="s">
        <v>64</v>
      </c>
      <c r="J1210">
        <v>3</v>
      </c>
      <c r="K1210" t="s">
        <v>50</v>
      </c>
      <c r="L1210">
        <v>6799</v>
      </c>
      <c r="M1210">
        <v>1</v>
      </c>
      <c r="N1210" t="s">
        <v>41</v>
      </c>
      <c r="O1210">
        <v>21</v>
      </c>
      <c r="P1210">
        <v>4</v>
      </c>
      <c r="Q1210">
        <v>2</v>
      </c>
      <c r="R1210">
        <v>10</v>
      </c>
      <c r="S1210">
        <v>5</v>
      </c>
      <c r="T1210">
        <v>10</v>
      </c>
      <c r="U1210">
        <v>4</v>
      </c>
      <c r="V1210">
        <v>8</v>
      </c>
      <c r="W1210" t="s">
        <v>38</v>
      </c>
      <c r="X1210" s="1" t="d">
        <v>2011-06-12</v>
      </c>
      <c r="Z1210" t="s">
        <v>59</v>
      </c>
      <c r="AA1210" t="s">
        <v>40</v>
      </c>
      <c r="AB1210">
        <v>0</v>
      </c>
      <c r="AC1210">
        <v>3</v>
      </c>
      <c r="AD1210" t="s">
        <v>32</v>
      </c>
      <c r="AE1210" t="s">
        <v>47</v>
      </c>
      <c r="AF1210" t="s">
        <v>57</v>
      </c>
    </row>
    <row r="1211" spans="1:32" x14ac:dyDescent="0.25">
      <c r="A1211">
        <v>36</v>
      </c>
      <c r="B1211" t="s">
        <v>41</v>
      </c>
      <c r="C1211" t="s">
        <v>33</v>
      </c>
      <c r="D1211" t="s">
        <v>53</v>
      </c>
      <c r="E1211">
        <v>10</v>
      </c>
      <c r="F1211" t="s">
        <v>58</v>
      </c>
      <c r="G1211">
        <v>2</v>
      </c>
      <c r="H1211">
        <v>2</v>
      </c>
      <c r="I1211" t="s">
        <v>64</v>
      </c>
      <c r="J1211">
        <v>3</v>
      </c>
      <c r="K1211" t="s">
        <v>50</v>
      </c>
      <c r="L1211">
        <v>5673</v>
      </c>
      <c r="M1211">
        <v>1</v>
      </c>
      <c r="N1211" t="s">
        <v>32</v>
      </c>
      <c r="O1211">
        <v>13</v>
      </c>
      <c r="P1211">
        <v>3</v>
      </c>
      <c r="Q1211">
        <v>1</v>
      </c>
      <c r="R1211">
        <v>10</v>
      </c>
      <c r="S1211">
        <v>4</v>
      </c>
      <c r="T1211">
        <v>10</v>
      </c>
      <c r="U1211">
        <v>1</v>
      </c>
      <c r="V1211">
        <v>7</v>
      </c>
      <c r="W1211" t="s">
        <v>51</v>
      </c>
      <c r="X1211" s="1" t="d">
        <v>2011-04-22</v>
      </c>
      <c r="Z1211" t="s">
        <v>63</v>
      </c>
      <c r="AA1211" t="s">
        <v>46</v>
      </c>
      <c r="AB1211">
        <v>4</v>
      </c>
      <c r="AC1211">
        <v>1</v>
      </c>
      <c r="AD1211" t="s">
        <v>32</v>
      </c>
      <c r="AE1211" t="s">
        <v>62</v>
      </c>
      <c r="AF1211" t="s">
        <v>48</v>
      </c>
    </row>
    <row r="1212" spans="1:32" x14ac:dyDescent="0.25">
      <c r="A1212">
        <v>31</v>
      </c>
      <c r="B1212" t="s">
        <v>41</v>
      </c>
      <c r="C1212" t="s">
        <v>33</v>
      </c>
      <c r="D1212" t="s">
        <v>34</v>
      </c>
      <c r="E1212">
        <v>20</v>
      </c>
      <c r="F1212" t="s">
        <v>35</v>
      </c>
      <c r="G1212">
        <v>3</v>
      </c>
      <c r="H1212">
        <v>2</v>
      </c>
      <c r="I1212" t="s">
        <v>36</v>
      </c>
      <c r="J1212">
        <v>3</v>
      </c>
      <c r="K1212" t="s">
        <v>55</v>
      </c>
      <c r="L1212">
        <v>4197</v>
      </c>
      <c r="M1212">
        <v>1</v>
      </c>
      <c r="N1212" t="s">
        <v>41</v>
      </c>
      <c r="O1212">
        <v>11</v>
      </c>
      <c r="P1212">
        <v>3</v>
      </c>
      <c r="Q1212">
        <v>1</v>
      </c>
      <c r="R1212">
        <v>10</v>
      </c>
      <c r="S1212">
        <v>2</v>
      </c>
      <c r="T1212">
        <v>10</v>
      </c>
      <c r="U1212">
        <v>0</v>
      </c>
      <c r="V1212">
        <v>2</v>
      </c>
      <c r="W1212" t="s">
        <v>56</v>
      </c>
      <c r="X1212" s="1" t="d">
        <v>2011-06-27</v>
      </c>
      <c r="Z1212" t="s">
        <v>63</v>
      </c>
      <c r="AA1212" t="s">
        <v>46</v>
      </c>
      <c r="AB1212">
        <v>4</v>
      </c>
      <c r="AC1212">
        <v>1</v>
      </c>
      <c r="AD1212" t="s">
        <v>41</v>
      </c>
      <c r="AE1212" t="s">
        <v>62</v>
      </c>
      <c r="AF1212" t="s">
        <v>43</v>
      </c>
    </row>
    <row r="1213" spans="1:32" x14ac:dyDescent="0.25">
      <c r="A1213">
        <v>36</v>
      </c>
      <c r="B1213" t="s">
        <v>41</v>
      </c>
      <c r="C1213" t="s">
        <v>61</v>
      </c>
      <c r="D1213" t="s">
        <v>70</v>
      </c>
      <c r="E1213">
        <v>2</v>
      </c>
      <c r="F1213" t="s">
        <v>35</v>
      </c>
      <c r="G1213">
        <v>2</v>
      </c>
      <c r="H1213">
        <v>2</v>
      </c>
      <c r="I1213" t="s">
        <v>70</v>
      </c>
      <c r="J1213">
        <v>4</v>
      </c>
      <c r="K1213" t="s">
        <v>37</v>
      </c>
      <c r="L1213">
        <v>3886</v>
      </c>
      <c r="M1213">
        <v>1</v>
      </c>
      <c r="N1213" t="s">
        <v>41</v>
      </c>
      <c r="O1213">
        <v>21</v>
      </c>
      <c r="P1213">
        <v>4</v>
      </c>
      <c r="Q1213">
        <v>0</v>
      </c>
      <c r="R1213">
        <v>10</v>
      </c>
      <c r="S1213">
        <v>2</v>
      </c>
      <c r="T1213">
        <v>10</v>
      </c>
      <c r="U1213">
        <v>0</v>
      </c>
      <c r="V1213">
        <v>8</v>
      </c>
      <c r="W1213" t="s">
        <v>56</v>
      </c>
      <c r="X1213" s="1" t="d">
        <v>2011-03-21</v>
      </c>
      <c r="Z1213" t="s">
        <v>63</v>
      </c>
      <c r="AA1213" t="s">
        <v>46</v>
      </c>
      <c r="AB1213">
        <v>1</v>
      </c>
      <c r="AC1213">
        <v>3</v>
      </c>
      <c r="AD1213" t="s">
        <v>41</v>
      </c>
      <c r="AE1213" t="s">
        <v>47</v>
      </c>
      <c r="AF1213" t="s">
        <v>48</v>
      </c>
    </row>
    <row r="1214" spans="1:32" x14ac:dyDescent="0.25">
      <c r="A1214">
        <v>33</v>
      </c>
      <c r="B1214" t="s">
        <v>41</v>
      </c>
      <c r="C1214" t="s">
        <v>33</v>
      </c>
      <c r="D1214" t="s">
        <v>53</v>
      </c>
      <c r="E1214">
        <v>10</v>
      </c>
      <c r="F1214" t="s">
        <v>35</v>
      </c>
      <c r="G1214">
        <v>3</v>
      </c>
      <c r="H1214">
        <v>2</v>
      </c>
      <c r="I1214" t="s">
        <v>64</v>
      </c>
      <c r="J1214">
        <v>3</v>
      </c>
      <c r="K1214" t="s">
        <v>37</v>
      </c>
      <c r="L1214">
        <v>5487</v>
      </c>
      <c r="M1214">
        <v>1</v>
      </c>
      <c r="N1214" t="s">
        <v>41</v>
      </c>
      <c r="O1214">
        <v>14</v>
      </c>
      <c r="P1214">
        <v>3</v>
      </c>
      <c r="Q1214">
        <v>0</v>
      </c>
      <c r="R1214">
        <v>10</v>
      </c>
      <c r="S1214">
        <v>2</v>
      </c>
      <c r="T1214">
        <v>10</v>
      </c>
      <c r="U1214">
        <v>0</v>
      </c>
      <c r="V1214">
        <v>9</v>
      </c>
      <c r="W1214" t="s">
        <v>56</v>
      </c>
      <c r="X1214" s="1" t="d">
        <v>2011-03-01</v>
      </c>
      <c r="Z1214" t="s">
        <v>59</v>
      </c>
      <c r="AA1214" t="s">
        <v>40</v>
      </c>
      <c r="AB1214">
        <v>0</v>
      </c>
      <c r="AC1214">
        <v>1</v>
      </c>
      <c r="AD1214" t="s">
        <v>32</v>
      </c>
      <c r="AE1214" t="s">
        <v>62</v>
      </c>
      <c r="AF1214" t="s">
        <v>57</v>
      </c>
    </row>
    <row r="1215" spans="1:32" x14ac:dyDescent="0.25">
      <c r="A1215">
        <v>39</v>
      </c>
      <c r="B1215" t="s">
        <v>41</v>
      </c>
      <c r="C1215" t="s">
        <v>33</v>
      </c>
      <c r="D1215" t="s">
        <v>34</v>
      </c>
      <c r="E1215">
        <v>9</v>
      </c>
      <c r="F1215" t="s">
        <v>35</v>
      </c>
      <c r="G1215">
        <v>3</v>
      </c>
      <c r="H1215">
        <v>2</v>
      </c>
      <c r="I1215" t="s">
        <v>67</v>
      </c>
      <c r="J1215">
        <v>1</v>
      </c>
      <c r="K1215" t="s">
        <v>50</v>
      </c>
      <c r="L1215">
        <v>5151</v>
      </c>
      <c r="M1215">
        <v>1</v>
      </c>
      <c r="N1215" t="s">
        <v>41</v>
      </c>
      <c r="O1215">
        <v>25</v>
      </c>
      <c r="P1215">
        <v>4</v>
      </c>
      <c r="Q1215">
        <v>1</v>
      </c>
      <c r="R1215">
        <v>10</v>
      </c>
      <c r="S1215">
        <v>3</v>
      </c>
      <c r="T1215">
        <v>10</v>
      </c>
      <c r="U1215">
        <v>7</v>
      </c>
      <c r="V1215">
        <v>9</v>
      </c>
      <c r="W1215" t="s">
        <v>51</v>
      </c>
      <c r="X1215" s="1" t="d">
        <v>2011-02-02</v>
      </c>
      <c r="Z1215" t="s">
        <v>45</v>
      </c>
      <c r="AA1215" t="s">
        <v>46</v>
      </c>
      <c r="AB1215">
        <v>5</v>
      </c>
      <c r="AC1215">
        <v>2</v>
      </c>
      <c r="AD1215" t="s">
        <v>32</v>
      </c>
      <c r="AE1215" t="s">
        <v>42</v>
      </c>
      <c r="AF1215" t="s">
        <v>43</v>
      </c>
    </row>
    <row r="1216" spans="1:32" x14ac:dyDescent="0.25">
      <c r="A1216">
        <v>31</v>
      </c>
      <c r="B1216" t="s">
        <v>41</v>
      </c>
      <c r="C1216" t="s">
        <v>61</v>
      </c>
      <c r="D1216" t="s">
        <v>34</v>
      </c>
      <c r="E1216">
        <v>1</v>
      </c>
      <c r="F1216" t="s">
        <v>35</v>
      </c>
      <c r="G1216">
        <v>1</v>
      </c>
      <c r="H1216">
        <v>2</v>
      </c>
      <c r="I1216" t="s">
        <v>44</v>
      </c>
      <c r="J1216">
        <v>1</v>
      </c>
      <c r="K1216" t="s">
        <v>50</v>
      </c>
      <c r="L1216">
        <v>5003</v>
      </c>
      <c r="M1216">
        <v>1</v>
      </c>
      <c r="N1216" t="s">
        <v>41</v>
      </c>
      <c r="O1216">
        <v>21</v>
      </c>
      <c r="P1216">
        <v>4</v>
      </c>
      <c r="Q1216">
        <v>0</v>
      </c>
      <c r="R1216">
        <v>10</v>
      </c>
      <c r="S1216">
        <v>6</v>
      </c>
      <c r="T1216">
        <v>10</v>
      </c>
      <c r="U1216">
        <v>8</v>
      </c>
      <c r="V1216">
        <v>7</v>
      </c>
      <c r="W1216" t="s">
        <v>38</v>
      </c>
      <c r="X1216" s="1" t="d">
        <v>2011-04-25</v>
      </c>
      <c r="Z1216" t="s">
        <v>63</v>
      </c>
      <c r="AA1216" t="s">
        <v>40</v>
      </c>
      <c r="AB1216">
        <v>3</v>
      </c>
      <c r="AC1216">
        <v>3</v>
      </c>
      <c r="AD1216" t="s">
        <v>32</v>
      </c>
      <c r="AE1216" t="s">
        <v>62</v>
      </c>
      <c r="AF1216" t="s">
        <v>57</v>
      </c>
    </row>
    <row r="1217" spans="1:32" x14ac:dyDescent="0.25">
      <c r="A1217">
        <v>35</v>
      </c>
      <c r="B1217" t="s">
        <v>41</v>
      </c>
      <c r="C1217" t="s">
        <v>33</v>
      </c>
      <c r="D1217" t="s">
        <v>53</v>
      </c>
      <c r="E1217">
        <v>7</v>
      </c>
      <c r="F1217" t="s">
        <v>58</v>
      </c>
      <c r="G1217">
        <v>3</v>
      </c>
      <c r="H1217">
        <v>2</v>
      </c>
      <c r="I1217" t="s">
        <v>64</v>
      </c>
      <c r="J1217">
        <v>4</v>
      </c>
      <c r="K1217" t="s">
        <v>50</v>
      </c>
      <c r="L1217">
        <v>5204</v>
      </c>
      <c r="M1217">
        <v>1</v>
      </c>
      <c r="N1217" t="s">
        <v>32</v>
      </c>
      <c r="O1217">
        <v>11</v>
      </c>
      <c r="P1217">
        <v>3</v>
      </c>
      <c r="Q1217">
        <v>0</v>
      </c>
      <c r="R1217">
        <v>10</v>
      </c>
      <c r="S1217">
        <v>2</v>
      </c>
      <c r="T1217">
        <v>10</v>
      </c>
      <c r="U1217">
        <v>0</v>
      </c>
      <c r="V1217">
        <v>9</v>
      </c>
      <c r="W1217" t="s">
        <v>65</v>
      </c>
      <c r="X1217" s="1" t="d">
        <v>2011-05-02</v>
      </c>
      <c r="Z1217" t="s">
        <v>63</v>
      </c>
      <c r="AA1217" t="s">
        <v>40</v>
      </c>
      <c r="AB1217">
        <v>0</v>
      </c>
      <c r="AC1217">
        <v>2</v>
      </c>
      <c r="AD1217" t="s">
        <v>41</v>
      </c>
      <c r="AE1217" t="s">
        <v>62</v>
      </c>
      <c r="AF1217" t="s">
        <v>48</v>
      </c>
    </row>
    <row r="1218" spans="1:32" x14ac:dyDescent="0.25">
      <c r="A1218">
        <v>31</v>
      </c>
      <c r="B1218" t="s">
        <v>32</v>
      </c>
      <c r="C1218" t="s">
        <v>61</v>
      </c>
      <c r="D1218" t="s">
        <v>53</v>
      </c>
      <c r="E1218">
        <v>26</v>
      </c>
      <c r="F1218" t="s">
        <v>35</v>
      </c>
      <c r="G1218">
        <v>3</v>
      </c>
      <c r="H1218">
        <v>2</v>
      </c>
      <c r="I1218" t="s">
        <v>64</v>
      </c>
      <c r="J1218">
        <v>4</v>
      </c>
      <c r="K1218" t="s">
        <v>50</v>
      </c>
      <c r="L1218">
        <v>5617</v>
      </c>
      <c r="M1218">
        <v>1</v>
      </c>
      <c r="N1218" t="s">
        <v>32</v>
      </c>
      <c r="O1218">
        <v>11</v>
      </c>
      <c r="P1218">
        <v>3</v>
      </c>
      <c r="Q1218">
        <v>0</v>
      </c>
      <c r="R1218">
        <v>10</v>
      </c>
      <c r="S1218">
        <v>4</v>
      </c>
      <c r="T1218">
        <v>10</v>
      </c>
      <c r="U1218">
        <v>0</v>
      </c>
      <c r="V1218">
        <v>8</v>
      </c>
      <c r="W1218" t="s">
        <v>65</v>
      </c>
      <c r="X1218" s="1" t="d">
        <v>2011-01-18</v>
      </c>
      <c r="Z1218" t="s">
        <v>59</v>
      </c>
      <c r="AA1218" t="s">
        <v>40</v>
      </c>
      <c r="AB1218">
        <v>1</v>
      </c>
      <c r="AC1218">
        <v>0</v>
      </c>
      <c r="AD1218" t="s">
        <v>41</v>
      </c>
      <c r="AE1218" t="s">
        <v>42</v>
      </c>
      <c r="AF1218" t="s">
        <v>43</v>
      </c>
    </row>
    <row r="1219" spans="1:32" x14ac:dyDescent="0.25">
      <c r="A1219">
        <v>43</v>
      </c>
      <c r="B1219" t="s">
        <v>41</v>
      </c>
      <c r="C1219" t="s">
        <v>33</v>
      </c>
      <c r="D1219" t="s">
        <v>34</v>
      </c>
      <c r="E1219">
        <v>11</v>
      </c>
      <c r="F1219" t="s">
        <v>35</v>
      </c>
      <c r="G1219">
        <v>3</v>
      </c>
      <c r="H1219">
        <v>3</v>
      </c>
      <c r="I1219" t="s">
        <v>69</v>
      </c>
      <c r="J1219">
        <v>3</v>
      </c>
      <c r="K1219" t="s">
        <v>50</v>
      </c>
      <c r="L1219">
        <v>7510</v>
      </c>
      <c r="M1219">
        <v>1</v>
      </c>
      <c r="N1219" t="s">
        <v>41</v>
      </c>
      <c r="O1219">
        <v>17</v>
      </c>
      <c r="P1219">
        <v>3</v>
      </c>
      <c r="Q1219">
        <v>1</v>
      </c>
      <c r="R1219">
        <v>10</v>
      </c>
      <c r="S1219">
        <v>1</v>
      </c>
      <c r="T1219">
        <v>10</v>
      </c>
      <c r="U1219">
        <v>0</v>
      </c>
      <c r="V1219">
        <v>9</v>
      </c>
      <c r="W1219" t="s">
        <v>65</v>
      </c>
      <c r="X1219" s="1" t="d">
        <v>2011-04-18</v>
      </c>
      <c r="Z1219" t="s">
        <v>52</v>
      </c>
      <c r="AA1219" t="s">
        <v>46</v>
      </c>
      <c r="AB1219">
        <v>1</v>
      </c>
      <c r="AC1219">
        <v>1</v>
      </c>
      <c r="AD1219" t="s">
        <v>41</v>
      </c>
      <c r="AE1219" t="s">
        <v>42</v>
      </c>
      <c r="AF1219" t="s">
        <v>43</v>
      </c>
    </row>
    <row r="1220" spans="1:32" x14ac:dyDescent="0.25">
      <c r="A1220">
        <v>55</v>
      </c>
      <c r="B1220" t="s">
        <v>41</v>
      </c>
      <c r="C1220" t="s">
        <v>33</v>
      </c>
      <c r="D1220" t="s">
        <v>70</v>
      </c>
      <c r="E1220">
        <v>26</v>
      </c>
      <c r="F1220" t="s">
        <v>35</v>
      </c>
      <c r="G1220">
        <v>4</v>
      </c>
      <c r="H1220">
        <v>5</v>
      </c>
      <c r="I1220" t="s">
        <v>66</v>
      </c>
      <c r="J1220">
        <v>2</v>
      </c>
      <c r="K1220" t="s">
        <v>50</v>
      </c>
      <c r="L1220">
        <v>19636</v>
      </c>
      <c r="M1220">
        <v>4</v>
      </c>
      <c r="N1220" t="s">
        <v>32</v>
      </c>
      <c r="O1220">
        <v>18</v>
      </c>
      <c r="P1220">
        <v>3</v>
      </c>
      <c r="Q1220">
        <v>1</v>
      </c>
      <c r="R1220">
        <v>35</v>
      </c>
      <c r="S1220">
        <v>0</v>
      </c>
      <c r="T1220">
        <v>10</v>
      </c>
      <c r="U1220">
        <v>1</v>
      </c>
      <c r="V1220">
        <v>4</v>
      </c>
      <c r="W1220" t="s">
        <v>65</v>
      </c>
      <c r="X1220" s="1" t="d">
        <v>2011-04-11</v>
      </c>
      <c r="Z1220" t="s">
        <v>52</v>
      </c>
      <c r="AA1220" t="s">
        <v>40</v>
      </c>
      <c r="AB1220">
        <v>1</v>
      </c>
      <c r="AC1220">
        <v>3</v>
      </c>
      <c r="AD1220" t="s">
        <v>41</v>
      </c>
      <c r="AE1220" t="s">
        <v>62</v>
      </c>
      <c r="AF1220" t="s">
        <v>57</v>
      </c>
    </row>
    <row r="1221" spans="1:32" x14ac:dyDescent="0.25">
      <c r="A1221">
        <v>40</v>
      </c>
      <c r="B1221" t="s">
        <v>41</v>
      </c>
      <c r="C1221" t="s">
        <v>61</v>
      </c>
      <c r="D1221" t="s">
        <v>34</v>
      </c>
      <c r="E1221">
        <v>11</v>
      </c>
      <c r="F1221" t="s">
        <v>58</v>
      </c>
      <c r="G1221">
        <v>3</v>
      </c>
      <c r="H1221">
        <v>2</v>
      </c>
      <c r="I1221" t="s">
        <v>36</v>
      </c>
      <c r="J1221">
        <v>3</v>
      </c>
      <c r="K1221" t="s">
        <v>50</v>
      </c>
      <c r="L1221">
        <v>6323</v>
      </c>
      <c r="M1221">
        <v>1</v>
      </c>
      <c r="N1221" t="s">
        <v>41</v>
      </c>
      <c r="O1221">
        <v>11</v>
      </c>
      <c r="P1221">
        <v>3</v>
      </c>
      <c r="Q1221">
        <v>1</v>
      </c>
      <c r="R1221">
        <v>10</v>
      </c>
      <c r="S1221">
        <v>2</v>
      </c>
      <c r="T1221">
        <v>10</v>
      </c>
      <c r="U1221">
        <v>9</v>
      </c>
      <c r="V1221">
        <v>4</v>
      </c>
      <c r="W1221" t="s">
        <v>38</v>
      </c>
      <c r="X1221" s="1" t="d">
        <v>2011-06-21</v>
      </c>
      <c r="Z1221" t="s">
        <v>59</v>
      </c>
      <c r="AA1221" t="s">
        <v>40</v>
      </c>
      <c r="AB1221">
        <v>5</v>
      </c>
      <c r="AC1221">
        <v>3</v>
      </c>
      <c r="AD1221" t="s">
        <v>32</v>
      </c>
      <c r="AE1221" t="s">
        <v>47</v>
      </c>
      <c r="AF1221" t="s">
        <v>43</v>
      </c>
    </row>
    <row r="1222" spans="1:32" x14ac:dyDescent="0.25">
      <c r="A1222">
        <v>35</v>
      </c>
      <c r="B1222" t="s">
        <v>41</v>
      </c>
      <c r="C1222" t="s">
        <v>33</v>
      </c>
      <c r="D1222" t="s">
        <v>34</v>
      </c>
      <c r="E1222">
        <v>9</v>
      </c>
      <c r="F1222" t="s">
        <v>35</v>
      </c>
      <c r="G1222">
        <v>3</v>
      </c>
      <c r="H1222">
        <v>2</v>
      </c>
      <c r="I1222" t="s">
        <v>44</v>
      </c>
      <c r="J1222">
        <v>3</v>
      </c>
      <c r="K1222" t="s">
        <v>37</v>
      </c>
      <c r="L1222">
        <v>5098</v>
      </c>
      <c r="M1222">
        <v>1</v>
      </c>
      <c r="N1222" t="s">
        <v>41</v>
      </c>
      <c r="O1222">
        <v>19</v>
      </c>
      <c r="P1222">
        <v>3</v>
      </c>
      <c r="Q1222">
        <v>0</v>
      </c>
      <c r="R1222">
        <v>10</v>
      </c>
      <c r="S1222">
        <v>5</v>
      </c>
      <c r="T1222">
        <v>10</v>
      </c>
      <c r="U1222">
        <v>0</v>
      </c>
      <c r="V1222">
        <v>8</v>
      </c>
      <c r="W1222" t="s">
        <v>38</v>
      </c>
      <c r="X1222" s="1" t="d">
        <v>2011-02-23</v>
      </c>
      <c r="Z1222" t="s">
        <v>52</v>
      </c>
      <c r="AA1222" t="s">
        <v>40</v>
      </c>
      <c r="AB1222">
        <v>2</v>
      </c>
      <c r="AC1222">
        <v>0</v>
      </c>
      <c r="AD1222" t="s">
        <v>32</v>
      </c>
      <c r="AE1222" t="s">
        <v>47</v>
      </c>
      <c r="AF1222" t="s">
        <v>57</v>
      </c>
    </row>
    <row r="1223" spans="1:32" x14ac:dyDescent="0.25">
      <c r="A1223">
        <v>56</v>
      </c>
      <c r="B1223" t="s">
        <v>32</v>
      </c>
      <c r="C1223" t="s">
        <v>33</v>
      </c>
      <c r="D1223" t="s">
        <v>34</v>
      </c>
      <c r="E1223">
        <v>7</v>
      </c>
      <c r="F1223" t="s">
        <v>35</v>
      </c>
      <c r="G1223">
        <v>3</v>
      </c>
      <c r="H1223">
        <v>1</v>
      </c>
      <c r="I1223" t="s">
        <v>36</v>
      </c>
      <c r="J1223">
        <v>3</v>
      </c>
      <c r="K1223" t="s">
        <v>50</v>
      </c>
      <c r="L1223">
        <v>2339</v>
      </c>
      <c r="M1223">
        <v>8</v>
      </c>
      <c r="N1223" t="s">
        <v>41</v>
      </c>
      <c r="O1223">
        <v>11</v>
      </c>
      <c r="P1223">
        <v>3</v>
      </c>
      <c r="Q1223">
        <v>1</v>
      </c>
      <c r="R1223">
        <v>14</v>
      </c>
      <c r="S1223">
        <v>4</v>
      </c>
      <c r="T1223">
        <v>10</v>
      </c>
      <c r="U1223">
        <v>9</v>
      </c>
      <c r="V1223">
        <v>8</v>
      </c>
      <c r="W1223" t="s">
        <v>51</v>
      </c>
      <c r="X1223" s="1" t="d">
        <v>2011-04-19</v>
      </c>
      <c r="Z1223" t="s">
        <v>45</v>
      </c>
      <c r="AA1223" t="s">
        <v>46</v>
      </c>
      <c r="AB1223">
        <v>5</v>
      </c>
      <c r="AC1223">
        <v>3</v>
      </c>
      <c r="AD1223" t="s">
        <v>41</v>
      </c>
      <c r="AE1223" t="s">
        <v>60</v>
      </c>
      <c r="AF1223" t="s">
        <v>43</v>
      </c>
    </row>
    <row r="1224" spans="1:32" x14ac:dyDescent="0.25">
      <c r="A1224">
        <v>38</v>
      </c>
      <c r="B1224" t="s">
        <v>41</v>
      </c>
      <c r="C1224" t="s">
        <v>33</v>
      </c>
      <c r="D1224" t="s">
        <v>53</v>
      </c>
      <c r="E1224">
        <v>10</v>
      </c>
      <c r="F1224" t="s">
        <v>58</v>
      </c>
      <c r="G1224">
        <v>3</v>
      </c>
      <c r="H1224">
        <v>2</v>
      </c>
      <c r="I1224" t="s">
        <v>64</v>
      </c>
      <c r="J1224">
        <v>4</v>
      </c>
      <c r="K1224" t="s">
        <v>50</v>
      </c>
      <c r="L1224">
        <v>5343</v>
      </c>
      <c r="M1224">
        <v>1</v>
      </c>
      <c r="N1224" t="s">
        <v>41</v>
      </c>
      <c r="O1224">
        <v>11</v>
      </c>
      <c r="P1224">
        <v>3</v>
      </c>
      <c r="Q1224">
        <v>1</v>
      </c>
      <c r="R1224">
        <v>10</v>
      </c>
      <c r="S1224">
        <v>1</v>
      </c>
      <c r="T1224">
        <v>10</v>
      </c>
      <c r="U1224">
        <v>1</v>
      </c>
      <c r="V1224">
        <v>9</v>
      </c>
      <c r="W1224" t="s">
        <v>38</v>
      </c>
      <c r="X1224" s="1" t="d">
        <v>2011-03-26</v>
      </c>
      <c r="Z1224" t="s">
        <v>52</v>
      </c>
      <c r="AA1224" t="s">
        <v>46</v>
      </c>
      <c r="AB1224">
        <v>2</v>
      </c>
      <c r="AC1224">
        <v>1</v>
      </c>
      <c r="AD1224" t="s">
        <v>41</v>
      </c>
      <c r="AE1224" t="s">
        <v>42</v>
      </c>
      <c r="AF1224" t="s">
        <v>48</v>
      </c>
    </row>
    <row r="1225" spans="1:32" x14ac:dyDescent="0.25">
      <c r="A1225">
        <v>35</v>
      </c>
      <c r="B1225" t="s">
        <v>41</v>
      </c>
      <c r="C1225" t="s">
        <v>61</v>
      </c>
      <c r="D1225" t="s">
        <v>34</v>
      </c>
      <c r="E1225">
        <v>18</v>
      </c>
      <c r="F1225" t="s">
        <v>35</v>
      </c>
      <c r="G1225">
        <v>3</v>
      </c>
      <c r="H1225">
        <v>2</v>
      </c>
      <c r="I1225" t="s">
        <v>69</v>
      </c>
      <c r="J1225">
        <v>3</v>
      </c>
      <c r="K1225" t="s">
        <v>50</v>
      </c>
      <c r="L1225">
        <v>5689</v>
      </c>
      <c r="M1225">
        <v>1</v>
      </c>
      <c r="N1225" t="s">
        <v>32</v>
      </c>
      <c r="O1225">
        <v>14</v>
      </c>
      <c r="P1225">
        <v>3</v>
      </c>
      <c r="Q1225">
        <v>2</v>
      </c>
      <c r="R1225">
        <v>10</v>
      </c>
      <c r="S1225">
        <v>2</v>
      </c>
      <c r="T1225">
        <v>10</v>
      </c>
      <c r="U1225">
        <v>0</v>
      </c>
      <c r="V1225">
        <v>2</v>
      </c>
      <c r="W1225" t="s">
        <v>51</v>
      </c>
      <c r="X1225" s="1" t="d">
        <v>2011-02-23</v>
      </c>
      <c r="Z1225" t="s">
        <v>39</v>
      </c>
      <c r="AA1225" t="s">
        <v>46</v>
      </c>
      <c r="AB1225">
        <v>5</v>
      </c>
      <c r="AC1225">
        <v>1</v>
      </c>
      <c r="AD1225" t="s">
        <v>32</v>
      </c>
      <c r="AE1225" t="s">
        <v>62</v>
      </c>
      <c r="AF1225" t="s">
        <v>43</v>
      </c>
    </row>
    <row r="1226" spans="1:32" x14ac:dyDescent="0.25">
      <c r="A1226">
        <v>31</v>
      </c>
      <c r="B1226" t="s">
        <v>41</v>
      </c>
      <c r="C1226" t="s">
        <v>33</v>
      </c>
      <c r="D1226" t="s">
        <v>34</v>
      </c>
      <c r="E1226">
        <v>8</v>
      </c>
      <c r="F1226" t="s">
        <v>58</v>
      </c>
      <c r="G1226">
        <v>3</v>
      </c>
      <c r="H1226">
        <v>2</v>
      </c>
      <c r="I1226" t="s">
        <v>67</v>
      </c>
      <c r="J1226">
        <v>4</v>
      </c>
      <c r="K1226" t="s">
        <v>37</v>
      </c>
      <c r="L1226">
        <v>4424</v>
      </c>
      <c r="M1226">
        <v>1</v>
      </c>
      <c r="N1226" t="s">
        <v>41</v>
      </c>
      <c r="O1226">
        <v>23</v>
      </c>
      <c r="P1226">
        <v>4</v>
      </c>
      <c r="Q1226">
        <v>0</v>
      </c>
      <c r="R1226">
        <v>11</v>
      </c>
      <c r="S1226">
        <v>2</v>
      </c>
      <c r="T1226">
        <v>11</v>
      </c>
      <c r="U1226">
        <v>1</v>
      </c>
      <c r="V1226">
        <v>8</v>
      </c>
      <c r="W1226" t="s">
        <v>65</v>
      </c>
      <c r="X1226" s="1" t="d">
        <v>2010-03-23</v>
      </c>
      <c r="Z1226" t="s">
        <v>63</v>
      </c>
      <c r="AA1226" t="s">
        <v>46</v>
      </c>
      <c r="AB1226">
        <v>2</v>
      </c>
      <c r="AC1226">
        <v>0</v>
      </c>
      <c r="AD1226" t="s">
        <v>41</v>
      </c>
      <c r="AE1226" t="s">
        <v>62</v>
      </c>
      <c r="AF1226" t="s">
        <v>57</v>
      </c>
    </row>
    <row r="1227" spans="1:32" x14ac:dyDescent="0.25">
      <c r="A1227">
        <v>30</v>
      </c>
      <c r="B1227" t="s">
        <v>41</v>
      </c>
      <c r="C1227" t="s">
        <v>33</v>
      </c>
      <c r="D1227" t="s">
        <v>34</v>
      </c>
      <c r="E1227">
        <v>2</v>
      </c>
      <c r="F1227" t="s">
        <v>35</v>
      </c>
      <c r="G1227">
        <v>2</v>
      </c>
      <c r="H1227">
        <v>2</v>
      </c>
      <c r="I1227" t="s">
        <v>69</v>
      </c>
      <c r="J1227">
        <v>4</v>
      </c>
      <c r="K1227" t="s">
        <v>50</v>
      </c>
      <c r="L1227">
        <v>4152</v>
      </c>
      <c r="M1227">
        <v>1</v>
      </c>
      <c r="N1227" t="s">
        <v>41</v>
      </c>
      <c r="O1227">
        <v>19</v>
      </c>
      <c r="P1227">
        <v>3</v>
      </c>
      <c r="Q1227">
        <v>3</v>
      </c>
      <c r="R1227">
        <v>11</v>
      </c>
      <c r="S1227">
        <v>3</v>
      </c>
      <c r="T1227">
        <v>11</v>
      </c>
      <c r="U1227">
        <v>10</v>
      </c>
      <c r="V1227">
        <v>8</v>
      </c>
      <c r="W1227" t="s">
        <v>56</v>
      </c>
      <c r="X1227" s="1" t="d">
        <v>2010-06-06</v>
      </c>
      <c r="Z1227" t="s">
        <v>52</v>
      </c>
      <c r="AA1227" t="s">
        <v>40</v>
      </c>
      <c r="AB1227">
        <v>4</v>
      </c>
      <c r="AC1227">
        <v>1</v>
      </c>
      <c r="AD1227" t="s">
        <v>32</v>
      </c>
      <c r="AE1227" t="s">
        <v>60</v>
      </c>
      <c r="AF1227" t="s">
        <v>57</v>
      </c>
    </row>
    <row r="1228" spans="1:32" x14ac:dyDescent="0.25">
      <c r="A1228">
        <v>30</v>
      </c>
      <c r="B1228" t="s">
        <v>41</v>
      </c>
      <c r="C1228" t="s">
        <v>33</v>
      </c>
      <c r="D1228" t="s">
        <v>53</v>
      </c>
      <c r="E1228">
        <v>4</v>
      </c>
      <c r="F1228" t="s">
        <v>58</v>
      </c>
      <c r="G1228">
        <v>2</v>
      </c>
      <c r="H1228">
        <v>2</v>
      </c>
      <c r="I1228" t="s">
        <v>64</v>
      </c>
      <c r="J1228">
        <v>2</v>
      </c>
      <c r="K1228" t="s">
        <v>55</v>
      </c>
      <c r="L1228">
        <v>5209</v>
      </c>
      <c r="M1228">
        <v>1</v>
      </c>
      <c r="N1228" t="s">
        <v>32</v>
      </c>
      <c r="O1228">
        <v>12</v>
      </c>
      <c r="P1228">
        <v>3</v>
      </c>
      <c r="Q1228">
        <v>3</v>
      </c>
      <c r="R1228">
        <v>11</v>
      </c>
      <c r="S1228">
        <v>4</v>
      </c>
      <c r="T1228">
        <v>11</v>
      </c>
      <c r="U1228">
        <v>2</v>
      </c>
      <c r="V1228">
        <v>7</v>
      </c>
      <c r="W1228" t="s">
        <v>38</v>
      </c>
      <c r="X1228" s="1" t="d">
        <v>2010-05-28</v>
      </c>
      <c r="Z1228" t="s">
        <v>39</v>
      </c>
      <c r="AA1228" t="s">
        <v>46</v>
      </c>
      <c r="AB1228">
        <v>1</v>
      </c>
      <c r="AC1228">
        <v>1</v>
      </c>
      <c r="AD1228" t="s">
        <v>32</v>
      </c>
      <c r="AE1228" t="s">
        <v>42</v>
      </c>
      <c r="AF1228" t="s">
        <v>57</v>
      </c>
    </row>
    <row r="1229" spans="1:32" x14ac:dyDescent="0.25">
      <c r="A1229">
        <v>32</v>
      </c>
      <c r="B1229" t="s">
        <v>41</v>
      </c>
      <c r="C1229" t="s">
        <v>33</v>
      </c>
      <c r="D1229" t="s">
        <v>53</v>
      </c>
      <c r="E1229">
        <v>6</v>
      </c>
      <c r="F1229" t="s">
        <v>35</v>
      </c>
      <c r="G1229">
        <v>3</v>
      </c>
      <c r="H1229">
        <v>2</v>
      </c>
      <c r="I1229" t="s">
        <v>64</v>
      </c>
      <c r="J1229">
        <v>3</v>
      </c>
      <c r="K1229" t="s">
        <v>37</v>
      </c>
      <c r="L1229">
        <v>5010</v>
      </c>
      <c r="M1229">
        <v>1</v>
      </c>
      <c r="N1229" t="s">
        <v>41</v>
      </c>
      <c r="O1229">
        <v>16</v>
      </c>
      <c r="P1229">
        <v>3</v>
      </c>
      <c r="Q1229">
        <v>0</v>
      </c>
      <c r="R1229">
        <v>12</v>
      </c>
      <c r="S1229">
        <v>0</v>
      </c>
      <c r="T1229">
        <v>11</v>
      </c>
      <c r="U1229">
        <v>5</v>
      </c>
      <c r="V1229">
        <v>7</v>
      </c>
      <c r="W1229" t="s">
        <v>65</v>
      </c>
      <c r="X1229" s="1" t="d">
        <v>2010-06-21</v>
      </c>
      <c r="Z1229" t="s">
        <v>63</v>
      </c>
      <c r="AA1229" t="s">
        <v>46</v>
      </c>
      <c r="AB1229">
        <v>2</v>
      </c>
      <c r="AC1229">
        <v>1</v>
      </c>
      <c r="AD1229" t="s">
        <v>41</v>
      </c>
      <c r="AE1229" t="s">
        <v>42</v>
      </c>
      <c r="AF1229" t="s">
        <v>43</v>
      </c>
    </row>
    <row r="1230" spans="1:32" x14ac:dyDescent="0.25">
      <c r="A1230">
        <v>34</v>
      </c>
      <c r="B1230" t="s">
        <v>41</v>
      </c>
      <c r="C1230" t="s">
        <v>33</v>
      </c>
      <c r="D1230" t="s">
        <v>34</v>
      </c>
      <c r="E1230">
        <v>5</v>
      </c>
      <c r="F1230" t="s">
        <v>58</v>
      </c>
      <c r="G1230">
        <v>2</v>
      </c>
      <c r="H1230">
        <v>3</v>
      </c>
      <c r="I1230" t="s">
        <v>66</v>
      </c>
      <c r="J1230">
        <v>1</v>
      </c>
      <c r="K1230" t="s">
        <v>37</v>
      </c>
      <c r="L1230">
        <v>11631</v>
      </c>
      <c r="M1230">
        <v>2</v>
      </c>
      <c r="N1230" t="s">
        <v>41</v>
      </c>
      <c r="O1230">
        <v>12</v>
      </c>
      <c r="P1230">
        <v>3</v>
      </c>
      <c r="Q1230">
        <v>0</v>
      </c>
      <c r="R1230">
        <v>14</v>
      </c>
      <c r="S1230">
        <v>6</v>
      </c>
      <c r="T1230">
        <v>11</v>
      </c>
      <c r="U1230">
        <v>5</v>
      </c>
      <c r="V1230">
        <v>8</v>
      </c>
      <c r="W1230" t="s">
        <v>65</v>
      </c>
      <c r="X1230" s="1" t="d">
        <v>2010-01-05</v>
      </c>
      <c r="Z1230" t="s">
        <v>45</v>
      </c>
      <c r="AA1230" t="s">
        <v>40</v>
      </c>
      <c r="AB1230">
        <v>0</v>
      </c>
      <c r="AC1230">
        <v>1</v>
      </c>
      <c r="AD1230" t="s">
        <v>41</v>
      </c>
      <c r="AE1230" t="s">
        <v>42</v>
      </c>
      <c r="AF1230" t="s">
        <v>43</v>
      </c>
    </row>
    <row r="1231" spans="1:32" x14ac:dyDescent="0.25">
      <c r="A1231">
        <v>30</v>
      </c>
      <c r="B1231" t="s">
        <v>41</v>
      </c>
      <c r="C1231" t="s">
        <v>33</v>
      </c>
      <c r="D1231" t="s">
        <v>70</v>
      </c>
      <c r="E1231">
        <v>9</v>
      </c>
      <c r="F1231" t="s">
        <v>35</v>
      </c>
      <c r="G1231">
        <v>3</v>
      </c>
      <c r="H1231">
        <v>2</v>
      </c>
      <c r="I1231" t="s">
        <v>70</v>
      </c>
      <c r="J1231">
        <v>4</v>
      </c>
      <c r="K1231" t="s">
        <v>50</v>
      </c>
      <c r="L1231">
        <v>6347</v>
      </c>
      <c r="M1231">
        <v>0</v>
      </c>
      <c r="N1231" t="s">
        <v>32</v>
      </c>
      <c r="O1231">
        <v>19</v>
      </c>
      <c r="P1231">
        <v>3</v>
      </c>
      <c r="Q1231">
        <v>0</v>
      </c>
      <c r="R1231">
        <v>12</v>
      </c>
      <c r="S1231">
        <v>2</v>
      </c>
      <c r="T1231">
        <v>11</v>
      </c>
      <c r="U1231">
        <v>4</v>
      </c>
      <c r="V1231">
        <v>7</v>
      </c>
      <c r="W1231" t="s">
        <v>51</v>
      </c>
      <c r="X1231" s="1" t="d">
        <v>2010-02-03</v>
      </c>
      <c r="Z1231" t="s">
        <v>45</v>
      </c>
      <c r="AA1231" t="s">
        <v>46</v>
      </c>
      <c r="AB1231">
        <v>5</v>
      </c>
      <c r="AC1231">
        <v>2</v>
      </c>
      <c r="AD1231" t="s">
        <v>41</v>
      </c>
      <c r="AE1231" t="s">
        <v>42</v>
      </c>
      <c r="AF1231" t="s">
        <v>57</v>
      </c>
    </row>
    <row r="1232" spans="1:32" x14ac:dyDescent="0.25">
      <c r="A1232">
        <v>30</v>
      </c>
      <c r="B1232" t="s">
        <v>41</v>
      </c>
      <c r="C1232" t="s">
        <v>68</v>
      </c>
      <c r="D1232" t="s">
        <v>34</v>
      </c>
      <c r="E1232">
        <v>1</v>
      </c>
      <c r="F1232" t="s">
        <v>35</v>
      </c>
      <c r="G1232">
        <v>2</v>
      </c>
      <c r="H1232">
        <v>3</v>
      </c>
      <c r="I1232" t="s">
        <v>67</v>
      </c>
      <c r="J1232">
        <v>3</v>
      </c>
      <c r="K1232" t="s">
        <v>37</v>
      </c>
      <c r="L1232">
        <v>8474</v>
      </c>
      <c r="M1232">
        <v>1</v>
      </c>
      <c r="N1232" t="s">
        <v>41</v>
      </c>
      <c r="O1232">
        <v>22</v>
      </c>
      <c r="P1232">
        <v>4</v>
      </c>
      <c r="Q1232">
        <v>0</v>
      </c>
      <c r="R1232">
        <v>12</v>
      </c>
      <c r="S1232">
        <v>2</v>
      </c>
      <c r="T1232">
        <v>11</v>
      </c>
      <c r="U1232">
        <v>5</v>
      </c>
      <c r="V1232">
        <v>8</v>
      </c>
      <c r="W1232" t="s">
        <v>38</v>
      </c>
      <c r="X1232" s="1" t="d">
        <v>2010-01-17</v>
      </c>
      <c r="Z1232" t="s">
        <v>45</v>
      </c>
      <c r="AA1232" t="s">
        <v>40</v>
      </c>
      <c r="AB1232">
        <v>4</v>
      </c>
      <c r="AC1232">
        <v>2</v>
      </c>
      <c r="AD1232" t="s">
        <v>41</v>
      </c>
      <c r="AE1232" t="s">
        <v>47</v>
      </c>
      <c r="AF1232" t="s">
        <v>57</v>
      </c>
    </row>
    <row r="1233" spans="1:32" x14ac:dyDescent="0.25">
      <c r="A1233">
        <v>29</v>
      </c>
      <c r="B1233" t="s">
        <v>41</v>
      </c>
      <c r="C1233" t="s">
        <v>61</v>
      </c>
      <c r="D1233" t="s">
        <v>53</v>
      </c>
      <c r="E1233">
        <v>1</v>
      </c>
      <c r="F1233" t="s">
        <v>58</v>
      </c>
      <c r="G1233">
        <v>3</v>
      </c>
      <c r="H1233">
        <v>3</v>
      </c>
      <c r="I1233" t="s">
        <v>64</v>
      </c>
      <c r="J1233">
        <v>4</v>
      </c>
      <c r="K1233" t="s">
        <v>50</v>
      </c>
      <c r="L1233">
        <v>7918</v>
      </c>
      <c r="M1233">
        <v>1</v>
      </c>
      <c r="N1233" t="s">
        <v>41</v>
      </c>
      <c r="O1233">
        <v>14</v>
      </c>
      <c r="P1233">
        <v>3</v>
      </c>
      <c r="Q1233">
        <v>1</v>
      </c>
      <c r="R1233">
        <v>11</v>
      </c>
      <c r="S1233">
        <v>5</v>
      </c>
      <c r="T1233">
        <v>11</v>
      </c>
      <c r="U1233">
        <v>4</v>
      </c>
      <c r="V1233">
        <v>1</v>
      </c>
      <c r="W1233" t="s">
        <v>51</v>
      </c>
      <c r="X1233" s="1" t="d">
        <v>2010-06-29</v>
      </c>
      <c r="Z1233" t="s">
        <v>52</v>
      </c>
      <c r="AA1233" t="s">
        <v>40</v>
      </c>
      <c r="AB1233">
        <v>3</v>
      </c>
      <c r="AC1233">
        <v>3</v>
      </c>
      <c r="AD1233" t="s">
        <v>32</v>
      </c>
      <c r="AE1233" t="s">
        <v>47</v>
      </c>
      <c r="AF1233" t="s">
        <v>48</v>
      </c>
    </row>
    <row r="1234" spans="1:32" x14ac:dyDescent="0.25">
      <c r="A1234">
        <v>34</v>
      </c>
      <c r="B1234" t="s">
        <v>41</v>
      </c>
      <c r="C1234" t="s">
        <v>33</v>
      </c>
      <c r="D1234" t="s">
        <v>34</v>
      </c>
      <c r="E1234">
        <v>2</v>
      </c>
      <c r="F1234" t="s">
        <v>35</v>
      </c>
      <c r="G1234">
        <v>2</v>
      </c>
      <c r="H1234">
        <v>2</v>
      </c>
      <c r="I1234" t="s">
        <v>67</v>
      </c>
      <c r="J1234">
        <v>1</v>
      </c>
      <c r="K1234" t="s">
        <v>50</v>
      </c>
      <c r="L1234">
        <v>5957</v>
      </c>
      <c r="M1234">
        <v>6</v>
      </c>
      <c r="N1234" t="s">
        <v>41</v>
      </c>
      <c r="O1234">
        <v>13</v>
      </c>
      <c r="P1234">
        <v>3</v>
      </c>
      <c r="Q1234">
        <v>1</v>
      </c>
      <c r="R1234">
        <v>13</v>
      </c>
      <c r="S1234">
        <v>3</v>
      </c>
      <c r="T1234">
        <v>11</v>
      </c>
      <c r="U1234">
        <v>5</v>
      </c>
      <c r="V1234">
        <v>9</v>
      </c>
      <c r="W1234" t="s">
        <v>65</v>
      </c>
      <c r="X1234" s="1" t="d">
        <v>2010-01-14</v>
      </c>
      <c r="Z1234" t="s">
        <v>45</v>
      </c>
      <c r="AA1234" t="s">
        <v>40</v>
      </c>
      <c r="AB1234">
        <v>3</v>
      </c>
      <c r="AC1234">
        <v>2</v>
      </c>
      <c r="AD1234" t="s">
        <v>32</v>
      </c>
      <c r="AE1234" t="s">
        <v>47</v>
      </c>
      <c r="AF1234" t="s">
        <v>57</v>
      </c>
    </row>
    <row r="1235" spans="1:32" x14ac:dyDescent="0.25">
      <c r="A1235">
        <v>35</v>
      </c>
      <c r="B1235" t="s">
        <v>41</v>
      </c>
      <c r="C1235" t="s">
        <v>33</v>
      </c>
      <c r="D1235" t="s">
        <v>53</v>
      </c>
      <c r="E1235">
        <v>16</v>
      </c>
      <c r="F1235" t="s">
        <v>35</v>
      </c>
      <c r="G1235">
        <v>3</v>
      </c>
      <c r="H1235">
        <v>3</v>
      </c>
      <c r="I1235" t="s">
        <v>64</v>
      </c>
      <c r="J1235">
        <v>2</v>
      </c>
      <c r="K1235" t="s">
        <v>50</v>
      </c>
      <c r="L1235">
        <v>8020</v>
      </c>
      <c r="M1235">
        <v>0</v>
      </c>
      <c r="N1235" t="s">
        <v>41</v>
      </c>
      <c r="O1235">
        <v>15</v>
      </c>
      <c r="P1235">
        <v>3</v>
      </c>
      <c r="Q1235">
        <v>2</v>
      </c>
      <c r="R1235">
        <v>12</v>
      </c>
      <c r="S1235">
        <v>3</v>
      </c>
      <c r="T1235">
        <v>11</v>
      </c>
      <c r="U1235">
        <v>6</v>
      </c>
      <c r="V1235">
        <v>9</v>
      </c>
      <c r="W1235" t="s">
        <v>51</v>
      </c>
      <c r="X1235" s="1" t="d">
        <v>2010-03-29</v>
      </c>
      <c r="Z1235" t="s">
        <v>59</v>
      </c>
      <c r="AA1235" t="s">
        <v>46</v>
      </c>
      <c r="AB1235">
        <v>1</v>
      </c>
      <c r="AC1235">
        <v>3</v>
      </c>
      <c r="AD1235" t="s">
        <v>32</v>
      </c>
      <c r="AE1235" t="s">
        <v>62</v>
      </c>
      <c r="AF1235" t="s">
        <v>48</v>
      </c>
    </row>
    <row r="1236" spans="1:32" x14ac:dyDescent="0.25">
      <c r="A1236">
        <v>38</v>
      </c>
      <c r="B1236" t="s">
        <v>41</v>
      </c>
      <c r="C1236" t="s">
        <v>33</v>
      </c>
      <c r="D1236" t="s">
        <v>34</v>
      </c>
      <c r="E1236">
        <v>15</v>
      </c>
      <c r="F1236" t="s">
        <v>35</v>
      </c>
      <c r="G1236">
        <v>2</v>
      </c>
      <c r="H1236">
        <v>3</v>
      </c>
      <c r="I1236" t="s">
        <v>49</v>
      </c>
      <c r="J1236">
        <v>4</v>
      </c>
      <c r="K1236" t="s">
        <v>55</v>
      </c>
      <c r="L1236">
        <v>11510</v>
      </c>
      <c r="M1236">
        <v>0</v>
      </c>
      <c r="N1236" t="s">
        <v>32</v>
      </c>
      <c r="O1236">
        <v>14</v>
      </c>
      <c r="P1236">
        <v>3</v>
      </c>
      <c r="Q1236">
        <v>1</v>
      </c>
      <c r="R1236">
        <v>12</v>
      </c>
      <c r="S1236">
        <v>3</v>
      </c>
      <c r="T1236">
        <v>11</v>
      </c>
      <c r="U1236">
        <v>2</v>
      </c>
      <c r="V1236">
        <v>9</v>
      </c>
      <c r="W1236" t="s">
        <v>38</v>
      </c>
      <c r="X1236" s="1" t="d">
        <v>2010-03-30</v>
      </c>
      <c r="Z1236" t="s">
        <v>59</v>
      </c>
      <c r="AA1236" t="s">
        <v>46</v>
      </c>
      <c r="AB1236">
        <v>1</v>
      </c>
      <c r="AC1236">
        <v>3</v>
      </c>
      <c r="AD1236" t="s">
        <v>41</v>
      </c>
      <c r="AE1236" t="s">
        <v>42</v>
      </c>
      <c r="AF1236" t="s">
        <v>57</v>
      </c>
    </row>
    <row r="1237" spans="1:32" x14ac:dyDescent="0.25">
      <c r="A1237">
        <v>31</v>
      </c>
      <c r="B1237" t="s">
        <v>41</v>
      </c>
      <c r="C1237" t="s">
        <v>33</v>
      </c>
      <c r="D1237" t="s">
        <v>34</v>
      </c>
      <c r="E1237">
        <v>7</v>
      </c>
      <c r="F1237" t="s">
        <v>58</v>
      </c>
      <c r="G1237">
        <v>3</v>
      </c>
      <c r="H1237">
        <v>3</v>
      </c>
      <c r="I1237" t="s">
        <v>67</v>
      </c>
      <c r="J1237">
        <v>4</v>
      </c>
      <c r="K1237" t="s">
        <v>37</v>
      </c>
      <c r="L1237">
        <v>7143</v>
      </c>
      <c r="M1237">
        <v>1</v>
      </c>
      <c r="N1237" t="s">
        <v>32</v>
      </c>
      <c r="O1237">
        <v>14</v>
      </c>
      <c r="P1237">
        <v>3</v>
      </c>
      <c r="Q1237">
        <v>0</v>
      </c>
      <c r="R1237">
        <v>11</v>
      </c>
      <c r="S1237">
        <v>2</v>
      </c>
      <c r="T1237">
        <v>11</v>
      </c>
      <c r="U1237">
        <v>4</v>
      </c>
      <c r="V1237">
        <v>10</v>
      </c>
      <c r="W1237" t="s">
        <v>65</v>
      </c>
      <c r="X1237" s="1" t="d">
        <v>2010-03-18</v>
      </c>
      <c r="Z1237" t="s">
        <v>45</v>
      </c>
      <c r="AA1237" t="s">
        <v>46</v>
      </c>
      <c r="AB1237">
        <v>4</v>
      </c>
      <c r="AC1237">
        <v>3</v>
      </c>
      <c r="AD1237" t="s">
        <v>32</v>
      </c>
      <c r="AE1237" t="s">
        <v>60</v>
      </c>
      <c r="AF1237" t="s">
        <v>48</v>
      </c>
    </row>
    <row r="1238" spans="1:32" x14ac:dyDescent="0.25">
      <c r="A1238">
        <v>30</v>
      </c>
      <c r="B1238" t="s">
        <v>41</v>
      </c>
      <c r="C1238" t="s">
        <v>68</v>
      </c>
      <c r="D1238" t="s">
        <v>34</v>
      </c>
      <c r="E1238">
        <v>2</v>
      </c>
      <c r="F1238" t="s">
        <v>58</v>
      </c>
      <c r="G1238">
        <v>3</v>
      </c>
      <c r="H1238">
        <v>1</v>
      </c>
      <c r="I1238" t="s">
        <v>36</v>
      </c>
      <c r="J1238">
        <v>4</v>
      </c>
      <c r="K1238" t="s">
        <v>37</v>
      </c>
      <c r="L1238">
        <v>2564</v>
      </c>
      <c r="M1238">
        <v>0</v>
      </c>
      <c r="N1238" t="s">
        <v>41</v>
      </c>
      <c r="O1238">
        <v>14</v>
      </c>
      <c r="P1238">
        <v>3</v>
      </c>
      <c r="Q1238">
        <v>0</v>
      </c>
      <c r="R1238">
        <v>12</v>
      </c>
      <c r="S1238">
        <v>2</v>
      </c>
      <c r="T1238">
        <v>11</v>
      </c>
      <c r="U1238">
        <v>6</v>
      </c>
      <c r="V1238">
        <v>7</v>
      </c>
      <c r="W1238" t="s">
        <v>38</v>
      </c>
      <c r="X1238" s="1" t="d">
        <v>2010-06-22</v>
      </c>
      <c r="Z1238" t="s">
        <v>52</v>
      </c>
      <c r="AA1238" t="s">
        <v>46</v>
      </c>
      <c r="AB1238">
        <v>0</v>
      </c>
      <c r="AC1238">
        <v>0</v>
      </c>
      <c r="AD1238" t="s">
        <v>41</v>
      </c>
      <c r="AE1238" t="s">
        <v>62</v>
      </c>
      <c r="AF1238" t="s">
        <v>43</v>
      </c>
    </row>
    <row r="1239" spans="1:32" x14ac:dyDescent="0.25">
      <c r="A1239">
        <v>35</v>
      </c>
      <c r="B1239" t="s">
        <v>41</v>
      </c>
      <c r="C1239" t="s">
        <v>33</v>
      </c>
      <c r="D1239" t="s">
        <v>53</v>
      </c>
      <c r="E1239">
        <v>1</v>
      </c>
      <c r="F1239" t="s">
        <v>35</v>
      </c>
      <c r="G1239">
        <v>3</v>
      </c>
      <c r="H1239">
        <v>2</v>
      </c>
      <c r="I1239" t="s">
        <v>64</v>
      </c>
      <c r="J1239">
        <v>3</v>
      </c>
      <c r="K1239" t="s">
        <v>50</v>
      </c>
      <c r="L1239">
        <v>4717</v>
      </c>
      <c r="M1239">
        <v>9</v>
      </c>
      <c r="N1239" t="s">
        <v>41</v>
      </c>
      <c r="O1239">
        <v>11</v>
      </c>
      <c r="P1239">
        <v>3</v>
      </c>
      <c r="Q1239">
        <v>0</v>
      </c>
      <c r="R1239">
        <v>15</v>
      </c>
      <c r="S1239">
        <v>2</v>
      </c>
      <c r="T1239">
        <v>11</v>
      </c>
      <c r="U1239">
        <v>6</v>
      </c>
      <c r="V1239">
        <v>9</v>
      </c>
      <c r="W1239" t="s">
        <v>65</v>
      </c>
      <c r="X1239" s="1" t="d">
        <v>2010-03-19</v>
      </c>
      <c r="Z1239" t="s">
        <v>63</v>
      </c>
      <c r="AA1239" t="s">
        <v>40</v>
      </c>
      <c r="AB1239">
        <v>5</v>
      </c>
      <c r="AC1239">
        <v>1</v>
      </c>
      <c r="AD1239" t="s">
        <v>41</v>
      </c>
      <c r="AE1239" t="s">
        <v>42</v>
      </c>
      <c r="AF1239" t="s">
        <v>43</v>
      </c>
    </row>
    <row r="1240" spans="1:32" x14ac:dyDescent="0.25">
      <c r="A1240">
        <v>36</v>
      </c>
      <c r="B1240" t="s">
        <v>41</v>
      </c>
      <c r="C1240" t="s">
        <v>33</v>
      </c>
      <c r="D1240" t="s">
        <v>34</v>
      </c>
      <c r="E1240">
        <v>2</v>
      </c>
      <c r="F1240" t="s">
        <v>35</v>
      </c>
      <c r="G1240">
        <v>3</v>
      </c>
      <c r="H1240">
        <v>1</v>
      </c>
      <c r="I1240" t="s">
        <v>36</v>
      </c>
      <c r="J1240">
        <v>3</v>
      </c>
      <c r="K1240" t="s">
        <v>37</v>
      </c>
      <c r="L1240">
        <v>2519</v>
      </c>
      <c r="M1240">
        <v>4</v>
      </c>
      <c r="N1240" t="s">
        <v>41</v>
      </c>
      <c r="O1240">
        <v>21</v>
      </c>
      <c r="P1240">
        <v>4</v>
      </c>
      <c r="Q1240">
        <v>0</v>
      </c>
      <c r="R1240">
        <v>16</v>
      </c>
      <c r="S1240">
        <v>6</v>
      </c>
      <c r="T1240">
        <v>11</v>
      </c>
      <c r="U1240">
        <v>3</v>
      </c>
      <c r="V1240">
        <v>9</v>
      </c>
      <c r="W1240" t="s">
        <v>38</v>
      </c>
      <c r="X1240" s="1" t="d">
        <v>2010-06-19</v>
      </c>
      <c r="Z1240" t="s">
        <v>63</v>
      </c>
      <c r="AA1240" t="s">
        <v>40</v>
      </c>
      <c r="AB1240">
        <v>0</v>
      </c>
      <c r="AC1240">
        <v>3</v>
      </c>
      <c r="AD1240" t="s">
        <v>41</v>
      </c>
      <c r="AE1240" t="s">
        <v>60</v>
      </c>
      <c r="AF1240" t="s">
        <v>48</v>
      </c>
    </row>
    <row r="1241" spans="1:32" x14ac:dyDescent="0.25">
      <c r="A1241">
        <v>40</v>
      </c>
      <c r="B1241" t="s">
        <v>41</v>
      </c>
      <c r="C1241" t="s">
        <v>33</v>
      </c>
      <c r="D1241" t="s">
        <v>34</v>
      </c>
      <c r="E1241">
        <v>20</v>
      </c>
      <c r="F1241" t="s">
        <v>35</v>
      </c>
      <c r="G1241">
        <v>3</v>
      </c>
      <c r="H1241">
        <v>3</v>
      </c>
      <c r="I1241" t="s">
        <v>69</v>
      </c>
      <c r="J1241">
        <v>4</v>
      </c>
      <c r="K1241" t="s">
        <v>50</v>
      </c>
      <c r="L1241">
        <v>10322</v>
      </c>
      <c r="M1241">
        <v>4</v>
      </c>
      <c r="N1241" t="s">
        <v>41</v>
      </c>
      <c r="O1241">
        <v>20</v>
      </c>
      <c r="P1241">
        <v>4</v>
      </c>
      <c r="Q1241">
        <v>1</v>
      </c>
      <c r="R1241">
        <v>14</v>
      </c>
      <c r="S1241">
        <v>6</v>
      </c>
      <c r="T1241">
        <v>11</v>
      </c>
      <c r="U1241">
        <v>11</v>
      </c>
      <c r="V1241">
        <v>1</v>
      </c>
      <c r="W1241" t="s">
        <v>65</v>
      </c>
      <c r="X1241" s="1" t="d">
        <v>2010-06-07</v>
      </c>
      <c r="Z1241" t="s">
        <v>39</v>
      </c>
      <c r="AA1241" t="s">
        <v>46</v>
      </c>
      <c r="AB1241">
        <v>3</v>
      </c>
      <c r="AC1241">
        <v>3</v>
      </c>
      <c r="AD1241" t="s">
        <v>32</v>
      </c>
      <c r="AE1241" t="s">
        <v>62</v>
      </c>
      <c r="AF1241" t="s">
        <v>43</v>
      </c>
    </row>
    <row r="1242" spans="1:32" x14ac:dyDescent="0.25">
      <c r="A1242">
        <v>36</v>
      </c>
      <c r="B1242" t="s">
        <v>41</v>
      </c>
      <c r="C1242" t="s">
        <v>68</v>
      </c>
      <c r="D1242" t="s">
        <v>34</v>
      </c>
      <c r="E1242">
        <v>18</v>
      </c>
      <c r="F1242" t="s">
        <v>35</v>
      </c>
      <c r="G1242">
        <v>3</v>
      </c>
      <c r="H1242">
        <v>2</v>
      </c>
      <c r="I1242" t="s">
        <v>67</v>
      </c>
      <c r="J1242">
        <v>4</v>
      </c>
      <c r="K1242" t="s">
        <v>37</v>
      </c>
      <c r="L1242">
        <v>7779</v>
      </c>
      <c r="M1242">
        <v>2</v>
      </c>
      <c r="N1242" t="s">
        <v>41</v>
      </c>
      <c r="O1242">
        <v>20</v>
      </c>
      <c r="P1242">
        <v>4</v>
      </c>
      <c r="Q1242">
        <v>0</v>
      </c>
      <c r="R1242">
        <v>18</v>
      </c>
      <c r="S1242">
        <v>0</v>
      </c>
      <c r="T1242">
        <v>11</v>
      </c>
      <c r="U1242">
        <v>0</v>
      </c>
      <c r="V1242">
        <v>9</v>
      </c>
      <c r="W1242" t="s">
        <v>51</v>
      </c>
      <c r="X1242" s="1" t="d">
        <v>2010-04-15</v>
      </c>
      <c r="Z1242" t="s">
        <v>59</v>
      </c>
      <c r="AA1242" t="s">
        <v>46</v>
      </c>
      <c r="AB1242">
        <v>4</v>
      </c>
      <c r="AC1242">
        <v>3</v>
      </c>
      <c r="AD1242" t="s">
        <v>41</v>
      </c>
      <c r="AE1242" t="s">
        <v>47</v>
      </c>
      <c r="AF1242" t="s">
        <v>57</v>
      </c>
    </row>
    <row r="1243" spans="1:32" x14ac:dyDescent="0.25">
      <c r="A1243">
        <v>29</v>
      </c>
      <c r="B1243" t="s">
        <v>32</v>
      </c>
      <c r="C1243" t="s">
        <v>33</v>
      </c>
      <c r="D1243" t="s">
        <v>53</v>
      </c>
      <c r="E1243">
        <v>23</v>
      </c>
      <c r="F1243" t="s">
        <v>58</v>
      </c>
      <c r="G1243">
        <v>2</v>
      </c>
      <c r="H1243">
        <v>3</v>
      </c>
      <c r="I1243" t="s">
        <v>64</v>
      </c>
      <c r="J1243">
        <v>1</v>
      </c>
      <c r="K1243" t="s">
        <v>50</v>
      </c>
      <c r="L1243">
        <v>7336</v>
      </c>
      <c r="M1243">
        <v>1</v>
      </c>
      <c r="N1243" t="s">
        <v>41</v>
      </c>
      <c r="O1243">
        <v>13</v>
      </c>
      <c r="P1243">
        <v>3</v>
      </c>
      <c r="Q1243">
        <v>1</v>
      </c>
      <c r="R1243">
        <v>11</v>
      </c>
      <c r="S1243">
        <v>3</v>
      </c>
      <c r="T1243">
        <v>11</v>
      </c>
      <c r="U1243">
        <v>3</v>
      </c>
      <c r="V1243">
        <v>10</v>
      </c>
      <c r="W1243" t="s">
        <v>65</v>
      </c>
      <c r="X1243" s="1" t="d">
        <v>2010-06-24</v>
      </c>
      <c r="Z1243" t="s">
        <v>45</v>
      </c>
      <c r="AA1243" t="s">
        <v>46</v>
      </c>
      <c r="AB1243">
        <v>3</v>
      </c>
      <c r="AC1243">
        <v>2</v>
      </c>
      <c r="AD1243" t="s">
        <v>32</v>
      </c>
      <c r="AE1243" t="s">
        <v>62</v>
      </c>
      <c r="AF1243" t="s">
        <v>48</v>
      </c>
    </row>
    <row r="1244" spans="1:32" x14ac:dyDescent="0.25">
      <c r="A1244">
        <v>60</v>
      </c>
      <c r="B1244" t="s">
        <v>41</v>
      </c>
      <c r="C1244" t="s">
        <v>33</v>
      </c>
      <c r="D1244" t="s">
        <v>53</v>
      </c>
      <c r="E1244">
        <v>7</v>
      </c>
      <c r="F1244" t="s">
        <v>35</v>
      </c>
      <c r="G1244">
        <v>4</v>
      </c>
      <c r="H1244">
        <v>2</v>
      </c>
      <c r="I1244" t="s">
        <v>64</v>
      </c>
      <c r="J1244">
        <v>4</v>
      </c>
      <c r="K1244" t="s">
        <v>55</v>
      </c>
      <c r="L1244">
        <v>5220</v>
      </c>
      <c r="M1244">
        <v>0</v>
      </c>
      <c r="N1244" t="s">
        <v>32</v>
      </c>
      <c r="O1244">
        <v>18</v>
      </c>
      <c r="P1244">
        <v>3</v>
      </c>
      <c r="Q1244">
        <v>1</v>
      </c>
      <c r="R1244">
        <v>12</v>
      </c>
      <c r="S1244">
        <v>3</v>
      </c>
      <c r="T1244">
        <v>11</v>
      </c>
      <c r="U1244">
        <v>1</v>
      </c>
      <c r="V1244">
        <v>9</v>
      </c>
      <c r="W1244" t="s">
        <v>51</v>
      </c>
      <c r="X1244" s="1" t="d">
        <v>2010-02-24</v>
      </c>
      <c r="Z1244" t="s">
        <v>59</v>
      </c>
      <c r="AA1244" t="s">
        <v>46</v>
      </c>
      <c r="AB1244">
        <v>3</v>
      </c>
      <c r="AC1244">
        <v>1</v>
      </c>
      <c r="AD1244" t="s">
        <v>41</v>
      </c>
      <c r="AE1244" t="s">
        <v>62</v>
      </c>
      <c r="AF1244" t="s">
        <v>57</v>
      </c>
    </row>
    <row r="1245" spans="1:32" x14ac:dyDescent="0.25">
      <c r="A1245">
        <v>30</v>
      </c>
      <c r="B1245" t="s">
        <v>41</v>
      </c>
      <c r="C1245" t="s">
        <v>33</v>
      </c>
      <c r="D1245" t="s">
        <v>34</v>
      </c>
      <c r="E1245">
        <v>1</v>
      </c>
      <c r="F1245" t="s">
        <v>35</v>
      </c>
      <c r="G1245">
        <v>3</v>
      </c>
      <c r="H1245">
        <v>1</v>
      </c>
      <c r="I1245" t="s">
        <v>44</v>
      </c>
      <c r="J1245">
        <v>2</v>
      </c>
      <c r="K1245" t="s">
        <v>50</v>
      </c>
      <c r="L1245">
        <v>3579</v>
      </c>
      <c r="M1245">
        <v>0</v>
      </c>
      <c r="N1245" t="s">
        <v>32</v>
      </c>
      <c r="O1245">
        <v>21</v>
      </c>
      <c r="P1245">
        <v>4</v>
      </c>
      <c r="Q1245">
        <v>1</v>
      </c>
      <c r="R1245">
        <v>12</v>
      </c>
      <c r="S1245">
        <v>2</v>
      </c>
      <c r="T1245">
        <v>11</v>
      </c>
      <c r="U1245">
        <v>5</v>
      </c>
      <c r="V1245">
        <v>7</v>
      </c>
      <c r="W1245" t="s">
        <v>65</v>
      </c>
      <c r="X1245" s="1" t="d">
        <v>2010-01-12</v>
      </c>
      <c r="Z1245" t="s">
        <v>52</v>
      </c>
      <c r="AA1245" t="s">
        <v>40</v>
      </c>
      <c r="AB1245">
        <v>0</v>
      </c>
      <c r="AC1245">
        <v>1</v>
      </c>
      <c r="AD1245" t="s">
        <v>41</v>
      </c>
      <c r="AE1245" t="s">
        <v>42</v>
      </c>
      <c r="AF1245" t="s">
        <v>48</v>
      </c>
    </row>
    <row r="1246" spans="1:32" x14ac:dyDescent="0.25">
      <c r="A1246">
        <v>36</v>
      </c>
      <c r="B1246" t="s">
        <v>41</v>
      </c>
      <c r="C1246" t="s">
        <v>61</v>
      </c>
      <c r="D1246" t="s">
        <v>34</v>
      </c>
      <c r="E1246">
        <v>3</v>
      </c>
      <c r="F1246" t="s">
        <v>35</v>
      </c>
      <c r="G1246">
        <v>3</v>
      </c>
      <c r="H1246">
        <v>1</v>
      </c>
      <c r="I1246" t="s">
        <v>44</v>
      </c>
      <c r="J1246">
        <v>2</v>
      </c>
      <c r="K1246" t="s">
        <v>50</v>
      </c>
      <c r="L1246">
        <v>3692</v>
      </c>
      <c r="M1246">
        <v>1</v>
      </c>
      <c r="N1246" t="s">
        <v>41</v>
      </c>
      <c r="O1246">
        <v>12</v>
      </c>
      <c r="P1246">
        <v>3</v>
      </c>
      <c r="Q1246">
        <v>0</v>
      </c>
      <c r="R1246">
        <v>12</v>
      </c>
      <c r="S1246">
        <v>2</v>
      </c>
      <c r="T1246">
        <v>11</v>
      </c>
      <c r="U1246">
        <v>0</v>
      </c>
      <c r="V1246">
        <v>7</v>
      </c>
      <c r="W1246" t="s">
        <v>51</v>
      </c>
      <c r="X1246" s="1" t="d">
        <v>2010-06-15</v>
      </c>
      <c r="Z1246" t="s">
        <v>39</v>
      </c>
      <c r="AA1246" t="s">
        <v>46</v>
      </c>
      <c r="AB1246">
        <v>4</v>
      </c>
      <c r="AC1246">
        <v>3</v>
      </c>
      <c r="AD1246" t="s">
        <v>32</v>
      </c>
      <c r="AE1246" t="s">
        <v>62</v>
      </c>
      <c r="AF1246" t="s">
        <v>48</v>
      </c>
    </row>
    <row r="1247" spans="1:32" x14ac:dyDescent="0.25">
      <c r="A1247">
        <v>46</v>
      </c>
      <c r="B1247" t="s">
        <v>41</v>
      </c>
      <c r="C1247" t="s">
        <v>33</v>
      </c>
      <c r="D1247" t="s">
        <v>53</v>
      </c>
      <c r="E1247">
        <v>4</v>
      </c>
      <c r="F1247" t="s">
        <v>58</v>
      </c>
      <c r="G1247">
        <v>2</v>
      </c>
      <c r="H1247">
        <v>5</v>
      </c>
      <c r="I1247" t="s">
        <v>66</v>
      </c>
      <c r="J1247">
        <v>2</v>
      </c>
      <c r="K1247" t="s">
        <v>50</v>
      </c>
      <c r="L1247">
        <v>18789</v>
      </c>
      <c r="M1247">
        <v>2</v>
      </c>
      <c r="N1247" t="s">
        <v>41</v>
      </c>
      <c r="O1247">
        <v>14</v>
      </c>
      <c r="P1247">
        <v>3</v>
      </c>
      <c r="Q1247">
        <v>1</v>
      </c>
      <c r="R1247">
        <v>26</v>
      </c>
      <c r="S1247">
        <v>2</v>
      </c>
      <c r="T1247">
        <v>11</v>
      </c>
      <c r="U1247">
        <v>0</v>
      </c>
      <c r="V1247">
        <v>8</v>
      </c>
      <c r="W1247" t="s">
        <v>51</v>
      </c>
      <c r="X1247" s="1" t="d">
        <v>2010-06-28</v>
      </c>
      <c r="Z1247" t="s">
        <v>52</v>
      </c>
      <c r="AA1247" t="s">
        <v>40</v>
      </c>
      <c r="AB1247">
        <v>0</v>
      </c>
      <c r="AC1247">
        <v>2</v>
      </c>
      <c r="AD1247" t="s">
        <v>41</v>
      </c>
      <c r="AE1247" t="s">
        <v>60</v>
      </c>
      <c r="AF1247" t="s">
        <v>48</v>
      </c>
    </row>
    <row r="1248" spans="1:32" x14ac:dyDescent="0.25">
      <c r="A1248">
        <v>34</v>
      </c>
      <c r="B1248" t="s">
        <v>41</v>
      </c>
      <c r="C1248" t="s">
        <v>61</v>
      </c>
      <c r="D1248" t="s">
        <v>34</v>
      </c>
      <c r="E1248">
        <v>19</v>
      </c>
      <c r="F1248" t="s">
        <v>58</v>
      </c>
      <c r="G1248">
        <v>3</v>
      </c>
      <c r="H1248">
        <v>2</v>
      </c>
      <c r="I1248" t="s">
        <v>36</v>
      </c>
      <c r="J1248">
        <v>2</v>
      </c>
      <c r="K1248" t="s">
        <v>55</v>
      </c>
      <c r="L1248">
        <v>4444</v>
      </c>
      <c r="M1248">
        <v>4</v>
      </c>
      <c r="N1248" t="s">
        <v>41</v>
      </c>
      <c r="O1248">
        <v>13</v>
      </c>
      <c r="P1248">
        <v>3</v>
      </c>
      <c r="Q1248">
        <v>2</v>
      </c>
      <c r="R1248">
        <v>15</v>
      </c>
      <c r="S1248">
        <v>2</v>
      </c>
      <c r="T1248">
        <v>11</v>
      </c>
      <c r="U1248">
        <v>5</v>
      </c>
      <c r="V1248">
        <v>10</v>
      </c>
      <c r="W1248" t="s">
        <v>51</v>
      </c>
      <c r="X1248" s="1" t="d">
        <v>2010-05-24</v>
      </c>
      <c r="Z1248" t="s">
        <v>39</v>
      </c>
      <c r="AA1248" t="s">
        <v>46</v>
      </c>
      <c r="AB1248">
        <v>1</v>
      </c>
      <c r="AC1248">
        <v>2</v>
      </c>
      <c r="AD1248" t="s">
        <v>32</v>
      </c>
      <c r="AE1248" t="s">
        <v>42</v>
      </c>
      <c r="AF1248" t="s">
        <v>57</v>
      </c>
    </row>
    <row r="1249" spans="1:32" x14ac:dyDescent="0.25">
      <c r="A1249">
        <v>35</v>
      </c>
      <c r="B1249" t="s">
        <v>41</v>
      </c>
      <c r="C1249" t="s">
        <v>33</v>
      </c>
      <c r="D1249" t="s">
        <v>34</v>
      </c>
      <c r="E1249">
        <v>16</v>
      </c>
      <c r="F1249" t="s">
        <v>58</v>
      </c>
      <c r="G1249">
        <v>2</v>
      </c>
      <c r="H1249">
        <v>3</v>
      </c>
      <c r="I1249" t="s">
        <v>69</v>
      </c>
      <c r="J1249">
        <v>2</v>
      </c>
      <c r="K1249" t="s">
        <v>37</v>
      </c>
      <c r="L1249">
        <v>8606</v>
      </c>
      <c r="M1249">
        <v>1</v>
      </c>
      <c r="N1249" t="s">
        <v>41</v>
      </c>
      <c r="O1249">
        <v>19</v>
      </c>
      <c r="P1249">
        <v>3</v>
      </c>
      <c r="Q1249">
        <v>0</v>
      </c>
      <c r="R1249">
        <v>11</v>
      </c>
      <c r="S1249">
        <v>3</v>
      </c>
      <c r="T1249">
        <v>11</v>
      </c>
      <c r="U1249">
        <v>3</v>
      </c>
      <c r="V1249">
        <v>3</v>
      </c>
      <c r="W1249" t="s">
        <v>38</v>
      </c>
      <c r="X1249" s="1" t="d">
        <v>2010-03-15</v>
      </c>
      <c r="Z1249" t="s">
        <v>45</v>
      </c>
      <c r="AA1249" t="s">
        <v>40</v>
      </c>
      <c r="AB1249">
        <v>5</v>
      </c>
      <c r="AC1249">
        <v>3</v>
      </c>
      <c r="AD1249" t="s">
        <v>32</v>
      </c>
      <c r="AE1249" t="s">
        <v>62</v>
      </c>
      <c r="AF1249" t="s">
        <v>43</v>
      </c>
    </row>
    <row r="1250" spans="1:32" x14ac:dyDescent="0.25">
      <c r="A1250">
        <v>34</v>
      </c>
      <c r="B1250" t="s">
        <v>41</v>
      </c>
      <c r="C1250" t="s">
        <v>33</v>
      </c>
      <c r="D1250" t="s">
        <v>53</v>
      </c>
      <c r="E1250">
        <v>7</v>
      </c>
      <c r="F1250" t="s">
        <v>35</v>
      </c>
      <c r="G1250">
        <v>3</v>
      </c>
      <c r="H1250">
        <v>1</v>
      </c>
      <c r="I1250" t="s">
        <v>54</v>
      </c>
      <c r="J1250">
        <v>3</v>
      </c>
      <c r="K1250" t="s">
        <v>50</v>
      </c>
      <c r="L1250">
        <v>2308</v>
      </c>
      <c r="M1250">
        <v>0</v>
      </c>
      <c r="N1250" t="s">
        <v>32</v>
      </c>
      <c r="O1250">
        <v>25</v>
      </c>
      <c r="P1250">
        <v>4</v>
      </c>
      <c r="Q1250">
        <v>1</v>
      </c>
      <c r="R1250">
        <v>12</v>
      </c>
      <c r="S1250">
        <v>4</v>
      </c>
      <c r="T1250">
        <v>11</v>
      </c>
      <c r="U1250">
        <v>5</v>
      </c>
      <c r="V1250">
        <v>7</v>
      </c>
      <c r="W1250" t="s">
        <v>51</v>
      </c>
      <c r="X1250" s="1" t="d">
        <v>2010-06-26</v>
      </c>
      <c r="Z1250" t="s">
        <v>45</v>
      </c>
      <c r="AA1250" t="s">
        <v>46</v>
      </c>
      <c r="AB1250">
        <v>1</v>
      </c>
      <c r="AC1250">
        <v>2</v>
      </c>
      <c r="AD1250" t="s">
        <v>32</v>
      </c>
      <c r="AE1250" t="s">
        <v>47</v>
      </c>
      <c r="AF1250" t="s">
        <v>57</v>
      </c>
    </row>
    <row r="1251" spans="1:32" x14ac:dyDescent="0.25">
      <c r="A1251">
        <v>34</v>
      </c>
      <c r="B1251" t="s">
        <v>41</v>
      </c>
      <c r="C1251" t="s">
        <v>33</v>
      </c>
      <c r="D1251" t="s">
        <v>34</v>
      </c>
      <c r="E1251">
        <v>3</v>
      </c>
      <c r="F1251" t="s">
        <v>58</v>
      </c>
      <c r="G1251">
        <v>3</v>
      </c>
      <c r="H1251">
        <v>2</v>
      </c>
      <c r="I1251" t="s">
        <v>44</v>
      </c>
      <c r="J1251">
        <v>2</v>
      </c>
      <c r="K1251" t="s">
        <v>55</v>
      </c>
      <c r="L1251">
        <v>5433</v>
      </c>
      <c r="M1251">
        <v>1</v>
      </c>
      <c r="N1251" t="s">
        <v>41</v>
      </c>
      <c r="O1251">
        <v>12</v>
      </c>
      <c r="P1251">
        <v>3</v>
      </c>
      <c r="Q1251">
        <v>1</v>
      </c>
      <c r="R1251">
        <v>11</v>
      </c>
      <c r="S1251">
        <v>2</v>
      </c>
      <c r="T1251">
        <v>11</v>
      </c>
      <c r="U1251">
        <v>7</v>
      </c>
      <c r="V1251">
        <v>9</v>
      </c>
      <c r="W1251" t="s">
        <v>65</v>
      </c>
      <c r="X1251" s="1" t="d">
        <v>2010-06-21</v>
      </c>
      <c r="Z1251" t="s">
        <v>39</v>
      </c>
      <c r="AA1251" t="s">
        <v>46</v>
      </c>
      <c r="AB1251">
        <v>0</v>
      </c>
      <c r="AC1251">
        <v>3</v>
      </c>
      <c r="AD1251" t="s">
        <v>41</v>
      </c>
      <c r="AE1251" t="s">
        <v>42</v>
      </c>
      <c r="AF1251" t="s">
        <v>48</v>
      </c>
    </row>
    <row r="1252" spans="1:32" x14ac:dyDescent="0.25">
      <c r="A1252">
        <v>35</v>
      </c>
      <c r="B1252" t="s">
        <v>32</v>
      </c>
      <c r="C1252" t="s">
        <v>61</v>
      </c>
      <c r="D1252" t="s">
        <v>53</v>
      </c>
      <c r="E1252">
        <v>12</v>
      </c>
      <c r="F1252" t="s">
        <v>35</v>
      </c>
      <c r="G1252">
        <v>3</v>
      </c>
      <c r="H1252">
        <v>2</v>
      </c>
      <c r="I1252" t="s">
        <v>64</v>
      </c>
      <c r="J1252">
        <v>4</v>
      </c>
      <c r="K1252" t="s">
        <v>37</v>
      </c>
      <c r="L1252">
        <v>4581</v>
      </c>
      <c r="M1252">
        <v>3</v>
      </c>
      <c r="N1252" t="s">
        <v>32</v>
      </c>
      <c r="O1252">
        <v>24</v>
      </c>
      <c r="P1252">
        <v>4</v>
      </c>
      <c r="Q1252">
        <v>0</v>
      </c>
      <c r="R1252">
        <v>13</v>
      </c>
      <c r="S1252">
        <v>2</v>
      </c>
      <c r="T1252">
        <v>11</v>
      </c>
      <c r="U1252">
        <v>6</v>
      </c>
      <c r="V1252">
        <v>7</v>
      </c>
      <c r="W1252" t="s">
        <v>51</v>
      </c>
      <c r="X1252" s="1" t="d">
        <v>2010-04-16</v>
      </c>
      <c r="Z1252" t="s">
        <v>39</v>
      </c>
      <c r="AA1252" t="s">
        <v>40</v>
      </c>
      <c r="AB1252">
        <v>4</v>
      </c>
      <c r="AC1252">
        <v>0</v>
      </c>
      <c r="AD1252" t="s">
        <v>32</v>
      </c>
      <c r="AE1252" t="s">
        <v>47</v>
      </c>
      <c r="AF1252" t="s">
        <v>57</v>
      </c>
    </row>
    <row r="1253" spans="1:32" x14ac:dyDescent="0.25">
      <c r="A1253">
        <v>33</v>
      </c>
      <c r="B1253" t="s">
        <v>41</v>
      </c>
      <c r="C1253" t="s">
        <v>68</v>
      </c>
      <c r="D1253" t="s">
        <v>53</v>
      </c>
      <c r="E1253">
        <v>2</v>
      </c>
      <c r="F1253" t="s">
        <v>58</v>
      </c>
      <c r="G1253">
        <v>3</v>
      </c>
      <c r="H1253">
        <v>2</v>
      </c>
      <c r="I1253" t="s">
        <v>64</v>
      </c>
      <c r="J1253">
        <v>2</v>
      </c>
      <c r="K1253" t="s">
        <v>37</v>
      </c>
      <c r="L1253">
        <v>5147</v>
      </c>
      <c r="M1253">
        <v>8</v>
      </c>
      <c r="N1253" t="s">
        <v>41</v>
      </c>
      <c r="O1253">
        <v>15</v>
      </c>
      <c r="P1253">
        <v>3</v>
      </c>
      <c r="Q1253">
        <v>0</v>
      </c>
      <c r="R1253">
        <v>13</v>
      </c>
      <c r="S1253">
        <v>2</v>
      </c>
      <c r="T1253">
        <v>11</v>
      </c>
      <c r="U1253">
        <v>1</v>
      </c>
      <c r="V1253">
        <v>7</v>
      </c>
      <c r="W1253" t="s">
        <v>56</v>
      </c>
      <c r="X1253" s="1" t="d">
        <v>2010-03-12</v>
      </c>
      <c r="Z1253" t="s">
        <v>63</v>
      </c>
      <c r="AA1253" t="s">
        <v>40</v>
      </c>
      <c r="AB1253">
        <v>5</v>
      </c>
      <c r="AC1253">
        <v>2</v>
      </c>
      <c r="AD1253" t="s">
        <v>41</v>
      </c>
      <c r="AE1253" t="s">
        <v>62</v>
      </c>
      <c r="AF1253" t="s">
        <v>43</v>
      </c>
    </row>
    <row r="1254" spans="1:32" x14ac:dyDescent="0.25">
      <c r="A1254">
        <v>38</v>
      </c>
      <c r="B1254" t="s">
        <v>41</v>
      </c>
      <c r="C1254" t="s">
        <v>68</v>
      </c>
      <c r="D1254" t="s">
        <v>70</v>
      </c>
      <c r="E1254">
        <v>2</v>
      </c>
      <c r="F1254" t="s">
        <v>35</v>
      </c>
      <c r="G1254">
        <v>3</v>
      </c>
      <c r="H1254">
        <v>1</v>
      </c>
      <c r="I1254" t="s">
        <v>70</v>
      </c>
      <c r="J1254">
        <v>2</v>
      </c>
      <c r="K1254" t="s">
        <v>55</v>
      </c>
      <c r="L1254">
        <v>2592</v>
      </c>
      <c r="M1254">
        <v>5</v>
      </c>
      <c r="N1254" t="s">
        <v>41</v>
      </c>
      <c r="O1254">
        <v>13</v>
      </c>
      <c r="P1254">
        <v>3</v>
      </c>
      <c r="Q1254">
        <v>3</v>
      </c>
      <c r="R1254">
        <v>13</v>
      </c>
      <c r="S1254">
        <v>3</v>
      </c>
      <c r="T1254">
        <v>11</v>
      </c>
      <c r="U1254">
        <v>3</v>
      </c>
      <c r="V1254">
        <v>8</v>
      </c>
      <c r="W1254" t="s">
        <v>65</v>
      </c>
      <c r="X1254" s="1" t="d">
        <v>2010-04-18</v>
      </c>
      <c r="Z1254" t="s">
        <v>45</v>
      </c>
      <c r="AA1254" t="s">
        <v>40</v>
      </c>
      <c r="AB1254">
        <v>5</v>
      </c>
      <c r="AC1254">
        <v>3</v>
      </c>
      <c r="AD1254" t="s">
        <v>32</v>
      </c>
      <c r="AE1254" t="s">
        <v>60</v>
      </c>
      <c r="AF1254" t="s">
        <v>48</v>
      </c>
    </row>
    <row r="1255" spans="1:32" x14ac:dyDescent="0.25">
      <c r="A1255">
        <v>29</v>
      </c>
      <c r="B1255" t="s">
        <v>41</v>
      </c>
      <c r="C1255" t="s">
        <v>61</v>
      </c>
      <c r="D1255" t="s">
        <v>34</v>
      </c>
      <c r="E1255">
        <v>20</v>
      </c>
      <c r="F1255" t="s">
        <v>35</v>
      </c>
      <c r="G1255">
        <v>3</v>
      </c>
      <c r="H1255">
        <v>1</v>
      </c>
      <c r="I1255" t="s">
        <v>36</v>
      </c>
      <c r="J1255">
        <v>4</v>
      </c>
      <c r="K1255" t="s">
        <v>50</v>
      </c>
      <c r="L1255">
        <v>3812</v>
      </c>
      <c r="M1255">
        <v>1</v>
      </c>
      <c r="N1255" t="s">
        <v>41</v>
      </c>
      <c r="O1255">
        <v>13</v>
      </c>
      <c r="P1255">
        <v>3</v>
      </c>
      <c r="Q1255">
        <v>0</v>
      </c>
      <c r="R1255">
        <v>11</v>
      </c>
      <c r="S1255">
        <v>3</v>
      </c>
      <c r="T1255">
        <v>11</v>
      </c>
      <c r="U1255">
        <v>3</v>
      </c>
      <c r="V1255">
        <v>10</v>
      </c>
      <c r="W1255" t="s">
        <v>65</v>
      </c>
      <c r="X1255" s="1" t="d">
        <v>2010-04-13</v>
      </c>
      <c r="Z1255" t="s">
        <v>63</v>
      </c>
      <c r="AA1255" t="s">
        <v>40</v>
      </c>
      <c r="AB1255">
        <v>1</v>
      </c>
      <c r="AC1255">
        <v>2</v>
      </c>
      <c r="AD1255" t="s">
        <v>41</v>
      </c>
      <c r="AE1255" t="s">
        <v>60</v>
      </c>
      <c r="AF1255" t="s">
        <v>48</v>
      </c>
    </row>
    <row r="1256" spans="1:32" x14ac:dyDescent="0.25">
      <c r="A1256">
        <v>31</v>
      </c>
      <c r="B1256" t="s">
        <v>41</v>
      </c>
      <c r="C1256" t="s">
        <v>68</v>
      </c>
      <c r="D1256" t="s">
        <v>34</v>
      </c>
      <c r="E1256">
        <v>10</v>
      </c>
      <c r="F1256" t="s">
        <v>58</v>
      </c>
      <c r="G1256">
        <v>3</v>
      </c>
      <c r="H1256">
        <v>3</v>
      </c>
      <c r="I1256" t="s">
        <v>49</v>
      </c>
      <c r="J1256">
        <v>3</v>
      </c>
      <c r="K1256" t="s">
        <v>50</v>
      </c>
      <c r="L1256">
        <v>11031</v>
      </c>
      <c r="M1256">
        <v>4</v>
      </c>
      <c r="N1256" t="s">
        <v>41</v>
      </c>
      <c r="O1256">
        <v>20</v>
      </c>
      <c r="P1256">
        <v>4</v>
      </c>
      <c r="Q1256">
        <v>1</v>
      </c>
      <c r="R1256">
        <v>13</v>
      </c>
      <c r="S1256">
        <v>2</v>
      </c>
      <c r="T1256">
        <v>11</v>
      </c>
      <c r="U1256">
        <v>4</v>
      </c>
      <c r="V1256">
        <v>8</v>
      </c>
      <c r="W1256" t="s">
        <v>65</v>
      </c>
      <c r="X1256" s="1" t="d">
        <v>2010-04-28</v>
      </c>
      <c r="Z1256" t="s">
        <v>63</v>
      </c>
      <c r="AA1256" t="s">
        <v>46</v>
      </c>
      <c r="AB1256">
        <v>1</v>
      </c>
      <c r="AC1256">
        <v>2</v>
      </c>
      <c r="AD1256" t="s">
        <v>32</v>
      </c>
      <c r="AE1256" t="s">
        <v>42</v>
      </c>
      <c r="AF1256" t="s">
        <v>48</v>
      </c>
    </row>
    <row r="1257" spans="1:32" x14ac:dyDescent="0.25">
      <c r="A1257">
        <v>40</v>
      </c>
      <c r="B1257" t="s">
        <v>41</v>
      </c>
      <c r="C1257" t="s">
        <v>33</v>
      </c>
      <c r="D1257" t="s">
        <v>53</v>
      </c>
      <c r="E1257">
        <v>2</v>
      </c>
      <c r="F1257" t="s">
        <v>58</v>
      </c>
      <c r="G1257">
        <v>3</v>
      </c>
      <c r="H1257">
        <v>2</v>
      </c>
      <c r="I1257" t="s">
        <v>64</v>
      </c>
      <c r="J1257">
        <v>2</v>
      </c>
      <c r="K1257" t="s">
        <v>50</v>
      </c>
      <c r="L1257">
        <v>5677</v>
      </c>
      <c r="M1257">
        <v>3</v>
      </c>
      <c r="N1257" t="s">
        <v>41</v>
      </c>
      <c r="O1257">
        <v>14</v>
      </c>
      <c r="P1257">
        <v>3</v>
      </c>
      <c r="Q1257">
        <v>1</v>
      </c>
      <c r="R1257">
        <v>15</v>
      </c>
      <c r="S1257">
        <v>4</v>
      </c>
      <c r="T1257">
        <v>11</v>
      </c>
      <c r="U1257">
        <v>5</v>
      </c>
      <c r="V1257">
        <v>10</v>
      </c>
      <c r="W1257" t="s">
        <v>56</v>
      </c>
      <c r="X1257" s="1" t="d">
        <v>2010-06-13</v>
      </c>
      <c r="Z1257" t="s">
        <v>63</v>
      </c>
      <c r="AA1257" t="s">
        <v>46</v>
      </c>
      <c r="AB1257">
        <v>3</v>
      </c>
      <c r="AC1257">
        <v>2</v>
      </c>
      <c r="AD1257" t="s">
        <v>32</v>
      </c>
      <c r="AE1257" t="s">
        <v>62</v>
      </c>
      <c r="AF1257" t="s">
        <v>48</v>
      </c>
    </row>
    <row r="1258" spans="1:32" x14ac:dyDescent="0.25">
      <c r="A1258">
        <v>34</v>
      </c>
      <c r="B1258" t="s">
        <v>41</v>
      </c>
      <c r="C1258" t="s">
        <v>33</v>
      </c>
      <c r="D1258" t="s">
        <v>34</v>
      </c>
      <c r="E1258">
        <v>7</v>
      </c>
      <c r="F1258" t="s">
        <v>58</v>
      </c>
      <c r="G1258">
        <v>3</v>
      </c>
      <c r="H1258">
        <v>3</v>
      </c>
      <c r="I1258" t="s">
        <v>49</v>
      </c>
      <c r="J1258">
        <v>2</v>
      </c>
      <c r="K1258" t="s">
        <v>37</v>
      </c>
      <c r="L1258">
        <v>11994</v>
      </c>
      <c r="M1258">
        <v>0</v>
      </c>
      <c r="N1258" t="s">
        <v>41</v>
      </c>
      <c r="O1258">
        <v>11</v>
      </c>
      <c r="P1258">
        <v>3</v>
      </c>
      <c r="Q1258">
        <v>0</v>
      </c>
      <c r="R1258">
        <v>13</v>
      </c>
      <c r="S1258">
        <v>4</v>
      </c>
      <c r="T1258">
        <v>12</v>
      </c>
      <c r="U1258">
        <v>2</v>
      </c>
      <c r="V1258">
        <v>11</v>
      </c>
      <c r="W1258" t="s">
        <v>56</v>
      </c>
      <c r="X1258" s="1" t="d">
        <v>2009-02-25</v>
      </c>
      <c r="Z1258" t="s">
        <v>52</v>
      </c>
      <c r="AA1258" t="s">
        <v>46</v>
      </c>
      <c r="AB1258">
        <v>3</v>
      </c>
      <c r="AC1258">
        <v>2</v>
      </c>
      <c r="AD1258" t="s">
        <v>32</v>
      </c>
      <c r="AE1258" t="s">
        <v>42</v>
      </c>
      <c r="AF1258" t="s">
        <v>43</v>
      </c>
    </row>
    <row r="1259" spans="1:32" x14ac:dyDescent="0.25">
      <c r="A1259">
        <v>30</v>
      </c>
      <c r="B1259" t="s">
        <v>41</v>
      </c>
      <c r="C1259" t="s">
        <v>61</v>
      </c>
      <c r="D1259" t="s">
        <v>34</v>
      </c>
      <c r="E1259">
        <v>1</v>
      </c>
      <c r="F1259" t="s">
        <v>58</v>
      </c>
      <c r="G1259">
        <v>3</v>
      </c>
      <c r="H1259">
        <v>2</v>
      </c>
      <c r="I1259" t="s">
        <v>36</v>
      </c>
      <c r="J1259">
        <v>4</v>
      </c>
      <c r="K1259" t="s">
        <v>37</v>
      </c>
      <c r="L1259">
        <v>4011</v>
      </c>
      <c r="M1259">
        <v>1</v>
      </c>
      <c r="N1259" t="s">
        <v>41</v>
      </c>
      <c r="O1259">
        <v>23</v>
      </c>
      <c r="P1259">
        <v>4</v>
      </c>
      <c r="Q1259">
        <v>0</v>
      </c>
      <c r="R1259">
        <v>12</v>
      </c>
      <c r="S1259">
        <v>2</v>
      </c>
      <c r="T1259">
        <v>12</v>
      </c>
      <c r="U1259">
        <v>3</v>
      </c>
      <c r="V1259">
        <v>7</v>
      </c>
      <c r="W1259" t="s">
        <v>38</v>
      </c>
      <c r="X1259" s="1" t="d">
        <v>2009-05-25</v>
      </c>
      <c r="Z1259" t="s">
        <v>59</v>
      </c>
      <c r="AA1259" t="s">
        <v>46</v>
      </c>
      <c r="AB1259">
        <v>1</v>
      </c>
      <c r="AC1259">
        <v>1</v>
      </c>
      <c r="AD1259" t="s">
        <v>32</v>
      </c>
      <c r="AE1259" t="s">
        <v>47</v>
      </c>
      <c r="AF1259" t="s">
        <v>57</v>
      </c>
    </row>
    <row r="1260" spans="1:32" x14ac:dyDescent="0.25">
      <c r="A1260">
        <v>40</v>
      </c>
      <c r="B1260" t="s">
        <v>41</v>
      </c>
      <c r="C1260" t="s">
        <v>33</v>
      </c>
      <c r="D1260" t="s">
        <v>53</v>
      </c>
      <c r="E1260">
        <v>4</v>
      </c>
      <c r="F1260" t="s">
        <v>35</v>
      </c>
      <c r="G1260">
        <v>2</v>
      </c>
      <c r="H1260">
        <v>3</v>
      </c>
      <c r="I1260" t="s">
        <v>64</v>
      </c>
      <c r="J1260">
        <v>4</v>
      </c>
      <c r="K1260" t="s">
        <v>50</v>
      </c>
      <c r="L1260">
        <v>10855</v>
      </c>
      <c r="M1260">
        <v>7</v>
      </c>
      <c r="N1260" t="s">
        <v>41</v>
      </c>
      <c r="O1260">
        <v>11</v>
      </c>
      <c r="P1260">
        <v>3</v>
      </c>
      <c r="Q1260">
        <v>1</v>
      </c>
      <c r="R1260">
        <v>15</v>
      </c>
      <c r="S1260">
        <v>2</v>
      </c>
      <c r="T1260">
        <v>12</v>
      </c>
      <c r="U1260">
        <v>2</v>
      </c>
      <c r="V1260">
        <v>11</v>
      </c>
      <c r="W1260" t="s">
        <v>38</v>
      </c>
      <c r="X1260" s="1" t="d">
        <v>2009-03-31</v>
      </c>
      <c r="Z1260" t="s">
        <v>39</v>
      </c>
      <c r="AA1260" t="s">
        <v>40</v>
      </c>
      <c r="AB1260">
        <v>1</v>
      </c>
      <c r="AC1260">
        <v>1</v>
      </c>
      <c r="AD1260" t="s">
        <v>41</v>
      </c>
      <c r="AE1260" t="s">
        <v>62</v>
      </c>
      <c r="AF1260" t="s">
        <v>48</v>
      </c>
    </row>
    <row r="1261" spans="1:32" x14ac:dyDescent="0.25">
      <c r="A1261">
        <v>30</v>
      </c>
      <c r="B1261" t="s">
        <v>41</v>
      </c>
      <c r="C1261" t="s">
        <v>68</v>
      </c>
      <c r="D1261" t="s">
        <v>34</v>
      </c>
      <c r="E1261">
        <v>9</v>
      </c>
      <c r="F1261" t="s">
        <v>35</v>
      </c>
      <c r="G1261">
        <v>3</v>
      </c>
      <c r="H1261">
        <v>2</v>
      </c>
      <c r="I1261" t="s">
        <v>36</v>
      </c>
      <c r="J1261">
        <v>1</v>
      </c>
      <c r="K1261" t="s">
        <v>55</v>
      </c>
      <c r="L1261">
        <v>3072</v>
      </c>
      <c r="M1261">
        <v>1</v>
      </c>
      <c r="N1261" t="s">
        <v>41</v>
      </c>
      <c r="O1261">
        <v>11</v>
      </c>
      <c r="P1261">
        <v>3</v>
      </c>
      <c r="Q1261">
        <v>2</v>
      </c>
      <c r="R1261">
        <v>12</v>
      </c>
      <c r="S1261">
        <v>4</v>
      </c>
      <c r="T1261">
        <v>12</v>
      </c>
      <c r="U1261">
        <v>6</v>
      </c>
      <c r="V1261">
        <v>10</v>
      </c>
      <c r="W1261" t="s">
        <v>38</v>
      </c>
      <c r="X1261" s="1" t="d">
        <v>2009-01-12</v>
      </c>
      <c r="Z1261" t="s">
        <v>39</v>
      </c>
      <c r="AA1261" t="s">
        <v>40</v>
      </c>
      <c r="AB1261">
        <v>3</v>
      </c>
      <c r="AC1261">
        <v>1</v>
      </c>
      <c r="AD1261" t="s">
        <v>41</v>
      </c>
      <c r="AE1261" t="s">
        <v>60</v>
      </c>
      <c r="AF1261" t="s">
        <v>48</v>
      </c>
    </row>
    <row r="1262" spans="1:32" x14ac:dyDescent="0.25">
      <c r="A1262">
        <v>53</v>
      </c>
      <c r="B1262" t="s">
        <v>41</v>
      </c>
      <c r="C1262" t="s">
        <v>33</v>
      </c>
      <c r="D1262" t="s">
        <v>34</v>
      </c>
      <c r="E1262">
        <v>23</v>
      </c>
      <c r="F1262" t="s">
        <v>58</v>
      </c>
      <c r="G1262">
        <v>3</v>
      </c>
      <c r="H1262">
        <v>4</v>
      </c>
      <c r="I1262" t="s">
        <v>49</v>
      </c>
      <c r="J1262">
        <v>4</v>
      </c>
      <c r="K1262" t="s">
        <v>37</v>
      </c>
      <c r="L1262">
        <v>14275</v>
      </c>
      <c r="M1262">
        <v>6</v>
      </c>
      <c r="N1262" t="s">
        <v>41</v>
      </c>
      <c r="O1262">
        <v>18</v>
      </c>
      <c r="P1262">
        <v>3</v>
      </c>
      <c r="Q1262">
        <v>0</v>
      </c>
      <c r="R1262">
        <v>33</v>
      </c>
      <c r="S1262">
        <v>0</v>
      </c>
      <c r="T1262">
        <v>12</v>
      </c>
      <c r="U1262">
        <v>3</v>
      </c>
      <c r="V1262">
        <v>8</v>
      </c>
      <c r="W1262" t="s">
        <v>65</v>
      </c>
      <c r="X1262" s="1" t="d">
        <v>2009-01-19</v>
      </c>
      <c r="Z1262" t="s">
        <v>52</v>
      </c>
      <c r="AA1262" t="s">
        <v>40</v>
      </c>
      <c r="AB1262">
        <v>4</v>
      </c>
      <c r="AC1262">
        <v>1</v>
      </c>
      <c r="AD1262" t="s">
        <v>32</v>
      </c>
      <c r="AE1262" t="s">
        <v>62</v>
      </c>
      <c r="AF1262" t="s">
        <v>43</v>
      </c>
    </row>
    <row r="1263" spans="1:32" x14ac:dyDescent="0.25">
      <c r="A1263">
        <v>50</v>
      </c>
      <c r="B1263" t="s">
        <v>41</v>
      </c>
      <c r="C1263" t="s">
        <v>33</v>
      </c>
      <c r="D1263" t="s">
        <v>34</v>
      </c>
      <c r="E1263">
        <v>24</v>
      </c>
      <c r="F1263" t="s">
        <v>35</v>
      </c>
      <c r="G1263">
        <v>3</v>
      </c>
      <c r="H1263">
        <v>4</v>
      </c>
      <c r="I1263" t="s">
        <v>67</v>
      </c>
      <c r="J1263">
        <v>3</v>
      </c>
      <c r="K1263" t="s">
        <v>50</v>
      </c>
      <c r="L1263">
        <v>13973</v>
      </c>
      <c r="M1263">
        <v>3</v>
      </c>
      <c r="N1263" t="s">
        <v>32</v>
      </c>
      <c r="O1263">
        <v>18</v>
      </c>
      <c r="P1263">
        <v>3</v>
      </c>
      <c r="Q1263">
        <v>1</v>
      </c>
      <c r="R1263">
        <v>22</v>
      </c>
      <c r="S1263">
        <v>2</v>
      </c>
      <c r="T1263">
        <v>12</v>
      </c>
      <c r="U1263">
        <v>1</v>
      </c>
      <c r="V1263">
        <v>5</v>
      </c>
      <c r="W1263" t="s">
        <v>65</v>
      </c>
      <c r="X1263" s="1" t="d">
        <v>2009-03-12</v>
      </c>
      <c r="Z1263" t="s">
        <v>63</v>
      </c>
      <c r="AA1263" t="s">
        <v>40</v>
      </c>
      <c r="AB1263">
        <v>3</v>
      </c>
      <c r="AC1263">
        <v>2</v>
      </c>
      <c r="AD1263" t="s">
        <v>32</v>
      </c>
      <c r="AE1263" t="s">
        <v>60</v>
      </c>
      <c r="AF1263" t="s">
        <v>43</v>
      </c>
    </row>
    <row r="1264" spans="1:32" x14ac:dyDescent="0.25">
      <c r="A1264">
        <v>44</v>
      </c>
      <c r="B1264" t="s">
        <v>41</v>
      </c>
      <c r="C1264" t="s">
        <v>33</v>
      </c>
      <c r="D1264" t="s">
        <v>53</v>
      </c>
      <c r="E1264">
        <v>28</v>
      </c>
      <c r="F1264" t="s">
        <v>58</v>
      </c>
      <c r="G1264">
        <v>4</v>
      </c>
      <c r="H1264">
        <v>4</v>
      </c>
      <c r="I1264" t="s">
        <v>64</v>
      </c>
      <c r="J1264">
        <v>4</v>
      </c>
      <c r="K1264" t="s">
        <v>50</v>
      </c>
      <c r="L1264">
        <v>13320</v>
      </c>
      <c r="M1264">
        <v>3</v>
      </c>
      <c r="N1264" t="s">
        <v>32</v>
      </c>
      <c r="O1264">
        <v>18</v>
      </c>
      <c r="P1264">
        <v>3</v>
      </c>
      <c r="Q1264">
        <v>1</v>
      </c>
      <c r="R1264">
        <v>23</v>
      </c>
      <c r="S1264">
        <v>2</v>
      </c>
      <c r="T1264">
        <v>12</v>
      </c>
      <c r="U1264">
        <v>11</v>
      </c>
      <c r="V1264">
        <v>11</v>
      </c>
      <c r="W1264" t="s">
        <v>38</v>
      </c>
      <c r="X1264" s="1" t="d">
        <v>2009-03-12</v>
      </c>
      <c r="Z1264" t="s">
        <v>52</v>
      </c>
      <c r="AA1264" t="s">
        <v>40</v>
      </c>
      <c r="AB1264">
        <v>4</v>
      </c>
      <c r="AC1264">
        <v>2</v>
      </c>
      <c r="AD1264" t="s">
        <v>41</v>
      </c>
      <c r="AE1264" t="s">
        <v>42</v>
      </c>
      <c r="AF1264" t="s">
        <v>43</v>
      </c>
    </row>
    <row r="1265" spans="1:32" x14ac:dyDescent="0.25">
      <c r="A1265">
        <v>46</v>
      </c>
      <c r="B1265" t="s">
        <v>41</v>
      </c>
      <c r="C1265" t="s">
        <v>33</v>
      </c>
      <c r="D1265" t="s">
        <v>53</v>
      </c>
      <c r="E1265">
        <v>3</v>
      </c>
      <c r="F1265" t="s">
        <v>35</v>
      </c>
      <c r="G1265">
        <v>3</v>
      </c>
      <c r="H1265">
        <v>4</v>
      </c>
      <c r="I1265" t="s">
        <v>66</v>
      </c>
      <c r="J1265">
        <v>3</v>
      </c>
      <c r="K1265" t="s">
        <v>50</v>
      </c>
      <c r="L1265">
        <v>17465</v>
      </c>
      <c r="M1265">
        <v>3</v>
      </c>
      <c r="N1265" t="s">
        <v>41</v>
      </c>
      <c r="O1265">
        <v>12</v>
      </c>
      <c r="P1265">
        <v>3</v>
      </c>
      <c r="Q1265">
        <v>1</v>
      </c>
      <c r="R1265">
        <v>23</v>
      </c>
      <c r="S1265">
        <v>3</v>
      </c>
      <c r="T1265">
        <v>12</v>
      </c>
      <c r="U1265">
        <v>4</v>
      </c>
      <c r="V1265">
        <v>9</v>
      </c>
      <c r="W1265" t="s">
        <v>38</v>
      </c>
      <c r="X1265" s="1" t="d">
        <v>2009-03-25</v>
      </c>
      <c r="Z1265" t="s">
        <v>63</v>
      </c>
      <c r="AA1265" t="s">
        <v>40</v>
      </c>
      <c r="AB1265">
        <v>5</v>
      </c>
      <c r="AC1265">
        <v>0</v>
      </c>
      <c r="AD1265" t="s">
        <v>32</v>
      </c>
      <c r="AE1265" t="s">
        <v>47</v>
      </c>
      <c r="AF1265" t="s">
        <v>43</v>
      </c>
    </row>
    <row r="1266" spans="1:32" x14ac:dyDescent="0.25">
      <c r="A1266">
        <v>40</v>
      </c>
      <c r="B1266" t="s">
        <v>41</v>
      </c>
      <c r="C1266" t="s">
        <v>33</v>
      </c>
      <c r="D1266" t="s">
        <v>34</v>
      </c>
      <c r="E1266">
        <v>2</v>
      </c>
      <c r="F1266" t="s">
        <v>58</v>
      </c>
      <c r="G1266">
        <v>4</v>
      </c>
      <c r="H1266">
        <v>2</v>
      </c>
      <c r="I1266" t="s">
        <v>69</v>
      </c>
      <c r="J1266">
        <v>3</v>
      </c>
      <c r="K1266" t="s">
        <v>55</v>
      </c>
      <c r="L1266">
        <v>6377</v>
      </c>
      <c r="M1266">
        <v>5</v>
      </c>
      <c r="N1266" t="s">
        <v>41</v>
      </c>
      <c r="O1266">
        <v>20</v>
      </c>
      <c r="P1266">
        <v>4</v>
      </c>
      <c r="Q1266">
        <v>3</v>
      </c>
      <c r="R1266">
        <v>15</v>
      </c>
      <c r="S1266">
        <v>0</v>
      </c>
      <c r="T1266">
        <v>12</v>
      </c>
      <c r="U1266">
        <v>11</v>
      </c>
      <c r="V1266">
        <v>8</v>
      </c>
      <c r="W1266" t="s">
        <v>65</v>
      </c>
      <c r="X1266" s="1" t="d">
        <v>2009-02-03</v>
      </c>
      <c r="Z1266" t="s">
        <v>63</v>
      </c>
      <c r="AA1266" t="s">
        <v>46</v>
      </c>
      <c r="AB1266">
        <v>5</v>
      </c>
      <c r="AC1266">
        <v>3</v>
      </c>
      <c r="AD1266" t="s">
        <v>41</v>
      </c>
      <c r="AE1266" t="s">
        <v>42</v>
      </c>
      <c r="AF1266" t="s">
        <v>43</v>
      </c>
    </row>
    <row r="1267" spans="1:32" x14ac:dyDescent="0.25">
      <c r="A1267">
        <v>42</v>
      </c>
      <c r="B1267" t="s">
        <v>41</v>
      </c>
      <c r="C1267" t="s">
        <v>61</v>
      </c>
      <c r="D1267" t="s">
        <v>34</v>
      </c>
      <c r="E1267">
        <v>9</v>
      </c>
      <c r="F1267" t="s">
        <v>58</v>
      </c>
      <c r="G1267">
        <v>3</v>
      </c>
      <c r="H1267">
        <v>1</v>
      </c>
      <c r="I1267" t="s">
        <v>36</v>
      </c>
      <c r="J1267">
        <v>4</v>
      </c>
      <c r="K1267" t="s">
        <v>37</v>
      </c>
      <c r="L1267">
        <v>3673</v>
      </c>
      <c r="M1267">
        <v>1</v>
      </c>
      <c r="N1267" t="s">
        <v>41</v>
      </c>
      <c r="O1267">
        <v>13</v>
      </c>
      <c r="P1267">
        <v>3</v>
      </c>
      <c r="Q1267">
        <v>0</v>
      </c>
      <c r="R1267">
        <v>12</v>
      </c>
      <c r="S1267">
        <v>3</v>
      </c>
      <c r="T1267">
        <v>12</v>
      </c>
      <c r="U1267">
        <v>5</v>
      </c>
      <c r="V1267">
        <v>8</v>
      </c>
      <c r="W1267" t="s">
        <v>56</v>
      </c>
      <c r="X1267" s="1" t="d">
        <v>2009-03-25</v>
      </c>
      <c r="Z1267" t="s">
        <v>52</v>
      </c>
      <c r="AA1267" t="s">
        <v>46</v>
      </c>
      <c r="AB1267">
        <v>3</v>
      </c>
      <c r="AC1267">
        <v>2</v>
      </c>
      <c r="AD1267" t="s">
        <v>41</v>
      </c>
      <c r="AE1267" t="s">
        <v>60</v>
      </c>
      <c r="AF1267" t="s">
        <v>48</v>
      </c>
    </row>
    <row r="1268" spans="1:32" x14ac:dyDescent="0.25">
      <c r="A1268">
        <v>57</v>
      </c>
      <c r="B1268" t="s">
        <v>41</v>
      </c>
      <c r="C1268" t="s">
        <v>33</v>
      </c>
      <c r="D1268" t="s">
        <v>34</v>
      </c>
      <c r="E1268">
        <v>1</v>
      </c>
      <c r="F1268" t="s">
        <v>35</v>
      </c>
      <c r="G1268">
        <v>4</v>
      </c>
      <c r="H1268">
        <v>2</v>
      </c>
      <c r="I1268" t="s">
        <v>44</v>
      </c>
      <c r="J1268">
        <v>3</v>
      </c>
      <c r="K1268" t="s">
        <v>50</v>
      </c>
      <c r="L1268">
        <v>4900</v>
      </c>
      <c r="M1268">
        <v>0</v>
      </c>
      <c r="N1268" t="s">
        <v>41</v>
      </c>
      <c r="O1268">
        <v>24</v>
      </c>
      <c r="P1268">
        <v>4</v>
      </c>
      <c r="Q1268">
        <v>1</v>
      </c>
      <c r="R1268">
        <v>13</v>
      </c>
      <c r="S1268">
        <v>2</v>
      </c>
      <c r="T1268">
        <v>12</v>
      </c>
      <c r="U1268">
        <v>2</v>
      </c>
      <c r="V1268">
        <v>8</v>
      </c>
      <c r="W1268" t="s">
        <v>38</v>
      </c>
      <c r="X1268" s="1" t="d">
        <v>2009-03-02</v>
      </c>
      <c r="Z1268" t="s">
        <v>45</v>
      </c>
      <c r="AA1268" t="s">
        <v>40</v>
      </c>
      <c r="AB1268">
        <v>0</v>
      </c>
      <c r="AC1268">
        <v>1</v>
      </c>
      <c r="AD1268" t="s">
        <v>41</v>
      </c>
      <c r="AE1268" t="s">
        <v>62</v>
      </c>
      <c r="AF1268" t="s">
        <v>48</v>
      </c>
    </row>
    <row r="1269" spans="1:32" x14ac:dyDescent="0.25">
      <c r="A1269">
        <v>31</v>
      </c>
      <c r="B1269" t="s">
        <v>41</v>
      </c>
      <c r="C1269" t="s">
        <v>33</v>
      </c>
      <c r="D1269" t="s">
        <v>53</v>
      </c>
      <c r="E1269">
        <v>29</v>
      </c>
      <c r="F1269" t="s">
        <v>58</v>
      </c>
      <c r="G1269">
        <v>2</v>
      </c>
      <c r="H1269">
        <v>2</v>
      </c>
      <c r="I1269" t="s">
        <v>64</v>
      </c>
      <c r="J1269">
        <v>4</v>
      </c>
      <c r="K1269" t="s">
        <v>50</v>
      </c>
      <c r="L1269">
        <v>5468</v>
      </c>
      <c r="M1269">
        <v>1</v>
      </c>
      <c r="N1269" t="s">
        <v>41</v>
      </c>
      <c r="O1269">
        <v>14</v>
      </c>
      <c r="P1269">
        <v>3</v>
      </c>
      <c r="Q1269">
        <v>2</v>
      </c>
      <c r="R1269">
        <v>13</v>
      </c>
      <c r="S1269">
        <v>3</v>
      </c>
      <c r="T1269">
        <v>12</v>
      </c>
      <c r="U1269">
        <v>5</v>
      </c>
      <c r="V1269">
        <v>7</v>
      </c>
      <c r="W1269" t="s">
        <v>65</v>
      </c>
      <c r="X1269" s="1" t="d">
        <v>2009-03-16</v>
      </c>
      <c r="Z1269" t="s">
        <v>45</v>
      </c>
      <c r="AA1269" t="s">
        <v>40</v>
      </c>
      <c r="AB1269">
        <v>2</v>
      </c>
      <c r="AC1269">
        <v>0</v>
      </c>
      <c r="AD1269" t="s">
        <v>41</v>
      </c>
      <c r="AE1269" t="s">
        <v>62</v>
      </c>
      <c r="AF1269" t="s">
        <v>57</v>
      </c>
    </row>
    <row r="1270" spans="1:32" x14ac:dyDescent="0.25">
      <c r="A1270">
        <v>36</v>
      </c>
      <c r="B1270" t="s">
        <v>41</v>
      </c>
      <c r="C1270" t="s">
        <v>33</v>
      </c>
      <c r="D1270" t="s">
        <v>34</v>
      </c>
      <c r="E1270">
        <v>10</v>
      </c>
      <c r="F1270" t="s">
        <v>35</v>
      </c>
      <c r="G1270">
        <v>3</v>
      </c>
      <c r="H1270">
        <v>3</v>
      </c>
      <c r="I1270" t="s">
        <v>69</v>
      </c>
      <c r="J1270">
        <v>1</v>
      </c>
      <c r="K1270" t="s">
        <v>50</v>
      </c>
      <c r="L1270">
        <v>8321</v>
      </c>
      <c r="M1270">
        <v>7</v>
      </c>
      <c r="N1270" t="s">
        <v>32</v>
      </c>
      <c r="O1270">
        <v>13</v>
      </c>
      <c r="P1270">
        <v>3</v>
      </c>
      <c r="Q1270">
        <v>1</v>
      </c>
      <c r="R1270">
        <v>15</v>
      </c>
      <c r="S1270">
        <v>1</v>
      </c>
      <c r="T1270">
        <v>12</v>
      </c>
      <c r="U1270">
        <v>5</v>
      </c>
      <c r="V1270">
        <v>7</v>
      </c>
      <c r="W1270" t="s">
        <v>51</v>
      </c>
      <c r="X1270" s="1" t="d">
        <v>2009-04-30</v>
      </c>
      <c r="Z1270" t="s">
        <v>39</v>
      </c>
      <c r="AA1270" t="s">
        <v>46</v>
      </c>
      <c r="AB1270">
        <v>1</v>
      </c>
      <c r="AC1270">
        <v>0</v>
      </c>
      <c r="AD1270" t="s">
        <v>41</v>
      </c>
      <c r="AE1270" t="s">
        <v>42</v>
      </c>
      <c r="AF1270" t="s">
        <v>48</v>
      </c>
    </row>
    <row r="1271" spans="1:32" x14ac:dyDescent="0.25">
      <c r="A1271">
        <v>30</v>
      </c>
      <c r="B1271" t="s">
        <v>41</v>
      </c>
      <c r="C1271" t="s">
        <v>33</v>
      </c>
      <c r="D1271" t="s">
        <v>34</v>
      </c>
      <c r="E1271">
        <v>1</v>
      </c>
      <c r="F1271" t="s">
        <v>35</v>
      </c>
      <c r="G1271">
        <v>3</v>
      </c>
      <c r="H1271">
        <v>1</v>
      </c>
      <c r="I1271" t="s">
        <v>36</v>
      </c>
      <c r="J1271">
        <v>2</v>
      </c>
      <c r="K1271" t="s">
        <v>50</v>
      </c>
      <c r="L1271">
        <v>3748</v>
      </c>
      <c r="M1271">
        <v>1</v>
      </c>
      <c r="N1271" t="s">
        <v>41</v>
      </c>
      <c r="O1271">
        <v>13</v>
      </c>
      <c r="P1271">
        <v>3</v>
      </c>
      <c r="Q1271">
        <v>0</v>
      </c>
      <c r="R1271">
        <v>12</v>
      </c>
      <c r="S1271">
        <v>6</v>
      </c>
      <c r="T1271">
        <v>12</v>
      </c>
      <c r="U1271">
        <v>1</v>
      </c>
      <c r="V1271">
        <v>7</v>
      </c>
      <c r="W1271" t="s">
        <v>38</v>
      </c>
      <c r="X1271" s="1" t="d">
        <v>2009-06-01</v>
      </c>
      <c r="Z1271" t="s">
        <v>52</v>
      </c>
      <c r="AA1271" t="s">
        <v>46</v>
      </c>
      <c r="AB1271">
        <v>2</v>
      </c>
      <c r="AC1271">
        <v>1</v>
      </c>
      <c r="AD1271" t="s">
        <v>41</v>
      </c>
      <c r="AE1271" t="s">
        <v>47</v>
      </c>
      <c r="AF1271" t="s">
        <v>57</v>
      </c>
    </row>
    <row r="1272" spans="1:32" x14ac:dyDescent="0.25">
      <c r="A1272">
        <v>38</v>
      </c>
      <c r="B1272" t="s">
        <v>41</v>
      </c>
      <c r="C1272" t="s">
        <v>68</v>
      </c>
      <c r="D1272" t="s">
        <v>34</v>
      </c>
      <c r="E1272">
        <v>6</v>
      </c>
      <c r="F1272" t="s">
        <v>58</v>
      </c>
      <c r="G1272">
        <v>1</v>
      </c>
      <c r="H1272">
        <v>2</v>
      </c>
      <c r="I1272" t="s">
        <v>44</v>
      </c>
      <c r="J1272">
        <v>4</v>
      </c>
      <c r="K1272" t="s">
        <v>55</v>
      </c>
      <c r="L1272">
        <v>5329</v>
      </c>
      <c r="M1272">
        <v>7</v>
      </c>
      <c r="N1272" t="s">
        <v>32</v>
      </c>
      <c r="O1272">
        <v>12</v>
      </c>
      <c r="P1272">
        <v>3</v>
      </c>
      <c r="Q1272">
        <v>3</v>
      </c>
      <c r="R1272">
        <v>17</v>
      </c>
      <c r="S1272">
        <v>3</v>
      </c>
      <c r="T1272">
        <v>13</v>
      </c>
      <c r="U1272">
        <v>1</v>
      </c>
      <c r="V1272">
        <v>9</v>
      </c>
      <c r="W1272" t="s">
        <v>56</v>
      </c>
      <c r="X1272" s="1" t="d">
        <v>2008-02-10</v>
      </c>
      <c r="Z1272" t="s">
        <v>39</v>
      </c>
      <c r="AA1272" t="s">
        <v>40</v>
      </c>
      <c r="AB1272">
        <v>2</v>
      </c>
      <c r="AC1272">
        <v>2</v>
      </c>
      <c r="AD1272" t="s">
        <v>32</v>
      </c>
      <c r="AE1272" t="s">
        <v>60</v>
      </c>
      <c r="AF1272" t="s">
        <v>57</v>
      </c>
    </row>
    <row r="1273" spans="1:32" x14ac:dyDescent="0.25">
      <c r="A1273">
        <v>51</v>
      </c>
      <c r="B1273" t="s">
        <v>41</v>
      </c>
      <c r="C1273" t="s">
        <v>61</v>
      </c>
      <c r="D1273" t="s">
        <v>34</v>
      </c>
      <c r="E1273">
        <v>1</v>
      </c>
      <c r="F1273" t="s">
        <v>58</v>
      </c>
      <c r="G1273">
        <v>2</v>
      </c>
      <c r="H1273">
        <v>3</v>
      </c>
      <c r="I1273" t="s">
        <v>69</v>
      </c>
      <c r="J1273">
        <v>1</v>
      </c>
      <c r="K1273" t="s">
        <v>37</v>
      </c>
      <c r="L1273">
        <v>7484</v>
      </c>
      <c r="M1273">
        <v>3</v>
      </c>
      <c r="N1273" t="s">
        <v>41</v>
      </c>
      <c r="O1273">
        <v>20</v>
      </c>
      <c r="P1273">
        <v>4</v>
      </c>
      <c r="Q1273">
        <v>0</v>
      </c>
      <c r="R1273">
        <v>23</v>
      </c>
      <c r="S1273">
        <v>1</v>
      </c>
      <c r="T1273">
        <v>13</v>
      </c>
      <c r="U1273">
        <v>12</v>
      </c>
      <c r="V1273">
        <v>8</v>
      </c>
      <c r="W1273" t="s">
        <v>65</v>
      </c>
      <c r="X1273" s="1" t="d">
        <v>2008-03-10</v>
      </c>
      <c r="Z1273" t="s">
        <v>63</v>
      </c>
      <c r="AA1273" t="s">
        <v>40</v>
      </c>
      <c r="AB1273">
        <v>2</v>
      </c>
      <c r="AC1273">
        <v>3</v>
      </c>
      <c r="AD1273" t="s">
        <v>41</v>
      </c>
      <c r="AE1273" t="s">
        <v>60</v>
      </c>
      <c r="AF1273" t="s">
        <v>43</v>
      </c>
    </row>
    <row r="1274" spans="1:32" x14ac:dyDescent="0.25">
      <c r="A1274">
        <v>36</v>
      </c>
      <c r="B1274" t="s">
        <v>41</v>
      </c>
      <c r="C1274" t="s">
        <v>33</v>
      </c>
      <c r="D1274" t="s">
        <v>34</v>
      </c>
      <c r="E1274">
        <v>5</v>
      </c>
      <c r="F1274" t="s">
        <v>35</v>
      </c>
      <c r="G1274">
        <v>3</v>
      </c>
      <c r="H1274">
        <v>2</v>
      </c>
      <c r="I1274" t="s">
        <v>36</v>
      </c>
      <c r="J1274">
        <v>2</v>
      </c>
      <c r="K1274" t="s">
        <v>37</v>
      </c>
      <c r="L1274">
        <v>5914</v>
      </c>
      <c r="M1274">
        <v>8</v>
      </c>
      <c r="N1274" t="s">
        <v>41</v>
      </c>
      <c r="O1274">
        <v>16</v>
      </c>
      <c r="P1274">
        <v>3</v>
      </c>
      <c r="Q1274">
        <v>0</v>
      </c>
      <c r="R1274">
        <v>16</v>
      </c>
      <c r="S1274">
        <v>3</v>
      </c>
      <c r="T1274">
        <v>13</v>
      </c>
      <c r="U1274">
        <v>3</v>
      </c>
      <c r="V1274">
        <v>7</v>
      </c>
      <c r="W1274" t="s">
        <v>38</v>
      </c>
      <c r="X1274" s="1" t="d">
        <v>2008-03-07</v>
      </c>
      <c r="Z1274" t="s">
        <v>63</v>
      </c>
      <c r="AA1274" t="s">
        <v>46</v>
      </c>
      <c r="AB1274">
        <v>0</v>
      </c>
      <c r="AC1274">
        <v>2</v>
      </c>
      <c r="AD1274" t="s">
        <v>32</v>
      </c>
      <c r="AE1274" t="s">
        <v>60</v>
      </c>
      <c r="AF1274" t="s">
        <v>48</v>
      </c>
    </row>
    <row r="1275" spans="1:32" x14ac:dyDescent="0.25">
      <c r="A1275">
        <v>32</v>
      </c>
      <c r="B1275" t="s">
        <v>41</v>
      </c>
      <c r="C1275" t="s">
        <v>33</v>
      </c>
      <c r="D1275" t="s">
        <v>53</v>
      </c>
      <c r="E1275">
        <v>7</v>
      </c>
      <c r="F1275" t="s">
        <v>35</v>
      </c>
      <c r="G1275">
        <v>2</v>
      </c>
      <c r="H1275">
        <v>2</v>
      </c>
      <c r="I1275" t="s">
        <v>64</v>
      </c>
      <c r="J1275">
        <v>3</v>
      </c>
      <c r="K1275" t="s">
        <v>50</v>
      </c>
      <c r="L1275">
        <v>5484</v>
      </c>
      <c r="M1275">
        <v>1</v>
      </c>
      <c r="N1275" t="s">
        <v>41</v>
      </c>
      <c r="O1275">
        <v>14</v>
      </c>
      <c r="P1275">
        <v>3</v>
      </c>
      <c r="Q1275">
        <v>1</v>
      </c>
      <c r="R1275">
        <v>13</v>
      </c>
      <c r="S1275">
        <v>3</v>
      </c>
      <c r="T1275">
        <v>13</v>
      </c>
      <c r="U1275">
        <v>4</v>
      </c>
      <c r="V1275">
        <v>8</v>
      </c>
      <c r="W1275" t="s">
        <v>51</v>
      </c>
      <c r="X1275" s="1" t="d">
        <v>2008-06-09</v>
      </c>
      <c r="Z1275" t="s">
        <v>52</v>
      </c>
      <c r="AA1275" t="s">
        <v>46</v>
      </c>
      <c r="AB1275">
        <v>1</v>
      </c>
      <c r="AC1275">
        <v>1</v>
      </c>
      <c r="AD1275" t="s">
        <v>41</v>
      </c>
      <c r="AE1275" t="s">
        <v>42</v>
      </c>
      <c r="AF1275" t="s">
        <v>57</v>
      </c>
    </row>
    <row r="1276" spans="1:32" x14ac:dyDescent="0.25">
      <c r="A1276">
        <v>32</v>
      </c>
      <c r="B1276" t="s">
        <v>41</v>
      </c>
      <c r="C1276" t="s">
        <v>33</v>
      </c>
      <c r="D1276" t="s">
        <v>53</v>
      </c>
      <c r="E1276">
        <v>8</v>
      </c>
      <c r="F1276" t="s">
        <v>58</v>
      </c>
      <c r="G1276">
        <v>2</v>
      </c>
      <c r="H1276">
        <v>2</v>
      </c>
      <c r="I1276" t="s">
        <v>64</v>
      </c>
      <c r="J1276">
        <v>2</v>
      </c>
      <c r="K1276" t="s">
        <v>50</v>
      </c>
      <c r="L1276">
        <v>5228</v>
      </c>
      <c r="M1276">
        <v>1</v>
      </c>
      <c r="N1276" t="s">
        <v>32</v>
      </c>
      <c r="O1276">
        <v>11</v>
      </c>
      <c r="P1276">
        <v>3</v>
      </c>
      <c r="Q1276">
        <v>0</v>
      </c>
      <c r="R1276">
        <v>13</v>
      </c>
      <c r="S1276">
        <v>2</v>
      </c>
      <c r="T1276">
        <v>13</v>
      </c>
      <c r="U1276">
        <v>11</v>
      </c>
      <c r="V1276">
        <v>9</v>
      </c>
      <c r="W1276" t="s">
        <v>56</v>
      </c>
      <c r="X1276" s="1" t="d">
        <v>2008-04-09</v>
      </c>
      <c r="Z1276" t="s">
        <v>39</v>
      </c>
      <c r="AA1276" t="s">
        <v>46</v>
      </c>
      <c r="AB1276">
        <v>2</v>
      </c>
      <c r="AC1276">
        <v>0</v>
      </c>
      <c r="AD1276" t="s">
        <v>41</v>
      </c>
      <c r="AE1276" t="s">
        <v>60</v>
      </c>
      <c r="AF1276" t="s">
        <v>43</v>
      </c>
    </row>
    <row r="1277" spans="1:32" x14ac:dyDescent="0.25">
      <c r="A1277">
        <v>36</v>
      </c>
      <c r="B1277" t="s">
        <v>41</v>
      </c>
      <c r="C1277" t="s">
        <v>61</v>
      </c>
      <c r="D1277" t="s">
        <v>53</v>
      </c>
      <c r="E1277">
        <v>3</v>
      </c>
      <c r="F1277" t="s">
        <v>35</v>
      </c>
      <c r="G1277">
        <v>2</v>
      </c>
      <c r="H1277">
        <v>3</v>
      </c>
      <c r="I1277" t="s">
        <v>64</v>
      </c>
      <c r="J1277">
        <v>4</v>
      </c>
      <c r="K1277" t="s">
        <v>50</v>
      </c>
      <c r="L1277">
        <v>9699</v>
      </c>
      <c r="M1277">
        <v>4</v>
      </c>
      <c r="N1277" t="s">
        <v>41</v>
      </c>
      <c r="O1277">
        <v>11</v>
      </c>
      <c r="P1277">
        <v>3</v>
      </c>
      <c r="Q1277">
        <v>1</v>
      </c>
      <c r="R1277">
        <v>16</v>
      </c>
      <c r="S1277">
        <v>2</v>
      </c>
      <c r="T1277">
        <v>13</v>
      </c>
      <c r="U1277">
        <v>1</v>
      </c>
      <c r="V1277">
        <v>12</v>
      </c>
      <c r="W1277" t="s">
        <v>65</v>
      </c>
      <c r="X1277" s="1" t="d">
        <v>2008-05-05</v>
      </c>
      <c r="Z1277" t="s">
        <v>59</v>
      </c>
      <c r="AA1277" t="s">
        <v>46</v>
      </c>
      <c r="AB1277">
        <v>2</v>
      </c>
      <c r="AC1277">
        <v>0</v>
      </c>
      <c r="AD1277" t="s">
        <v>32</v>
      </c>
      <c r="AE1277" t="s">
        <v>62</v>
      </c>
      <c r="AF1277" t="s">
        <v>48</v>
      </c>
    </row>
    <row r="1278" spans="1:32" x14ac:dyDescent="0.25">
      <c r="A1278">
        <v>31</v>
      </c>
      <c r="B1278" t="s">
        <v>41</v>
      </c>
      <c r="C1278" t="s">
        <v>33</v>
      </c>
      <c r="D1278" t="s">
        <v>34</v>
      </c>
      <c r="E1278">
        <v>7</v>
      </c>
      <c r="F1278" t="s">
        <v>58</v>
      </c>
      <c r="G1278">
        <v>3</v>
      </c>
      <c r="H1278">
        <v>2</v>
      </c>
      <c r="I1278" t="s">
        <v>67</v>
      </c>
      <c r="J1278">
        <v>1</v>
      </c>
      <c r="K1278" t="s">
        <v>50</v>
      </c>
      <c r="L1278">
        <v>4306</v>
      </c>
      <c r="M1278">
        <v>1</v>
      </c>
      <c r="N1278" t="s">
        <v>41</v>
      </c>
      <c r="O1278">
        <v>12</v>
      </c>
      <c r="P1278">
        <v>3</v>
      </c>
      <c r="Q1278">
        <v>1</v>
      </c>
      <c r="R1278">
        <v>13</v>
      </c>
      <c r="S1278">
        <v>5</v>
      </c>
      <c r="T1278">
        <v>13</v>
      </c>
      <c r="U1278">
        <v>3</v>
      </c>
      <c r="V1278">
        <v>12</v>
      </c>
      <c r="W1278" t="s">
        <v>56</v>
      </c>
      <c r="X1278" s="1" t="d">
        <v>2008-02-23</v>
      </c>
      <c r="Z1278" t="s">
        <v>39</v>
      </c>
      <c r="AA1278" t="s">
        <v>46</v>
      </c>
      <c r="AB1278">
        <v>4</v>
      </c>
      <c r="AC1278">
        <v>0</v>
      </c>
      <c r="AD1278" t="s">
        <v>32</v>
      </c>
      <c r="AE1278" t="s">
        <v>62</v>
      </c>
      <c r="AF1278" t="s">
        <v>43</v>
      </c>
    </row>
    <row r="1279" spans="1:32" x14ac:dyDescent="0.25">
      <c r="A1279">
        <v>37</v>
      </c>
      <c r="B1279" t="s">
        <v>41</v>
      </c>
      <c r="C1279" t="s">
        <v>68</v>
      </c>
      <c r="D1279" t="s">
        <v>34</v>
      </c>
      <c r="E1279">
        <v>25</v>
      </c>
      <c r="F1279" t="s">
        <v>58</v>
      </c>
      <c r="G1279">
        <v>3</v>
      </c>
      <c r="H1279">
        <v>2</v>
      </c>
      <c r="I1279" t="s">
        <v>44</v>
      </c>
      <c r="J1279">
        <v>3</v>
      </c>
      <c r="K1279" t="s">
        <v>50</v>
      </c>
      <c r="L1279">
        <v>4449</v>
      </c>
      <c r="M1279">
        <v>3</v>
      </c>
      <c r="N1279" t="s">
        <v>32</v>
      </c>
      <c r="O1279">
        <v>15</v>
      </c>
      <c r="P1279">
        <v>3</v>
      </c>
      <c r="Q1279">
        <v>2</v>
      </c>
      <c r="R1279">
        <v>15</v>
      </c>
      <c r="S1279">
        <v>2</v>
      </c>
      <c r="T1279">
        <v>13</v>
      </c>
      <c r="U1279">
        <v>10</v>
      </c>
      <c r="V1279">
        <v>7</v>
      </c>
      <c r="W1279" t="s">
        <v>38</v>
      </c>
      <c r="X1279" s="1" t="d">
        <v>2008-02-22</v>
      </c>
      <c r="Z1279" t="s">
        <v>63</v>
      </c>
      <c r="AA1279" t="s">
        <v>40</v>
      </c>
      <c r="AB1279">
        <v>3</v>
      </c>
      <c r="AC1279">
        <v>1</v>
      </c>
      <c r="AD1279" t="s">
        <v>41</v>
      </c>
      <c r="AE1279" t="s">
        <v>60</v>
      </c>
      <c r="AF1279" t="s">
        <v>48</v>
      </c>
    </row>
    <row r="1280" spans="1:32" x14ac:dyDescent="0.25">
      <c r="A1280">
        <v>31</v>
      </c>
      <c r="B1280" t="s">
        <v>41</v>
      </c>
      <c r="C1280" t="s">
        <v>33</v>
      </c>
      <c r="D1280" t="s">
        <v>34</v>
      </c>
      <c r="E1280">
        <v>9</v>
      </c>
      <c r="F1280" t="s">
        <v>35</v>
      </c>
      <c r="G1280">
        <v>3</v>
      </c>
      <c r="H1280">
        <v>3</v>
      </c>
      <c r="I1280" t="s">
        <v>67</v>
      </c>
      <c r="J1280">
        <v>2</v>
      </c>
      <c r="K1280" t="s">
        <v>55</v>
      </c>
      <c r="L1280">
        <v>10648</v>
      </c>
      <c r="M1280">
        <v>1</v>
      </c>
      <c r="N1280" t="s">
        <v>41</v>
      </c>
      <c r="O1280">
        <v>25</v>
      </c>
      <c r="P1280">
        <v>4</v>
      </c>
      <c r="Q1280">
        <v>1</v>
      </c>
      <c r="R1280">
        <v>13</v>
      </c>
      <c r="S1280">
        <v>6</v>
      </c>
      <c r="T1280">
        <v>13</v>
      </c>
      <c r="U1280">
        <v>0</v>
      </c>
      <c r="V1280">
        <v>8</v>
      </c>
      <c r="W1280" t="s">
        <v>56</v>
      </c>
      <c r="X1280" s="1" t="d">
        <v>2008-05-18</v>
      </c>
      <c r="Z1280" t="s">
        <v>52</v>
      </c>
      <c r="AA1280" t="s">
        <v>46</v>
      </c>
      <c r="AB1280">
        <v>3</v>
      </c>
      <c r="AC1280">
        <v>3</v>
      </c>
      <c r="AD1280" t="s">
        <v>32</v>
      </c>
      <c r="AE1280" t="s">
        <v>60</v>
      </c>
      <c r="AF1280" t="s">
        <v>43</v>
      </c>
    </row>
    <row r="1281" spans="1:32" x14ac:dyDescent="0.25">
      <c r="A1281">
        <v>33</v>
      </c>
      <c r="B1281" t="s">
        <v>41</v>
      </c>
      <c r="C1281" t="s">
        <v>61</v>
      </c>
      <c r="D1281" t="s">
        <v>34</v>
      </c>
      <c r="E1281">
        <v>6</v>
      </c>
      <c r="F1281" t="s">
        <v>35</v>
      </c>
      <c r="G1281">
        <v>3</v>
      </c>
      <c r="H1281">
        <v>2</v>
      </c>
      <c r="I1281" t="s">
        <v>69</v>
      </c>
      <c r="J1281">
        <v>4</v>
      </c>
      <c r="K1281" t="s">
        <v>55</v>
      </c>
      <c r="L1281">
        <v>7725</v>
      </c>
      <c r="M1281">
        <v>3</v>
      </c>
      <c r="N1281" t="s">
        <v>41</v>
      </c>
      <c r="O1281">
        <v>23</v>
      </c>
      <c r="P1281">
        <v>4</v>
      </c>
      <c r="Q1281">
        <v>1</v>
      </c>
      <c r="R1281">
        <v>15</v>
      </c>
      <c r="S1281">
        <v>2</v>
      </c>
      <c r="T1281">
        <v>13</v>
      </c>
      <c r="U1281">
        <v>4</v>
      </c>
      <c r="V1281">
        <v>7</v>
      </c>
      <c r="W1281" t="s">
        <v>38</v>
      </c>
      <c r="X1281" s="1" t="d">
        <v>2008-02-20</v>
      </c>
      <c r="Z1281" t="s">
        <v>63</v>
      </c>
      <c r="AA1281" t="s">
        <v>46</v>
      </c>
      <c r="AB1281">
        <v>2</v>
      </c>
      <c r="AC1281">
        <v>0</v>
      </c>
      <c r="AD1281" t="s">
        <v>32</v>
      </c>
      <c r="AE1281" t="s">
        <v>42</v>
      </c>
      <c r="AF1281" t="s">
        <v>43</v>
      </c>
    </row>
    <row r="1282" spans="1:32" x14ac:dyDescent="0.25">
      <c r="A1282">
        <v>33</v>
      </c>
      <c r="B1282" t="s">
        <v>41</v>
      </c>
      <c r="C1282" t="s">
        <v>33</v>
      </c>
      <c r="D1282" t="s">
        <v>34</v>
      </c>
      <c r="E1282">
        <v>7</v>
      </c>
      <c r="F1282" t="s">
        <v>35</v>
      </c>
      <c r="G1282">
        <v>3</v>
      </c>
      <c r="H1282">
        <v>3</v>
      </c>
      <c r="I1282" t="s">
        <v>49</v>
      </c>
      <c r="J1282">
        <v>3</v>
      </c>
      <c r="K1282" t="s">
        <v>50</v>
      </c>
      <c r="L1282">
        <v>11691</v>
      </c>
      <c r="M1282">
        <v>0</v>
      </c>
      <c r="N1282" t="s">
        <v>41</v>
      </c>
      <c r="O1282">
        <v>11</v>
      </c>
      <c r="P1282">
        <v>3</v>
      </c>
      <c r="Q1282">
        <v>0</v>
      </c>
      <c r="R1282">
        <v>14</v>
      </c>
      <c r="S1282">
        <v>3</v>
      </c>
      <c r="T1282">
        <v>13</v>
      </c>
      <c r="U1282">
        <v>3</v>
      </c>
      <c r="V1282">
        <v>7</v>
      </c>
      <c r="W1282" t="s">
        <v>38</v>
      </c>
      <c r="X1282" s="1" t="d">
        <v>2008-05-29</v>
      </c>
      <c r="Z1282" t="s">
        <v>45</v>
      </c>
      <c r="AA1282" t="s">
        <v>46</v>
      </c>
      <c r="AB1282">
        <v>2</v>
      </c>
      <c r="AC1282">
        <v>3</v>
      </c>
      <c r="AD1282" t="s">
        <v>32</v>
      </c>
      <c r="AE1282" t="s">
        <v>47</v>
      </c>
      <c r="AF1282" t="s">
        <v>57</v>
      </c>
    </row>
    <row r="1283" spans="1:32" x14ac:dyDescent="0.25">
      <c r="A1283">
        <v>35</v>
      </c>
      <c r="B1283" t="s">
        <v>41</v>
      </c>
      <c r="C1283" t="s">
        <v>33</v>
      </c>
      <c r="D1283" t="s">
        <v>34</v>
      </c>
      <c r="E1283">
        <v>25</v>
      </c>
      <c r="F1283" t="s">
        <v>35</v>
      </c>
      <c r="G1283">
        <v>2</v>
      </c>
      <c r="H1283">
        <v>3</v>
      </c>
      <c r="I1283" t="s">
        <v>67</v>
      </c>
      <c r="J1283">
        <v>2</v>
      </c>
      <c r="K1283" t="s">
        <v>50</v>
      </c>
      <c r="L1283">
        <v>10903</v>
      </c>
      <c r="M1283">
        <v>3</v>
      </c>
      <c r="N1283" t="s">
        <v>41</v>
      </c>
      <c r="O1283">
        <v>16</v>
      </c>
      <c r="P1283">
        <v>3</v>
      </c>
      <c r="Q1283">
        <v>0</v>
      </c>
      <c r="R1283">
        <v>16</v>
      </c>
      <c r="S1283">
        <v>2</v>
      </c>
      <c r="T1283">
        <v>13</v>
      </c>
      <c r="U1283">
        <v>4</v>
      </c>
      <c r="V1283">
        <v>8</v>
      </c>
      <c r="W1283" t="s">
        <v>51</v>
      </c>
      <c r="X1283" s="1" t="d">
        <v>2008-01-22</v>
      </c>
      <c r="Z1283" t="s">
        <v>59</v>
      </c>
      <c r="AA1283" t="s">
        <v>40</v>
      </c>
      <c r="AB1283">
        <v>4</v>
      </c>
      <c r="AC1283">
        <v>1</v>
      </c>
      <c r="AD1283" t="s">
        <v>32</v>
      </c>
      <c r="AE1283" t="s">
        <v>62</v>
      </c>
      <c r="AF1283" t="s">
        <v>43</v>
      </c>
    </row>
    <row r="1284" spans="1:32" x14ac:dyDescent="0.25">
      <c r="A1284">
        <v>33</v>
      </c>
      <c r="B1284" t="s">
        <v>32</v>
      </c>
      <c r="C1284" t="s">
        <v>61</v>
      </c>
      <c r="D1284" t="s">
        <v>34</v>
      </c>
      <c r="E1284">
        <v>29</v>
      </c>
      <c r="F1284" t="s">
        <v>58</v>
      </c>
      <c r="G1284">
        <v>2</v>
      </c>
      <c r="H1284">
        <v>2</v>
      </c>
      <c r="I1284" t="s">
        <v>44</v>
      </c>
      <c r="J1284">
        <v>3</v>
      </c>
      <c r="K1284" t="s">
        <v>37</v>
      </c>
      <c r="L1284">
        <v>4508</v>
      </c>
      <c r="M1284">
        <v>1</v>
      </c>
      <c r="N1284" t="s">
        <v>41</v>
      </c>
      <c r="O1284">
        <v>22</v>
      </c>
      <c r="P1284">
        <v>4</v>
      </c>
      <c r="Q1284">
        <v>0</v>
      </c>
      <c r="R1284">
        <v>14</v>
      </c>
      <c r="S1284">
        <v>4</v>
      </c>
      <c r="T1284">
        <v>13</v>
      </c>
      <c r="U1284">
        <v>3</v>
      </c>
      <c r="V1284">
        <v>8</v>
      </c>
      <c r="W1284" t="s">
        <v>38</v>
      </c>
      <c r="X1284" s="1" t="d">
        <v>2008-01-21</v>
      </c>
      <c r="Z1284" t="s">
        <v>39</v>
      </c>
      <c r="AA1284" t="s">
        <v>40</v>
      </c>
      <c r="AB1284">
        <v>1</v>
      </c>
      <c r="AC1284">
        <v>3</v>
      </c>
      <c r="AD1284" t="s">
        <v>32</v>
      </c>
      <c r="AE1284" t="s">
        <v>47</v>
      </c>
      <c r="AF1284" t="s">
        <v>57</v>
      </c>
    </row>
    <row r="1285" spans="1:32" x14ac:dyDescent="0.25">
      <c r="A1285">
        <v>34</v>
      </c>
      <c r="B1285" t="s">
        <v>41</v>
      </c>
      <c r="C1285" t="s">
        <v>61</v>
      </c>
      <c r="D1285" t="s">
        <v>34</v>
      </c>
      <c r="E1285">
        <v>1</v>
      </c>
      <c r="F1285" t="s">
        <v>35</v>
      </c>
      <c r="G1285">
        <v>2</v>
      </c>
      <c r="H1285">
        <v>2</v>
      </c>
      <c r="I1285" t="s">
        <v>69</v>
      </c>
      <c r="J1285">
        <v>1</v>
      </c>
      <c r="K1285" t="s">
        <v>37</v>
      </c>
      <c r="L1285">
        <v>5343</v>
      </c>
      <c r="M1285">
        <v>0</v>
      </c>
      <c r="N1285" t="s">
        <v>41</v>
      </c>
      <c r="O1285">
        <v>20</v>
      </c>
      <c r="P1285">
        <v>4</v>
      </c>
      <c r="Q1285">
        <v>0</v>
      </c>
      <c r="R1285">
        <v>14</v>
      </c>
      <c r="S1285">
        <v>3</v>
      </c>
      <c r="T1285">
        <v>13</v>
      </c>
      <c r="U1285">
        <v>4</v>
      </c>
      <c r="V1285">
        <v>9</v>
      </c>
      <c r="W1285" t="s">
        <v>56</v>
      </c>
      <c r="X1285" s="1" t="d">
        <v>2008-01-22</v>
      </c>
      <c r="Z1285" t="s">
        <v>39</v>
      </c>
      <c r="AA1285" t="s">
        <v>40</v>
      </c>
      <c r="AB1285">
        <v>5</v>
      </c>
      <c r="AC1285">
        <v>1</v>
      </c>
      <c r="AD1285" t="s">
        <v>41</v>
      </c>
      <c r="AE1285" t="s">
        <v>60</v>
      </c>
      <c r="AF1285" t="s">
        <v>43</v>
      </c>
    </row>
    <row r="1286" spans="1:32" x14ac:dyDescent="0.25">
      <c r="A1286">
        <v>35</v>
      </c>
      <c r="B1286" t="s">
        <v>41</v>
      </c>
      <c r="C1286" t="s">
        <v>68</v>
      </c>
      <c r="D1286" t="s">
        <v>53</v>
      </c>
      <c r="E1286">
        <v>8</v>
      </c>
      <c r="F1286" t="s">
        <v>58</v>
      </c>
      <c r="G1286">
        <v>2</v>
      </c>
      <c r="H1286">
        <v>3</v>
      </c>
      <c r="I1286" t="s">
        <v>64</v>
      </c>
      <c r="J1286">
        <v>4</v>
      </c>
      <c r="K1286" t="s">
        <v>50</v>
      </c>
      <c r="L1286">
        <v>10377</v>
      </c>
      <c r="M1286">
        <v>4</v>
      </c>
      <c r="N1286" t="s">
        <v>32</v>
      </c>
      <c r="O1286">
        <v>11</v>
      </c>
      <c r="P1286">
        <v>3</v>
      </c>
      <c r="Q1286">
        <v>1</v>
      </c>
      <c r="R1286">
        <v>16</v>
      </c>
      <c r="S1286">
        <v>6</v>
      </c>
      <c r="T1286">
        <v>13</v>
      </c>
      <c r="U1286">
        <v>4</v>
      </c>
      <c r="V1286">
        <v>12</v>
      </c>
      <c r="W1286" t="s">
        <v>56</v>
      </c>
      <c r="X1286" s="1" t="d">
        <v>2008-05-25</v>
      </c>
      <c r="Z1286" t="s">
        <v>63</v>
      </c>
      <c r="AA1286" t="s">
        <v>40</v>
      </c>
      <c r="AB1286">
        <v>1</v>
      </c>
      <c r="AC1286">
        <v>0</v>
      </c>
      <c r="AD1286" t="s">
        <v>32</v>
      </c>
      <c r="AE1286" t="s">
        <v>42</v>
      </c>
      <c r="AF1286" t="s">
        <v>43</v>
      </c>
    </row>
    <row r="1287" spans="1:32" x14ac:dyDescent="0.25">
      <c r="A1287">
        <v>31</v>
      </c>
      <c r="B1287" t="s">
        <v>41</v>
      </c>
      <c r="C1287" t="s">
        <v>33</v>
      </c>
      <c r="D1287" t="s">
        <v>53</v>
      </c>
      <c r="E1287">
        <v>8</v>
      </c>
      <c r="F1287" t="s">
        <v>35</v>
      </c>
      <c r="G1287">
        <v>3</v>
      </c>
      <c r="H1287">
        <v>3</v>
      </c>
      <c r="I1287" t="s">
        <v>64</v>
      </c>
      <c r="J1287">
        <v>4</v>
      </c>
      <c r="K1287" t="s">
        <v>55</v>
      </c>
      <c r="L1287">
        <v>10793</v>
      </c>
      <c r="M1287">
        <v>1</v>
      </c>
      <c r="N1287" t="s">
        <v>41</v>
      </c>
      <c r="O1287">
        <v>18</v>
      </c>
      <c r="P1287">
        <v>3</v>
      </c>
      <c r="Q1287">
        <v>1</v>
      </c>
      <c r="R1287">
        <v>13</v>
      </c>
      <c r="S1287">
        <v>5</v>
      </c>
      <c r="T1287">
        <v>13</v>
      </c>
      <c r="U1287">
        <v>9</v>
      </c>
      <c r="V1287">
        <v>9</v>
      </c>
      <c r="W1287" t="s">
        <v>56</v>
      </c>
      <c r="X1287" s="1" t="d">
        <v>2008-03-15</v>
      </c>
      <c r="Z1287" t="s">
        <v>59</v>
      </c>
      <c r="AA1287" t="s">
        <v>40</v>
      </c>
      <c r="AB1287">
        <v>1</v>
      </c>
      <c r="AC1287">
        <v>1</v>
      </c>
      <c r="AD1287" t="s">
        <v>41</v>
      </c>
      <c r="AE1287" t="s">
        <v>60</v>
      </c>
      <c r="AF1287" t="s">
        <v>48</v>
      </c>
    </row>
    <row r="1288" spans="1:32" x14ac:dyDescent="0.25">
      <c r="A1288">
        <v>34</v>
      </c>
      <c r="B1288" t="s">
        <v>41</v>
      </c>
      <c r="C1288" t="s">
        <v>33</v>
      </c>
      <c r="D1288" t="s">
        <v>53</v>
      </c>
      <c r="E1288">
        <v>3</v>
      </c>
      <c r="F1288" t="s">
        <v>35</v>
      </c>
      <c r="G1288">
        <v>1</v>
      </c>
      <c r="H1288">
        <v>2</v>
      </c>
      <c r="I1288" t="s">
        <v>64</v>
      </c>
      <c r="J1288">
        <v>1</v>
      </c>
      <c r="K1288" t="s">
        <v>37</v>
      </c>
      <c r="L1288">
        <v>4759</v>
      </c>
      <c r="M1288">
        <v>3</v>
      </c>
      <c r="N1288" t="s">
        <v>41</v>
      </c>
      <c r="O1288">
        <v>18</v>
      </c>
      <c r="P1288">
        <v>3</v>
      </c>
      <c r="Q1288">
        <v>0</v>
      </c>
      <c r="R1288">
        <v>15</v>
      </c>
      <c r="S1288">
        <v>2</v>
      </c>
      <c r="T1288">
        <v>13</v>
      </c>
      <c r="U1288">
        <v>3</v>
      </c>
      <c r="V1288">
        <v>12</v>
      </c>
      <c r="W1288" t="s">
        <v>65</v>
      </c>
      <c r="X1288" s="1" t="d">
        <v>2008-03-24</v>
      </c>
      <c r="Z1288" t="s">
        <v>59</v>
      </c>
      <c r="AA1288" t="s">
        <v>40</v>
      </c>
      <c r="AB1288">
        <v>3</v>
      </c>
      <c r="AC1288">
        <v>3</v>
      </c>
      <c r="AD1288" t="s">
        <v>41</v>
      </c>
      <c r="AE1288" t="s">
        <v>62</v>
      </c>
      <c r="AF1288" t="s">
        <v>48</v>
      </c>
    </row>
    <row r="1289" spans="1:32" x14ac:dyDescent="0.25">
      <c r="A1289">
        <v>46</v>
      </c>
      <c r="B1289" t="s">
        <v>41</v>
      </c>
      <c r="C1289" t="s">
        <v>33</v>
      </c>
      <c r="D1289" t="s">
        <v>53</v>
      </c>
      <c r="E1289">
        <v>3</v>
      </c>
      <c r="F1289" t="s">
        <v>58</v>
      </c>
      <c r="G1289">
        <v>3</v>
      </c>
      <c r="H1289">
        <v>4</v>
      </c>
      <c r="I1289" t="s">
        <v>66</v>
      </c>
      <c r="J1289">
        <v>2</v>
      </c>
      <c r="K1289" t="s">
        <v>50</v>
      </c>
      <c r="L1289">
        <v>16606</v>
      </c>
      <c r="M1289">
        <v>8</v>
      </c>
      <c r="N1289" t="s">
        <v>41</v>
      </c>
      <c r="O1289">
        <v>12</v>
      </c>
      <c r="P1289">
        <v>3</v>
      </c>
      <c r="Q1289">
        <v>1</v>
      </c>
      <c r="R1289">
        <v>23</v>
      </c>
      <c r="S1289">
        <v>2</v>
      </c>
      <c r="T1289">
        <v>13</v>
      </c>
      <c r="U1289">
        <v>5</v>
      </c>
      <c r="V1289">
        <v>1</v>
      </c>
      <c r="W1289" t="s">
        <v>56</v>
      </c>
      <c r="X1289" s="1" t="d">
        <v>2008-04-07</v>
      </c>
      <c r="Z1289" t="s">
        <v>45</v>
      </c>
      <c r="AA1289" t="s">
        <v>46</v>
      </c>
      <c r="AB1289">
        <v>5</v>
      </c>
      <c r="AC1289">
        <v>3</v>
      </c>
      <c r="AD1289" t="s">
        <v>32</v>
      </c>
      <c r="AE1289" t="s">
        <v>62</v>
      </c>
      <c r="AF1289" t="s">
        <v>57</v>
      </c>
    </row>
    <row r="1290" spans="1:32" x14ac:dyDescent="0.25">
      <c r="A1290">
        <v>35</v>
      </c>
      <c r="B1290" t="s">
        <v>32</v>
      </c>
      <c r="C1290" t="s">
        <v>33</v>
      </c>
      <c r="D1290" t="s">
        <v>53</v>
      </c>
      <c r="E1290">
        <v>10</v>
      </c>
      <c r="F1290" t="s">
        <v>35</v>
      </c>
      <c r="G1290">
        <v>2</v>
      </c>
      <c r="H1290">
        <v>3</v>
      </c>
      <c r="I1290" t="s">
        <v>64</v>
      </c>
      <c r="J1290">
        <v>1</v>
      </c>
      <c r="K1290" t="s">
        <v>50</v>
      </c>
      <c r="L1290">
        <v>10306</v>
      </c>
      <c r="M1290">
        <v>9</v>
      </c>
      <c r="N1290" t="s">
        <v>41</v>
      </c>
      <c r="O1290">
        <v>17</v>
      </c>
      <c r="P1290">
        <v>3</v>
      </c>
      <c r="Q1290">
        <v>0</v>
      </c>
      <c r="R1290">
        <v>15</v>
      </c>
      <c r="S1290">
        <v>3</v>
      </c>
      <c r="T1290">
        <v>13</v>
      </c>
      <c r="U1290">
        <v>6</v>
      </c>
      <c r="V1290">
        <v>0</v>
      </c>
      <c r="W1290" t="s">
        <v>38</v>
      </c>
      <c r="X1290" s="1" t="d">
        <v>2008-04-20</v>
      </c>
      <c r="Z1290" t="s">
        <v>45</v>
      </c>
      <c r="AA1290" t="s">
        <v>46</v>
      </c>
      <c r="AB1290">
        <v>4</v>
      </c>
      <c r="AC1290">
        <v>2</v>
      </c>
      <c r="AD1290" t="s">
        <v>32</v>
      </c>
      <c r="AE1290" t="s">
        <v>62</v>
      </c>
      <c r="AF1290" t="s">
        <v>48</v>
      </c>
    </row>
    <row r="1291" spans="1:32" x14ac:dyDescent="0.25">
      <c r="A1291">
        <v>38</v>
      </c>
      <c r="B1291" t="s">
        <v>41</v>
      </c>
      <c r="C1291" t="s">
        <v>61</v>
      </c>
      <c r="D1291" t="s">
        <v>34</v>
      </c>
      <c r="E1291">
        <v>1</v>
      </c>
      <c r="F1291" t="s">
        <v>35</v>
      </c>
      <c r="G1291">
        <v>3</v>
      </c>
      <c r="H1291">
        <v>2</v>
      </c>
      <c r="I1291" t="s">
        <v>44</v>
      </c>
      <c r="J1291">
        <v>4</v>
      </c>
      <c r="K1291" t="s">
        <v>50</v>
      </c>
      <c r="L1291">
        <v>4735</v>
      </c>
      <c r="M1291">
        <v>7</v>
      </c>
      <c r="N1291" t="s">
        <v>41</v>
      </c>
      <c r="O1291">
        <v>15</v>
      </c>
      <c r="P1291">
        <v>3</v>
      </c>
      <c r="Q1291">
        <v>2</v>
      </c>
      <c r="R1291">
        <v>19</v>
      </c>
      <c r="S1291">
        <v>4</v>
      </c>
      <c r="T1291">
        <v>13</v>
      </c>
      <c r="U1291">
        <v>2</v>
      </c>
      <c r="V1291">
        <v>9</v>
      </c>
      <c r="W1291" t="s">
        <v>51</v>
      </c>
      <c r="X1291" s="1" t="d">
        <v>2008-02-03</v>
      </c>
      <c r="Z1291" t="s">
        <v>39</v>
      </c>
      <c r="AA1291" t="s">
        <v>46</v>
      </c>
      <c r="AB1291">
        <v>5</v>
      </c>
      <c r="AC1291">
        <v>3</v>
      </c>
      <c r="AD1291" t="s">
        <v>41</v>
      </c>
      <c r="AE1291" t="s">
        <v>60</v>
      </c>
      <c r="AF1291" t="s">
        <v>57</v>
      </c>
    </row>
    <row r="1292" spans="1:32" x14ac:dyDescent="0.25">
      <c r="A1292">
        <v>36</v>
      </c>
      <c r="B1292" t="s">
        <v>41</v>
      </c>
      <c r="C1292" t="s">
        <v>33</v>
      </c>
      <c r="D1292" t="s">
        <v>53</v>
      </c>
      <c r="E1292">
        <v>2</v>
      </c>
      <c r="F1292" t="s">
        <v>58</v>
      </c>
      <c r="G1292">
        <v>3</v>
      </c>
      <c r="H1292">
        <v>2</v>
      </c>
      <c r="I1292" t="s">
        <v>54</v>
      </c>
      <c r="J1292">
        <v>4</v>
      </c>
      <c r="K1292" t="s">
        <v>37</v>
      </c>
      <c r="L1292">
        <v>4502</v>
      </c>
      <c r="M1292">
        <v>3</v>
      </c>
      <c r="N1292" t="s">
        <v>41</v>
      </c>
      <c r="O1292">
        <v>15</v>
      </c>
      <c r="P1292">
        <v>3</v>
      </c>
      <c r="Q1292">
        <v>0</v>
      </c>
      <c r="R1292">
        <v>17</v>
      </c>
      <c r="S1292">
        <v>2</v>
      </c>
      <c r="T1292">
        <v>13</v>
      </c>
      <c r="U1292">
        <v>6</v>
      </c>
      <c r="V1292">
        <v>7</v>
      </c>
      <c r="W1292" t="s">
        <v>56</v>
      </c>
      <c r="X1292" s="1" t="d">
        <v>2008-03-09</v>
      </c>
      <c r="Z1292" t="s">
        <v>45</v>
      </c>
      <c r="AA1292" t="s">
        <v>46</v>
      </c>
      <c r="AB1292">
        <v>0</v>
      </c>
      <c r="AC1292">
        <v>0</v>
      </c>
      <c r="AD1292" t="s">
        <v>32</v>
      </c>
      <c r="AE1292" t="s">
        <v>60</v>
      </c>
      <c r="AF1292" t="s">
        <v>43</v>
      </c>
    </row>
    <row r="1293" spans="1:32" x14ac:dyDescent="0.25">
      <c r="A1293">
        <v>42</v>
      </c>
      <c r="B1293" t="s">
        <v>41</v>
      </c>
      <c r="C1293" t="s">
        <v>33</v>
      </c>
      <c r="D1293" t="s">
        <v>34</v>
      </c>
      <c r="E1293">
        <v>6</v>
      </c>
      <c r="F1293" t="s">
        <v>35</v>
      </c>
      <c r="G1293">
        <v>3</v>
      </c>
      <c r="H1293">
        <v>3</v>
      </c>
      <c r="I1293" t="s">
        <v>49</v>
      </c>
      <c r="J1293">
        <v>1</v>
      </c>
      <c r="K1293" t="s">
        <v>50</v>
      </c>
      <c r="L1293">
        <v>13348</v>
      </c>
      <c r="M1293">
        <v>9</v>
      </c>
      <c r="N1293" t="s">
        <v>41</v>
      </c>
      <c r="O1293">
        <v>13</v>
      </c>
      <c r="P1293">
        <v>3</v>
      </c>
      <c r="Q1293">
        <v>1</v>
      </c>
      <c r="R1293">
        <v>18</v>
      </c>
      <c r="S1293">
        <v>3</v>
      </c>
      <c r="T1293">
        <v>13</v>
      </c>
      <c r="U1293">
        <v>5</v>
      </c>
      <c r="V1293">
        <v>7</v>
      </c>
      <c r="W1293" t="s">
        <v>38</v>
      </c>
      <c r="X1293" s="1" t="d">
        <v>2008-06-22</v>
      </c>
      <c r="Z1293" t="s">
        <v>59</v>
      </c>
      <c r="AA1293" t="s">
        <v>46</v>
      </c>
      <c r="AB1293">
        <v>2</v>
      </c>
      <c r="AC1293">
        <v>3</v>
      </c>
      <c r="AD1293" t="s">
        <v>32</v>
      </c>
      <c r="AE1293" t="s">
        <v>60</v>
      </c>
      <c r="AF1293" t="s">
        <v>57</v>
      </c>
    </row>
    <row r="1294" spans="1:32" x14ac:dyDescent="0.25">
      <c r="A1294">
        <v>47</v>
      </c>
      <c r="B1294" t="s">
        <v>41</v>
      </c>
      <c r="C1294" t="s">
        <v>68</v>
      </c>
      <c r="D1294" t="s">
        <v>34</v>
      </c>
      <c r="E1294">
        <v>1</v>
      </c>
      <c r="F1294" t="s">
        <v>58</v>
      </c>
      <c r="G1294">
        <v>3</v>
      </c>
      <c r="H1294">
        <v>3</v>
      </c>
      <c r="I1294" t="s">
        <v>49</v>
      </c>
      <c r="J1294">
        <v>2</v>
      </c>
      <c r="K1294" t="s">
        <v>50</v>
      </c>
      <c r="L1294">
        <v>11957</v>
      </c>
      <c r="M1294">
        <v>0</v>
      </c>
      <c r="N1294" t="s">
        <v>41</v>
      </c>
      <c r="O1294">
        <v>18</v>
      </c>
      <c r="P1294">
        <v>3</v>
      </c>
      <c r="Q1294">
        <v>2</v>
      </c>
      <c r="R1294">
        <v>14</v>
      </c>
      <c r="S1294">
        <v>3</v>
      </c>
      <c r="T1294">
        <v>13</v>
      </c>
      <c r="U1294">
        <v>5</v>
      </c>
      <c r="V1294">
        <v>12</v>
      </c>
      <c r="W1294" t="s">
        <v>56</v>
      </c>
      <c r="X1294" s="1" t="d">
        <v>2008-04-19</v>
      </c>
      <c r="Z1294" t="s">
        <v>52</v>
      </c>
      <c r="AA1294" t="s">
        <v>40</v>
      </c>
      <c r="AB1294">
        <v>3</v>
      </c>
      <c r="AC1294">
        <v>1</v>
      </c>
      <c r="AD1294" t="s">
        <v>32</v>
      </c>
      <c r="AE1294" t="s">
        <v>42</v>
      </c>
      <c r="AF1294" t="s">
        <v>48</v>
      </c>
    </row>
    <row r="1295" spans="1:32" x14ac:dyDescent="0.25">
      <c r="A1295">
        <v>56</v>
      </c>
      <c r="B1295" t="s">
        <v>41</v>
      </c>
      <c r="C1295" t="s">
        <v>68</v>
      </c>
      <c r="D1295" t="s">
        <v>34</v>
      </c>
      <c r="E1295">
        <v>1</v>
      </c>
      <c r="F1295" t="s">
        <v>35</v>
      </c>
      <c r="G1295">
        <v>3</v>
      </c>
      <c r="H1295">
        <v>2</v>
      </c>
      <c r="I1295" t="s">
        <v>69</v>
      </c>
      <c r="J1295">
        <v>3</v>
      </c>
      <c r="K1295" t="s">
        <v>55</v>
      </c>
      <c r="L1295">
        <v>6306</v>
      </c>
      <c r="M1295">
        <v>1</v>
      </c>
      <c r="N1295" t="s">
        <v>41</v>
      </c>
      <c r="O1295">
        <v>21</v>
      </c>
      <c r="P1295">
        <v>4</v>
      </c>
      <c r="Q1295">
        <v>1</v>
      </c>
      <c r="R1295">
        <v>13</v>
      </c>
      <c r="S1295">
        <v>2</v>
      </c>
      <c r="T1295">
        <v>13</v>
      </c>
      <c r="U1295">
        <v>1</v>
      </c>
      <c r="V1295">
        <v>9</v>
      </c>
      <c r="W1295" t="s">
        <v>56</v>
      </c>
      <c r="X1295" s="1" t="d">
        <v>2008-06-24</v>
      </c>
      <c r="Z1295" t="s">
        <v>59</v>
      </c>
      <c r="AA1295" t="s">
        <v>40</v>
      </c>
      <c r="AB1295">
        <v>5</v>
      </c>
      <c r="AC1295">
        <v>0</v>
      </c>
      <c r="AD1295" t="s">
        <v>32</v>
      </c>
      <c r="AE1295" t="s">
        <v>60</v>
      </c>
      <c r="AF1295" t="s">
        <v>48</v>
      </c>
    </row>
    <row r="1296" spans="1:32" x14ac:dyDescent="0.25">
      <c r="A1296">
        <v>53</v>
      </c>
      <c r="B1296" t="s">
        <v>41</v>
      </c>
      <c r="C1296" t="s">
        <v>33</v>
      </c>
      <c r="D1296" t="s">
        <v>34</v>
      </c>
      <c r="E1296">
        <v>5</v>
      </c>
      <c r="F1296" t="s">
        <v>58</v>
      </c>
      <c r="G1296">
        <v>3</v>
      </c>
      <c r="H1296">
        <v>5</v>
      </c>
      <c r="I1296" t="s">
        <v>66</v>
      </c>
      <c r="J1296">
        <v>3</v>
      </c>
      <c r="K1296" t="s">
        <v>55</v>
      </c>
      <c r="L1296">
        <v>19094</v>
      </c>
      <c r="M1296">
        <v>4</v>
      </c>
      <c r="N1296" t="s">
        <v>41</v>
      </c>
      <c r="O1296">
        <v>11</v>
      </c>
      <c r="P1296">
        <v>3</v>
      </c>
      <c r="Q1296">
        <v>1</v>
      </c>
      <c r="R1296">
        <v>26</v>
      </c>
      <c r="S1296">
        <v>3</v>
      </c>
      <c r="T1296">
        <v>14</v>
      </c>
      <c r="U1296">
        <v>4</v>
      </c>
      <c r="V1296">
        <v>8</v>
      </c>
      <c r="W1296" t="s">
        <v>51</v>
      </c>
      <c r="X1296" s="1" t="d">
        <v>2007-03-13</v>
      </c>
      <c r="Z1296" t="s">
        <v>63</v>
      </c>
      <c r="AA1296" t="s">
        <v>46</v>
      </c>
      <c r="AB1296">
        <v>5</v>
      </c>
      <c r="AC1296">
        <v>2</v>
      </c>
      <c r="AD1296" t="s">
        <v>32</v>
      </c>
      <c r="AE1296" t="s">
        <v>62</v>
      </c>
      <c r="AF1296" t="s">
        <v>57</v>
      </c>
    </row>
    <row r="1297" spans="1:32" x14ac:dyDescent="0.25">
      <c r="A1297">
        <v>32</v>
      </c>
      <c r="B1297" t="s">
        <v>32</v>
      </c>
      <c r="C1297" t="s">
        <v>33</v>
      </c>
      <c r="D1297" t="s">
        <v>53</v>
      </c>
      <c r="E1297">
        <v>4</v>
      </c>
      <c r="F1297" t="s">
        <v>35</v>
      </c>
      <c r="G1297">
        <v>1</v>
      </c>
      <c r="H1297">
        <v>3</v>
      </c>
      <c r="I1297" t="s">
        <v>64</v>
      </c>
      <c r="J1297">
        <v>4</v>
      </c>
      <c r="K1297" t="s">
        <v>50</v>
      </c>
      <c r="L1297">
        <v>10400</v>
      </c>
      <c r="M1297">
        <v>1</v>
      </c>
      <c r="N1297" t="s">
        <v>41</v>
      </c>
      <c r="O1297">
        <v>11</v>
      </c>
      <c r="P1297">
        <v>3</v>
      </c>
      <c r="Q1297">
        <v>0</v>
      </c>
      <c r="R1297">
        <v>14</v>
      </c>
      <c r="S1297">
        <v>2</v>
      </c>
      <c r="T1297">
        <v>14</v>
      </c>
      <c r="U1297">
        <v>9</v>
      </c>
      <c r="V1297">
        <v>8</v>
      </c>
      <c r="W1297" t="s">
        <v>56</v>
      </c>
      <c r="X1297" s="1" t="d">
        <v>2007-01-12</v>
      </c>
      <c r="Z1297" t="s">
        <v>39</v>
      </c>
      <c r="AA1297" t="s">
        <v>46</v>
      </c>
      <c r="AB1297">
        <v>2</v>
      </c>
      <c r="AC1297">
        <v>3</v>
      </c>
      <c r="AD1297" t="s">
        <v>32</v>
      </c>
      <c r="AE1297" t="s">
        <v>42</v>
      </c>
      <c r="AF1297" t="s">
        <v>48</v>
      </c>
    </row>
    <row r="1298" spans="1:32" x14ac:dyDescent="0.25">
      <c r="A1298">
        <v>41</v>
      </c>
      <c r="B1298" t="s">
        <v>41</v>
      </c>
      <c r="C1298" t="s">
        <v>68</v>
      </c>
      <c r="D1298" t="s">
        <v>53</v>
      </c>
      <c r="E1298">
        <v>10</v>
      </c>
      <c r="F1298" t="s">
        <v>35</v>
      </c>
      <c r="G1298">
        <v>3</v>
      </c>
      <c r="H1298">
        <v>2</v>
      </c>
      <c r="I1298" t="s">
        <v>64</v>
      </c>
      <c r="J1298">
        <v>4</v>
      </c>
      <c r="K1298" t="s">
        <v>37</v>
      </c>
      <c r="L1298">
        <v>6230</v>
      </c>
      <c r="M1298">
        <v>7</v>
      </c>
      <c r="N1298" t="s">
        <v>41</v>
      </c>
      <c r="O1298">
        <v>14</v>
      </c>
      <c r="P1298">
        <v>3</v>
      </c>
      <c r="Q1298">
        <v>0</v>
      </c>
      <c r="R1298">
        <v>16</v>
      </c>
      <c r="S1298">
        <v>3</v>
      </c>
      <c r="T1298">
        <v>14</v>
      </c>
      <c r="U1298">
        <v>1</v>
      </c>
      <c r="V1298">
        <v>10</v>
      </c>
      <c r="W1298" t="s">
        <v>51</v>
      </c>
      <c r="X1298" s="1" t="d">
        <v>2007-03-25</v>
      </c>
      <c r="Z1298" t="s">
        <v>39</v>
      </c>
      <c r="AA1298" t="s">
        <v>40</v>
      </c>
      <c r="AB1298">
        <v>5</v>
      </c>
      <c r="AC1298">
        <v>1</v>
      </c>
      <c r="AD1298" t="s">
        <v>41</v>
      </c>
      <c r="AE1298" t="s">
        <v>60</v>
      </c>
      <c r="AF1298" t="s">
        <v>57</v>
      </c>
    </row>
    <row r="1299" spans="1:32" x14ac:dyDescent="0.25">
      <c r="A1299">
        <v>53</v>
      </c>
      <c r="B1299" t="s">
        <v>41</v>
      </c>
      <c r="C1299" t="s">
        <v>33</v>
      </c>
      <c r="D1299" t="s">
        <v>53</v>
      </c>
      <c r="E1299">
        <v>1</v>
      </c>
      <c r="F1299" t="s">
        <v>58</v>
      </c>
      <c r="G1299">
        <v>3</v>
      </c>
      <c r="H1299">
        <v>2</v>
      </c>
      <c r="I1299" t="s">
        <v>64</v>
      </c>
      <c r="J1299">
        <v>1</v>
      </c>
      <c r="K1299" t="s">
        <v>37</v>
      </c>
      <c r="L1299">
        <v>8381</v>
      </c>
      <c r="M1299">
        <v>7</v>
      </c>
      <c r="N1299" t="s">
        <v>41</v>
      </c>
      <c r="O1299">
        <v>20</v>
      </c>
      <c r="P1299">
        <v>4</v>
      </c>
      <c r="Q1299">
        <v>0</v>
      </c>
      <c r="R1299">
        <v>18</v>
      </c>
      <c r="S1299">
        <v>2</v>
      </c>
      <c r="T1299">
        <v>14</v>
      </c>
      <c r="U1299">
        <v>8</v>
      </c>
      <c r="V1299">
        <v>10</v>
      </c>
      <c r="W1299" t="s">
        <v>56</v>
      </c>
      <c r="X1299" s="1" t="d">
        <v>2007-05-27</v>
      </c>
      <c r="Z1299" t="s">
        <v>45</v>
      </c>
      <c r="AA1299" t="s">
        <v>46</v>
      </c>
      <c r="AB1299">
        <v>4</v>
      </c>
      <c r="AC1299">
        <v>1</v>
      </c>
      <c r="AD1299" t="s">
        <v>41</v>
      </c>
      <c r="AE1299" t="s">
        <v>62</v>
      </c>
      <c r="AF1299" t="s">
        <v>48</v>
      </c>
    </row>
    <row r="1300" spans="1:32" x14ac:dyDescent="0.25">
      <c r="A1300">
        <v>32</v>
      </c>
      <c r="B1300" t="s">
        <v>41</v>
      </c>
      <c r="C1300" t="s">
        <v>33</v>
      </c>
      <c r="D1300" t="s">
        <v>34</v>
      </c>
      <c r="E1300">
        <v>4</v>
      </c>
      <c r="F1300" t="s">
        <v>58</v>
      </c>
      <c r="G1300">
        <v>2</v>
      </c>
      <c r="H1300">
        <v>2</v>
      </c>
      <c r="I1300" t="s">
        <v>67</v>
      </c>
      <c r="J1300">
        <v>3</v>
      </c>
      <c r="K1300" t="s">
        <v>50</v>
      </c>
      <c r="L1300">
        <v>6162</v>
      </c>
      <c r="M1300">
        <v>1</v>
      </c>
      <c r="N1300" t="s">
        <v>41</v>
      </c>
      <c r="O1300">
        <v>12</v>
      </c>
      <c r="P1300">
        <v>3</v>
      </c>
      <c r="Q1300">
        <v>1</v>
      </c>
      <c r="R1300">
        <v>14</v>
      </c>
      <c r="S1300">
        <v>3</v>
      </c>
      <c r="T1300">
        <v>14</v>
      </c>
      <c r="U1300">
        <v>6</v>
      </c>
      <c r="V1300">
        <v>8</v>
      </c>
      <c r="W1300" t="s">
        <v>56</v>
      </c>
      <c r="X1300" s="1" t="d">
        <v>2007-02-03</v>
      </c>
      <c r="Z1300" t="s">
        <v>39</v>
      </c>
      <c r="AA1300" t="s">
        <v>40</v>
      </c>
      <c r="AB1300">
        <v>3</v>
      </c>
      <c r="AC1300">
        <v>0</v>
      </c>
      <c r="AD1300" t="s">
        <v>41</v>
      </c>
      <c r="AE1300" t="s">
        <v>47</v>
      </c>
      <c r="AF1300" t="s">
        <v>48</v>
      </c>
    </row>
    <row r="1301" spans="1:32" x14ac:dyDescent="0.25">
      <c r="A1301">
        <v>37</v>
      </c>
      <c r="B1301" t="s">
        <v>32</v>
      </c>
      <c r="C1301" t="s">
        <v>33</v>
      </c>
      <c r="D1301" t="s">
        <v>53</v>
      </c>
      <c r="E1301">
        <v>1</v>
      </c>
      <c r="F1301" t="s">
        <v>35</v>
      </c>
      <c r="G1301">
        <v>2</v>
      </c>
      <c r="H1301">
        <v>3</v>
      </c>
      <c r="I1301" t="s">
        <v>64</v>
      </c>
      <c r="J1301">
        <v>3</v>
      </c>
      <c r="K1301" t="s">
        <v>50</v>
      </c>
      <c r="L1301">
        <v>10609</v>
      </c>
      <c r="M1301">
        <v>5</v>
      </c>
      <c r="N1301" t="s">
        <v>41</v>
      </c>
      <c r="O1301">
        <v>11</v>
      </c>
      <c r="P1301">
        <v>3</v>
      </c>
      <c r="Q1301">
        <v>0</v>
      </c>
      <c r="R1301">
        <v>17</v>
      </c>
      <c r="S1301">
        <v>2</v>
      </c>
      <c r="T1301">
        <v>14</v>
      </c>
      <c r="U1301">
        <v>11</v>
      </c>
      <c r="V1301">
        <v>7</v>
      </c>
      <c r="W1301" t="s">
        <v>51</v>
      </c>
      <c r="X1301" s="1" t="d">
        <v>2007-02-16</v>
      </c>
      <c r="Z1301" t="s">
        <v>52</v>
      </c>
      <c r="AA1301" t="s">
        <v>40</v>
      </c>
      <c r="AB1301">
        <v>4</v>
      </c>
      <c r="AC1301">
        <v>2</v>
      </c>
      <c r="AD1301" t="s">
        <v>32</v>
      </c>
      <c r="AE1301" t="s">
        <v>42</v>
      </c>
      <c r="AF1301" t="s">
        <v>43</v>
      </c>
    </row>
    <row r="1302" spans="1:32" x14ac:dyDescent="0.25">
      <c r="A1302">
        <v>36</v>
      </c>
      <c r="B1302" t="s">
        <v>41</v>
      </c>
      <c r="C1302" t="s">
        <v>33</v>
      </c>
      <c r="D1302" t="s">
        <v>34</v>
      </c>
      <c r="E1302">
        <v>12</v>
      </c>
      <c r="F1302" t="s">
        <v>58</v>
      </c>
      <c r="G1302">
        <v>2</v>
      </c>
      <c r="H1302">
        <v>3</v>
      </c>
      <c r="I1302" t="s">
        <v>67</v>
      </c>
      <c r="J1302">
        <v>4</v>
      </c>
      <c r="K1302" t="s">
        <v>37</v>
      </c>
      <c r="L1302">
        <v>8858</v>
      </c>
      <c r="M1302">
        <v>0</v>
      </c>
      <c r="N1302" t="s">
        <v>41</v>
      </c>
      <c r="O1302">
        <v>11</v>
      </c>
      <c r="P1302">
        <v>3</v>
      </c>
      <c r="Q1302">
        <v>0</v>
      </c>
      <c r="R1302">
        <v>15</v>
      </c>
      <c r="S1302">
        <v>2</v>
      </c>
      <c r="T1302">
        <v>14</v>
      </c>
      <c r="U1302">
        <v>7</v>
      </c>
      <c r="V1302">
        <v>8</v>
      </c>
      <c r="W1302" t="s">
        <v>56</v>
      </c>
      <c r="X1302" s="1" t="d">
        <v>2007-03-12</v>
      </c>
      <c r="Z1302" t="s">
        <v>45</v>
      </c>
      <c r="AA1302" t="s">
        <v>40</v>
      </c>
      <c r="AB1302">
        <v>0</v>
      </c>
      <c r="AC1302">
        <v>3</v>
      </c>
      <c r="AD1302" t="s">
        <v>41</v>
      </c>
      <c r="AE1302" t="s">
        <v>47</v>
      </c>
      <c r="AF1302" t="s">
        <v>48</v>
      </c>
    </row>
    <row r="1303" spans="1:32" x14ac:dyDescent="0.25">
      <c r="A1303">
        <v>37</v>
      </c>
      <c r="B1303" t="s">
        <v>41</v>
      </c>
      <c r="C1303" t="s">
        <v>33</v>
      </c>
      <c r="D1303" t="s">
        <v>34</v>
      </c>
      <c r="E1303">
        <v>1</v>
      </c>
      <c r="F1303" t="s">
        <v>58</v>
      </c>
      <c r="G1303">
        <v>2</v>
      </c>
      <c r="H1303">
        <v>2</v>
      </c>
      <c r="I1303" t="s">
        <v>67</v>
      </c>
      <c r="J1303">
        <v>4</v>
      </c>
      <c r="K1303" t="s">
        <v>50</v>
      </c>
      <c r="L1303">
        <v>6474</v>
      </c>
      <c r="M1303">
        <v>1</v>
      </c>
      <c r="N1303" t="s">
        <v>41</v>
      </c>
      <c r="O1303">
        <v>13</v>
      </c>
      <c r="P1303">
        <v>3</v>
      </c>
      <c r="Q1303">
        <v>1</v>
      </c>
      <c r="R1303">
        <v>14</v>
      </c>
      <c r="S1303">
        <v>2</v>
      </c>
      <c r="T1303">
        <v>14</v>
      </c>
      <c r="U1303">
        <v>3</v>
      </c>
      <c r="V1303">
        <v>11</v>
      </c>
      <c r="W1303" t="s">
        <v>56</v>
      </c>
      <c r="X1303" s="1" t="d">
        <v>2007-06-06</v>
      </c>
      <c r="Z1303" t="s">
        <v>52</v>
      </c>
      <c r="AA1303" t="s">
        <v>46</v>
      </c>
      <c r="AB1303">
        <v>1</v>
      </c>
      <c r="AC1303">
        <v>3</v>
      </c>
      <c r="AD1303" t="s">
        <v>32</v>
      </c>
      <c r="AE1303" t="s">
        <v>60</v>
      </c>
      <c r="AF1303" t="s">
        <v>48</v>
      </c>
    </row>
    <row r="1304" spans="1:32" x14ac:dyDescent="0.25">
      <c r="A1304">
        <v>33</v>
      </c>
      <c r="B1304" t="s">
        <v>41</v>
      </c>
      <c r="C1304" t="s">
        <v>33</v>
      </c>
      <c r="D1304" t="s">
        <v>34</v>
      </c>
      <c r="E1304">
        <v>9</v>
      </c>
      <c r="F1304" t="s">
        <v>35</v>
      </c>
      <c r="G1304">
        <v>3</v>
      </c>
      <c r="H1304">
        <v>1</v>
      </c>
      <c r="I1304" t="s">
        <v>44</v>
      </c>
      <c r="J1304">
        <v>4</v>
      </c>
      <c r="K1304" t="s">
        <v>50</v>
      </c>
      <c r="L1304">
        <v>2781</v>
      </c>
      <c r="M1304">
        <v>0</v>
      </c>
      <c r="N1304" t="s">
        <v>41</v>
      </c>
      <c r="O1304">
        <v>13</v>
      </c>
      <c r="P1304">
        <v>3</v>
      </c>
      <c r="Q1304">
        <v>1</v>
      </c>
      <c r="R1304">
        <v>15</v>
      </c>
      <c r="S1304">
        <v>5</v>
      </c>
      <c r="T1304">
        <v>14</v>
      </c>
      <c r="U1304">
        <v>4</v>
      </c>
      <c r="V1304">
        <v>10</v>
      </c>
      <c r="W1304" t="s">
        <v>56</v>
      </c>
      <c r="X1304" s="1" t="d">
        <v>2007-04-02</v>
      </c>
      <c r="Z1304" t="s">
        <v>45</v>
      </c>
      <c r="AA1304" t="s">
        <v>40</v>
      </c>
      <c r="AB1304">
        <v>3</v>
      </c>
      <c r="AC1304">
        <v>3</v>
      </c>
      <c r="AD1304" t="s">
        <v>32</v>
      </c>
      <c r="AE1304" t="s">
        <v>62</v>
      </c>
      <c r="AF1304" t="s">
        <v>48</v>
      </c>
    </row>
    <row r="1305" spans="1:32" x14ac:dyDescent="0.25">
      <c r="A1305">
        <v>34</v>
      </c>
      <c r="B1305" t="s">
        <v>41</v>
      </c>
      <c r="C1305" t="s">
        <v>33</v>
      </c>
      <c r="D1305" t="s">
        <v>34</v>
      </c>
      <c r="E1305">
        <v>2</v>
      </c>
      <c r="F1305" t="s">
        <v>58</v>
      </c>
      <c r="G1305">
        <v>3</v>
      </c>
      <c r="H1305">
        <v>2</v>
      </c>
      <c r="I1305" t="s">
        <v>69</v>
      </c>
      <c r="J1305">
        <v>4</v>
      </c>
      <c r="K1305" t="s">
        <v>37</v>
      </c>
      <c r="L1305">
        <v>6687</v>
      </c>
      <c r="M1305">
        <v>1</v>
      </c>
      <c r="N1305" t="s">
        <v>41</v>
      </c>
      <c r="O1305">
        <v>11</v>
      </c>
      <c r="P1305">
        <v>3</v>
      </c>
      <c r="Q1305">
        <v>0</v>
      </c>
      <c r="R1305">
        <v>14</v>
      </c>
      <c r="S1305">
        <v>2</v>
      </c>
      <c r="T1305">
        <v>14</v>
      </c>
      <c r="U1305">
        <v>4</v>
      </c>
      <c r="V1305">
        <v>11</v>
      </c>
      <c r="W1305" t="s">
        <v>65</v>
      </c>
      <c r="X1305" s="1" t="d">
        <v>2007-03-15</v>
      </c>
      <c r="Z1305" t="s">
        <v>63</v>
      </c>
      <c r="AA1305" t="s">
        <v>40</v>
      </c>
      <c r="AB1305">
        <v>3</v>
      </c>
      <c r="AC1305">
        <v>3</v>
      </c>
      <c r="AD1305" t="s">
        <v>41</v>
      </c>
      <c r="AE1305" t="s">
        <v>60</v>
      </c>
      <c r="AF1305" t="s">
        <v>43</v>
      </c>
    </row>
    <row r="1306" spans="1:32" x14ac:dyDescent="0.25">
      <c r="A1306">
        <v>34</v>
      </c>
      <c r="B1306" t="s">
        <v>41</v>
      </c>
      <c r="C1306" t="s">
        <v>61</v>
      </c>
      <c r="D1306" t="s">
        <v>34</v>
      </c>
      <c r="E1306">
        <v>15</v>
      </c>
      <c r="F1306" t="s">
        <v>35</v>
      </c>
      <c r="G1306">
        <v>3</v>
      </c>
      <c r="H1306">
        <v>4</v>
      </c>
      <c r="I1306" t="s">
        <v>49</v>
      </c>
      <c r="J1306">
        <v>1</v>
      </c>
      <c r="K1306" t="s">
        <v>55</v>
      </c>
      <c r="L1306">
        <v>17007</v>
      </c>
      <c r="M1306">
        <v>7</v>
      </c>
      <c r="N1306" t="s">
        <v>41</v>
      </c>
      <c r="O1306">
        <v>14</v>
      </c>
      <c r="P1306">
        <v>3</v>
      </c>
      <c r="Q1306">
        <v>2</v>
      </c>
      <c r="R1306">
        <v>16</v>
      </c>
      <c r="S1306">
        <v>3</v>
      </c>
      <c r="T1306">
        <v>14</v>
      </c>
      <c r="U1306">
        <v>6</v>
      </c>
      <c r="V1306">
        <v>9</v>
      </c>
      <c r="W1306" t="s">
        <v>51</v>
      </c>
      <c r="X1306" s="1" t="d">
        <v>2007-06-27</v>
      </c>
      <c r="Z1306" t="s">
        <v>59</v>
      </c>
      <c r="AA1306" t="s">
        <v>40</v>
      </c>
      <c r="AB1306">
        <v>4</v>
      </c>
      <c r="AC1306">
        <v>3</v>
      </c>
      <c r="AD1306" t="s">
        <v>32</v>
      </c>
      <c r="AE1306" t="s">
        <v>42</v>
      </c>
      <c r="AF1306" t="s">
        <v>48</v>
      </c>
    </row>
    <row r="1307" spans="1:32" x14ac:dyDescent="0.25">
      <c r="A1307">
        <v>54</v>
      </c>
      <c r="B1307" t="s">
        <v>41</v>
      </c>
      <c r="C1307" t="s">
        <v>61</v>
      </c>
      <c r="D1307" t="s">
        <v>34</v>
      </c>
      <c r="E1307">
        <v>11</v>
      </c>
      <c r="F1307" t="s">
        <v>58</v>
      </c>
      <c r="G1307">
        <v>3</v>
      </c>
      <c r="H1307">
        <v>4</v>
      </c>
      <c r="I1307" t="s">
        <v>66</v>
      </c>
      <c r="J1307">
        <v>4</v>
      </c>
      <c r="K1307" t="s">
        <v>55</v>
      </c>
      <c r="L1307">
        <v>16032</v>
      </c>
      <c r="M1307">
        <v>3</v>
      </c>
      <c r="N1307" t="s">
        <v>41</v>
      </c>
      <c r="O1307">
        <v>20</v>
      </c>
      <c r="P1307">
        <v>4</v>
      </c>
      <c r="Q1307">
        <v>1</v>
      </c>
      <c r="R1307">
        <v>26</v>
      </c>
      <c r="S1307">
        <v>2</v>
      </c>
      <c r="T1307">
        <v>14</v>
      </c>
      <c r="U1307">
        <v>1</v>
      </c>
      <c r="V1307">
        <v>12</v>
      </c>
      <c r="W1307" t="s">
        <v>65</v>
      </c>
      <c r="X1307" s="1" t="d">
        <v>2007-01-02</v>
      </c>
      <c r="Z1307" t="s">
        <v>59</v>
      </c>
      <c r="AA1307" t="s">
        <v>40</v>
      </c>
      <c r="AB1307">
        <v>3</v>
      </c>
      <c r="AC1307">
        <v>1</v>
      </c>
      <c r="AD1307" t="s">
        <v>41</v>
      </c>
      <c r="AE1307" t="s">
        <v>42</v>
      </c>
      <c r="AF1307" t="s">
        <v>43</v>
      </c>
    </row>
    <row r="1308" spans="1:32" x14ac:dyDescent="0.25">
      <c r="A1308">
        <v>35</v>
      </c>
      <c r="B1308" t="s">
        <v>41</v>
      </c>
      <c r="C1308" t="s">
        <v>68</v>
      </c>
      <c r="D1308" t="s">
        <v>34</v>
      </c>
      <c r="E1308">
        <v>8</v>
      </c>
      <c r="F1308" t="s">
        <v>58</v>
      </c>
      <c r="G1308">
        <v>3</v>
      </c>
      <c r="H1308">
        <v>2</v>
      </c>
      <c r="I1308" t="s">
        <v>69</v>
      </c>
      <c r="J1308">
        <v>3</v>
      </c>
      <c r="K1308" t="s">
        <v>50</v>
      </c>
      <c r="L1308">
        <v>4148</v>
      </c>
      <c r="M1308">
        <v>1</v>
      </c>
      <c r="N1308" t="s">
        <v>41</v>
      </c>
      <c r="O1308">
        <v>12</v>
      </c>
      <c r="P1308">
        <v>3</v>
      </c>
      <c r="Q1308">
        <v>1</v>
      </c>
      <c r="R1308">
        <v>15</v>
      </c>
      <c r="S1308">
        <v>5</v>
      </c>
      <c r="T1308">
        <v>14</v>
      </c>
      <c r="U1308">
        <v>2</v>
      </c>
      <c r="V1308">
        <v>9</v>
      </c>
      <c r="W1308" t="s">
        <v>65</v>
      </c>
      <c r="X1308" s="1" t="d">
        <v>2007-04-19</v>
      </c>
      <c r="Z1308" t="s">
        <v>39</v>
      </c>
      <c r="AA1308" t="s">
        <v>46</v>
      </c>
      <c r="AB1308">
        <v>3</v>
      </c>
      <c r="AC1308">
        <v>2</v>
      </c>
      <c r="AD1308" t="s">
        <v>32</v>
      </c>
      <c r="AE1308" t="s">
        <v>42</v>
      </c>
      <c r="AF1308" t="s">
        <v>48</v>
      </c>
    </row>
    <row r="1309" spans="1:32" x14ac:dyDescent="0.25">
      <c r="A1309">
        <v>50</v>
      </c>
      <c r="B1309" t="s">
        <v>41</v>
      </c>
      <c r="C1309" t="s">
        <v>33</v>
      </c>
      <c r="D1309" t="s">
        <v>34</v>
      </c>
      <c r="E1309">
        <v>17</v>
      </c>
      <c r="F1309" t="s">
        <v>58</v>
      </c>
      <c r="G1309">
        <v>2</v>
      </c>
      <c r="H1309">
        <v>3</v>
      </c>
      <c r="I1309" t="s">
        <v>49</v>
      </c>
      <c r="J1309">
        <v>1</v>
      </c>
      <c r="K1309" t="s">
        <v>55</v>
      </c>
      <c r="L1309">
        <v>13269</v>
      </c>
      <c r="M1309">
        <v>5</v>
      </c>
      <c r="N1309" t="s">
        <v>41</v>
      </c>
      <c r="O1309">
        <v>15</v>
      </c>
      <c r="P1309">
        <v>3</v>
      </c>
      <c r="Q1309">
        <v>3</v>
      </c>
      <c r="R1309">
        <v>19</v>
      </c>
      <c r="S1309">
        <v>3</v>
      </c>
      <c r="T1309">
        <v>14</v>
      </c>
      <c r="U1309">
        <v>1</v>
      </c>
      <c r="V1309">
        <v>11</v>
      </c>
      <c r="W1309" t="s">
        <v>38</v>
      </c>
      <c r="X1309" s="1" t="d">
        <v>2007-03-19</v>
      </c>
      <c r="Z1309" t="s">
        <v>59</v>
      </c>
      <c r="AA1309" t="s">
        <v>40</v>
      </c>
      <c r="AB1309">
        <v>0</v>
      </c>
      <c r="AC1309">
        <v>3</v>
      </c>
      <c r="AD1309" t="s">
        <v>41</v>
      </c>
      <c r="AE1309" t="s">
        <v>42</v>
      </c>
      <c r="AF1309" t="s">
        <v>48</v>
      </c>
    </row>
    <row r="1310" spans="1:32" x14ac:dyDescent="0.25">
      <c r="A1310">
        <v>43</v>
      </c>
      <c r="B1310" t="s">
        <v>41</v>
      </c>
      <c r="C1310" t="s">
        <v>33</v>
      </c>
      <c r="D1310" t="s">
        <v>34</v>
      </c>
      <c r="E1310">
        <v>15</v>
      </c>
      <c r="F1310" t="s">
        <v>35</v>
      </c>
      <c r="G1310">
        <v>2</v>
      </c>
      <c r="H1310">
        <v>4</v>
      </c>
      <c r="I1310" t="s">
        <v>49</v>
      </c>
      <c r="J1310">
        <v>3</v>
      </c>
      <c r="K1310" t="s">
        <v>50</v>
      </c>
      <c r="L1310">
        <v>17603</v>
      </c>
      <c r="M1310">
        <v>1</v>
      </c>
      <c r="N1310" t="s">
        <v>41</v>
      </c>
      <c r="O1310">
        <v>24</v>
      </c>
      <c r="P1310">
        <v>4</v>
      </c>
      <c r="Q1310">
        <v>1</v>
      </c>
      <c r="R1310">
        <v>14</v>
      </c>
      <c r="S1310">
        <v>3</v>
      </c>
      <c r="T1310">
        <v>14</v>
      </c>
      <c r="U1310">
        <v>6</v>
      </c>
      <c r="V1310">
        <v>11</v>
      </c>
      <c r="W1310" t="s">
        <v>65</v>
      </c>
      <c r="X1310" s="1" t="d">
        <v>2007-03-11</v>
      </c>
      <c r="Z1310" t="s">
        <v>52</v>
      </c>
      <c r="AA1310" t="s">
        <v>46</v>
      </c>
      <c r="AB1310">
        <v>5</v>
      </c>
      <c r="AC1310">
        <v>3</v>
      </c>
      <c r="AD1310" t="s">
        <v>41</v>
      </c>
      <c r="AE1310" t="s">
        <v>62</v>
      </c>
      <c r="AF1310" t="s">
        <v>57</v>
      </c>
    </row>
    <row r="1311" spans="1:32" x14ac:dyDescent="0.25">
      <c r="A1311">
        <v>33</v>
      </c>
      <c r="B1311" t="s">
        <v>41</v>
      </c>
      <c r="C1311" t="s">
        <v>33</v>
      </c>
      <c r="D1311" t="s">
        <v>34</v>
      </c>
      <c r="E1311">
        <v>21</v>
      </c>
      <c r="F1311" t="s">
        <v>35</v>
      </c>
      <c r="G1311">
        <v>4</v>
      </c>
      <c r="H1311">
        <v>1</v>
      </c>
      <c r="I1311" t="s">
        <v>36</v>
      </c>
      <c r="J1311">
        <v>2</v>
      </c>
      <c r="K1311" t="s">
        <v>50</v>
      </c>
      <c r="L1311">
        <v>2028</v>
      </c>
      <c r="M1311">
        <v>1</v>
      </c>
      <c r="N1311" t="s">
        <v>41</v>
      </c>
      <c r="O1311">
        <v>18</v>
      </c>
      <c r="P1311">
        <v>3</v>
      </c>
      <c r="Q1311">
        <v>3</v>
      </c>
      <c r="R1311">
        <v>14</v>
      </c>
      <c r="S1311">
        <v>6</v>
      </c>
      <c r="T1311">
        <v>14</v>
      </c>
      <c r="U1311">
        <v>2</v>
      </c>
      <c r="V1311">
        <v>13</v>
      </c>
      <c r="W1311" t="s">
        <v>56</v>
      </c>
      <c r="X1311" s="1" t="d">
        <v>2007-02-05</v>
      </c>
      <c r="Z1311" t="s">
        <v>63</v>
      </c>
      <c r="AA1311" t="s">
        <v>40</v>
      </c>
      <c r="AB1311">
        <v>3</v>
      </c>
      <c r="AC1311">
        <v>0</v>
      </c>
      <c r="AD1311" t="s">
        <v>41</v>
      </c>
      <c r="AE1311" t="s">
        <v>47</v>
      </c>
      <c r="AF1311" t="s">
        <v>57</v>
      </c>
    </row>
    <row r="1312" spans="1:32" x14ac:dyDescent="0.25">
      <c r="A1312">
        <v>34</v>
      </c>
      <c r="B1312" t="s">
        <v>41</v>
      </c>
      <c r="C1312" t="s">
        <v>33</v>
      </c>
      <c r="D1312" t="s">
        <v>53</v>
      </c>
      <c r="E1312">
        <v>1</v>
      </c>
      <c r="F1312" t="s">
        <v>35</v>
      </c>
      <c r="G1312">
        <v>3</v>
      </c>
      <c r="H1312">
        <v>3</v>
      </c>
      <c r="I1312" t="s">
        <v>64</v>
      </c>
      <c r="J1312">
        <v>4</v>
      </c>
      <c r="K1312" t="s">
        <v>37</v>
      </c>
      <c r="L1312">
        <v>9888</v>
      </c>
      <c r="M1312">
        <v>1</v>
      </c>
      <c r="N1312" t="s">
        <v>41</v>
      </c>
      <c r="O1312">
        <v>21</v>
      </c>
      <c r="P1312">
        <v>4</v>
      </c>
      <c r="Q1312">
        <v>0</v>
      </c>
      <c r="R1312">
        <v>14</v>
      </c>
      <c r="S1312">
        <v>3</v>
      </c>
      <c r="T1312">
        <v>14</v>
      </c>
      <c r="U1312">
        <v>2</v>
      </c>
      <c r="V1312">
        <v>1</v>
      </c>
      <c r="W1312" t="s">
        <v>65</v>
      </c>
      <c r="X1312" s="1" t="d">
        <v>2007-04-18</v>
      </c>
      <c r="Z1312" t="s">
        <v>63</v>
      </c>
      <c r="AA1312" t="s">
        <v>40</v>
      </c>
      <c r="AB1312">
        <v>1</v>
      </c>
      <c r="AC1312">
        <v>3</v>
      </c>
      <c r="AD1312" t="s">
        <v>41</v>
      </c>
      <c r="AE1312" t="s">
        <v>42</v>
      </c>
      <c r="AF1312" t="s">
        <v>57</v>
      </c>
    </row>
    <row r="1313" spans="1:32" x14ac:dyDescent="0.25">
      <c r="A1313">
        <v>32</v>
      </c>
      <c r="B1313" t="s">
        <v>41</v>
      </c>
      <c r="C1313" t="s">
        <v>33</v>
      </c>
      <c r="D1313" t="s">
        <v>53</v>
      </c>
      <c r="E1313">
        <v>1</v>
      </c>
      <c r="F1313" t="s">
        <v>58</v>
      </c>
      <c r="G1313">
        <v>3</v>
      </c>
      <c r="H1313">
        <v>3</v>
      </c>
      <c r="I1313" t="s">
        <v>64</v>
      </c>
      <c r="J1313">
        <v>4</v>
      </c>
      <c r="K1313" t="s">
        <v>50</v>
      </c>
      <c r="L1313">
        <v>10422</v>
      </c>
      <c r="M1313">
        <v>1</v>
      </c>
      <c r="N1313" t="s">
        <v>41</v>
      </c>
      <c r="O1313">
        <v>19</v>
      </c>
      <c r="P1313">
        <v>3</v>
      </c>
      <c r="Q1313">
        <v>2</v>
      </c>
      <c r="R1313">
        <v>14</v>
      </c>
      <c r="S1313">
        <v>3</v>
      </c>
      <c r="T1313">
        <v>14</v>
      </c>
      <c r="U1313">
        <v>5</v>
      </c>
      <c r="V1313">
        <v>7</v>
      </c>
      <c r="W1313" t="s">
        <v>51</v>
      </c>
      <c r="X1313" s="1" t="d">
        <v>2007-04-19</v>
      </c>
      <c r="Z1313" t="s">
        <v>52</v>
      </c>
      <c r="AA1313" t="s">
        <v>46</v>
      </c>
      <c r="AB1313">
        <v>0</v>
      </c>
      <c r="AC1313">
        <v>2</v>
      </c>
      <c r="AD1313" t="s">
        <v>41</v>
      </c>
      <c r="AE1313" t="s">
        <v>62</v>
      </c>
      <c r="AF1313" t="s">
        <v>43</v>
      </c>
    </row>
    <row r="1314" spans="1:32" x14ac:dyDescent="0.25">
      <c r="A1314">
        <v>33</v>
      </c>
      <c r="B1314" t="s">
        <v>41</v>
      </c>
      <c r="C1314" t="s">
        <v>61</v>
      </c>
      <c r="D1314" t="s">
        <v>34</v>
      </c>
      <c r="E1314">
        <v>1</v>
      </c>
      <c r="F1314" t="s">
        <v>58</v>
      </c>
      <c r="G1314">
        <v>3</v>
      </c>
      <c r="H1314">
        <v>3</v>
      </c>
      <c r="I1314" t="s">
        <v>49</v>
      </c>
      <c r="J1314">
        <v>4</v>
      </c>
      <c r="K1314" t="s">
        <v>37</v>
      </c>
      <c r="L1314">
        <v>13458</v>
      </c>
      <c r="M1314">
        <v>1</v>
      </c>
      <c r="N1314" t="s">
        <v>32</v>
      </c>
      <c r="O1314">
        <v>12</v>
      </c>
      <c r="P1314">
        <v>3</v>
      </c>
      <c r="Q1314">
        <v>0</v>
      </c>
      <c r="R1314">
        <v>15</v>
      </c>
      <c r="S1314">
        <v>1</v>
      </c>
      <c r="T1314">
        <v>15</v>
      </c>
      <c r="U1314">
        <v>8</v>
      </c>
      <c r="V1314">
        <v>12</v>
      </c>
      <c r="W1314" t="s">
        <v>38</v>
      </c>
      <c r="X1314" s="1" t="d">
        <v>2006-05-31</v>
      </c>
      <c r="Z1314" t="s">
        <v>59</v>
      </c>
      <c r="AA1314" t="s">
        <v>40</v>
      </c>
      <c r="AB1314">
        <v>0</v>
      </c>
      <c r="AC1314">
        <v>3</v>
      </c>
      <c r="AD1314" t="s">
        <v>32</v>
      </c>
      <c r="AE1314" t="s">
        <v>47</v>
      </c>
      <c r="AF1314" t="s">
        <v>48</v>
      </c>
    </row>
    <row r="1315" spans="1:32" x14ac:dyDescent="0.25">
      <c r="A1315">
        <v>35</v>
      </c>
      <c r="B1315" t="s">
        <v>41</v>
      </c>
      <c r="C1315" t="s">
        <v>33</v>
      </c>
      <c r="D1315" t="s">
        <v>53</v>
      </c>
      <c r="E1315">
        <v>1</v>
      </c>
      <c r="F1315" t="s">
        <v>35</v>
      </c>
      <c r="G1315">
        <v>2</v>
      </c>
      <c r="H1315">
        <v>2</v>
      </c>
      <c r="I1315" t="s">
        <v>64</v>
      </c>
      <c r="J1315">
        <v>1</v>
      </c>
      <c r="K1315" t="s">
        <v>37</v>
      </c>
      <c r="L1315">
        <v>4312</v>
      </c>
      <c r="M1315">
        <v>0</v>
      </c>
      <c r="N1315" t="s">
        <v>41</v>
      </c>
      <c r="O1315">
        <v>14</v>
      </c>
      <c r="P1315">
        <v>3</v>
      </c>
      <c r="Q1315">
        <v>0</v>
      </c>
      <c r="R1315">
        <v>16</v>
      </c>
      <c r="S1315">
        <v>2</v>
      </c>
      <c r="T1315">
        <v>15</v>
      </c>
      <c r="U1315">
        <v>2</v>
      </c>
      <c r="V1315">
        <v>8</v>
      </c>
      <c r="W1315" t="s">
        <v>65</v>
      </c>
      <c r="X1315" s="1" t="d">
        <v>2006-06-25</v>
      </c>
      <c r="Z1315" t="s">
        <v>59</v>
      </c>
      <c r="AA1315" t="s">
        <v>40</v>
      </c>
      <c r="AB1315">
        <v>5</v>
      </c>
      <c r="AC1315">
        <v>2</v>
      </c>
      <c r="AD1315" t="s">
        <v>41</v>
      </c>
      <c r="AE1315" t="s">
        <v>47</v>
      </c>
      <c r="AF1315" t="s">
        <v>57</v>
      </c>
    </row>
    <row r="1316" spans="1:32" x14ac:dyDescent="0.25">
      <c r="A1316">
        <v>49</v>
      </c>
      <c r="B1316" t="s">
        <v>41</v>
      </c>
      <c r="C1316" t="s">
        <v>33</v>
      </c>
      <c r="D1316" t="s">
        <v>34</v>
      </c>
      <c r="E1316">
        <v>20</v>
      </c>
      <c r="F1316" t="s">
        <v>58</v>
      </c>
      <c r="G1316">
        <v>3</v>
      </c>
      <c r="H1316">
        <v>2</v>
      </c>
      <c r="I1316" t="s">
        <v>67</v>
      </c>
      <c r="J1316">
        <v>1</v>
      </c>
      <c r="K1316" t="s">
        <v>50</v>
      </c>
      <c r="L1316">
        <v>6567</v>
      </c>
      <c r="M1316">
        <v>1</v>
      </c>
      <c r="N1316" t="s">
        <v>41</v>
      </c>
      <c r="O1316">
        <v>14</v>
      </c>
      <c r="P1316">
        <v>3</v>
      </c>
      <c r="Q1316">
        <v>0</v>
      </c>
      <c r="R1316">
        <v>16</v>
      </c>
      <c r="S1316">
        <v>2</v>
      </c>
      <c r="T1316">
        <v>15</v>
      </c>
      <c r="U1316">
        <v>5</v>
      </c>
      <c r="V1316">
        <v>11</v>
      </c>
      <c r="W1316" t="s">
        <v>65</v>
      </c>
      <c r="X1316" s="1" t="d">
        <v>2006-03-11</v>
      </c>
      <c r="Z1316" t="s">
        <v>59</v>
      </c>
      <c r="AA1316" t="s">
        <v>46</v>
      </c>
      <c r="AB1316">
        <v>2</v>
      </c>
      <c r="AC1316">
        <v>1</v>
      </c>
      <c r="AD1316" t="s">
        <v>32</v>
      </c>
      <c r="AE1316" t="s">
        <v>60</v>
      </c>
      <c r="AF1316" t="s">
        <v>57</v>
      </c>
    </row>
    <row r="1317" spans="1:32" x14ac:dyDescent="0.25">
      <c r="A1317">
        <v>39</v>
      </c>
      <c r="B1317" t="s">
        <v>41</v>
      </c>
      <c r="C1317" t="s">
        <v>33</v>
      </c>
      <c r="D1317" t="s">
        <v>53</v>
      </c>
      <c r="E1317">
        <v>4</v>
      </c>
      <c r="F1317" t="s">
        <v>58</v>
      </c>
      <c r="G1317">
        <v>2</v>
      </c>
      <c r="H1317">
        <v>2</v>
      </c>
      <c r="I1317" t="s">
        <v>64</v>
      </c>
      <c r="J1317">
        <v>3</v>
      </c>
      <c r="K1317" t="s">
        <v>50</v>
      </c>
      <c r="L1317">
        <v>5902</v>
      </c>
      <c r="M1317">
        <v>4</v>
      </c>
      <c r="N1317" t="s">
        <v>41</v>
      </c>
      <c r="O1317">
        <v>14</v>
      </c>
      <c r="P1317">
        <v>3</v>
      </c>
      <c r="Q1317">
        <v>1</v>
      </c>
      <c r="R1317">
        <v>17</v>
      </c>
      <c r="S1317">
        <v>1</v>
      </c>
      <c r="T1317">
        <v>15</v>
      </c>
      <c r="U1317">
        <v>5</v>
      </c>
      <c r="V1317">
        <v>9</v>
      </c>
      <c r="W1317" t="s">
        <v>51</v>
      </c>
      <c r="X1317" s="1" t="d">
        <v>2006-05-17</v>
      </c>
      <c r="Z1317" t="s">
        <v>63</v>
      </c>
      <c r="AA1317" t="s">
        <v>40</v>
      </c>
      <c r="AB1317">
        <v>4</v>
      </c>
      <c r="AC1317">
        <v>2</v>
      </c>
      <c r="AD1317" t="s">
        <v>32</v>
      </c>
      <c r="AE1317" t="s">
        <v>42</v>
      </c>
      <c r="AF1317" t="s">
        <v>43</v>
      </c>
    </row>
    <row r="1318" spans="1:32" x14ac:dyDescent="0.25">
      <c r="A1318">
        <v>36</v>
      </c>
      <c r="B1318" t="s">
        <v>41</v>
      </c>
      <c r="C1318" t="s">
        <v>33</v>
      </c>
      <c r="D1318" t="s">
        <v>34</v>
      </c>
      <c r="E1318">
        <v>6</v>
      </c>
      <c r="F1318" t="s">
        <v>35</v>
      </c>
      <c r="G1318">
        <v>3</v>
      </c>
      <c r="H1318">
        <v>1</v>
      </c>
      <c r="I1318" t="s">
        <v>36</v>
      </c>
      <c r="J1318">
        <v>4</v>
      </c>
      <c r="K1318" t="s">
        <v>50</v>
      </c>
      <c r="L1318">
        <v>3210</v>
      </c>
      <c r="M1318">
        <v>0</v>
      </c>
      <c r="N1318" t="s">
        <v>41</v>
      </c>
      <c r="O1318">
        <v>11</v>
      </c>
      <c r="P1318">
        <v>3</v>
      </c>
      <c r="Q1318">
        <v>1</v>
      </c>
      <c r="R1318">
        <v>16</v>
      </c>
      <c r="S1318">
        <v>4</v>
      </c>
      <c r="T1318">
        <v>15</v>
      </c>
      <c r="U1318">
        <v>10</v>
      </c>
      <c r="V1318">
        <v>11</v>
      </c>
      <c r="W1318" t="s">
        <v>38</v>
      </c>
      <c r="X1318" s="1" t="d">
        <v>2006-02-04</v>
      </c>
      <c r="Z1318" t="s">
        <v>52</v>
      </c>
      <c r="AA1318" t="s">
        <v>40</v>
      </c>
      <c r="AB1318">
        <v>4</v>
      </c>
      <c r="AC1318">
        <v>3</v>
      </c>
      <c r="AD1318" t="s">
        <v>41</v>
      </c>
      <c r="AE1318" t="s">
        <v>42</v>
      </c>
      <c r="AF1318" t="s">
        <v>48</v>
      </c>
    </row>
    <row r="1319" spans="1:32" x14ac:dyDescent="0.25">
      <c r="A1319">
        <v>38</v>
      </c>
      <c r="B1319" t="s">
        <v>41</v>
      </c>
      <c r="C1319" t="s">
        <v>61</v>
      </c>
      <c r="D1319" t="s">
        <v>34</v>
      </c>
      <c r="E1319">
        <v>2</v>
      </c>
      <c r="F1319" t="s">
        <v>58</v>
      </c>
      <c r="G1319">
        <v>4</v>
      </c>
      <c r="H1319">
        <v>2</v>
      </c>
      <c r="I1319" t="s">
        <v>67</v>
      </c>
      <c r="J1319">
        <v>1</v>
      </c>
      <c r="K1319" t="s">
        <v>37</v>
      </c>
      <c r="L1319">
        <v>5980</v>
      </c>
      <c r="M1319">
        <v>6</v>
      </c>
      <c r="N1319" t="s">
        <v>32</v>
      </c>
      <c r="O1319">
        <v>12</v>
      </c>
      <c r="P1319">
        <v>3</v>
      </c>
      <c r="Q1319">
        <v>0</v>
      </c>
      <c r="R1319">
        <v>17</v>
      </c>
      <c r="S1319">
        <v>2</v>
      </c>
      <c r="T1319">
        <v>15</v>
      </c>
      <c r="U1319">
        <v>4</v>
      </c>
      <c r="V1319">
        <v>12</v>
      </c>
      <c r="W1319" t="s">
        <v>65</v>
      </c>
      <c r="X1319" s="1" t="d">
        <v>2006-05-02</v>
      </c>
      <c r="Z1319" t="s">
        <v>52</v>
      </c>
      <c r="AA1319" t="s">
        <v>46</v>
      </c>
      <c r="AB1319">
        <v>4</v>
      </c>
      <c r="AC1319">
        <v>1</v>
      </c>
      <c r="AD1319" t="s">
        <v>32</v>
      </c>
      <c r="AE1319" t="s">
        <v>47</v>
      </c>
      <c r="AF1319" t="s">
        <v>57</v>
      </c>
    </row>
    <row r="1320" spans="1:32" x14ac:dyDescent="0.25">
      <c r="A1320">
        <v>38</v>
      </c>
      <c r="B1320" t="s">
        <v>41</v>
      </c>
      <c r="C1320" t="s">
        <v>33</v>
      </c>
      <c r="D1320" t="s">
        <v>34</v>
      </c>
      <c r="E1320">
        <v>1</v>
      </c>
      <c r="F1320" t="s">
        <v>58</v>
      </c>
      <c r="G1320">
        <v>3</v>
      </c>
      <c r="H1320">
        <v>3</v>
      </c>
      <c r="I1320" t="s">
        <v>49</v>
      </c>
      <c r="J1320">
        <v>1</v>
      </c>
      <c r="K1320" t="s">
        <v>50</v>
      </c>
      <c r="L1320">
        <v>13582</v>
      </c>
      <c r="M1320">
        <v>1</v>
      </c>
      <c r="N1320" t="s">
        <v>41</v>
      </c>
      <c r="O1320">
        <v>13</v>
      </c>
      <c r="P1320">
        <v>3</v>
      </c>
      <c r="Q1320">
        <v>1</v>
      </c>
      <c r="R1320">
        <v>15</v>
      </c>
      <c r="S1320">
        <v>3</v>
      </c>
      <c r="T1320">
        <v>15</v>
      </c>
      <c r="U1320">
        <v>5</v>
      </c>
      <c r="V1320">
        <v>11</v>
      </c>
      <c r="W1320" t="s">
        <v>38</v>
      </c>
      <c r="X1320" s="1" t="d">
        <v>2006-05-23</v>
      </c>
      <c r="Z1320" t="s">
        <v>59</v>
      </c>
      <c r="AA1320" t="s">
        <v>40</v>
      </c>
      <c r="AB1320">
        <v>2</v>
      </c>
      <c r="AC1320">
        <v>3</v>
      </c>
      <c r="AD1320" t="s">
        <v>32</v>
      </c>
      <c r="AE1320" t="s">
        <v>62</v>
      </c>
      <c r="AF1320" t="s">
        <v>57</v>
      </c>
    </row>
    <row r="1321" spans="1:32" x14ac:dyDescent="0.25">
      <c r="A1321">
        <v>48</v>
      </c>
      <c r="B1321" t="s">
        <v>41</v>
      </c>
      <c r="C1321" t="s">
        <v>33</v>
      </c>
      <c r="D1321" t="s">
        <v>34</v>
      </c>
      <c r="E1321">
        <v>4</v>
      </c>
      <c r="F1321" t="s">
        <v>35</v>
      </c>
      <c r="G1321">
        <v>2</v>
      </c>
      <c r="H1321">
        <v>3</v>
      </c>
      <c r="I1321" t="s">
        <v>69</v>
      </c>
      <c r="J1321">
        <v>3</v>
      </c>
      <c r="K1321" t="s">
        <v>37</v>
      </c>
      <c r="L1321">
        <v>10999</v>
      </c>
      <c r="M1321">
        <v>7</v>
      </c>
      <c r="N1321" t="s">
        <v>41</v>
      </c>
      <c r="O1321">
        <v>14</v>
      </c>
      <c r="P1321">
        <v>3</v>
      </c>
      <c r="Q1321">
        <v>0</v>
      </c>
      <c r="R1321">
        <v>27</v>
      </c>
      <c r="S1321">
        <v>3</v>
      </c>
      <c r="T1321">
        <v>15</v>
      </c>
      <c r="U1321">
        <v>4</v>
      </c>
      <c r="V1321">
        <v>8</v>
      </c>
      <c r="W1321" t="s">
        <v>56</v>
      </c>
      <c r="X1321" s="1" t="d">
        <v>2006-04-30</v>
      </c>
      <c r="Z1321" t="s">
        <v>59</v>
      </c>
      <c r="AA1321" t="s">
        <v>46</v>
      </c>
      <c r="AB1321">
        <v>3</v>
      </c>
      <c r="AC1321">
        <v>1</v>
      </c>
      <c r="AD1321" t="s">
        <v>32</v>
      </c>
      <c r="AE1321" t="s">
        <v>60</v>
      </c>
      <c r="AF1321" t="s">
        <v>43</v>
      </c>
    </row>
    <row r="1322" spans="1:32" x14ac:dyDescent="0.25">
      <c r="A1322">
        <v>34</v>
      </c>
      <c r="B1322" t="s">
        <v>41</v>
      </c>
      <c r="C1322" t="s">
        <v>33</v>
      </c>
      <c r="D1322" t="s">
        <v>53</v>
      </c>
      <c r="E1322">
        <v>1</v>
      </c>
      <c r="F1322" t="s">
        <v>35</v>
      </c>
      <c r="G1322">
        <v>4</v>
      </c>
      <c r="H1322">
        <v>2</v>
      </c>
      <c r="I1322" t="s">
        <v>64</v>
      </c>
      <c r="J1322">
        <v>4</v>
      </c>
      <c r="K1322" t="s">
        <v>55</v>
      </c>
      <c r="L1322">
        <v>9725</v>
      </c>
      <c r="M1322">
        <v>0</v>
      </c>
      <c r="N1322" t="s">
        <v>41</v>
      </c>
      <c r="O1322">
        <v>11</v>
      </c>
      <c r="P1322">
        <v>3</v>
      </c>
      <c r="Q1322">
        <v>1</v>
      </c>
      <c r="R1322">
        <v>16</v>
      </c>
      <c r="S1322">
        <v>2</v>
      </c>
      <c r="T1322">
        <v>15</v>
      </c>
      <c r="U1322">
        <v>0</v>
      </c>
      <c r="V1322">
        <v>9</v>
      </c>
      <c r="W1322" t="s">
        <v>51</v>
      </c>
      <c r="X1322" s="1" t="d">
        <v>2006-06-13</v>
      </c>
      <c r="Z1322" t="s">
        <v>52</v>
      </c>
      <c r="AA1322" t="s">
        <v>46</v>
      </c>
      <c r="AB1322">
        <v>0</v>
      </c>
      <c r="AC1322">
        <v>1</v>
      </c>
      <c r="AD1322" t="s">
        <v>32</v>
      </c>
      <c r="AE1322" t="s">
        <v>42</v>
      </c>
      <c r="AF1322" t="s">
        <v>48</v>
      </c>
    </row>
    <row r="1323" spans="1:32" x14ac:dyDescent="0.25">
      <c r="A1323">
        <v>53</v>
      </c>
      <c r="B1323" t="s">
        <v>41</v>
      </c>
      <c r="C1323" t="s">
        <v>61</v>
      </c>
      <c r="D1323" t="s">
        <v>53</v>
      </c>
      <c r="E1323">
        <v>2</v>
      </c>
      <c r="F1323" t="s">
        <v>58</v>
      </c>
      <c r="G1323">
        <v>2</v>
      </c>
      <c r="H1323">
        <v>3</v>
      </c>
      <c r="I1323" t="s">
        <v>64</v>
      </c>
      <c r="J1323">
        <v>2</v>
      </c>
      <c r="K1323" t="s">
        <v>50</v>
      </c>
      <c r="L1323">
        <v>7525</v>
      </c>
      <c r="M1323">
        <v>2</v>
      </c>
      <c r="N1323" t="s">
        <v>41</v>
      </c>
      <c r="O1323">
        <v>12</v>
      </c>
      <c r="P1323">
        <v>3</v>
      </c>
      <c r="Q1323">
        <v>1</v>
      </c>
      <c r="R1323">
        <v>30</v>
      </c>
      <c r="S1323">
        <v>2</v>
      </c>
      <c r="T1323">
        <v>15</v>
      </c>
      <c r="U1323">
        <v>6</v>
      </c>
      <c r="V1323">
        <v>12</v>
      </c>
      <c r="W1323" t="s">
        <v>56</v>
      </c>
      <c r="X1323" s="1" t="d">
        <v>2006-03-28</v>
      </c>
      <c r="Z1323" t="s">
        <v>63</v>
      </c>
      <c r="AA1323" t="s">
        <v>46</v>
      </c>
      <c r="AB1323">
        <v>5</v>
      </c>
      <c r="AC1323">
        <v>2</v>
      </c>
      <c r="AD1323" t="s">
        <v>32</v>
      </c>
      <c r="AE1323" t="s">
        <v>62</v>
      </c>
      <c r="AF1323" t="s">
        <v>43</v>
      </c>
    </row>
    <row r="1324" spans="1:32" x14ac:dyDescent="0.25">
      <c r="A1324">
        <v>45</v>
      </c>
      <c r="B1324" t="s">
        <v>41</v>
      </c>
      <c r="C1324" t="s">
        <v>68</v>
      </c>
      <c r="D1324" t="s">
        <v>53</v>
      </c>
      <c r="E1324">
        <v>9</v>
      </c>
      <c r="F1324" t="s">
        <v>58</v>
      </c>
      <c r="G1324">
        <v>2</v>
      </c>
      <c r="H1324">
        <v>2</v>
      </c>
      <c r="I1324" t="s">
        <v>64</v>
      </c>
      <c r="J1324">
        <v>3</v>
      </c>
      <c r="K1324" t="s">
        <v>50</v>
      </c>
      <c r="L1324">
        <v>5593</v>
      </c>
      <c r="M1324">
        <v>1</v>
      </c>
      <c r="N1324" t="s">
        <v>41</v>
      </c>
      <c r="O1324">
        <v>13</v>
      </c>
      <c r="P1324">
        <v>3</v>
      </c>
      <c r="Q1324">
        <v>1</v>
      </c>
      <c r="R1324">
        <v>15</v>
      </c>
      <c r="S1324">
        <v>2</v>
      </c>
      <c r="T1324">
        <v>15</v>
      </c>
      <c r="U1324">
        <v>4</v>
      </c>
      <c r="V1324">
        <v>12</v>
      </c>
      <c r="W1324" t="s">
        <v>56</v>
      </c>
      <c r="X1324" s="1" t="d">
        <v>2006-05-02</v>
      </c>
      <c r="Z1324" t="s">
        <v>39</v>
      </c>
      <c r="AA1324" t="s">
        <v>46</v>
      </c>
      <c r="AB1324">
        <v>3</v>
      </c>
      <c r="AC1324">
        <v>1</v>
      </c>
      <c r="AD1324" t="s">
        <v>41</v>
      </c>
      <c r="AE1324" t="s">
        <v>60</v>
      </c>
      <c r="AF1324" t="s">
        <v>43</v>
      </c>
    </row>
    <row r="1325" spans="1:32" x14ac:dyDescent="0.25">
      <c r="A1325">
        <v>36</v>
      </c>
      <c r="B1325" t="s">
        <v>41</v>
      </c>
      <c r="C1325" t="s">
        <v>61</v>
      </c>
      <c r="D1325" t="s">
        <v>53</v>
      </c>
      <c r="E1325">
        <v>7</v>
      </c>
      <c r="F1325" t="s">
        <v>58</v>
      </c>
      <c r="G1325">
        <v>4</v>
      </c>
      <c r="H1325">
        <v>2</v>
      </c>
      <c r="I1325" t="s">
        <v>64</v>
      </c>
      <c r="J1325">
        <v>1</v>
      </c>
      <c r="K1325" t="s">
        <v>50</v>
      </c>
      <c r="L1325">
        <v>4639</v>
      </c>
      <c r="M1325">
        <v>2</v>
      </c>
      <c r="N1325" t="s">
        <v>41</v>
      </c>
      <c r="O1325">
        <v>16</v>
      </c>
      <c r="P1325">
        <v>3</v>
      </c>
      <c r="Q1325">
        <v>1</v>
      </c>
      <c r="R1325">
        <v>17</v>
      </c>
      <c r="S1325">
        <v>2</v>
      </c>
      <c r="T1325">
        <v>15</v>
      </c>
      <c r="U1325">
        <v>6</v>
      </c>
      <c r="V1325">
        <v>13</v>
      </c>
      <c r="W1325" t="s">
        <v>56</v>
      </c>
      <c r="X1325" s="1" t="d">
        <v>2006-06-14</v>
      </c>
      <c r="Z1325" t="s">
        <v>63</v>
      </c>
      <c r="AA1325" t="s">
        <v>40</v>
      </c>
      <c r="AB1325">
        <v>4</v>
      </c>
      <c r="AC1325">
        <v>2</v>
      </c>
      <c r="AD1325" t="s">
        <v>32</v>
      </c>
      <c r="AE1325" t="s">
        <v>42</v>
      </c>
      <c r="AF1325" t="s">
        <v>57</v>
      </c>
    </row>
    <row r="1326" spans="1:32" x14ac:dyDescent="0.25">
      <c r="A1326">
        <v>34</v>
      </c>
      <c r="B1326" t="s">
        <v>32</v>
      </c>
      <c r="C1326" t="s">
        <v>33</v>
      </c>
      <c r="D1326" t="s">
        <v>53</v>
      </c>
      <c r="E1326">
        <v>24</v>
      </c>
      <c r="F1326" t="s">
        <v>58</v>
      </c>
      <c r="G1326">
        <v>2</v>
      </c>
      <c r="H1326">
        <v>2</v>
      </c>
      <c r="I1326" t="s">
        <v>64</v>
      </c>
      <c r="J1326">
        <v>2</v>
      </c>
      <c r="K1326" t="s">
        <v>37</v>
      </c>
      <c r="L1326">
        <v>4599</v>
      </c>
      <c r="M1326">
        <v>0</v>
      </c>
      <c r="N1326" t="s">
        <v>32</v>
      </c>
      <c r="O1326">
        <v>23</v>
      </c>
      <c r="P1326">
        <v>4</v>
      </c>
      <c r="Q1326">
        <v>0</v>
      </c>
      <c r="R1326">
        <v>16</v>
      </c>
      <c r="S1326">
        <v>2</v>
      </c>
      <c r="T1326">
        <v>15</v>
      </c>
      <c r="U1326">
        <v>10</v>
      </c>
      <c r="V1326">
        <v>10</v>
      </c>
      <c r="W1326" t="s">
        <v>51</v>
      </c>
      <c r="X1326" s="1" t="d">
        <v>2006-03-24</v>
      </c>
      <c r="Z1326" t="s">
        <v>59</v>
      </c>
      <c r="AA1326" t="s">
        <v>46</v>
      </c>
      <c r="AB1326">
        <v>0</v>
      </c>
      <c r="AC1326">
        <v>0</v>
      </c>
      <c r="AD1326" t="s">
        <v>41</v>
      </c>
      <c r="AE1326" t="s">
        <v>47</v>
      </c>
      <c r="AF1326" t="s">
        <v>57</v>
      </c>
    </row>
    <row r="1327" spans="1:32" x14ac:dyDescent="0.25">
      <c r="A1327">
        <v>33</v>
      </c>
      <c r="B1327" t="s">
        <v>41</v>
      </c>
      <c r="C1327" t="s">
        <v>33</v>
      </c>
      <c r="D1327" t="s">
        <v>34</v>
      </c>
      <c r="E1327">
        <v>28</v>
      </c>
      <c r="F1327" t="s">
        <v>35</v>
      </c>
      <c r="G1327">
        <v>3</v>
      </c>
      <c r="H1327">
        <v>2</v>
      </c>
      <c r="I1327" t="s">
        <v>36</v>
      </c>
      <c r="J1327">
        <v>3</v>
      </c>
      <c r="K1327" t="s">
        <v>50</v>
      </c>
      <c r="L1327">
        <v>5207</v>
      </c>
      <c r="M1327">
        <v>1</v>
      </c>
      <c r="N1327" t="s">
        <v>32</v>
      </c>
      <c r="O1327">
        <v>12</v>
      </c>
      <c r="P1327">
        <v>3</v>
      </c>
      <c r="Q1327">
        <v>1</v>
      </c>
      <c r="R1327">
        <v>15</v>
      </c>
      <c r="S1327">
        <v>3</v>
      </c>
      <c r="T1327">
        <v>15</v>
      </c>
      <c r="U1327">
        <v>5</v>
      </c>
      <c r="V1327">
        <v>7</v>
      </c>
      <c r="W1327" t="s">
        <v>51</v>
      </c>
      <c r="X1327" s="1" t="d">
        <v>2006-05-30</v>
      </c>
      <c r="Z1327" t="s">
        <v>59</v>
      </c>
      <c r="AA1327" t="s">
        <v>46</v>
      </c>
      <c r="AB1327">
        <v>0</v>
      </c>
      <c r="AC1327">
        <v>2</v>
      </c>
      <c r="AD1327" t="s">
        <v>41</v>
      </c>
      <c r="AE1327" t="s">
        <v>60</v>
      </c>
      <c r="AF1327" t="s">
        <v>48</v>
      </c>
    </row>
    <row r="1328" spans="1:32" x14ac:dyDescent="0.25">
      <c r="A1328">
        <v>49</v>
      </c>
      <c r="B1328" t="s">
        <v>41</v>
      </c>
      <c r="C1328" t="s">
        <v>33</v>
      </c>
      <c r="D1328" t="s">
        <v>34</v>
      </c>
      <c r="E1328">
        <v>6</v>
      </c>
      <c r="F1328" t="s">
        <v>58</v>
      </c>
      <c r="G1328">
        <v>2</v>
      </c>
      <c r="H1328">
        <v>4</v>
      </c>
      <c r="I1328" t="s">
        <v>69</v>
      </c>
      <c r="J1328">
        <v>3</v>
      </c>
      <c r="K1328" t="s">
        <v>50</v>
      </c>
      <c r="L1328">
        <v>13966</v>
      </c>
      <c r="M1328">
        <v>2</v>
      </c>
      <c r="N1328" t="s">
        <v>32</v>
      </c>
      <c r="O1328">
        <v>19</v>
      </c>
      <c r="P1328">
        <v>3</v>
      </c>
      <c r="Q1328">
        <v>1</v>
      </c>
      <c r="R1328">
        <v>30</v>
      </c>
      <c r="S1328">
        <v>3</v>
      </c>
      <c r="T1328">
        <v>15</v>
      </c>
      <c r="U1328">
        <v>2</v>
      </c>
      <c r="V1328">
        <v>12</v>
      </c>
      <c r="W1328" t="s">
        <v>56</v>
      </c>
      <c r="X1328" s="1" t="d">
        <v>2006-04-03</v>
      </c>
      <c r="Z1328" t="s">
        <v>45</v>
      </c>
      <c r="AA1328" t="s">
        <v>46</v>
      </c>
      <c r="AB1328">
        <v>5</v>
      </c>
      <c r="AC1328">
        <v>3</v>
      </c>
      <c r="AD1328" t="s">
        <v>32</v>
      </c>
      <c r="AE1328" t="s">
        <v>42</v>
      </c>
      <c r="AF1328" t="s">
        <v>43</v>
      </c>
    </row>
    <row r="1329" spans="1:32" x14ac:dyDescent="0.25">
      <c r="A1329">
        <v>34</v>
      </c>
      <c r="B1329" t="s">
        <v>41</v>
      </c>
      <c r="C1329" t="s">
        <v>33</v>
      </c>
      <c r="D1329" t="s">
        <v>34</v>
      </c>
      <c r="E1329">
        <v>5</v>
      </c>
      <c r="F1329" t="s">
        <v>35</v>
      </c>
      <c r="G1329">
        <v>2</v>
      </c>
      <c r="H1329">
        <v>2</v>
      </c>
      <c r="I1329" t="s">
        <v>36</v>
      </c>
      <c r="J1329">
        <v>4</v>
      </c>
      <c r="K1329" t="s">
        <v>50</v>
      </c>
      <c r="L1329">
        <v>3986</v>
      </c>
      <c r="M1329">
        <v>1</v>
      </c>
      <c r="N1329" t="s">
        <v>41</v>
      </c>
      <c r="O1329">
        <v>14</v>
      </c>
      <c r="P1329">
        <v>3</v>
      </c>
      <c r="Q1329">
        <v>1</v>
      </c>
      <c r="R1329">
        <v>15</v>
      </c>
      <c r="S1329">
        <v>3</v>
      </c>
      <c r="T1329">
        <v>15</v>
      </c>
      <c r="U1329">
        <v>4</v>
      </c>
      <c r="V1329">
        <v>13</v>
      </c>
      <c r="W1329" t="s">
        <v>65</v>
      </c>
      <c r="X1329" s="1" t="d">
        <v>2006-03-05</v>
      </c>
      <c r="Z1329" t="s">
        <v>45</v>
      </c>
      <c r="AA1329" t="s">
        <v>40</v>
      </c>
      <c r="AB1329">
        <v>3</v>
      </c>
      <c r="AC1329">
        <v>1</v>
      </c>
      <c r="AD1329" t="s">
        <v>41</v>
      </c>
      <c r="AE1329" t="s">
        <v>42</v>
      </c>
      <c r="AF1329" t="s">
        <v>57</v>
      </c>
    </row>
    <row r="1330" spans="1:32" x14ac:dyDescent="0.25">
      <c r="A1330">
        <v>34</v>
      </c>
      <c r="B1330" t="s">
        <v>41</v>
      </c>
      <c r="C1330" t="s">
        <v>68</v>
      </c>
      <c r="D1330" t="s">
        <v>53</v>
      </c>
      <c r="E1330">
        <v>10</v>
      </c>
      <c r="F1330" t="s">
        <v>35</v>
      </c>
      <c r="G1330">
        <v>3</v>
      </c>
      <c r="H1330">
        <v>2</v>
      </c>
      <c r="I1330" t="s">
        <v>64</v>
      </c>
      <c r="J1330">
        <v>3</v>
      </c>
      <c r="K1330" t="s">
        <v>55</v>
      </c>
      <c r="L1330">
        <v>4001</v>
      </c>
      <c r="M1330">
        <v>1</v>
      </c>
      <c r="N1330" t="s">
        <v>32</v>
      </c>
      <c r="O1330">
        <v>14</v>
      </c>
      <c r="P1330">
        <v>3</v>
      </c>
      <c r="Q1330">
        <v>1</v>
      </c>
      <c r="R1330">
        <v>15</v>
      </c>
      <c r="S1330">
        <v>3</v>
      </c>
      <c r="T1330">
        <v>15</v>
      </c>
      <c r="U1330">
        <v>0</v>
      </c>
      <c r="V1330">
        <v>7</v>
      </c>
      <c r="W1330" t="s">
        <v>56</v>
      </c>
      <c r="X1330" s="1" t="d">
        <v>2006-06-11</v>
      </c>
      <c r="Z1330" t="s">
        <v>63</v>
      </c>
      <c r="AA1330" t="s">
        <v>46</v>
      </c>
      <c r="AB1330">
        <v>0</v>
      </c>
      <c r="AC1330">
        <v>2</v>
      </c>
      <c r="AD1330" t="s">
        <v>41</v>
      </c>
      <c r="AE1330" t="s">
        <v>60</v>
      </c>
      <c r="AF1330" t="s">
        <v>48</v>
      </c>
    </row>
    <row r="1331" spans="1:32" x14ac:dyDescent="0.25">
      <c r="A1331">
        <v>34</v>
      </c>
      <c r="B1331" t="s">
        <v>41</v>
      </c>
      <c r="C1331" t="s">
        <v>61</v>
      </c>
      <c r="D1331" t="s">
        <v>34</v>
      </c>
      <c r="E1331">
        <v>22</v>
      </c>
      <c r="F1331" t="s">
        <v>35</v>
      </c>
      <c r="G1331">
        <v>2</v>
      </c>
      <c r="H1331">
        <v>2</v>
      </c>
      <c r="I1331" t="s">
        <v>44</v>
      </c>
      <c r="J1331">
        <v>4</v>
      </c>
      <c r="K1331" t="s">
        <v>50</v>
      </c>
      <c r="L1331">
        <v>5747</v>
      </c>
      <c r="M1331">
        <v>1</v>
      </c>
      <c r="N1331" t="s">
        <v>32</v>
      </c>
      <c r="O1331">
        <v>15</v>
      </c>
      <c r="P1331">
        <v>3</v>
      </c>
      <c r="Q1331">
        <v>0</v>
      </c>
      <c r="R1331">
        <v>16</v>
      </c>
      <c r="S1331">
        <v>3</v>
      </c>
      <c r="T1331">
        <v>15</v>
      </c>
      <c r="U1331">
        <v>6</v>
      </c>
      <c r="V1331">
        <v>11</v>
      </c>
      <c r="W1331" t="s">
        <v>38</v>
      </c>
      <c r="X1331" s="1" t="d">
        <v>2006-02-25</v>
      </c>
      <c r="Z1331" t="s">
        <v>39</v>
      </c>
      <c r="AA1331" t="s">
        <v>40</v>
      </c>
      <c r="AB1331">
        <v>3</v>
      </c>
      <c r="AC1331">
        <v>3</v>
      </c>
      <c r="AD1331" t="s">
        <v>41</v>
      </c>
      <c r="AE1331" t="s">
        <v>42</v>
      </c>
      <c r="AF1331" t="s">
        <v>48</v>
      </c>
    </row>
    <row r="1332" spans="1:32" x14ac:dyDescent="0.25">
      <c r="A1332">
        <v>38</v>
      </c>
      <c r="B1332" t="s">
        <v>41</v>
      </c>
      <c r="C1332" t="s">
        <v>33</v>
      </c>
      <c r="D1332" t="s">
        <v>53</v>
      </c>
      <c r="E1332">
        <v>1</v>
      </c>
      <c r="F1332" t="s">
        <v>35</v>
      </c>
      <c r="G1332">
        <v>3</v>
      </c>
      <c r="H1332">
        <v>2</v>
      </c>
      <c r="I1332" t="s">
        <v>64</v>
      </c>
      <c r="J1332">
        <v>2</v>
      </c>
      <c r="K1332" t="s">
        <v>50</v>
      </c>
      <c r="L1332">
        <v>4440</v>
      </c>
      <c r="M1332">
        <v>0</v>
      </c>
      <c r="N1332" t="s">
        <v>41</v>
      </c>
      <c r="O1332">
        <v>15</v>
      </c>
      <c r="P1332">
        <v>3</v>
      </c>
      <c r="Q1332">
        <v>2</v>
      </c>
      <c r="R1332">
        <v>16</v>
      </c>
      <c r="S1332">
        <v>3</v>
      </c>
      <c r="T1332">
        <v>15</v>
      </c>
      <c r="U1332">
        <v>5</v>
      </c>
      <c r="V1332">
        <v>8</v>
      </c>
      <c r="W1332" t="s">
        <v>56</v>
      </c>
      <c r="X1332" s="1" t="d">
        <v>2006-05-12</v>
      </c>
      <c r="Z1332" t="s">
        <v>52</v>
      </c>
      <c r="AA1332" t="s">
        <v>40</v>
      </c>
      <c r="AB1332">
        <v>1</v>
      </c>
      <c r="AC1332">
        <v>0</v>
      </c>
      <c r="AD1332" t="s">
        <v>32</v>
      </c>
      <c r="AE1332" t="s">
        <v>62</v>
      </c>
      <c r="AF1332" t="s">
        <v>43</v>
      </c>
    </row>
    <row r="1333" spans="1:32" x14ac:dyDescent="0.25">
      <c r="A1333">
        <v>36</v>
      </c>
      <c r="B1333" t="s">
        <v>41</v>
      </c>
      <c r="C1333" t="s">
        <v>68</v>
      </c>
      <c r="D1333" t="s">
        <v>53</v>
      </c>
      <c r="E1333">
        <v>15</v>
      </c>
      <c r="F1333" t="s">
        <v>35</v>
      </c>
      <c r="G1333">
        <v>1</v>
      </c>
      <c r="H1333">
        <v>2</v>
      </c>
      <c r="I1333" t="s">
        <v>64</v>
      </c>
      <c r="J1333">
        <v>4</v>
      </c>
      <c r="K1333" t="s">
        <v>55</v>
      </c>
      <c r="L1333">
        <v>5406</v>
      </c>
      <c r="M1333">
        <v>1</v>
      </c>
      <c r="N1333" t="s">
        <v>41</v>
      </c>
      <c r="O1333">
        <v>24</v>
      </c>
      <c r="P1333">
        <v>4</v>
      </c>
      <c r="Q1333">
        <v>1</v>
      </c>
      <c r="R1333">
        <v>15</v>
      </c>
      <c r="S1333">
        <v>4</v>
      </c>
      <c r="T1333">
        <v>15</v>
      </c>
      <c r="U1333">
        <v>11</v>
      </c>
      <c r="V1333">
        <v>11</v>
      </c>
      <c r="W1333" t="s">
        <v>38</v>
      </c>
      <c r="X1333" s="1" t="d">
        <v>2006-04-24</v>
      </c>
      <c r="Z1333" t="s">
        <v>52</v>
      </c>
      <c r="AA1333" t="s">
        <v>46</v>
      </c>
      <c r="AB1333">
        <v>0</v>
      </c>
      <c r="AC1333">
        <v>2</v>
      </c>
      <c r="AD1333" t="s">
        <v>32</v>
      </c>
      <c r="AE1333" t="s">
        <v>62</v>
      </c>
      <c r="AF1333" t="s">
        <v>48</v>
      </c>
    </row>
    <row r="1334" spans="1:32" x14ac:dyDescent="0.25">
      <c r="A1334">
        <v>34</v>
      </c>
      <c r="B1334" t="s">
        <v>41</v>
      </c>
      <c r="C1334" t="s">
        <v>33</v>
      </c>
      <c r="D1334" t="s">
        <v>34</v>
      </c>
      <c r="E1334">
        <v>6</v>
      </c>
      <c r="F1334" t="s">
        <v>58</v>
      </c>
      <c r="G1334">
        <v>3</v>
      </c>
      <c r="H1334">
        <v>2</v>
      </c>
      <c r="I1334" t="s">
        <v>44</v>
      </c>
      <c r="J1334">
        <v>3</v>
      </c>
      <c r="K1334" t="s">
        <v>37</v>
      </c>
      <c r="L1334">
        <v>4809</v>
      </c>
      <c r="M1334">
        <v>1</v>
      </c>
      <c r="N1334" t="s">
        <v>41</v>
      </c>
      <c r="O1334">
        <v>14</v>
      </c>
      <c r="P1334">
        <v>3</v>
      </c>
      <c r="Q1334">
        <v>0</v>
      </c>
      <c r="R1334">
        <v>16</v>
      </c>
      <c r="S1334">
        <v>3</v>
      </c>
      <c r="T1334">
        <v>16</v>
      </c>
      <c r="U1334">
        <v>2</v>
      </c>
      <c r="V1334">
        <v>10</v>
      </c>
      <c r="W1334" t="s">
        <v>65</v>
      </c>
      <c r="X1334" s="1" t="d">
        <v>2005-03-26</v>
      </c>
      <c r="Z1334" t="s">
        <v>45</v>
      </c>
      <c r="AA1334" t="s">
        <v>40</v>
      </c>
      <c r="AB1334">
        <v>5</v>
      </c>
      <c r="AC1334">
        <v>3</v>
      </c>
      <c r="AD1334" t="s">
        <v>41</v>
      </c>
      <c r="AE1334" t="s">
        <v>42</v>
      </c>
      <c r="AF1334" t="s">
        <v>57</v>
      </c>
    </row>
    <row r="1335" spans="1:32" x14ac:dyDescent="0.25">
      <c r="A1335">
        <v>38</v>
      </c>
      <c r="B1335" t="s">
        <v>41</v>
      </c>
      <c r="C1335" t="s">
        <v>33</v>
      </c>
      <c r="D1335" t="s">
        <v>53</v>
      </c>
      <c r="E1335">
        <v>3</v>
      </c>
      <c r="F1335" t="s">
        <v>35</v>
      </c>
      <c r="G1335">
        <v>3</v>
      </c>
      <c r="H1335">
        <v>3</v>
      </c>
      <c r="I1335" t="s">
        <v>64</v>
      </c>
      <c r="J1335">
        <v>3</v>
      </c>
      <c r="K1335" t="s">
        <v>55</v>
      </c>
      <c r="L1335">
        <v>10609</v>
      </c>
      <c r="M1335">
        <v>0</v>
      </c>
      <c r="N1335" t="s">
        <v>41</v>
      </c>
      <c r="O1335">
        <v>12</v>
      </c>
      <c r="P1335">
        <v>3</v>
      </c>
      <c r="Q1335">
        <v>2</v>
      </c>
      <c r="R1335">
        <v>17</v>
      </c>
      <c r="S1335">
        <v>6</v>
      </c>
      <c r="T1335">
        <v>16</v>
      </c>
      <c r="U1335">
        <v>5</v>
      </c>
      <c r="V1335">
        <v>13</v>
      </c>
      <c r="W1335" t="s">
        <v>51</v>
      </c>
      <c r="X1335" s="1" t="d">
        <v>2005-04-17</v>
      </c>
      <c r="Z1335" t="s">
        <v>39</v>
      </c>
      <c r="AA1335" t="s">
        <v>40</v>
      </c>
      <c r="AB1335">
        <v>0</v>
      </c>
      <c r="AC1335">
        <v>0</v>
      </c>
      <c r="AD1335" t="s">
        <v>32</v>
      </c>
      <c r="AE1335" t="s">
        <v>47</v>
      </c>
      <c r="AF1335" t="s">
        <v>43</v>
      </c>
    </row>
    <row r="1336" spans="1:32" x14ac:dyDescent="0.25">
      <c r="A1336">
        <v>35</v>
      </c>
      <c r="B1336" t="s">
        <v>41</v>
      </c>
      <c r="C1336" t="s">
        <v>33</v>
      </c>
      <c r="D1336" t="s">
        <v>34</v>
      </c>
      <c r="E1336">
        <v>5</v>
      </c>
      <c r="F1336" t="s">
        <v>35</v>
      </c>
      <c r="G1336">
        <v>3</v>
      </c>
      <c r="H1336">
        <v>3</v>
      </c>
      <c r="I1336" t="s">
        <v>67</v>
      </c>
      <c r="J1336">
        <v>2</v>
      </c>
      <c r="K1336" t="s">
        <v>37</v>
      </c>
      <c r="L1336">
        <v>8095</v>
      </c>
      <c r="M1336">
        <v>0</v>
      </c>
      <c r="N1336" t="s">
        <v>41</v>
      </c>
      <c r="O1336">
        <v>13</v>
      </c>
      <c r="P1336">
        <v>3</v>
      </c>
      <c r="Q1336">
        <v>0</v>
      </c>
      <c r="R1336">
        <v>17</v>
      </c>
      <c r="S1336">
        <v>5</v>
      </c>
      <c r="T1336">
        <v>16</v>
      </c>
      <c r="U1336">
        <v>0</v>
      </c>
      <c r="V1336">
        <v>13</v>
      </c>
      <c r="W1336" t="s">
        <v>56</v>
      </c>
      <c r="X1336" s="1" t="d">
        <v>2005-02-28</v>
      </c>
      <c r="Z1336" t="s">
        <v>52</v>
      </c>
      <c r="AA1336" t="s">
        <v>46</v>
      </c>
      <c r="AB1336">
        <v>5</v>
      </c>
      <c r="AC1336">
        <v>1</v>
      </c>
      <c r="AD1336" t="s">
        <v>41</v>
      </c>
      <c r="AE1336" t="s">
        <v>42</v>
      </c>
      <c r="AF1336" t="s">
        <v>43</v>
      </c>
    </row>
    <row r="1337" spans="1:32" x14ac:dyDescent="0.25">
      <c r="A1337">
        <v>36</v>
      </c>
      <c r="B1337" t="s">
        <v>41</v>
      </c>
      <c r="C1337" t="s">
        <v>33</v>
      </c>
      <c r="D1337" t="s">
        <v>34</v>
      </c>
      <c r="E1337">
        <v>14</v>
      </c>
      <c r="F1337" t="s">
        <v>35</v>
      </c>
      <c r="G1337">
        <v>3</v>
      </c>
      <c r="H1337">
        <v>2</v>
      </c>
      <c r="I1337" t="s">
        <v>69</v>
      </c>
      <c r="J1337">
        <v>4</v>
      </c>
      <c r="K1337" t="s">
        <v>50</v>
      </c>
      <c r="L1337">
        <v>6586</v>
      </c>
      <c r="M1337">
        <v>0</v>
      </c>
      <c r="N1337" t="s">
        <v>32</v>
      </c>
      <c r="O1337">
        <v>17</v>
      </c>
      <c r="P1337">
        <v>3</v>
      </c>
      <c r="Q1337">
        <v>1</v>
      </c>
      <c r="R1337">
        <v>17</v>
      </c>
      <c r="S1337">
        <v>2</v>
      </c>
      <c r="T1337">
        <v>16</v>
      </c>
      <c r="U1337">
        <v>4</v>
      </c>
      <c r="V1337">
        <v>11</v>
      </c>
      <c r="W1337" t="s">
        <v>51</v>
      </c>
      <c r="X1337" s="1" t="d">
        <v>2005-05-11</v>
      </c>
      <c r="Z1337" t="s">
        <v>59</v>
      </c>
      <c r="AA1337" t="s">
        <v>40</v>
      </c>
      <c r="AB1337">
        <v>5</v>
      </c>
      <c r="AC1337">
        <v>2</v>
      </c>
      <c r="AD1337" t="s">
        <v>32</v>
      </c>
      <c r="AE1337" t="s">
        <v>42</v>
      </c>
      <c r="AF1337" t="s">
        <v>43</v>
      </c>
    </row>
    <row r="1338" spans="1:32" x14ac:dyDescent="0.25">
      <c r="A1338">
        <v>36</v>
      </c>
      <c r="B1338" t="s">
        <v>32</v>
      </c>
      <c r="C1338" t="s">
        <v>33</v>
      </c>
      <c r="D1338" t="s">
        <v>53</v>
      </c>
      <c r="E1338">
        <v>3</v>
      </c>
      <c r="F1338" t="s">
        <v>35</v>
      </c>
      <c r="G1338">
        <v>2</v>
      </c>
      <c r="H1338">
        <v>3</v>
      </c>
      <c r="I1338" t="s">
        <v>64</v>
      </c>
      <c r="J1338">
        <v>4</v>
      </c>
      <c r="K1338" t="s">
        <v>50</v>
      </c>
      <c r="L1338">
        <v>10325</v>
      </c>
      <c r="M1338">
        <v>1</v>
      </c>
      <c r="N1338" t="s">
        <v>32</v>
      </c>
      <c r="O1338">
        <v>11</v>
      </c>
      <c r="P1338">
        <v>3</v>
      </c>
      <c r="Q1338">
        <v>1</v>
      </c>
      <c r="R1338">
        <v>16</v>
      </c>
      <c r="S1338">
        <v>6</v>
      </c>
      <c r="T1338">
        <v>16</v>
      </c>
      <c r="U1338">
        <v>3</v>
      </c>
      <c r="V1338">
        <v>7</v>
      </c>
      <c r="W1338" t="s">
        <v>51</v>
      </c>
      <c r="X1338" s="1" t="d">
        <v>2005-03-23</v>
      </c>
      <c r="Z1338" t="s">
        <v>59</v>
      </c>
      <c r="AA1338" t="s">
        <v>46</v>
      </c>
      <c r="AB1338">
        <v>0</v>
      </c>
      <c r="AC1338">
        <v>0</v>
      </c>
      <c r="AD1338" t="s">
        <v>41</v>
      </c>
      <c r="AE1338" t="s">
        <v>60</v>
      </c>
      <c r="AF1338" t="s">
        <v>43</v>
      </c>
    </row>
    <row r="1339" spans="1:32" x14ac:dyDescent="0.25">
      <c r="A1339">
        <v>35</v>
      </c>
      <c r="B1339" t="s">
        <v>41</v>
      </c>
      <c r="C1339" t="s">
        <v>33</v>
      </c>
      <c r="D1339" t="s">
        <v>34</v>
      </c>
      <c r="E1339">
        <v>25</v>
      </c>
      <c r="F1339" t="s">
        <v>58</v>
      </c>
      <c r="G1339">
        <v>3</v>
      </c>
      <c r="H1339">
        <v>3</v>
      </c>
      <c r="I1339" t="s">
        <v>69</v>
      </c>
      <c r="J1339">
        <v>3</v>
      </c>
      <c r="K1339" t="s">
        <v>55</v>
      </c>
      <c r="L1339">
        <v>10388</v>
      </c>
      <c r="M1339">
        <v>1</v>
      </c>
      <c r="N1339" t="s">
        <v>32</v>
      </c>
      <c r="O1339">
        <v>11</v>
      </c>
      <c r="P1339">
        <v>3</v>
      </c>
      <c r="Q1339">
        <v>1</v>
      </c>
      <c r="R1339">
        <v>16</v>
      </c>
      <c r="S1339">
        <v>3</v>
      </c>
      <c r="T1339">
        <v>16</v>
      </c>
      <c r="U1339">
        <v>10</v>
      </c>
      <c r="V1339">
        <v>1</v>
      </c>
      <c r="W1339" t="s">
        <v>51</v>
      </c>
      <c r="X1339" s="1" t="d">
        <v>2005-05-18</v>
      </c>
      <c r="Z1339" t="s">
        <v>39</v>
      </c>
      <c r="AA1339" t="s">
        <v>46</v>
      </c>
      <c r="AB1339">
        <v>0</v>
      </c>
      <c r="AC1339">
        <v>3</v>
      </c>
      <c r="AD1339" t="s">
        <v>32</v>
      </c>
      <c r="AE1339" t="s">
        <v>62</v>
      </c>
      <c r="AF1339" t="s">
        <v>48</v>
      </c>
    </row>
    <row r="1340" spans="1:32" x14ac:dyDescent="0.25">
      <c r="A1340">
        <v>46</v>
      </c>
      <c r="B1340" t="s">
        <v>41</v>
      </c>
      <c r="C1340" t="s">
        <v>33</v>
      </c>
      <c r="D1340" t="s">
        <v>34</v>
      </c>
      <c r="E1340">
        <v>8</v>
      </c>
      <c r="F1340" t="s">
        <v>58</v>
      </c>
      <c r="G1340">
        <v>2</v>
      </c>
      <c r="H1340">
        <v>2</v>
      </c>
      <c r="I1340" t="s">
        <v>44</v>
      </c>
      <c r="J1340">
        <v>1</v>
      </c>
      <c r="K1340" t="s">
        <v>55</v>
      </c>
      <c r="L1340">
        <v>4615</v>
      </c>
      <c r="M1340">
        <v>8</v>
      </c>
      <c r="N1340" t="s">
        <v>32</v>
      </c>
      <c r="O1340">
        <v>23</v>
      </c>
      <c r="P1340">
        <v>4</v>
      </c>
      <c r="Q1340">
        <v>3</v>
      </c>
      <c r="R1340">
        <v>19</v>
      </c>
      <c r="S1340">
        <v>2</v>
      </c>
      <c r="T1340">
        <v>16</v>
      </c>
      <c r="U1340">
        <v>1</v>
      </c>
      <c r="V1340">
        <v>7</v>
      </c>
      <c r="W1340" t="s">
        <v>65</v>
      </c>
      <c r="X1340" s="1" t="d">
        <v>2005-05-25</v>
      </c>
      <c r="Z1340" t="s">
        <v>63</v>
      </c>
      <c r="AA1340" t="s">
        <v>46</v>
      </c>
      <c r="AB1340">
        <v>5</v>
      </c>
      <c r="AC1340">
        <v>0</v>
      </c>
      <c r="AD1340" t="s">
        <v>32</v>
      </c>
      <c r="AE1340" t="s">
        <v>62</v>
      </c>
      <c r="AF1340" t="s">
        <v>43</v>
      </c>
    </row>
    <row r="1341" spans="1:32" x14ac:dyDescent="0.25">
      <c r="A1341">
        <v>36</v>
      </c>
      <c r="B1341" t="s">
        <v>41</v>
      </c>
      <c r="C1341" t="s">
        <v>33</v>
      </c>
      <c r="D1341" t="s">
        <v>34</v>
      </c>
      <c r="E1341">
        <v>2</v>
      </c>
      <c r="F1341" t="s">
        <v>58</v>
      </c>
      <c r="G1341">
        <v>3</v>
      </c>
      <c r="H1341">
        <v>2</v>
      </c>
      <c r="I1341" t="s">
        <v>67</v>
      </c>
      <c r="J1341">
        <v>2</v>
      </c>
      <c r="K1341" t="s">
        <v>37</v>
      </c>
      <c r="L1341">
        <v>5410</v>
      </c>
      <c r="M1341">
        <v>9</v>
      </c>
      <c r="N1341" t="s">
        <v>32</v>
      </c>
      <c r="O1341">
        <v>11</v>
      </c>
      <c r="P1341">
        <v>3</v>
      </c>
      <c r="Q1341">
        <v>0</v>
      </c>
      <c r="R1341">
        <v>18</v>
      </c>
      <c r="S1341">
        <v>2</v>
      </c>
      <c r="T1341">
        <v>16</v>
      </c>
      <c r="U1341">
        <v>5</v>
      </c>
      <c r="V1341">
        <v>12</v>
      </c>
      <c r="W1341" t="s">
        <v>65</v>
      </c>
      <c r="X1341" s="1" t="d">
        <v>2005-01-20</v>
      </c>
      <c r="Z1341" t="s">
        <v>39</v>
      </c>
      <c r="AA1341" t="s">
        <v>40</v>
      </c>
      <c r="AB1341">
        <v>4</v>
      </c>
      <c r="AC1341">
        <v>2</v>
      </c>
      <c r="AD1341" t="s">
        <v>32</v>
      </c>
      <c r="AE1341" t="s">
        <v>62</v>
      </c>
      <c r="AF1341" t="s">
        <v>57</v>
      </c>
    </row>
    <row r="1342" spans="1:32" x14ac:dyDescent="0.25">
      <c r="A1342">
        <v>35</v>
      </c>
      <c r="B1342" t="s">
        <v>41</v>
      </c>
      <c r="C1342" t="s">
        <v>33</v>
      </c>
      <c r="D1342" t="s">
        <v>34</v>
      </c>
      <c r="E1342">
        <v>18</v>
      </c>
      <c r="F1342" t="s">
        <v>35</v>
      </c>
      <c r="G1342">
        <v>4</v>
      </c>
      <c r="H1342">
        <v>2</v>
      </c>
      <c r="I1342" t="s">
        <v>44</v>
      </c>
      <c r="J1342">
        <v>1</v>
      </c>
      <c r="K1342" t="s">
        <v>50</v>
      </c>
      <c r="L1342">
        <v>5208</v>
      </c>
      <c r="M1342">
        <v>1</v>
      </c>
      <c r="N1342" t="s">
        <v>41</v>
      </c>
      <c r="O1342">
        <v>11</v>
      </c>
      <c r="P1342">
        <v>3</v>
      </c>
      <c r="Q1342">
        <v>0</v>
      </c>
      <c r="R1342">
        <v>16</v>
      </c>
      <c r="S1342">
        <v>2</v>
      </c>
      <c r="T1342">
        <v>16</v>
      </c>
      <c r="U1342">
        <v>1</v>
      </c>
      <c r="V1342">
        <v>10</v>
      </c>
      <c r="W1342" t="s">
        <v>51</v>
      </c>
      <c r="X1342" s="1" t="d">
        <v>2005-03-15</v>
      </c>
      <c r="Z1342" t="s">
        <v>63</v>
      </c>
      <c r="AA1342" t="s">
        <v>40</v>
      </c>
      <c r="AB1342">
        <v>5</v>
      </c>
      <c r="AC1342">
        <v>1</v>
      </c>
      <c r="AD1342" t="s">
        <v>41</v>
      </c>
      <c r="AE1342" t="s">
        <v>42</v>
      </c>
      <c r="AF1342" t="s">
        <v>48</v>
      </c>
    </row>
    <row r="1343" spans="1:32" x14ac:dyDescent="0.25">
      <c r="A1343">
        <v>58</v>
      </c>
      <c r="B1343" t="s">
        <v>41</v>
      </c>
      <c r="C1343" t="s">
        <v>68</v>
      </c>
      <c r="D1343" t="s">
        <v>53</v>
      </c>
      <c r="E1343">
        <v>2</v>
      </c>
      <c r="F1343" t="s">
        <v>35</v>
      </c>
      <c r="G1343">
        <v>3</v>
      </c>
      <c r="H1343">
        <v>4</v>
      </c>
      <c r="I1343" t="s">
        <v>66</v>
      </c>
      <c r="J1343">
        <v>2</v>
      </c>
      <c r="K1343" t="s">
        <v>55</v>
      </c>
      <c r="L1343">
        <v>16291</v>
      </c>
      <c r="M1343">
        <v>4</v>
      </c>
      <c r="N1343" t="s">
        <v>41</v>
      </c>
      <c r="O1343">
        <v>22</v>
      </c>
      <c r="P1343">
        <v>4</v>
      </c>
      <c r="Q1343">
        <v>1</v>
      </c>
      <c r="R1343">
        <v>37</v>
      </c>
      <c r="S1343">
        <v>0</v>
      </c>
      <c r="T1343">
        <v>16</v>
      </c>
      <c r="U1343">
        <v>14</v>
      </c>
      <c r="V1343">
        <v>14</v>
      </c>
      <c r="W1343" t="s">
        <v>65</v>
      </c>
      <c r="X1343" s="1" t="d">
        <v>2005-06-09</v>
      </c>
      <c r="Z1343" t="s">
        <v>45</v>
      </c>
      <c r="AA1343" t="s">
        <v>46</v>
      </c>
      <c r="AB1343">
        <v>4</v>
      </c>
      <c r="AC1343">
        <v>0</v>
      </c>
      <c r="AD1343" t="s">
        <v>41</v>
      </c>
      <c r="AE1343" t="s">
        <v>62</v>
      </c>
      <c r="AF1343" t="s">
        <v>43</v>
      </c>
    </row>
    <row r="1344" spans="1:32" x14ac:dyDescent="0.25">
      <c r="A1344">
        <v>43</v>
      </c>
      <c r="B1344" t="s">
        <v>41</v>
      </c>
      <c r="C1344" t="s">
        <v>33</v>
      </c>
      <c r="D1344" t="s">
        <v>34</v>
      </c>
      <c r="E1344">
        <v>6</v>
      </c>
      <c r="F1344" t="s">
        <v>58</v>
      </c>
      <c r="G1344">
        <v>2</v>
      </c>
      <c r="H1344">
        <v>5</v>
      </c>
      <c r="I1344" t="s">
        <v>66</v>
      </c>
      <c r="J1344">
        <v>3</v>
      </c>
      <c r="K1344" t="s">
        <v>50</v>
      </c>
      <c r="L1344">
        <v>19392</v>
      </c>
      <c r="M1344">
        <v>7</v>
      </c>
      <c r="N1344" t="s">
        <v>41</v>
      </c>
      <c r="O1344">
        <v>13</v>
      </c>
      <c r="P1344">
        <v>3</v>
      </c>
      <c r="Q1344">
        <v>0</v>
      </c>
      <c r="R1344">
        <v>21</v>
      </c>
      <c r="S1344">
        <v>2</v>
      </c>
      <c r="T1344">
        <v>16</v>
      </c>
      <c r="U1344">
        <v>6</v>
      </c>
      <c r="V1344">
        <v>14</v>
      </c>
      <c r="W1344" t="s">
        <v>38</v>
      </c>
      <c r="X1344" s="1" t="d">
        <v>2005-06-23</v>
      </c>
      <c r="Z1344" t="s">
        <v>52</v>
      </c>
      <c r="AA1344" t="s">
        <v>46</v>
      </c>
      <c r="AB1344">
        <v>2</v>
      </c>
      <c r="AC1344">
        <v>1</v>
      </c>
      <c r="AD1344" t="s">
        <v>32</v>
      </c>
      <c r="AE1344" t="s">
        <v>62</v>
      </c>
      <c r="AF1344" t="s">
        <v>48</v>
      </c>
    </row>
    <row r="1345" spans="1:32" x14ac:dyDescent="0.25">
      <c r="A1345">
        <v>37</v>
      </c>
      <c r="B1345" t="s">
        <v>41</v>
      </c>
      <c r="C1345" t="s">
        <v>33</v>
      </c>
      <c r="D1345" t="s">
        <v>34</v>
      </c>
      <c r="E1345">
        <v>10</v>
      </c>
      <c r="F1345" t="s">
        <v>58</v>
      </c>
      <c r="G1345">
        <v>4</v>
      </c>
      <c r="H1345">
        <v>3</v>
      </c>
      <c r="I1345" t="s">
        <v>49</v>
      </c>
      <c r="J1345">
        <v>4</v>
      </c>
      <c r="K1345" t="s">
        <v>50</v>
      </c>
      <c r="L1345">
        <v>13744</v>
      </c>
      <c r="M1345">
        <v>1</v>
      </c>
      <c r="N1345" t="s">
        <v>32</v>
      </c>
      <c r="O1345">
        <v>25</v>
      </c>
      <c r="P1345">
        <v>4</v>
      </c>
      <c r="Q1345">
        <v>1</v>
      </c>
      <c r="R1345">
        <v>16</v>
      </c>
      <c r="S1345">
        <v>2</v>
      </c>
      <c r="T1345">
        <v>16</v>
      </c>
      <c r="U1345">
        <v>6</v>
      </c>
      <c r="V1345">
        <v>8</v>
      </c>
      <c r="W1345" t="s">
        <v>51</v>
      </c>
      <c r="X1345" s="1" t="d">
        <v>2005-06-14</v>
      </c>
      <c r="Z1345" t="s">
        <v>52</v>
      </c>
      <c r="AA1345" t="s">
        <v>46</v>
      </c>
      <c r="AB1345">
        <v>5</v>
      </c>
      <c r="AC1345">
        <v>2</v>
      </c>
      <c r="AD1345" t="s">
        <v>41</v>
      </c>
      <c r="AE1345" t="s">
        <v>62</v>
      </c>
      <c r="AF1345" t="s">
        <v>57</v>
      </c>
    </row>
    <row r="1346" spans="1:32" x14ac:dyDescent="0.25">
      <c r="A1346">
        <v>36</v>
      </c>
      <c r="B1346" t="s">
        <v>41</v>
      </c>
      <c r="C1346" t="s">
        <v>33</v>
      </c>
      <c r="D1346" t="s">
        <v>34</v>
      </c>
      <c r="E1346">
        <v>8</v>
      </c>
      <c r="F1346" t="s">
        <v>58</v>
      </c>
      <c r="G1346">
        <v>3</v>
      </c>
      <c r="H1346">
        <v>3</v>
      </c>
      <c r="I1346" t="s">
        <v>69</v>
      </c>
      <c r="J1346">
        <v>3</v>
      </c>
      <c r="K1346" t="s">
        <v>55</v>
      </c>
      <c r="L1346">
        <v>10096</v>
      </c>
      <c r="M1346">
        <v>1</v>
      </c>
      <c r="N1346" t="s">
        <v>41</v>
      </c>
      <c r="O1346">
        <v>13</v>
      </c>
      <c r="P1346">
        <v>3</v>
      </c>
      <c r="Q1346">
        <v>3</v>
      </c>
      <c r="R1346">
        <v>17</v>
      </c>
      <c r="S1346">
        <v>2</v>
      </c>
      <c r="T1346">
        <v>17</v>
      </c>
      <c r="U1346">
        <v>12</v>
      </c>
      <c r="V1346">
        <v>8</v>
      </c>
      <c r="W1346" t="s">
        <v>56</v>
      </c>
      <c r="X1346" s="1" t="d">
        <v>2004-02-08</v>
      </c>
      <c r="Z1346" t="s">
        <v>39</v>
      </c>
      <c r="AA1346" t="s">
        <v>46</v>
      </c>
      <c r="AB1346">
        <v>4</v>
      </c>
      <c r="AC1346">
        <v>1</v>
      </c>
      <c r="AD1346" t="s">
        <v>32</v>
      </c>
      <c r="AE1346" t="s">
        <v>60</v>
      </c>
      <c r="AF1346" t="s">
        <v>43</v>
      </c>
    </row>
    <row r="1347" spans="1:32" x14ac:dyDescent="0.25">
      <c r="A1347">
        <v>45</v>
      </c>
      <c r="B1347" t="s">
        <v>41</v>
      </c>
      <c r="C1347" t="s">
        <v>33</v>
      </c>
      <c r="D1347" t="s">
        <v>34</v>
      </c>
      <c r="E1347">
        <v>9</v>
      </c>
      <c r="F1347" t="s">
        <v>35</v>
      </c>
      <c r="G1347">
        <v>3</v>
      </c>
      <c r="H1347">
        <v>2</v>
      </c>
      <c r="I1347" t="s">
        <v>36</v>
      </c>
      <c r="J1347">
        <v>2</v>
      </c>
      <c r="K1347" t="s">
        <v>55</v>
      </c>
      <c r="L1347">
        <v>2348</v>
      </c>
      <c r="M1347">
        <v>8</v>
      </c>
      <c r="N1347" t="s">
        <v>41</v>
      </c>
      <c r="O1347">
        <v>18</v>
      </c>
      <c r="P1347">
        <v>3</v>
      </c>
      <c r="Q1347">
        <v>1</v>
      </c>
      <c r="R1347">
        <v>20</v>
      </c>
      <c r="S1347">
        <v>2</v>
      </c>
      <c r="T1347">
        <v>17</v>
      </c>
      <c r="U1347">
        <v>0</v>
      </c>
      <c r="V1347">
        <v>15</v>
      </c>
      <c r="W1347" t="s">
        <v>51</v>
      </c>
      <c r="X1347" s="1" t="d">
        <v>2004-05-23</v>
      </c>
      <c r="Z1347" t="s">
        <v>59</v>
      </c>
      <c r="AA1347" t="s">
        <v>46</v>
      </c>
      <c r="AB1347">
        <v>4</v>
      </c>
      <c r="AC1347">
        <v>3</v>
      </c>
      <c r="AD1347" t="s">
        <v>41</v>
      </c>
      <c r="AE1347" t="s">
        <v>42</v>
      </c>
      <c r="AF1347" t="s">
        <v>48</v>
      </c>
    </row>
    <row r="1348" spans="1:32" x14ac:dyDescent="0.25">
      <c r="A1348">
        <v>43</v>
      </c>
      <c r="B1348" t="s">
        <v>41</v>
      </c>
      <c r="C1348" t="s">
        <v>33</v>
      </c>
      <c r="D1348" t="s">
        <v>53</v>
      </c>
      <c r="E1348">
        <v>16</v>
      </c>
      <c r="F1348" t="s">
        <v>58</v>
      </c>
      <c r="G1348">
        <v>3</v>
      </c>
      <c r="H1348">
        <v>4</v>
      </c>
      <c r="I1348" t="s">
        <v>66</v>
      </c>
      <c r="J1348">
        <v>4</v>
      </c>
      <c r="K1348" t="s">
        <v>50</v>
      </c>
      <c r="L1348">
        <v>16064</v>
      </c>
      <c r="M1348">
        <v>5</v>
      </c>
      <c r="N1348" t="s">
        <v>32</v>
      </c>
      <c r="O1348">
        <v>22</v>
      </c>
      <c r="P1348">
        <v>4</v>
      </c>
      <c r="Q1348">
        <v>1</v>
      </c>
      <c r="R1348">
        <v>22</v>
      </c>
      <c r="S1348">
        <v>3</v>
      </c>
      <c r="T1348">
        <v>17</v>
      </c>
      <c r="U1348">
        <v>1</v>
      </c>
      <c r="V1348">
        <v>9</v>
      </c>
      <c r="W1348" t="s">
        <v>51</v>
      </c>
      <c r="X1348" s="1" t="d">
        <v>2004-04-11</v>
      </c>
      <c r="Z1348" t="s">
        <v>52</v>
      </c>
      <c r="AA1348" t="s">
        <v>40</v>
      </c>
      <c r="AB1348">
        <v>1</v>
      </c>
      <c r="AC1348">
        <v>0</v>
      </c>
      <c r="AD1348" t="s">
        <v>41</v>
      </c>
      <c r="AE1348" t="s">
        <v>42</v>
      </c>
      <c r="AF1348" t="s">
        <v>43</v>
      </c>
    </row>
    <row r="1349" spans="1:32" x14ac:dyDescent="0.25">
      <c r="A1349">
        <v>37</v>
      </c>
      <c r="B1349" t="s">
        <v>41</v>
      </c>
      <c r="C1349" t="s">
        <v>33</v>
      </c>
      <c r="D1349" t="s">
        <v>34</v>
      </c>
      <c r="E1349">
        <v>1</v>
      </c>
      <c r="F1349" t="s">
        <v>58</v>
      </c>
      <c r="G1349">
        <v>3</v>
      </c>
      <c r="H1349">
        <v>1</v>
      </c>
      <c r="I1349" t="s">
        <v>44</v>
      </c>
      <c r="J1349">
        <v>4</v>
      </c>
      <c r="K1349" t="s">
        <v>37</v>
      </c>
      <c r="L1349">
        <v>2115</v>
      </c>
      <c r="M1349">
        <v>1</v>
      </c>
      <c r="N1349" t="s">
        <v>41</v>
      </c>
      <c r="O1349">
        <v>12</v>
      </c>
      <c r="P1349">
        <v>3</v>
      </c>
      <c r="Q1349">
        <v>0</v>
      </c>
      <c r="R1349">
        <v>17</v>
      </c>
      <c r="S1349">
        <v>3</v>
      </c>
      <c r="T1349">
        <v>17</v>
      </c>
      <c r="U1349">
        <v>5</v>
      </c>
      <c r="V1349">
        <v>7</v>
      </c>
      <c r="W1349" t="s">
        <v>51</v>
      </c>
      <c r="X1349" s="1" t="d">
        <v>2004-05-27</v>
      </c>
      <c r="Z1349" t="s">
        <v>39</v>
      </c>
      <c r="AA1349" t="s">
        <v>40</v>
      </c>
      <c r="AB1349">
        <v>3</v>
      </c>
      <c r="AC1349">
        <v>0</v>
      </c>
      <c r="AD1349" t="s">
        <v>41</v>
      </c>
      <c r="AE1349" t="s">
        <v>62</v>
      </c>
      <c r="AF1349" t="s">
        <v>57</v>
      </c>
    </row>
    <row r="1350" spans="1:32" x14ac:dyDescent="0.25">
      <c r="A1350">
        <v>35</v>
      </c>
      <c r="B1350" t="s">
        <v>41</v>
      </c>
      <c r="C1350" t="s">
        <v>33</v>
      </c>
      <c r="D1350" t="s">
        <v>34</v>
      </c>
      <c r="E1350">
        <v>6</v>
      </c>
      <c r="F1350" t="s">
        <v>35</v>
      </c>
      <c r="G1350">
        <v>1</v>
      </c>
      <c r="H1350">
        <v>2</v>
      </c>
      <c r="I1350" t="s">
        <v>44</v>
      </c>
      <c r="J1350">
        <v>4</v>
      </c>
      <c r="K1350" t="s">
        <v>37</v>
      </c>
      <c r="L1350">
        <v>6646</v>
      </c>
      <c r="M1350">
        <v>1</v>
      </c>
      <c r="N1350" t="s">
        <v>41</v>
      </c>
      <c r="O1350">
        <v>13</v>
      </c>
      <c r="P1350">
        <v>3</v>
      </c>
      <c r="Q1350">
        <v>0</v>
      </c>
      <c r="R1350">
        <v>17</v>
      </c>
      <c r="S1350">
        <v>3</v>
      </c>
      <c r="T1350">
        <v>17</v>
      </c>
      <c r="U1350">
        <v>11</v>
      </c>
      <c r="V1350">
        <v>8</v>
      </c>
      <c r="W1350" t="s">
        <v>51</v>
      </c>
      <c r="X1350" s="1" t="d">
        <v>2004-01-22</v>
      </c>
      <c r="Z1350" t="s">
        <v>63</v>
      </c>
      <c r="AA1350" t="s">
        <v>46</v>
      </c>
      <c r="AB1350">
        <v>0</v>
      </c>
      <c r="AC1350">
        <v>1</v>
      </c>
      <c r="AD1350" t="s">
        <v>32</v>
      </c>
      <c r="AE1350" t="s">
        <v>60</v>
      </c>
      <c r="AF1350" t="s">
        <v>43</v>
      </c>
    </row>
    <row r="1351" spans="1:32" x14ac:dyDescent="0.25">
      <c r="A1351">
        <v>35</v>
      </c>
      <c r="B1351" t="s">
        <v>41</v>
      </c>
      <c r="C1351" t="s">
        <v>33</v>
      </c>
      <c r="D1351" t="s">
        <v>34</v>
      </c>
      <c r="E1351">
        <v>9</v>
      </c>
      <c r="F1351" t="s">
        <v>58</v>
      </c>
      <c r="G1351">
        <v>2</v>
      </c>
      <c r="H1351">
        <v>3</v>
      </c>
      <c r="I1351" t="s">
        <v>67</v>
      </c>
      <c r="J1351">
        <v>3</v>
      </c>
      <c r="K1351" t="s">
        <v>50</v>
      </c>
      <c r="L1351">
        <v>10685</v>
      </c>
      <c r="M1351">
        <v>1</v>
      </c>
      <c r="N1351" t="s">
        <v>32</v>
      </c>
      <c r="O1351">
        <v>20</v>
      </c>
      <c r="P1351">
        <v>4</v>
      </c>
      <c r="Q1351">
        <v>1</v>
      </c>
      <c r="R1351">
        <v>17</v>
      </c>
      <c r="S1351">
        <v>2</v>
      </c>
      <c r="T1351">
        <v>17</v>
      </c>
      <c r="U1351">
        <v>5</v>
      </c>
      <c r="V1351">
        <v>15</v>
      </c>
      <c r="W1351" t="s">
        <v>56</v>
      </c>
      <c r="X1351" s="1" t="d">
        <v>2004-05-12</v>
      </c>
      <c r="Z1351" t="s">
        <v>63</v>
      </c>
      <c r="AA1351" t="s">
        <v>40</v>
      </c>
      <c r="AB1351">
        <v>5</v>
      </c>
      <c r="AC1351">
        <v>1</v>
      </c>
      <c r="AD1351" t="s">
        <v>41</v>
      </c>
      <c r="AE1351" t="s">
        <v>42</v>
      </c>
      <c r="AF1351" t="s">
        <v>48</v>
      </c>
    </row>
    <row r="1352" spans="1:32" x14ac:dyDescent="0.25">
      <c r="A1352">
        <v>53</v>
      </c>
      <c r="B1352" t="s">
        <v>41</v>
      </c>
      <c r="C1352" t="s">
        <v>33</v>
      </c>
      <c r="D1352" t="s">
        <v>53</v>
      </c>
      <c r="E1352">
        <v>2</v>
      </c>
      <c r="F1352" t="s">
        <v>35</v>
      </c>
      <c r="G1352">
        <v>3</v>
      </c>
      <c r="H1352">
        <v>4</v>
      </c>
      <c r="I1352" t="s">
        <v>66</v>
      </c>
      <c r="J1352">
        <v>3</v>
      </c>
      <c r="K1352" t="s">
        <v>55</v>
      </c>
      <c r="L1352">
        <v>14852</v>
      </c>
      <c r="M1352">
        <v>6</v>
      </c>
      <c r="N1352" t="s">
        <v>41</v>
      </c>
      <c r="O1352">
        <v>13</v>
      </c>
      <c r="P1352">
        <v>3</v>
      </c>
      <c r="Q1352">
        <v>1</v>
      </c>
      <c r="R1352">
        <v>22</v>
      </c>
      <c r="S1352">
        <v>3</v>
      </c>
      <c r="T1352">
        <v>17</v>
      </c>
      <c r="U1352">
        <v>15</v>
      </c>
      <c r="V1352">
        <v>2</v>
      </c>
      <c r="W1352" t="s">
        <v>65</v>
      </c>
      <c r="X1352" s="1" t="d">
        <v>2004-03-19</v>
      </c>
      <c r="Z1352" t="s">
        <v>63</v>
      </c>
      <c r="AA1352" t="s">
        <v>46</v>
      </c>
      <c r="AB1352">
        <v>3</v>
      </c>
      <c r="AC1352">
        <v>3</v>
      </c>
      <c r="AD1352" t="s">
        <v>41</v>
      </c>
      <c r="AE1352" t="s">
        <v>42</v>
      </c>
      <c r="AF1352" t="s">
        <v>43</v>
      </c>
    </row>
    <row r="1353" spans="1:32" x14ac:dyDescent="0.25">
      <c r="A1353">
        <v>36</v>
      </c>
      <c r="B1353" t="s">
        <v>32</v>
      </c>
      <c r="C1353" t="s">
        <v>33</v>
      </c>
      <c r="D1353" t="s">
        <v>34</v>
      </c>
      <c r="E1353">
        <v>16</v>
      </c>
      <c r="F1353" t="s">
        <v>58</v>
      </c>
      <c r="G1353">
        <v>4</v>
      </c>
      <c r="H1353">
        <v>1</v>
      </c>
      <c r="I1353" t="s">
        <v>36</v>
      </c>
      <c r="J1353">
        <v>1</v>
      </c>
      <c r="K1353" t="s">
        <v>37</v>
      </c>
      <c r="L1353">
        <v>2743</v>
      </c>
      <c r="M1353">
        <v>1</v>
      </c>
      <c r="N1353" t="s">
        <v>41</v>
      </c>
      <c r="O1353">
        <v>16</v>
      </c>
      <c r="P1353">
        <v>3</v>
      </c>
      <c r="Q1353">
        <v>0</v>
      </c>
      <c r="R1353">
        <v>18</v>
      </c>
      <c r="S1353">
        <v>1</v>
      </c>
      <c r="T1353">
        <v>17</v>
      </c>
      <c r="U1353">
        <v>15</v>
      </c>
      <c r="V1353">
        <v>14</v>
      </c>
      <c r="W1353" t="s">
        <v>51</v>
      </c>
      <c r="X1353" s="1" t="d">
        <v>2004-06-21</v>
      </c>
      <c r="Z1353" t="s">
        <v>63</v>
      </c>
      <c r="AA1353" t="s">
        <v>46</v>
      </c>
      <c r="AB1353">
        <v>2</v>
      </c>
      <c r="AC1353">
        <v>1</v>
      </c>
      <c r="AD1353" t="s">
        <v>32</v>
      </c>
      <c r="AE1353" t="s">
        <v>47</v>
      </c>
      <c r="AF1353" t="s">
        <v>57</v>
      </c>
    </row>
    <row r="1354" spans="1:32" x14ac:dyDescent="0.25">
      <c r="A1354">
        <v>47</v>
      </c>
      <c r="B1354" t="s">
        <v>41</v>
      </c>
      <c r="C1354" t="s">
        <v>33</v>
      </c>
      <c r="D1354" t="s">
        <v>34</v>
      </c>
      <c r="E1354">
        <v>25</v>
      </c>
      <c r="F1354" t="s">
        <v>35</v>
      </c>
      <c r="G1354">
        <v>3</v>
      </c>
      <c r="H1354">
        <v>3</v>
      </c>
      <c r="I1354" t="s">
        <v>69</v>
      </c>
      <c r="J1354">
        <v>3</v>
      </c>
      <c r="K1354" t="s">
        <v>37</v>
      </c>
      <c r="L1354">
        <v>8633</v>
      </c>
      <c r="M1354">
        <v>2</v>
      </c>
      <c r="N1354" t="s">
        <v>41</v>
      </c>
      <c r="O1354">
        <v>23</v>
      </c>
      <c r="P1354">
        <v>4</v>
      </c>
      <c r="Q1354">
        <v>0</v>
      </c>
      <c r="R1354">
        <v>25</v>
      </c>
      <c r="S1354">
        <v>3</v>
      </c>
      <c r="T1354">
        <v>17</v>
      </c>
      <c r="U1354">
        <v>12</v>
      </c>
      <c r="V1354">
        <v>11</v>
      </c>
      <c r="W1354" t="s">
        <v>65</v>
      </c>
      <c r="X1354" s="1" t="d">
        <v>2004-06-16</v>
      </c>
      <c r="Z1354" t="s">
        <v>39</v>
      </c>
      <c r="AA1354" t="s">
        <v>40</v>
      </c>
      <c r="AB1354">
        <v>0</v>
      </c>
      <c r="AC1354">
        <v>2</v>
      </c>
      <c r="AD1354" t="s">
        <v>32</v>
      </c>
      <c r="AE1354" t="s">
        <v>62</v>
      </c>
      <c r="AF1354" t="s">
        <v>48</v>
      </c>
    </row>
    <row r="1355" spans="1:32" x14ac:dyDescent="0.25">
      <c r="A1355">
        <v>39</v>
      </c>
      <c r="B1355" t="s">
        <v>41</v>
      </c>
      <c r="C1355" t="s">
        <v>33</v>
      </c>
      <c r="D1355" t="s">
        <v>34</v>
      </c>
      <c r="E1355">
        <v>1</v>
      </c>
      <c r="F1355" t="s">
        <v>35</v>
      </c>
      <c r="G1355">
        <v>4</v>
      </c>
      <c r="H1355">
        <v>3</v>
      </c>
      <c r="I1355" t="s">
        <v>69</v>
      </c>
      <c r="J1355">
        <v>4</v>
      </c>
      <c r="K1355" t="s">
        <v>55</v>
      </c>
      <c r="L1355">
        <v>9613</v>
      </c>
      <c r="M1355">
        <v>0</v>
      </c>
      <c r="N1355" t="s">
        <v>41</v>
      </c>
      <c r="O1355">
        <v>17</v>
      </c>
      <c r="P1355">
        <v>3</v>
      </c>
      <c r="Q1355">
        <v>3</v>
      </c>
      <c r="R1355">
        <v>19</v>
      </c>
      <c r="S1355">
        <v>5</v>
      </c>
      <c r="T1355">
        <v>18</v>
      </c>
      <c r="U1355">
        <v>3</v>
      </c>
      <c r="V1355">
        <v>7</v>
      </c>
      <c r="W1355" t="s">
        <v>65</v>
      </c>
      <c r="X1355" s="1" t="d">
        <v>2003-06-02</v>
      </c>
      <c r="Z1355" t="s">
        <v>39</v>
      </c>
      <c r="AA1355" t="s">
        <v>46</v>
      </c>
      <c r="AB1355">
        <v>4</v>
      </c>
      <c r="AC1355">
        <v>3</v>
      </c>
      <c r="AD1355" t="s">
        <v>32</v>
      </c>
      <c r="AE1355" t="s">
        <v>62</v>
      </c>
      <c r="AF1355" t="s">
        <v>43</v>
      </c>
    </row>
    <row r="1356" spans="1:32" x14ac:dyDescent="0.25">
      <c r="A1356">
        <v>37</v>
      </c>
      <c r="B1356" t="s">
        <v>41</v>
      </c>
      <c r="C1356" t="s">
        <v>33</v>
      </c>
      <c r="D1356" t="s">
        <v>34</v>
      </c>
      <c r="E1356">
        <v>14</v>
      </c>
      <c r="F1356" t="s">
        <v>58</v>
      </c>
      <c r="G1356">
        <v>3</v>
      </c>
      <c r="H1356">
        <v>1</v>
      </c>
      <c r="I1356" t="s">
        <v>36</v>
      </c>
      <c r="J1356">
        <v>1</v>
      </c>
      <c r="K1356" t="s">
        <v>55</v>
      </c>
      <c r="L1356">
        <v>3034</v>
      </c>
      <c r="M1356">
        <v>1</v>
      </c>
      <c r="N1356" t="s">
        <v>41</v>
      </c>
      <c r="O1356">
        <v>12</v>
      </c>
      <c r="P1356">
        <v>3</v>
      </c>
      <c r="Q1356">
        <v>1</v>
      </c>
      <c r="R1356">
        <v>18</v>
      </c>
      <c r="S1356">
        <v>2</v>
      </c>
      <c r="T1356">
        <v>18</v>
      </c>
      <c r="U1356">
        <v>12</v>
      </c>
      <c r="V1356">
        <v>17</v>
      </c>
      <c r="W1356" t="s">
        <v>38</v>
      </c>
      <c r="X1356" s="1" t="d">
        <v>2003-03-05</v>
      </c>
      <c r="Z1356" t="s">
        <v>45</v>
      </c>
      <c r="AA1356" t="s">
        <v>40</v>
      </c>
      <c r="AB1356">
        <v>1</v>
      </c>
      <c r="AC1356">
        <v>3</v>
      </c>
      <c r="AD1356" t="s">
        <v>41</v>
      </c>
      <c r="AE1356" t="s">
        <v>42</v>
      </c>
      <c r="AF1356" t="s">
        <v>57</v>
      </c>
    </row>
    <row r="1357" spans="1:32" x14ac:dyDescent="0.25">
      <c r="A1357">
        <v>60</v>
      </c>
      <c r="B1357" t="s">
        <v>41</v>
      </c>
      <c r="C1357" t="s">
        <v>61</v>
      </c>
      <c r="D1357" t="s">
        <v>53</v>
      </c>
      <c r="E1357">
        <v>28</v>
      </c>
      <c r="F1357" t="s">
        <v>58</v>
      </c>
      <c r="G1357">
        <v>2</v>
      </c>
      <c r="H1357">
        <v>3</v>
      </c>
      <c r="I1357" t="s">
        <v>64</v>
      </c>
      <c r="J1357">
        <v>1</v>
      </c>
      <c r="K1357" t="s">
        <v>50</v>
      </c>
      <c r="L1357">
        <v>10266</v>
      </c>
      <c r="M1357">
        <v>4</v>
      </c>
      <c r="N1357" t="s">
        <v>41</v>
      </c>
      <c r="O1357">
        <v>19</v>
      </c>
      <c r="P1357">
        <v>3</v>
      </c>
      <c r="Q1357">
        <v>0</v>
      </c>
      <c r="R1357">
        <v>22</v>
      </c>
      <c r="S1357">
        <v>5</v>
      </c>
      <c r="T1357">
        <v>18</v>
      </c>
      <c r="U1357">
        <v>13</v>
      </c>
      <c r="V1357">
        <v>11</v>
      </c>
      <c r="W1357" t="s">
        <v>65</v>
      </c>
      <c r="X1357" s="1" t="d">
        <v>2003-01-10</v>
      </c>
      <c r="Z1357" t="s">
        <v>59</v>
      </c>
      <c r="AA1357" t="s">
        <v>40</v>
      </c>
      <c r="AB1357">
        <v>3</v>
      </c>
      <c r="AC1357">
        <v>1</v>
      </c>
      <c r="AD1357" t="s">
        <v>41</v>
      </c>
      <c r="AE1357" t="s">
        <v>60</v>
      </c>
      <c r="AF1357" t="s">
        <v>57</v>
      </c>
    </row>
    <row r="1358" spans="1:32" x14ac:dyDescent="0.25">
      <c r="A1358">
        <v>41</v>
      </c>
      <c r="B1358" t="s">
        <v>41</v>
      </c>
      <c r="C1358" t="s">
        <v>33</v>
      </c>
      <c r="D1358" t="s">
        <v>53</v>
      </c>
      <c r="E1358">
        <v>2</v>
      </c>
      <c r="F1358" t="s">
        <v>58</v>
      </c>
      <c r="G1358">
        <v>3</v>
      </c>
      <c r="H1358">
        <v>4</v>
      </c>
      <c r="I1358" t="s">
        <v>66</v>
      </c>
      <c r="J1358">
        <v>1</v>
      </c>
      <c r="K1358" t="s">
        <v>50</v>
      </c>
      <c r="L1358">
        <v>16595</v>
      </c>
      <c r="M1358">
        <v>7</v>
      </c>
      <c r="N1358" t="s">
        <v>41</v>
      </c>
      <c r="O1358">
        <v>16</v>
      </c>
      <c r="P1358">
        <v>3</v>
      </c>
      <c r="Q1358">
        <v>1</v>
      </c>
      <c r="R1358">
        <v>22</v>
      </c>
      <c r="S1358">
        <v>2</v>
      </c>
      <c r="T1358">
        <v>18</v>
      </c>
      <c r="U1358">
        <v>11</v>
      </c>
      <c r="V1358">
        <v>8</v>
      </c>
      <c r="W1358" t="s">
        <v>51</v>
      </c>
      <c r="X1358" s="1" t="d">
        <v>2003-02-12</v>
      </c>
      <c r="Z1358" t="s">
        <v>63</v>
      </c>
      <c r="AA1358" t="s">
        <v>46</v>
      </c>
      <c r="AB1358">
        <v>1</v>
      </c>
      <c r="AC1358">
        <v>3</v>
      </c>
      <c r="AD1358" t="s">
        <v>41</v>
      </c>
      <c r="AE1358" t="s">
        <v>42</v>
      </c>
      <c r="AF1358" t="s">
        <v>43</v>
      </c>
    </row>
    <row r="1359" spans="1:32" x14ac:dyDescent="0.25">
      <c r="A1359">
        <v>40</v>
      </c>
      <c r="B1359" t="s">
        <v>41</v>
      </c>
      <c r="C1359" t="s">
        <v>61</v>
      </c>
      <c r="D1359" t="s">
        <v>53</v>
      </c>
      <c r="E1359">
        <v>5</v>
      </c>
      <c r="F1359" t="s">
        <v>35</v>
      </c>
      <c r="G1359">
        <v>2</v>
      </c>
      <c r="H1359">
        <v>3</v>
      </c>
      <c r="I1359" t="s">
        <v>64</v>
      </c>
      <c r="J1359">
        <v>1</v>
      </c>
      <c r="K1359" t="s">
        <v>50</v>
      </c>
      <c r="L1359">
        <v>10475</v>
      </c>
      <c r="M1359">
        <v>5</v>
      </c>
      <c r="N1359" t="s">
        <v>32</v>
      </c>
      <c r="O1359">
        <v>21</v>
      </c>
      <c r="P1359">
        <v>4</v>
      </c>
      <c r="Q1359">
        <v>1</v>
      </c>
      <c r="R1359">
        <v>20</v>
      </c>
      <c r="S1359">
        <v>2</v>
      </c>
      <c r="T1359">
        <v>18</v>
      </c>
      <c r="U1359">
        <v>1</v>
      </c>
      <c r="V1359">
        <v>12</v>
      </c>
      <c r="W1359" t="s">
        <v>38</v>
      </c>
      <c r="X1359" s="1" t="d">
        <v>2003-05-31</v>
      </c>
      <c r="Z1359" t="s">
        <v>52</v>
      </c>
      <c r="AA1359" t="s">
        <v>40</v>
      </c>
      <c r="AB1359">
        <v>0</v>
      </c>
      <c r="AC1359">
        <v>2</v>
      </c>
      <c r="AD1359" t="s">
        <v>32</v>
      </c>
      <c r="AE1359" t="s">
        <v>62</v>
      </c>
      <c r="AF1359" t="s">
        <v>48</v>
      </c>
    </row>
    <row r="1360" spans="1:32" x14ac:dyDescent="0.25">
      <c r="A1360">
        <v>36</v>
      </c>
      <c r="B1360" t="s">
        <v>41</v>
      </c>
      <c r="C1360" t="s">
        <v>33</v>
      </c>
      <c r="D1360" t="s">
        <v>53</v>
      </c>
      <c r="E1360">
        <v>1</v>
      </c>
      <c r="F1360" t="s">
        <v>35</v>
      </c>
      <c r="G1360">
        <v>3</v>
      </c>
      <c r="H1360">
        <v>2</v>
      </c>
      <c r="I1360" t="s">
        <v>64</v>
      </c>
      <c r="J1360">
        <v>4</v>
      </c>
      <c r="K1360" t="s">
        <v>50</v>
      </c>
      <c r="L1360">
        <v>6201</v>
      </c>
      <c r="M1360">
        <v>1</v>
      </c>
      <c r="N1360" t="s">
        <v>32</v>
      </c>
      <c r="O1360">
        <v>14</v>
      </c>
      <c r="P1360">
        <v>3</v>
      </c>
      <c r="Q1360">
        <v>1</v>
      </c>
      <c r="R1360">
        <v>18</v>
      </c>
      <c r="S1360">
        <v>1</v>
      </c>
      <c r="T1360">
        <v>18</v>
      </c>
      <c r="U1360">
        <v>4</v>
      </c>
      <c r="V1360">
        <v>11</v>
      </c>
      <c r="W1360" t="s">
        <v>65</v>
      </c>
      <c r="X1360" s="1" t="d">
        <v>2003-04-22</v>
      </c>
      <c r="Z1360" t="s">
        <v>52</v>
      </c>
      <c r="AA1360" t="s">
        <v>46</v>
      </c>
      <c r="AB1360">
        <v>2</v>
      </c>
      <c r="AC1360">
        <v>0</v>
      </c>
      <c r="AD1360" t="s">
        <v>41</v>
      </c>
      <c r="AE1360" t="s">
        <v>42</v>
      </c>
      <c r="AF1360" t="s">
        <v>43</v>
      </c>
    </row>
    <row r="1361" spans="1:32" x14ac:dyDescent="0.25">
      <c r="A1361">
        <v>41</v>
      </c>
      <c r="B1361" t="s">
        <v>41</v>
      </c>
      <c r="C1361" t="s">
        <v>33</v>
      </c>
      <c r="D1361" t="s">
        <v>34</v>
      </c>
      <c r="E1361">
        <v>6</v>
      </c>
      <c r="F1361" t="s">
        <v>35</v>
      </c>
      <c r="G1361">
        <v>3</v>
      </c>
      <c r="H1361">
        <v>1</v>
      </c>
      <c r="I1361" t="s">
        <v>36</v>
      </c>
      <c r="J1361">
        <v>1</v>
      </c>
      <c r="K1361" t="s">
        <v>37</v>
      </c>
      <c r="L1361">
        <v>4721</v>
      </c>
      <c r="M1361">
        <v>2</v>
      </c>
      <c r="N1361" t="s">
        <v>32</v>
      </c>
      <c r="O1361">
        <v>13</v>
      </c>
      <c r="P1361">
        <v>3</v>
      </c>
      <c r="Q1361">
        <v>0</v>
      </c>
      <c r="R1361">
        <v>20</v>
      </c>
      <c r="S1361">
        <v>3</v>
      </c>
      <c r="T1361">
        <v>18</v>
      </c>
      <c r="U1361">
        <v>2</v>
      </c>
      <c r="V1361">
        <v>17</v>
      </c>
      <c r="W1361" t="s">
        <v>65</v>
      </c>
      <c r="X1361" s="1" t="d">
        <v>2003-02-19</v>
      </c>
      <c r="Z1361" t="s">
        <v>63</v>
      </c>
      <c r="AA1361" t="s">
        <v>46</v>
      </c>
      <c r="AB1361">
        <v>0</v>
      </c>
      <c r="AC1361">
        <v>0</v>
      </c>
      <c r="AD1361" t="s">
        <v>32</v>
      </c>
      <c r="AE1361" t="s">
        <v>62</v>
      </c>
      <c r="AF1361" t="s">
        <v>43</v>
      </c>
    </row>
    <row r="1362" spans="1:32" x14ac:dyDescent="0.25">
      <c r="A1362">
        <v>41</v>
      </c>
      <c r="B1362" t="s">
        <v>41</v>
      </c>
      <c r="C1362" t="s">
        <v>61</v>
      </c>
      <c r="D1362" t="s">
        <v>34</v>
      </c>
      <c r="E1362">
        <v>9</v>
      </c>
      <c r="F1362" t="s">
        <v>35</v>
      </c>
      <c r="G1362">
        <v>3</v>
      </c>
      <c r="H1362">
        <v>5</v>
      </c>
      <c r="I1362" t="s">
        <v>49</v>
      </c>
      <c r="J1362">
        <v>3</v>
      </c>
      <c r="K1362" t="s">
        <v>55</v>
      </c>
      <c r="L1362">
        <v>19419</v>
      </c>
      <c r="M1362">
        <v>2</v>
      </c>
      <c r="N1362" t="s">
        <v>41</v>
      </c>
      <c r="O1362">
        <v>17</v>
      </c>
      <c r="P1362">
        <v>3</v>
      </c>
      <c r="Q1362">
        <v>1</v>
      </c>
      <c r="R1362">
        <v>21</v>
      </c>
      <c r="S1362">
        <v>2</v>
      </c>
      <c r="T1362">
        <v>18</v>
      </c>
      <c r="U1362">
        <v>0</v>
      </c>
      <c r="V1362">
        <v>11</v>
      </c>
      <c r="W1362" t="s">
        <v>56</v>
      </c>
      <c r="X1362" s="1" t="d">
        <v>2003-06-28</v>
      </c>
      <c r="Z1362" t="s">
        <v>59</v>
      </c>
      <c r="AA1362" t="s">
        <v>46</v>
      </c>
      <c r="AB1362">
        <v>2</v>
      </c>
      <c r="AC1362">
        <v>2</v>
      </c>
      <c r="AD1362" t="s">
        <v>32</v>
      </c>
      <c r="AE1362" t="s">
        <v>62</v>
      </c>
      <c r="AF1362" t="s">
        <v>43</v>
      </c>
    </row>
    <row r="1363" spans="1:32" x14ac:dyDescent="0.25">
      <c r="A1363">
        <v>50</v>
      </c>
      <c r="B1363" t="s">
        <v>41</v>
      </c>
      <c r="C1363" t="s">
        <v>68</v>
      </c>
      <c r="D1363" t="s">
        <v>53</v>
      </c>
      <c r="E1363">
        <v>1</v>
      </c>
      <c r="F1363" t="s">
        <v>58</v>
      </c>
      <c r="G1363">
        <v>3</v>
      </c>
      <c r="H1363">
        <v>2</v>
      </c>
      <c r="I1363" t="s">
        <v>64</v>
      </c>
      <c r="J1363">
        <v>3</v>
      </c>
      <c r="K1363" t="s">
        <v>50</v>
      </c>
      <c r="L1363">
        <v>6347</v>
      </c>
      <c r="M1363">
        <v>0</v>
      </c>
      <c r="N1363" t="s">
        <v>41</v>
      </c>
      <c r="O1363">
        <v>12</v>
      </c>
      <c r="P1363">
        <v>3</v>
      </c>
      <c r="Q1363">
        <v>1</v>
      </c>
      <c r="R1363">
        <v>19</v>
      </c>
      <c r="S1363">
        <v>3</v>
      </c>
      <c r="T1363">
        <v>18</v>
      </c>
      <c r="U1363">
        <v>0</v>
      </c>
      <c r="V1363">
        <v>13</v>
      </c>
      <c r="W1363" t="s">
        <v>65</v>
      </c>
      <c r="X1363" s="1" t="d">
        <v>2003-03-17</v>
      </c>
      <c r="Z1363" t="s">
        <v>59</v>
      </c>
      <c r="AA1363" t="s">
        <v>46</v>
      </c>
      <c r="AB1363">
        <v>2</v>
      </c>
      <c r="AC1363">
        <v>2</v>
      </c>
      <c r="AD1363" t="s">
        <v>41</v>
      </c>
      <c r="AE1363" t="s">
        <v>42</v>
      </c>
      <c r="AF1363" t="s">
        <v>48</v>
      </c>
    </row>
    <row r="1364" spans="1:32" x14ac:dyDescent="0.25">
      <c r="A1364">
        <v>39</v>
      </c>
      <c r="B1364" t="s">
        <v>32</v>
      </c>
      <c r="C1364" t="s">
        <v>61</v>
      </c>
      <c r="D1364" t="s">
        <v>34</v>
      </c>
      <c r="E1364">
        <v>2</v>
      </c>
      <c r="F1364" t="s">
        <v>35</v>
      </c>
      <c r="G1364">
        <v>3</v>
      </c>
      <c r="H1364">
        <v>4</v>
      </c>
      <c r="I1364" t="s">
        <v>69</v>
      </c>
      <c r="J1364">
        <v>4</v>
      </c>
      <c r="K1364" t="s">
        <v>55</v>
      </c>
      <c r="L1364">
        <v>12169</v>
      </c>
      <c r="M1364">
        <v>7</v>
      </c>
      <c r="N1364" t="s">
        <v>41</v>
      </c>
      <c r="O1364">
        <v>11</v>
      </c>
      <c r="P1364">
        <v>3</v>
      </c>
      <c r="Q1364">
        <v>3</v>
      </c>
      <c r="R1364">
        <v>21</v>
      </c>
      <c r="S1364">
        <v>4</v>
      </c>
      <c r="T1364">
        <v>18</v>
      </c>
      <c r="U1364">
        <v>11</v>
      </c>
      <c r="V1364">
        <v>5</v>
      </c>
      <c r="W1364" t="s">
        <v>51</v>
      </c>
      <c r="X1364" s="1" t="d">
        <v>2003-05-11</v>
      </c>
      <c r="Z1364" t="s">
        <v>63</v>
      </c>
      <c r="AA1364" t="s">
        <v>40</v>
      </c>
      <c r="AB1364">
        <v>4</v>
      </c>
      <c r="AC1364">
        <v>1</v>
      </c>
      <c r="AD1364" t="s">
        <v>32</v>
      </c>
      <c r="AE1364" t="s">
        <v>62</v>
      </c>
      <c r="AF1364" t="s">
        <v>43</v>
      </c>
    </row>
    <row r="1365" spans="1:32" x14ac:dyDescent="0.25">
      <c r="A1365">
        <v>40</v>
      </c>
      <c r="B1365" t="s">
        <v>41</v>
      </c>
      <c r="C1365" t="s">
        <v>61</v>
      </c>
      <c r="D1365" t="s">
        <v>34</v>
      </c>
      <c r="E1365">
        <v>9</v>
      </c>
      <c r="F1365" t="s">
        <v>58</v>
      </c>
      <c r="G1365">
        <v>3</v>
      </c>
      <c r="H1365">
        <v>3</v>
      </c>
      <c r="I1365" t="s">
        <v>49</v>
      </c>
      <c r="J1365">
        <v>3</v>
      </c>
      <c r="K1365" t="s">
        <v>37</v>
      </c>
      <c r="L1365">
        <v>13499</v>
      </c>
      <c r="M1365">
        <v>9</v>
      </c>
      <c r="N1365" t="s">
        <v>41</v>
      </c>
      <c r="O1365">
        <v>17</v>
      </c>
      <c r="P1365">
        <v>3</v>
      </c>
      <c r="Q1365">
        <v>0</v>
      </c>
      <c r="R1365">
        <v>20</v>
      </c>
      <c r="S1365">
        <v>3</v>
      </c>
      <c r="T1365">
        <v>18</v>
      </c>
      <c r="U1365">
        <v>2</v>
      </c>
      <c r="V1365">
        <v>13</v>
      </c>
      <c r="W1365" t="s">
        <v>38</v>
      </c>
      <c r="X1365" s="1" t="d">
        <v>2003-06-23</v>
      </c>
      <c r="Z1365" t="s">
        <v>59</v>
      </c>
      <c r="AA1365" t="s">
        <v>46</v>
      </c>
      <c r="AB1365">
        <v>0</v>
      </c>
      <c r="AC1365">
        <v>0</v>
      </c>
      <c r="AD1365" t="s">
        <v>41</v>
      </c>
      <c r="AE1365" t="s">
        <v>60</v>
      </c>
      <c r="AF1365" t="s">
        <v>43</v>
      </c>
    </row>
    <row r="1366" spans="1:32" x14ac:dyDescent="0.25">
      <c r="A1366">
        <v>40</v>
      </c>
      <c r="B1366" t="s">
        <v>41</v>
      </c>
      <c r="C1366" t="s">
        <v>33</v>
      </c>
      <c r="D1366" t="s">
        <v>34</v>
      </c>
      <c r="E1366">
        <v>15</v>
      </c>
      <c r="F1366" t="s">
        <v>58</v>
      </c>
      <c r="G1366">
        <v>2</v>
      </c>
      <c r="H1366">
        <v>3</v>
      </c>
      <c r="I1366" t="s">
        <v>67</v>
      </c>
      <c r="J1366">
        <v>3</v>
      </c>
      <c r="K1366" t="s">
        <v>50</v>
      </c>
      <c r="L1366">
        <v>10435</v>
      </c>
      <c r="M1366">
        <v>1</v>
      </c>
      <c r="N1366" t="s">
        <v>41</v>
      </c>
      <c r="O1366">
        <v>13</v>
      </c>
      <c r="P1366">
        <v>3</v>
      </c>
      <c r="Q1366">
        <v>2</v>
      </c>
      <c r="R1366">
        <v>18</v>
      </c>
      <c r="S1366">
        <v>2</v>
      </c>
      <c r="T1366">
        <v>18</v>
      </c>
      <c r="U1366">
        <v>14</v>
      </c>
      <c r="V1366">
        <v>12</v>
      </c>
      <c r="W1366" t="s">
        <v>51</v>
      </c>
      <c r="X1366" s="1" t="d">
        <v>2003-01-27</v>
      </c>
      <c r="Z1366" t="s">
        <v>52</v>
      </c>
      <c r="AA1366" t="s">
        <v>46</v>
      </c>
      <c r="AB1366">
        <v>4</v>
      </c>
      <c r="AC1366">
        <v>0</v>
      </c>
      <c r="AD1366" t="s">
        <v>41</v>
      </c>
      <c r="AE1366" t="s">
        <v>62</v>
      </c>
      <c r="AF1366" t="s">
        <v>57</v>
      </c>
    </row>
    <row r="1367" spans="1:32" x14ac:dyDescent="0.25">
      <c r="A1367">
        <v>38</v>
      </c>
      <c r="B1367" t="s">
        <v>41</v>
      </c>
      <c r="C1367" t="s">
        <v>33</v>
      </c>
      <c r="D1367" t="s">
        <v>34</v>
      </c>
      <c r="E1367">
        <v>10</v>
      </c>
      <c r="F1367" t="s">
        <v>58</v>
      </c>
      <c r="G1367">
        <v>1</v>
      </c>
      <c r="H1367">
        <v>3</v>
      </c>
      <c r="I1367" t="s">
        <v>49</v>
      </c>
      <c r="J1367">
        <v>3</v>
      </c>
      <c r="K1367" t="s">
        <v>50</v>
      </c>
      <c r="L1367">
        <v>13206</v>
      </c>
      <c r="M1367">
        <v>3</v>
      </c>
      <c r="N1367" t="s">
        <v>41</v>
      </c>
      <c r="O1367">
        <v>12</v>
      </c>
      <c r="P1367">
        <v>3</v>
      </c>
      <c r="Q1367">
        <v>1</v>
      </c>
      <c r="R1367">
        <v>20</v>
      </c>
      <c r="S1367">
        <v>3</v>
      </c>
      <c r="T1367">
        <v>18</v>
      </c>
      <c r="U1367">
        <v>1</v>
      </c>
      <c r="V1367">
        <v>11</v>
      </c>
      <c r="W1367" t="s">
        <v>38</v>
      </c>
      <c r="X1367" s="1" t="d">
        <v>2003-05-07</v>
      </c>
      <c r="Z1367" t="s">
        <v>59</v>
      </c>
      <c r="AA1367" t="s">
        <v>46</v>
      </c>
      <c r="AB1367">
        <v>3</v>
      </c>
      <c r="AC1367">
        <v>1</v>
      </c>
      <c r="AD1367" t="s">
        <v>32</v>
      </c>
      <c r="AE1367" t="s">
        <v>47</v>
      </c>
      <c r="AF1367" t="s">
        <v>57</v>
      </c>
    </row>
    <row r="1368" spans="1:32" x14ac:dyDescent="0.25">
      <c r="A1368">
        <v>45</v>
      </c>
      <c r="B1368" t="s">
        <v>41</v>
      </c>
      <c r="C1368" t="s">
        <v>68</v>
      </c>
      <c r="D1368" t="s">
        <v>53</v>
      </c>
      <c r="E1368">
        <v>6</v>
      </c>
      <c r="F1368" t="s">
        <v>58</v>
      </c>
      <c r="G1368">
        <v>2</v>
      </c>
      <c r="H1368">
        <v>3</v>
      </c>
      <c r="I1368" t="s">
        <v>64</v>
      </c>
      <c r="J1368">
        <v>4</v>
      </c>
      <c r="K1368" t="s">
        <v>37</v>
      </c>
      <c r="L1368">
        <v>8865</v>
      </c>
      <c r="M1368">
        <v>6</v>
      </c>
      <c r="N1368" t="s">
        <v>41</v>
      </c>
      <c r="O1368">
        <v>12</v>
      </c>
      <c r="P1368">
        <v>3</v>
      </c>
      <c r="Q1368">
        <v>0</v>
      </c>
      <c r="R1368">
        <v>23</v>
      </c>
      <c r="S1368">
        <v>2</v>
      </c>
      <c r="T1368">
        <v>19</v>
      </c>
      <c r="U1368">
        <v>12</v>
      </c>
      <c r="V1368">
        <v>8</v>
      </c>
      <c r="W1368" t="s">
        <v>38</v>
      </c>
      <c r="X1368" s="1" t="d">
        <v>2002-03-06</v>
      </c>
      <c r="Z1368" t="s">
        <v>63</v>
      </c>
      <c r="AA1368" t="s">
        <v>46</v>
      </c>
      <c r="AB1368">
        <v>3</v>
      </c>
      <c r="AC1368">
        <v>3</v>
      </c>
      <c r="AD1368" t="s">
        <v>32</v>
      </c>
      <c r="AE1368" t="s">
        <v>42</v>
      </c>
      <c r="AF1368" t="s">
        <v>43</v>
      </c>
    </row>
    <row r="1369" spans="1:32" x14ac:dyDescent="0.25">
      <c r="A1369">
        <v>39</v>
      </c>
      <c r="B1369" t="s">
        <v>41</v>
      </c>
      <c r="C1369" t="s">
        <v>61</v>
      </c>
      <c r="D1369" t="s">
        <v>34</v>
      </c>
      <c r="E1369">
        <v>2</v>
      </c>
      <c r="F1369" t="s">
        <v>58</v>
      </c>
      <c r="G1369">
        <v>3</v>
      </c>
      <c r="H1369">
        <v>3</v>
      </c>
      <c r="I1369" t="s">
        <v>69</v>
      </c>
      <c r="J1369">
        <v>3</v>
      </c>
      <c r="K1369" t="s">
        <v>37</v>
      </c>
      <c r="L1369">
        <v>10938</v>
      </c>
      <c r="M1369">
        <v>0</v>
      </c>
      <c r="N1369" t="s">
        <v>41</v>
      </c>
      <c r="O1369">
        <v>25</v>
      </c>
      <c r="P1369">
        <v>4</v>
      </c>
      <c r="Q1369">
        <v>0</v>
      </c>
      <c r="R1369">
        <v>20</v>
      </c>
      <c r="S1369">
        <v>1</v>
      </c>
      <c r="T1369">
        <v>19</v>
      </c>
      <c r="U1369">
        <v>11</v>
      </c>
      <c r="V1369">
        <v>8</v>
      </c>
      <c r="W1369" t="s">
        <v>65</v>
      </c>
      <c r="X1369" s="1" t="d">
        <v>2002-01-27</v>
      </c>
      <c r="Z1369" t="s">
        <v>52</v>
      </c>
      <c r="AA1369" t="s">
        <v>46</v>
      </c>
      <c r="AB1369">
        <v>2</v>
      </c>
      <c r="AC1369">
        <v>3</v>
      </c>
      <c r="AD1369" t="s">
        <v>32</v>
      </c>
      <c r="AE1369" t="s">
        <v>62</v>
      </c>
      <c r="AF1369" t="s">
        <v>43</v>
      </c>
    </row>
    <row r="1370" spans="1:32" x14ac:dyDescent="0.25">
      <c r="A1370">
        <v>47</v>
      </c>
      <c r="B1370" t="s">
        <v>41</v>
      </c>
      <c r="C1370" t="s">
        <v>61</v>
      </c>
      <c r="D1370" t="s">
        <v>34</v>
      </c>
      <c r="E1370">
        <v>16</v>
      </c>
      <c r="F1370" t="s">
        <v>35</v>
      </c>
      <c r="G1370">
        <v>4</v>
      </c>
      <c r="H1370">
        <v>2</v>
      </c>
      <c r="I1370" t="s">
        <v>67</v>
      </c>
      <c r="J1370">
        <v>3</v>
      </c>
      <c r="K1370" t="s">
        <v>55</v>
      </c>
      <c r="L1370">
        <v>5067</v>
      </c>
      <c r="M1370">
        <v>1</v>
      </c>
      <c r="N1370" t="s">
        <v>32</v>
      </c>
      <c r="O1370">
        <v>19</v>
      </c>
      <c r="P1370">
        <v>3</v>
      </c>
      <c r="Q1370">
        <v>0</v>
      </c>
      <c r="R1370">
        <v>20</v>
      </c>
      <c r="S1370">
        <v>3</v>
      </c>
      <c r="T1370">
        <v>19</v>
      </c>
      <c r="U1370">
        <v>2</v>
      </c>
      <c r="V1370">
        <v>7</v>
      </c>
      <c r="W1370" t="s">
        <v>51</v>
      </c>
      <c r="X1370" s="1" t="d">
        <v>2002-04-04</v>
      </c>
      <c r="Z1370" t="s">
        <v>39</v>
      </c>
      <c r="AA1370" t="s">
        <v>40</v>
      </c>
      <c r="AB1370">
        <v>5</v>
      </c>
      <c r="AC1370">
        <v>3</v>
      </c>
      <c r="AD1370" t="s">
        <v>32</v>
      </c>
      <c r="AE1370" t="s">
        <v>62</v>
      </c>
      <c r="AF1370" t="s">
        <v>57</v>
      </c>
    </row>
    <row r="1371" spans="1:32" x14ac:dyDescent="0.25">
      <c r="A1371">
        <v>38</v>
      </c>
      <c r="B1371" t="s">
        <v>41</v>
      </c>
      <c r="C1371" t="s">
        <v>33</v>
      </c>
      <c r="D1371" t="s">
        <v>34</v>
      </c>
      <c r="E1371">
        <v>17</v>
      </c>
      <c r="F1371" t="s">
        <v>58</v>
      </c>
      <c r="G1371">
        <v>2</v>
      </c>
      <c r="H1371">
        <v>3</v>
      </c>
      <c r="I1371" t="s">
        <v>69</v>
      </c>
      <c r="J1371">
        <v>3</v>
      </c>
      <c r="K1371" t="s">
        <v>50</v>
      </c>
      <c r="L1371">
        <v>8823</v>
      </c>
      <c r="M1371">
        <v>0</v>
      </c>
      <c r="N1371" t="s">
        <v>41</v>
      </c>
      <c r="O1371">
        <v>18</v>
      </c>
      <c r="P1371">
        <v>3</v>
      </c>
      <c r="Q1371">
        <v>1</v>
      </c>
      <c r="R1371">
        <v>20</v>
      </c>
      <c r="S1371">
        <v>4</v>
      </c>
      <c r="T1371">
        <v>19</v>
      </c>
      <c r="U1371">
        <v>1</v>
      </c>
      <c r="V1371">
        <v>9</v>
      </c>
      <c r="W1371" t="s">
        <v>56</v>
      </c>
      <c r="X1371" s="1" t="d">
        <v>2002-03-10</v>
      </c>
      <c r="Z1371" t="s">
        <v>59</v>
      </c>
      <c r="AA1371" t="s">
        <v>40</v>
      </c>
      <c r="AB1371">
        <v>4</v>
      </c>
      <c r="AC1371">
        <v>1</v>
      </c>
      <c r="AD1371" t="s">
        <v>32</v>
      </c>
      <c r="AE1371" t="s">
        <v>60</v>
      </c>
      <c r="AF1371" t="s">
        <v>57</v>
      </c>
    </row>
    <row r="1372" spans="1:32" x14ac:dyDescent="0.25">
      <c r="A1372">
        <v>39</v>
      </c>
      <c r="B1372" t="s">
        <v>41</v>
      </c>
      <c r="C1372" t="s">
        <v>33</v>
      </c>
      <c r="D1372" t="s">
        <v>34</v>
      </c>
      <c r="E1372">
        <v>13</v>
      </c>
      <c r="F1372" t="s">
        <v>58</v>
      </c>
      <c r="G1372">
        <v>2</v>
      </c>
      <c r="H1372">
        <v>4</v>
      </c>
      <c r="I1372" t="s">
        <v>66</v>
      </c>
      <c r="J1372">
        <v>2</v>
      </c>
      <c r="K1372" t="s">
        <v>55</v>
      </c>
      <c r="L1372">
        <v>17123</v>
      </c>
      <c r="M1372">
        <v>6</v>
      </c>
      <c r="N1372" t="s">
        <v>32</v>
      </c>
      <c r="O1372">
        <v>13</v>
      </c>
      <c r="P1372">
        <v>3</v>
      </c>
      <c r="Q1372">
        <v>2</v>
      </c>
      <c r="R1372">
        <v>21</v>
      </c>
      <c r="S1372">
        <v>4</v>
      </c>
      <c r="T1372">
        <v>19</v>
      </c>
      <c r="U1372">
        <v>15</v>
      </c>
      <c r="V1372">
        <v>2</v>
      </c>
      <c r="W1372" t="s">
        <v>65</v>
      </c>
      <c r="X1372" s="1" t="d">
        <v>2002-06-14</v>
      </c>
      <c r="Z1372" t="s">
        <v>52</v>
      </c>
      <c r="AA1372" t="s">
        <v>46</v>
      </c>
      <c r="AB1372">
        <v>0</v>
      </c>
      <c r="AC1372">
        <v>1</v>
      </c>
      <c r="AD1372" t="s">
        <v>32</v>
      </c>
      <c r="AE1372" t="s">
        <v>62</v>
      </c>
      <c r="AF1372" t="s">
        <v>57</v>
      </c>
    </row>
    <row r="1373" spans="1:32" x14ac:dyDescent="0.25">
      <c r="A1373">
        <v>41</v>
      </c>
      <c r="B1373" t="s">
        <v>41</v>
      </c>
      <c r="C1373" t="s">
        <v>68</v>
      </c>
      <c r="D1373" t="s">
        <v>53</v>
      </c>
      <c r="E1373">
        <v>10</v>
      </c>
      <c r="F1373" t="s">
        <v>35</v>
      </c>
      <c r="G1373">
        <v>1</v>
      </c>
      <c r="H1373">
        <v>2</v>
      </c>
      <c r="I1373" t="s">
        <v>64</v>
      </c>
      <c r="J1373">
        <v>2</v>
      </c>
      <c r="K1373" t="s">
        <v>37</v>
      </c>
      <c r="L1373">
        <v>6151</v>
      </c>
      <c r="M1373">
        <v>1</v>
      </c>
      <c r="N1373" t="s">
        <v>41</v>
      </c>
      <c r="O1373">
        <v>13</v>
      </c>
      <c r="P1373">
        <v>3</v>
      </c>
      <c r="Q1373">
        <v>0</v>
      </c>
      <c r="R1373">
        <v>19</v>
      </c>
      <c r="S1373">
        <v>4</v>
      </c>
      <c r="T1373">
        <v>19</v>
      </c>
      <c r="U1373">
        <v>11</v>
      </c>
      <c r="V1373">
        <v>9</v>
      </c>
      <c r="W1373" t="s">
        <v>65</v>
      </c>
      <c r="X1373" s="1" t="d">
        <v>2002-03-30</v>
      </c>
      <c r="Z1373" t="s">
        <v>39</v>
      </c>
      <c r="AA1373" t="s">
        <v>46</v>
      </c>
      <c r="AB1373">
        <v>3</v>
      </c>
      <c r="AC1373">
        <v>0</v>
      </c>
      <c r="AD1373" t="s">
        <v>41</v>
      </c>
      <c r="AE1373" t="s">
        <v>42</v>
      </c>
      <c r="AF1373" t="s">
        <v>43</v>
      </c>
    </row>
    <row r="1374" spans="1:32" x14ac:dyDescent="0.25">
      <c r="A1374">
        <v>55</v>
      </c>
      <c r="B1374" t="s">
        <v>41</v>
      </c>
      <c r="C1374" t="s">
        <v>33</v>
      </c>
      <c r="D1374" t="s">
        <v>34</v>
      </c>
      <c r="E1374">
        <v>2</v>
      </c>
      <c r="F1374" t="s">
        <v>58</v>
      </c>
      <c r="G1374">
        <v>1</v>
      </c>
      <c r="H1374">
        <v>5</v>
      </c>
      <c r="I1374" t="s">
        <v>66</v>
      </c>
      <c r="J1374">
        <v>3</v>
      </c>
      <c r="K1374" t="s">
        <v>50</v>
      </c>
      <c r="L1374">
        <v>19187</v>
      </c>
      <c r="M1374">
        <v>4</v>
      </c>
      <c r="N1374" t="s">
        <v>41</v>
      </c>
      <c r="O1374">
        <v>14</v>
      </c>
      <c r="P1374">
        <v>3</v>
      </c>
      <c r="Q1374">
        <v>1</v>
      </c>
      <c r="R1374">
        <v>23</v>
      </c>
      <c r="S1374">
        <v>5</v>
      </c>
      <c r="T1374">
        <v>19</v>
      </c>
      <c r="U1374">
        <v>9</v>
      </c>
      <c r="V1374">
        <v>11</v>
      </c>
      <c r="W1374" t="s">
        <v>56</v>
      </c>
      <c r="X1374" s="1" t="d">
        <v>2002-04-12</v>
      </c>
      <c r="Z1374" t="s">
        <v>52</v>
      </c>
      <c r="AA1374" t="s">
        <v>40</v>
      </c>
      <c r="AB1374">
        <v>3</v>
      </c>
      <c r="AC1374">
        <v>0</v>
      </c>
      <c r="AD1374" t="s">
        <v>32</v>
      </c>
      <c r="AE1374" t="s">
        <v>62</v>
      </c>
      <c r="AF1374" t="s">
        <v>43</v>
      </c>
    </row>
    <row r="1375" spans="1:32" x14ac:dyDescent="0.25">
      <c r="A1375">
        <v>55</v>
      </c>
      <c r="B1375" t="s">
        <v>32</v>
      </c>
      <c r="C1375" t="s">
        <v>33</v>
      </c>
      <c r="D1375" t="s">
        <v>53</v>
      </c>
      <c r="E1375">
        <v>13</v>
      </c>
      <c r="F1375" t="s">
        <v>35</v>
      </c>
      <c r="G1375">
        <v>4</v>
      </c>
      <c r="H1375">
        <v>4</v>
      </c>
      <c r="I1375" t="s">
        <v>64</v>
      </c>
      <c r="J1375">
        <v>3</v>
      </c>
      <c r="K1375" t="s">
        <v>37</v>
      </c>
      <c r="L1375">
        <v>13695</v>
      </c>
      <c r="M1375">
        <v>6</v>
      </c>
      <c r="N1375" t="s">
        <v>32</v>
      </c>
      <c r="O1375">
        <v>17</v>
      </c>
      <c r="P1375">
        <v>3</v>
      </c>
      <c r="Q1375">
        <v>0</v>
      </c>
      <c r="R1375">
        <v>24</v>
      </c>
      <c r="S1375">
        <v>2</v>
      </c>
      <c r="T1375">
        <v>19</v>
      </c>
      <c r="U1375">
        <v>3</v>
      </c>
      <c r="V1375">
        <v>8</v>
      </c>
      <c r="W1375" t="s">
        <v>65</v>
      </c>
      <c r="X1375" s="1" t="d">
        <v>2002-01-30</v>
      </c>
      <c r="Z1375" t="s">
        <v>45</v>
      </c>
      <c r="AA1375" t="s">
        <v>40</v>
      </c>
      <c r="AB1375">
        <v>2</v>
      </c>
      <c r="AC1375">
        <v>0</v>
      </c>
      <c r="AD1375" t="s">
        <v>41</v>
      </c>
      <c r="AE1375" t="s">
        <v>60</v>
      </c>
      <c r="AF1375" t="s">
        <v>48</v>
      </c>
    </row>
    <row r="1376" spans="1:32" x14ac:dyDescent="0.25">
      <c r="A1376">
        <v>56</v>
      </c>
      <c r="B1376" t="s">
        <v>41</v>
      </c>
      <c r="C1376" t="s">
        <v>33</v>
      </c>
      <c r="D1376" t="s">
        <v>34</v>
      </c>
      <c r="E1376">
        <v>23</v>
      </c>
      <c r="F1376" t="s">
        <v>35</v>
      </c>
      <c r="G1376">
        <v>3</v>
      </c>
      <c r="H1376">
        <v>4</v>
      </c>
      <c r="I1376" t="s">
        <v>67</v>
      </c>
      <c r="J1376">
        <v>2</v>
      </c>
      <c r="K1376" t="s">
        <v>50</v>
      </c>
      <c r="L1376">
        <v>13402</v>
      </c>
      <c r="M1376">
        <v>4</v>
      </c>
      <c r="N1376" t="s">
        <v>32</v>
      </c>
      <c r="O1376">
        <v>12</v>
      </c>
      <c r="P1376">
        <v>3</v>
      </c>
      <c r="Q1376">
        <v>1</v>
      </c>
      <c r="R1376">
        <v>33</v>
      </c>
      <c r="S1376">
        <v>0</v>
      </c>
      <c r="T1376">
        <v>19</v>
      </c>
      <c r="U1376">
        <v>15</v>
      </c>
      <c r="V1376">
        <v>9</v>
      </c>
      <c r="W1376" t="s">
        <v>38</v>
      </c>
      <c r="X1376" s="1" t="d">
        <v>2002-03-24</v>
      </c>
      <c r="Z1376" t="s">
        <v>63</v>
      </c>
      <c r="AA1376" t="s">
        <v>46</v>
      </c>
      <c r="AB1376">
        <v>0</v>
      </c>
      <c r="AC1376">
        <v>3</v>
      </c>
      <c r="AD1376" t="s">
        <v>32</v>
      </c>
      <c r="AE1376" t="s">
        <v>60</v>
      </c>
      <c r="AF1376" t="s">
        <v>43</v>
      </c>
    </row>
    <row r="1377" spans="1:32" x14ac:dyDescent="0.25">
      <c r="A1377">
        <v>46</v>
      </c>
      <c r="B1377" t="s">
        <v>41</v>
      </c>
      <c r="C1377" t="s">
        <v>33</v>
      </c>
      <c r="D1377" t="s">
        <v>53</v>
      </c>
      <c r="E1377">
        <v>3</v>
      </c>
      <c r="F1377" t="s">
        <v>58</v>
      </c>
      <c r="G1377">
        <v>4</v>
      </c>
      <c r="H1377">
        <v>4</v>
      </c>
      <c r="I1377" t="s">
        <v>64</v>
      </c>
      <c r="J1377">
        <v>1</v>
      </c>
      <c r="K1377" t="s">
        <v>55</v>
      </c>
      <c r="L1377">
        <v>13225</v>
      </c>
      <c r="M1377">
        <v>2</v>
      </c>
      <c r="N1377" t="s">
        <v>41</v>
      </c>
      <c r="O1377">
        <v>12</v>
      </c>
      <c r="P1377">
        <v>3</v>
      </c>
      <c r="Q1377">
        <v>1</v>
      </c>
      <c r="R1377">
        <v>25</v>
      </c>
      <c r="S1377">
        <v>5</v>
      </c>
      <c r="T1377">
        <v>19</v>
      </c>
      <c r="U1377">
        <v>2</v>
      </c>
      <c r="V1377">
        <v>8</v>
      </c>
      <c r="W1377" t="s">
        <v>51</v>
      </c>
      <c r="X1377" s="1" t="d">
        <v>2002-02-23</v>
      </c>
      <c r="Z1377" t="s">
        <v>52</v>
      </c>
      <c r="AA1377" t="s">
        <v>46</v>
      </c>
      <c r="AB1377">
        <v>5</v>
      </c>
      <c r="AC1377">
        <v>0</v>
      </c>
      <c r="AD1377" t="s">
        <v>41</v>
      </c>
      <c r="AE1377" t="s">
        <v>62</v>
      </c>
      <c r="AF1377" t="s">
        <v>57</v>
      </c>
    </row>
    <row r="1378" spans="1:32" x14ac:dyDescent="0.25">
      <c r="A1378">
        <v>40</v>
      </c>
      <c r="B1378" t="s">
        <v>41</v>
      </c>
      <c r="C1378" t="s">
        <v>33</v>
      </c>
      <c r="D1378" t="s">
        <v>34</v>
      </c>
      <c r="E1378">
        <v>1</v>
      </c>
      <c r="F1378" t="s">
        <v>35</v>
      </c>
      <c r="G1378">
        <v>3</v>
      </c>
      <c r="H1378">
        <v>4</v>
      </c>
      <c r="I1378" t="s">
        <v>66</v>
      </c>
      <c r="J1378">
        <v>1</v>
      </c>
      <c r="K1378" t="s">
        <v>55</v>
      </c>
      <c r="L1378">
        <v>16823</v>
      </c>
      <c r="M1378">
        <v>2</v>
      </c>
      <c r="N1378" t="s">
        <v>41</v>
      </c>
      <c r="O1378">
        <v>11</v>
      </c>
      <c r="P1378">
        <v>3</v>
      </c>
      <c r="Q1378">
        <v>1</v>
      </c>
      <c r="R1378">
        <v>22</v>
      </c>
      <c r="S1378">
        <v>3</v>
      </c>
      <c r="T1378">
        <v>19</v>
      </c>
      <c r="U1378">
        <v>11</v>
      </c>
      <c r="V1378">
        <v>16</v>
      </c>
      <c r="W1378" t="s">
        <v>38</v>
      </c>
      <c r="X1378" s="1" t="d">
        <v>2002-06-27</v>
      </c>
      <c r="Z1378" t="s">
        <v>63</v>
      </c>
      <c r="AA1378" t="s">
        <v>46</v>
      </c>
      <c r="AB1378">
        <v>4</v>
      </c>
      <c r="AC1378">
        <v>2</v>
      </c>
      <c r="AD1378" t="s">
        <v>41</v>
      </c>
      <c r="AE1378" t="s">
        <v>42</v>
      </c>
      <c r="AF1378" t="s">
        <v>43</v>
      </c>
    </row>
    <row r="1379" spans="1:32" x14ac:dyDescent="0.25">
      <c r="A1379">
        <v>51</v>
      </c>
      <c r="B1379" t="s">
        <v>41</v>
      </c>
      <c r="C1379" t="s">
        <v>33</v>
      </c>
      <c r="D1379" t="s">
        <v>34</v>
      </c>
      <c r="E1379">
        <v>6</v>
      </c>
      <c r="F1379" t="s">
        <v>35</v>
      </c>
      <c r="G1379">
        <v>3</v>
      </c>
      <c r="H1379">
        <v>5</v>
      </c>
      <c r="I1379" t="s">
        <v>49</v>
      </c>
      <c r="J1379">
        <v>3</v>
      </c>
      <c r="K1379" t="s">
        <v>37</v>
      </c>
      <c r="L1379">
        <v>19537</v>
      </c>
      <c r="M1379">
        <v>7</v>
      </c>
      <c r="N1379" t="s">
        <v>41</v>
      </c>
      <c r="O1379">
        <v>13</v>
      </c>
      <c r="P1379">
        <v>3</v>
      </c>
      <c r="Q1379">
        <v>0</v>
      </c>
      <c r="R1379">
        <v>23</v>
      </c>
      <c r="S1379">
        <v>5</v>
      </c>
      <c r="T1379">
        <v>20</v>
      </c>
      <c r="U1379">
        <v>15</v>
      </c>
      <c r="V1379">
        <v>15</v>
      </c>
      <c r="W1379" t="s">
        <v>56</v>
      </c>
      <c r="X1379" s="1" t="d">
        <v>2001-06-27</v>
      </c>
      <c r="Z1379" t="s">
        <v>39</v>
      </c>
      <c r="AA1379" t="s">
        <v>40</v>
      </c>
      <c r="AB1379">
        <v>1</v>
      </c>
      <c r="AC1379">
        <v>1</v>
      </c>
      <c r="AD1379" t="s">
        <v>41</v>
      </c>
      <c r="AE1379" t="s">
        <v>47</v>
      </c>
      <c r="AF1379" t="s">
        <v>48</v>
      </c>
    </row>
    <row r="1380" spans="1:32" x14ac:dyDescent="0.25">
      <c r="A1380">
        <v>40</v>
      </c>
      <c r="B1380" t="s">
        <v>41</v>
      </c>
      <c r="C1380" t="s">
        <v>61</v>
      </c>
      <c r="D1380" t="s">
        <v>34</v>
      </c>
      <c r="E1380">
        <v>26</v>
      </c>
      <c r="F1380" t="s">
        <v>58</v>
      </c>
      <c r="G1380">
        <v>3</v>
      </c>
      <c r="H1380">
        <v>2</v>
      </c>
      <c r="I1380" t="s">
        <v>44</v>
      </c>
      <c r="J1380">
        <v>2</v>
      </c>
      <c r="K1380" t="s">
        <v>55</v>
      </c>
      <c r="L1380">
        <v>5605</v>
      </c>
      <c r="M1380">
        <v>1</v>
      </c>
      <c r="N1380" t="s">
        <v>41</v>
      </c>
      <c r="O1380">
        <v>11</v>
      </c>
      <c r="P1380">
        <v>3</v>
      </c>
      <c r="Q1380">
        <v>1</v>
      </c>
      <c r="R1380">
        <v>20</v>
      </c>
      <c r="S1380">
        <v>2</v>
      </c>
      <c r="T1380">
        <v>20</v>
      </c>
      <c r="U1380">
        <v>2</v>
      </c>
      <c r="V1380">
        <v>13</v>
      </c>
      <c r="W1380" t="s">
        <v>51</v>
      </c>
      <c r="X1380" s="1" t="d">
        <v>2001-02-15</v>
      </c>
      <c r="Z1380" t="s">
        <v>59</v>
      </c>
      <c r="AA1380" t="s">
        <v>40</v>
      </c>
      <c r="AB1380">
        <v>4</v>
      </c>
      <c r="AC1380">
        <v>3</v>
      </c>
      <c r="AD1380" t="s">
        <v>41</v>
      </c>
      <c r="AE1380" t="s">
        <v>42</v>
      </c>
      <c r="AF1380" t="s">
        <v>57</v>
      </c>
    </row>
    <row r="1381" spans="1:32" x14ac:dyDescent="0.25">
      <c r="A1381">
        <v>40</v>
      </c>
      <c r="B1381" t="s">
        <v>41</v>
      </c>
      <c r="C1381" t="s">
        <v>33</v>
      </c>
      <c r="D1381" t="s">
        <v>34</v>
      </c>
      <c r="E1381">
        <v>4</v>
      </c>
      <c r="F1381" t="s">
        <v>58</v>
      </c>
      <c r="G1381">
        <v>3</v>
      </c>
      <c r="H1381">
        <v>5</v>
      </c>
      <c r="I1381" t="s">
        <v>66</v>
      </c>
      <c r="J1381">
        <v>3</v>
      </c>
      <c r="K1381" t="s">
        <v>50</v>
      </c>
      <c r="L1381">
        <v>19033</v>
      </c>
      <c r="M1381">
        <v>1</v>
      </c>
      <c r="N1381" t="s">
        <v>41</v>
      </c>
      <c r="O1381">
        <v>14</v>
      </c>
      <c r="P1381">
        <v>3</v>
      </c>
      <c r="Q1381">
        <v>1</v>
      </c>
      <c r="R1381">
        <v>21</v>
      </c>
      <c r="S1381">
        <v>2</v>
      </c>
      <c r="T1381">
        <v>20</v>
      </c>
      <c r="U1381">
        <v>9</v>
      </c>
      <c r="V1381">
        <v>9</v>
      </c>
      <c r="W1381" t="s">
        <v>56</v>
      </c>
      <c r="X1381" s="1" t="d">
        <v>2001-05-20</v>
      </c>
      <c r="Z1381" t="s">
        <v>39</v>
      </c>
      <c r="AA1381" t="s">
        <v>46</v>
      </c>
      <c r="AB1381">
        <v>2</v>
      </c>
      <c r="AC1381">
        <v>1</v>
      </c>
      <c r="AD1381" t="s">
        <v>41</v>
      </c>
      <c r="AE1381" t="s">
        <v>60</v>
      </c>
      <c r="AF1381" t="s">
        <v>48</v>
      </c>
    </row>
    <row r="1382" spans="1:32" x14ac:dyDescent="0.25">
      <c r="A1382">
        <v>45</v>
      </c>
      <c r="B1382" t="s">
        <v>41</v>
      </c>
      <c r="C1382" t="s">
        <v>68</v>
      </c>
      <c r="D1382" t="s">
        <v>34</v>
      </c>
      <c r="E1382">
        <v>2</v>
      </c>
      <c r="F1382" t="s">
        <v>35</v>
      </c>
      <c r="G1382">
        <v>2</v>
      </c>
      <c r="H1382">
        <v>4</v>
      </c>
      <c r="I1382" t="s">
        <v>66</v>
      </c>
      <c r="J1382">
        <v>4</v>
      </c>
      <c r="K1382" t="s">
        <v>50</v>
      </c>
      <c r="L1382">
        <v>16792</v>
      </c>
      <c r="M1382">
        <v>9</v>
      </c>
      <c r="N1382" t="s">
        <v>41</v>
      </c>
      <c r="O1382">
        <v>23</v>
      </c>
      <c r="P1382">
        <v>4</v>
      </c>
      <c r="Q1382">
        <v>1</v>
      </c>
      <c r="R1382">
        <v>22</v>
      </c>
      <c r="S1382">
        <v>1</v>
      </c>
      <c r="T1382">
        <v>20</v>
      </c>
      <c r="U1382">
        <v>11</v>
      </c>
      <c r="V1382">
        <v>8</v>
      </c>
      <c r="W1382" t="s">
        <v>56</v>
      </c>
      <c r="X1382" s="1" t="d">
        <v>2001-02-15</v>
      </c>
      <c r="Z1382" t="s">
        <v>39</v>
      </c>
      <c r="AA1382" t="s">
        <v>40</v>
      </c>
      <c r="AB1382">
        <v>5</v>
      </c>
      <c r="AC1382">
        <v>2</v>
      </c>
      <c r="AD1382" t="s">
        <v>32</v>
      </c>
      <c r="AE1382" t="s">
        <v>47</v>
      </c>
      <c r="AF1382" t="s">
        <v>57</v>
      </c>
    </row>
    <row r="1383" spans="1:32" x14ac:dyDescent="0.25">
      <c r="A1383">
        <v>45</v>
      </c>
      <c r="B1383" t="s">
        <v>41</v>
      </c>
      <c r="C1383" t="s">
        <v>33</v>
      </c>
      <c r="D1383" t="s">
        <v>34</v>
      </c>
      <c r="E1383">
        <v>20</v>
      </c>
      <c r="F1383" t="s">
        <v>35</v>
      </c>
      <c r="G1383">
        <v>3</v>
      </c>
      <c r="H1383">
        <v>4</v>
      </c>
      <c r="I1383" t="s">
        <v>69</v>
      </c>
      <c r="J1383">
        <v>4</v>
      </c>
      <c r="K1383" t="s">
        <v>50</v>
      </c>
      <c r="L1383">
        <v>13496</v>
      </c>
      <c r="M1383">
        <v>0</v>
      </c>
      <c r="N1383" t="s">
        <v>32</v>
      </c>
      <c r="O1383">
        <v>14</v>
      </c>
      <c r="P1383">
        <v>3</v>
      </c>
      <c r="Q1383">
        <v>0</v>
      </c>
      <c r="R1383">
        <v>21</v>
      </c>
      <c r="S1383">
        <v>2</v>
      </c>
      <c r="T1383">
        <v>20</v>
      </c>
      <c r="U1383">
        <v>4</v>
      </c>
      <c r="V1383">
        <v>10</v>
      </c>
      <c r="W1383" t="s">
        <v>56</v>
      </c>
      <c r="X1383" s="1" t="d">
        <v>2001-04-23</v>
      </c>
      <c r="Z1383" t="s">
        <v>52</v>
      </c>
      <c r="AA1383" t="s">
        <v>46</v>
      </c>
      <c r="AB1383">
        <v>3</v>
      </c>
      <c r="AC1383">
        <v>2</v>
      </c>
      <c r="AD1383" t="s">
        <v>32</v>
      </c>
      <c r="AE1383" t="s">
        <v>42</v>
      </c>
      <c r="AF1383" t="s">
        <v>57</v>
      </c>
    </row>
    <row r="1384" spans="1:32" x14ac:dyDescent="0.25">
      <c r="A1384">
        <v>42</v>
      </c>
      <c r="B1384" t="s">
        <v>41</v>
      </c>
      <c r="C1384" t="s">
        <v>33</v>
      </c>
      <c r="D1384" t="s">
        <v>53</v>
      </c>
      <c r="E1384">
        <v>1</v>
      </c>
      <c r="F1384" t="s">
        <v>35</v>
      </c>
      <c r="G1384">
        <v>3</v>
      </c>
      <c r="H1384">
        <v>2</v>
      </c>
      <c r="I1384" t="s">
        <v>64</v>
      </c>
      <c r="J1384">
        <v>3</v>
      </c>
      <c r="K1384" t="s">
        <v>50</v>
      </c>
      <c r="L1384">
        <v>4907</v>
      </c>
      <c r="M1384">
        <v>1</v>
      </c>
      <c r="N1384" t="s">
        <v>41</v>
      </c>
      <c r="O1384">
        <v>25</v>
      </c>
      <c r="P1384">
        <v>4</v>
      </c>
      <c r="Q1384">
        <v>0</v>
      </c>
      <c r="R1384">
        <v>20</v>
      </c>
      <c r="S1384">
        <v>3</v>
      </c>
      <c r="T1384">
        <v>20</v>
      </c>
      <c r="U1384">
        <v>11</v>
      </c>
      <c r="V1384">
        <v>6</v>
      </c>
      <c r="W1384" t="s">
        <v>65</v>
      </c>
      <c r="X1384" s="1" t="d">
        <v>2001-01-25</v>
      </c>
      <c r="Z1384" t="s">
        <v>39</v>
      </c>
      <c r="AA1384" t="s">
        <v>46</v>
      </c>
      <c r="AB1384">
        <v>5</v>
      </c>
      <c r="AC1384">
        <v>2</v>
      </c>
      <c r="AD1384" t="s">
        <v>41</v>
      </c>
      <c r="AE1384" t="s">
        <v>47</v>
      </c>
      <c r="AF1384" t="s">
        <v>48</v>
      </c>
    </row>
    <row r="1385" spans="1:32" x14ac:dyDescent="0.25">
      <c r="A1385">
        <v>42</v>
      </c>
      <c r="B1385" t="s">
        <v>41</v>
      </c>
      <c r="C1385" t="s">
        <v>61</v>
      </c>
      <c r="D1385" t="s">
        <v>53</v>
      </c>
      <c r="E1385">
        <v>26</v>
      </c>
      <c r="F1385" t="s">
        <v>58</v>
      </c>
      <c r="G1385">
        <v>3</v>
      </c>
      <c r="H1385">
        <v>4</v>
      </c>
      <c r="I1385" t="s">
        <v>64</v>
      </c>
      <c r="J1385">
        <v>2</v>
      </c>
      <c r="K1385" t="s">
        <v>50</v>
      </c>
      <c r="L1385">
        <v>13525</v>
      </c>
      <c r="M1385">
        <v>5</v>
      </c>
      <c r="N1385" t="s">
        <v>41</v>
      </c>
      <c r="O1385">
        <v>14</v>
      </c>
      <c r="P1385">
        <v>3</v>
      </c>
      <c r="Q1385">
        <v>1</v>
      </c>
      <c r="R1385">
        <v>23</v>
      </c>
      <c r="S1385">
        <v>2</v>
      </c>
      <c r="T1385">
        <v>20</v>
      </c>
      <c r="U1385">
        <v>4</v>
      </c>
      <c r="V1385">
        <v>8</v>
      </c>
      <c r="W1385" t="s">
        <v>38</v>
      </c>
      <c r="X1385" s="1" t="d">
        <v>2001-04-04</v>
      </c>
      <c r="Z1385" t="s">
        <v>39</v>
      </c>
      <c r="AA1385" t="s">
        <v>40</v>
      </c>
      <c r="AB1385">
        <v>5</v>
      </c>
      <c r="AC1385">
        <v>3</v>
      </c>
      <c r="AD1385" t="s">
        <v>32</v>
      </c>
      <c r="AE1385" t="s">
        <v>62</v>
      </c>
      <c r="AF1385" t="s">
        <v>43</v>
      </c>
    </row>
    <row r="1386" spans="1:32" x14ac:dyDescent="0.25">
      <c r="A1386">
        <v>40</v>
      </c>
      <c r="B1386" t="s">
        <v>41</v>
      </c>
      <c r="C1386" t="s">
        <v>33</v>
      </c>
      <c r="D1386" t="s">
        <v>53</v>
      </c>
      <c r="E1386">
        <v>2</v>
      </c>
      <c r="F1386" t="s">
        <v>58</v>
      </c>
      <c r="G1386">
        <v>3</v>
      </c>
      <c r="H1386">
        <v>5</v>
      </c>
      <c r="I1386" t="s">
        <v>66</v>
      </c>
      <c r="J1386">
        <v>3</v>
      </c>
      <c r="K1386" t="s">
        <v>50</v>
      </c>
      <c r="L1386">
        <v>18041</v>
      </c>
      <c r="M1386">
        <v>0</v>
      </c>
      <c r="N1386" t="s">
        <v>41</v>
      </c>
      <c r="O1386">
        <v>14</v>
      </c>
      <c r="P1386">
        <v>3</v>
      </c>
      <c r="Q1386">
        <v>0</v>
      </c>
      <c r="R1386">
        <v>21</v>
      </c>
      <c r="S1386">
        <v>2</v>
      </c>
      <c r="T1386">
        <v>20</v>
      </c>
      <c r="U1386">
        <v>1</v>
      </c>
      <c r="V1386">
        <v>12</v>
      </c>
      <c r="W1386" t="s">
        <v>51</v>
      </c>
      <c r="X1386" s="1" t="d">
        <v>2001-03-17</v>
      </c>
      <c r="Z1386" t="s">
        <v>59</v>
      </c>
      <c r="AA1386" t="s">
        <v>40</v>
      </c>
      <c r="AB1386">
        <v>2</v>
      </c>
      <c r="AC1386">
        <v>0</v>
      </c>
      <c r="AD1386" t="s">
        <v>32</v>
      </c>
      <c r="AE1386" t="s">
        <v>42</v>
      </c>
      <c r="AF1386" t="s">
        <v>57</v>
      </c>
    </row>
    <row r="1387" spans="1:32" x14ac:dyDescent="0.25">
      <c r="A1387">
        <v>40</v>
      </c>
      <c r="B1387" t="s">
        <v>41</v>
      </c>
      <c r="C1387" t="s">
        <v>33</v>
      </c>
      <c r="D1387" t="s">
        <v>34</v>
      </c>
      <c r="E1387">
        <v>6</v>
      </c>
      <c r="F1387" t="s">
        <v>58</v>
      </c>
      <c r="G1387">
        <v>3</v>
      </c>
      <c r="H1387">
        <v>4</v>
      </c>
      <c r="I1387" t="s">
        <v>67</v>
      </c>
      <c r="J1387">
        <v>3</v>
      </c>
      <c r="K1387" t="s">
        <v>37</v>
      </c>
      <c r="L1387">
        <v>13237</v>
      </c>
      <c r="M1387">
        <v>7</v>
      </c>
      <c r="N1387" t="s">
        <v>41</v>
      </c>
      <c r="O1387">
        <v>15</v>
      </c>
      <c r="P1387">
        <v>3</v>
      </c>
      <c r="Q1387">
        <v>0</v>
      </c>
      <c r="R1387">
        <v>22</v>
      </c>
      <c r="S1387">
        <v>3</v>
      </c>
      <c r="T1387">
        <v>20</v>
      </c>
      <c r="U1387">
        <v>5</v>
      </c>
      <c r="V1387">
        <v>13</v>
      </c>
      <c r="W1387" t="s">
        <v>38</v>
      </c>
      <c r="X1387" s="1" t="d">
        <v>2001-01-07</v>
      </c>
      <c r="Z1387" t="s">
        <v>63</v>
      </c>
      <c r="AA1387" t="s">
        <v>46</v>
      </c>
      <c r="AB1387">
        <v>3</v>
      </c>
      <c r="AC1387">
        <v>0</v>
      </c>
      <c r="AD1387" t="s">
        <v>41</v>
      </c>
      <c r="AE1387" t="s">
        <v>42</v>
      </c>
      <c r="AF1387" t="s">
        <v>43</v>
      </c>
    </row>
    <row r="1388" spans="1:32" x14ac:dyDescent="0.25">
      <c r="A1388">
        <v>50</v>
      </c>
      <c r="B1388" t="s">
        <v>41</v>
      </c>
      <c r="C1388" t="s">
        <v>33</v>
      </c>
      <c r="D1388" t="s">
        <v>34</v>
      </c>
      <c r="E1388">
        <v>28</v>
      </c>
      <c r="F1388" t="s">
        <v>35</v>
      </c>
      <c r="G1388">
        <v>4</v>
      </c>
      <c r="H1388">
        <v>1</v>
      </c>
      <c r="I1388" t="s">
        <v>36</v>
      </c>
      <c r="J1388">
        <v>3</v>
      </c>
      <c r="K1388" t="s">
        <v>50</v>
      </c>
      <c r="L1388">
        <v>3221</v>
      </c>
      <c r="M1388">
        <v>1</v>
      </c>
      <c r="N1388" t="s">
        <v>32</v>
      </c>
      <c r="O1388">
        <v>11</v>
      </c>
      <c r="P1388">
        <v>3</v>
      </c>
      <c r="Q1388">
        <v>3</v>
      </c>
      <c r="R1388">
        <v>20</v>
      </c>
      <c r="S1388">
        <v>3</v>
      </c>
      <c r="T1388">
        <v>20</v>
      </c>
      <c r="U1388">
        <v>3</v>
      </c>
      <c r="V1388">
        <v>8</v>
      </c>
      <c r="W1388" t="s">
        <v>56</v>
      </c>
      <c r="X1388" s="1" t="d">
        <v>2001-02-21</v>
      </c>
      <c r="Z1388" t="s">
        <v>52</v>
      </c>
      <c r="AA1388" t="s">
        <v>46</v>
      </c>
      <c r="AB1388">
        <v>2</v>
      </c>
      <c r="AC1388">
        <v>2</v>
      </c>
      <c r="AD1388" t="s">
        <v>41</v>
      </c>
      <c r="AE1388" t="s">
        <v>47</v>
      </c>
      <c r="AF1388" t="s">
        <v>57</v>
      </c>
    </row>
    <row r="1389" spans="1:32" x14ac:dyDescent="0.25">
      <c r="A1389">
        <v>39</v>
      </c>
      <c r="B1389" t="s">
        <v>41</v>
      </c>
      <c r="C1389" t="s">
        <v>33</v>
      </c>
      <c r="D1389" t="s">
        <v>34</v>
      </c>
      <c r="E1389">
        <v>2</v>
      </c>
      <c r="F1389" t="s">
        <v>58</v>
      </c>
      <c r="G1389">
        <v>2</v>
      </c>
      <c r="H1389">
        <v>2</v>
      </c>
      <c r="I1389" t="s">
        <v>69</v>
      </c>
      <c r="J1389">
        <v>3</v>
      </c>
      <c r="K1389" t="s">
        <v>37</v>
      </c>
      <c r="L1389">
        <v>4553</v>
      </c>
      <c r="M1389">
        <v>1</v>
      </c>
      <c r="N1389" t="s">
        <v>41</v>
      </c>
      <c r="O1389">
        <v>11</v>
      </c>
      <c r="P1389">
        <v>3</v>
      </c>
      <c r="Q1389">
        <v>0</v>
      </c>
      <c r="R1389">
        <v>20</v>
      </c>
      <c r="S1389">
        <v>4</v>
      </c>
      <c r="T1389">
        <v>20</v>
      </c>
      <c r="U1389">
        <v>11</v>
      </c>
      <c r="V1389">
        <v>10</v>
      </c>
      <c r="W1389" t="s">
        <v>65</v>
      </c>
      <c r="X1389" s="1" t="d">
        <v>2001-03-08</v>
      </c>
      <c r="Z1389" t="s">
        <v>45</v>
      </c>
      <c r="AA1389" t="s">
        <v>40</v>
      </c>
      <c r="AB1389">
        <v>5</v>
      </c>
      <c r="AC1389">
        <v>3</v>
      </c>
      <c r="AD1389" t="s">
        <v>41</v>
      </c>
      <c r="AE1389" t="s">
        <v>60</v>
      </c>
      <c r="AF1389" t="s">
        <v>57</v>
      </c>
    </row>
    <row r="1390" spans="1:32" x14ac:dyDescent="0.25">
      <c r="A1390">
        <v>51</v>
      </c>
      <c r="B1390" t="s">
        <v>41</v>
      </c>
      <c r="C1390" t="s">
        <v>33</v>
      </c>
      <c r="D1390" t="s">
        <v>53</v>
      </c>
      <c r="E1390">
        <v>26</v>
      </c>
      <c r="F1390" t="s">
        <v>58</v>
      </c>
      <c r="G1390">
        <v>3</v>
      </c>
      <c r="H1390">
        <v>4</v>
      </c>
      <c r="I1390" t="s">
        <v>66</v>
      </c>
      <c r="J1390">
        <v>3</v>
      </c>
      <c r="K1390" t="s">
        <v>50</v>
      </c>
      <c r="L1390">
        <v>16307</v>
      </c>
      <c r="M1390">
        <v>2</v>
      </c>
      <c r="N1390" t="s">
        <v>41</v>
      </c>
      <c r="O1390">
        <v>14</v>
      </c>
      <c r="P1390">
        <v>3</v>
      </c>
      <c r="Q1390">
        <v>1</v>
      </c>
      <c r="R1390">
        <v>29</v>
      </c>
      <c r="S1390">
        <v>2</v>
      </c>
      <c r="T1390">
        <v>20</v>
      </c>
      <c r="U1390">
        <v>4</v>
      </c>
      <c r="V1390">
        <v>17</v>
      </c>
      <c r="W1390" t="s">
        <v>51</v>
      </c>
      <c r="X1390" s="1" t="d">
        <v>2001-01-19</v>
      </c>
      <c r="Z1390" t="s">
        <v>59</v>
      </c>
      <c r="AA1390" t="s">
        <v>40</v>
      </c>
      <c r="AB1390">
        <v>0</v>
      </c>
      <c r="AC1390">
        <v>1</v>
      </c>
      <c r="AD1390" t="s">
        <v>32</v>
      </c>
      <c r="AE1390" t="s">
        <v>62</v>
      </c>
      <c r="AF1390" t="s">
        <v>57</v>
      </c>
    </row>
    <row r="1391" spans="1:32" x14ac:dyDescent="0.25">
      <c r="A1391">
        <v>44</v>
      </c>
      <c r="B1391" t="s">
        <v>32</v>
      </c>
      <c r="C1391" t="s">
        <v>33</v>
      </c>
      <c r="D1391" t="s">
        <v>70</v>
      </c>
      <c r="E1391">
        <v>1</v>
      </c>
      <c r="F1391" t="s">
        <v>35</v>
      </c>
      <c r="G1391">
        <v>2</v>
      </c>
      <c r="H1391">
        <v>3</v>
      </c>
      <c r="I1391" t="s">
        <v>70</v>
      </c>
      <c r="J1391">
        <v>1</v>
      </c>
      <c r="K1391" t="s">
        <v>50</v>
      </c>
      <c r="L1391">
        <v>10482</v>
      </c>
      <c r="M1391">
        <v>9</v>
      </c>
      <c r="N1391" t="s">
        <v>41</v>
      </c>
      <c r="O1391">
        <v>14</v>
      </c>
      <c r="P1391">
        <v>3</v>
      </c>
      <c r="Q1391">
        <v>1</v>
      </c>
      <c r="R1391">
        <v>24</v>
      </c>
      <c r="S1391">
        <v>1</v>
      </c>
      <c r="T1391">
        <v>20</v>
      </c>
      <c r="U1391">
        <v>3</v>
      </c>
      <c r="V1391">
        <v>6</v>
      </c>
      <c r="W1391" t="s">
        <v>38</v>
      </c>
      <c r="X1391" s="1" t="d">
        <v>2001-02-05</v>
      </c>
      <c r="Z1391" t="s">
        <v>63</v>
      </c>
      <c r="AA1391" t="s">
        <v>46</v>
      </c>
      <c r="AB1391">
        <v>1</v>
      </c>
      <c r="AC1391">
        <v>2</v>
      </c>
      <c r="AD1391" t="s">
        <v>41</v>
      </c>
      <c r="AE1391" t="s">
        <v>60</v>
      </c>
      <c r="AF1391" t="s">
        <v>43</v>
      </c>
    </row>
    <row r="1392" spans="1:32" x14ac:dyDescent="0.25">
      <c r="A1392">
        <v>40</v>
      </c>
      <c r="B1392" t="s">
        <v>41</v>
      </c>
      <c r="C1392" t="s">
        <v>33</v>
      </c>
      <c r="D1392" t="s">
        <v>34</v>
      </c>
      <c r="E1392">
        <v>14</v>
      </c>
      <c r="F1392" t="s">
        <v>35</v>
      </c>
      <c r="G1392">
        <v>2</v>
      </c>
      <c r="H1392">
        <v>5</v>
      </c>
      <c r="I1392" t="s">
        <v>49</v>
      </c>
      <c r="J1392">
        <v>3</v>
      </c>
      <c r="K1392" t="s">
        <v>37</v>
      </c>
      <c r="L1392">
        <v>19626</v>
      </c>
      <c r="M1392">
        <v>1</v>
      </c>
      <c r="N1392" t="s">
        <v>41</v>
      </c>
      <c r="O1392">
        <v>14</v>
      </c>
      <c r="P1392">
        <v>3</v>
      </c>
      <c r="Q1392">
        <v>0</v>
      </c>
      <c r="R1392">
        <v>21</v>
      </c>
      <c r="S1392">
        <v>2</v>
      </c>
      <c r="T1392">
        <v>20</v>
      </c>
      <c r="U1392">
        <v>4</v>
      </c>
      <c r="V1392">
        <v>9</v>
      </c>
      <c r="W1392" t="s">
        <v>65</v>
      </c>
      <c r="X1392" s="1" t="d">
        <v>2001-01-25</v>
      </c>
      <c r="Z1392" t="s">
        <v>45</v>
      </c>
      <c r="AA1392" t="s">
        <v>46</v>
      </c>
      <c r="AB1392">
        <v>3</v>
      </c>
      <c r="AC1392">
        <v>2</v>
      </c>
      <c r="AD1392" t="s">
        <v>32</v>
      </c>
      <c r="AE1392" t="s">
        <v>60</v>
      </c>
      <c r="AF1392" t="s">
        <v>43</v>
      </c>
    </row>
    <row r="1393" spans="1:32" x14ac:dyDescent="0.25">
      <c r="A1393">
        <v>44</v>
      </c>
      <c r="B1393" t="s">
        <v>41</v>
      </c>
      <c r="C1393" t="s">
        <v>33</v>
      </c>
      <c r="D1393" t="s">
        <v>34</v>
      </c>
      <c r="E1393">
        <v>29</v>
      </c>
      <c r="F1393" t="s">
        <v>35</v>
      </c>
      <c r="G1393">
        <v>3</v>
      </c>
      <c r="H1393">
        <v>2</v>
      </c>
      <c r="I1393" t="s">
        <v>44</v>
      </c>
      <c r="J1393">
        <v>4</v>
      </c>
      <c r="K1393" t="s">
        <v>37</v>
      </c>
      <c r="L1393">
        <v>4541</v>
      </c>
      <c r="M1393">
        <v>1</v>
      </c>
      <c r="N1393" t="s">
        <v>41</v>
      </c>
      <c r="O1393">
        <v>25</v>
      </c>
      <c r="P1393">
        <v>4</v>
      </c>
      <c r="Q1393">
        <v>0</v>
      </c>
      <c r="R1393">
        <v>20</v>
      </c>
      <c r="S1393">
        <v>3</v>
      </c>
      <c r="T1393">
        <v>20</v>
      </c>
      <c r="U1393">
        <v>13</v>
      </c>
      <c r="V1393">
        <v>17</v>
      </c>
      <c r="W1393" t="s">
        <v>38</v>
      </c>
      <c r="X1393" s="1" t="d">
        <v>2001-02-03</v>
      </c>
      <c r="Z1393" t="s">
        <v>39</v>
      </c>
      <c r="AA1393" t="s">
        <v>40</v>
      </c>
      <c r="AB1393">
        <v>3</v>
      </c>
      <c r="AC1393">
        <v>0</v>
      </c>
      <c r="AD1393" t="s">
        <v>32</v>
      </c>
      <c r="AE1393" t="s">
        <v>60</v>
      </c>
      <c r="AF1393" t="s">
        <v>57</v>
      </c>
    </row>
    <row r="1394" spans="1:32" x14ac:dyDescent="0.25">
      <c r="A1394">
        <v>42</v>
      </c>
      <c r="B1394" t="s">
        <v>41</v>
      </c>
      <c r="C1394" t="s">
        <v>68</v>
      </c>
      <c r="D1394" t="s">
        <v>34</v>
      </c>
      <c r="E1394">
        <v>2</v>
      </c>
      <c r="F1394" t="s">
        <v>35</v>
      </c>
      <c r="G1394">
        <v>3</v>
      </c>
      <c r="H1394">
        <v>4</v>
      </c>
      <c r="I1394" t="s">
        <v>66</v>
      </c>
      <c r="J1394">
        <v>3</v>
      </c>
      <c r="K1394" t="s">
        <v>50</v>
      </c>
      <c r="L1394">
        <v>17861</v>
      </c>
      <c r="M1394">
        <v>0</v>
      </c>
      <c r="N1394" t="s">
        <v>32</v>
      </c>
      <c r="O1394">
        <v>13</v>
      </c>
      <c r="P1394">
        <v>3</v>
      </c>
      <c r="Q1394">
        <v>0</v>
      </c>
      <c r="R1394">
        <v>21</v>
      </c>
      <c r="S1394">
        <v>3</v>
      </c>
      <c r="T1394">
        <v>20</v>
      </c>
      <c r="U1394">
        <v>2</v>
      </c>
      <c r="V1394">
        <v>10</v>
      </c>
      <c r="W1394" t="s">
        <v>38</v>
      </c>
      <c r="X1394" s="1" t="d">
        <v>2001-06-15</v>
      </c>
      <c r="Z1394" t="s">
        <v>39</v>
      </c>
      <c r="AA1394" t="s">
        <v>40</v>
      </c>
      <c r="AB1394">
        <v>4</v>
      </c>
      <c r="AC1394">
        <v>2</v>
      </c>
      <c r="AD1394" t="s">
        <v>41</v>
      </c>
      <c r="AE1394" t="s">
        <v>62</v>
      </c>
      <c r="AF1394" t="s">
        <v>43</v>
      </c>
    </row>
    <row r="1395" spans="1:32" x14ac:dyDescent="0.25">
      <c r="A1395">
        <v>43</v>
      </c>
      <c r="B1395" t="s">
        <v>41</v>
      </c>
      <c r="C1395" t="s">
        <v>33</v>
      </c>
      <c r="D1395" t="s">
        <v>34</v>
      </c>
      <c r="E1395">
        <v>6</v>
      </c>
      <c r="F1395" t="s">
        <v>58</v>
      </c>
      <c r="G1395">
        <v>2</v>
      </c>
      <c r="H1395">
        <v>2</v>
      </c>
      <c r="I1395" t="s">
        <v>44</v>
      </c>
      <c r="J1395">
        <v>3</v>
      </c>
      <c r="K1395" t="s">
        <v>37</v>
      </c>
      <c r="L1395">
        <v>4081</v>
      </c>
      <c r="M1395">
        <v>1</v>
      </c>
      <c r="N1395" t="s">
        <v>32</v>
      </c>
      <c r="O1395">
        <v>14</v>
      </c>
      <c r="P1395">
        <v>3</v>
      </c>
      <c r="Q1395">
        <v>0</v>
      </c>
      <c r="R1395">
        <v>20</v>
      </c>
      <c r="S1395">
        <v>3</v>
      </c>
      <c r="T1395">
        <v>20</v>
      </c>
      <c r="U1395">
        <v>1</v>
      </c>
      <c r="V1395">
        <v>8</v>
      </c>
      <c r="W1395" t="s">
        <v>38</v>
      </c>
      <c r="X1395" s="1" t="d">
        <v>2001-01-01</v>
      </c>
      <c r="Z1395" t="s">
        <v>39</v>
      </c>
      <c r="AA1395" t="s">
        <v>40</v>
      </c>
      <c r="AB1395">
        <v>5</v>
      </c>
      <c r="AC1395">
        <v>1</v>
      </c>
      <c r="AD1395" t="s">
        <v>32</v>
      </c>
      <c r="AE1395" t="s">
        <v>42</v>
      </c>
      <c r="AF1395" t="s">
        <v>48</v>
      </c>
    </row>
    <row r="1396" spans="1:32" x14ac:dyDescent="0.25">
      <c r="A1396">
        <v>42</v>
      </c>
      <c r="B1396" t="s">
        <v>41</v>
      </c>
      <c r="C1396" t="s">
        <v>33</v>
      </c>
      <c r="D1396" t="s">
        <v>70</v>
      </c>
      <c r="E1396">
        <v>10</v>
      </c>
      <c r="F1396" t="s">
        <v>58</v>
      </c>
      <c r="G1396">
        <v>3</v>
      </c>
      <c r="H1396">
        <v>4</v>
      </c>
      <c r="I1396" t="s">
        <v>66</v>
      </c>
      <c r="J1396">
        <v>1</v>
      </c>
      <c r="K1396" t="s">
        <v>50</v>
      </c>
      <c r="L1396">
        <v>16799</v>
      </c>
      <c r="M1396">
        <v>0</v>
      </c>
      <c r="N1396" t="s">
        <v>41</v>
      </c>
      <c r="O1396">
        <v>14</v>
      </c>
      <c r="P1396">
        <v>3</v>
      </c>
      <c r="Q1396">
        <v>1</v>
      </c>
      <c r="R1396">
        <v>21</v>
      </c>
      <c r="S1396">
        <v>5</v>
      </c>
      <c r="T1396">
        <v>20</v>
      </c>
      <c r="U1396">
        <v>0</v>
      </c>
      <c r="V1396">
        <v>9</v>
      </c>
      <c r="W1396" t="s">
        <v>38</v>
      </c>
      <c r="X1396" s="1" t="d">
        <v>2001-06-10</v>
      </c>
      <c r="Z1396" t="s">
        <v>45</v>
      </c>
      <c r="AA1396" t="s">
        <v>46</v>
      </c>
      <c r="AB1396">
        <v>4</v>
      </c>
      <c r="AC1396">
        <v>0</v>
      </c>
      <c r="AD1396" t="s">
        <v>32</v>
      </c>
      <c r="AE1396" t="s">
        <v>42</v>
      </c>
      <c r="AF1396" t="s">
        <v>43</v>
      </c>
    </row>
    <row r="1397" spans="1:32" x14ac:dyDescent="0.25">
      <c r="A1397">
        <v>54</v>
      </c>
      <c r="B1397" t="s">
        <v>41</v>
      </c>
      <c r="C1397" t="s">
        <v>33</v>
      </c>
      <c r="D1397" t="s">
        <v>34</v>
      </c>
      <c r="E1397">
        <v>1</v>
      </c>
      <c r="F1397" t="s">
        <v>58</v>
      </c>
      <c r="G1397">
        <v>3</v>
      </c>
      <c r="H1397">
        <v>4</v>
      </c>
      <c r="I1397" t="s">
        <v>49</v>
      </c>
      <c r="J1397">
        <v>4</v>
      </c>
      <c r="K1397" t="s">
        <v>37</v>
      </c>
      <c r="L1397">
        <v>17328</v>
      </c>
      <c r="M1397">
        <v>6</v>
      </c>
      <c r="N1397" t="s">
        <v>41</v>
      </c>
      <c r="O1397">
        <v>19</v>
      </c>
      <c r="P1397">
        <v>3</v>
      </c>
      <c r="Q1397">
        <v>0</v>
      </c>
      <c r="R1397">
        <v>29</v>
      </c>
      <c r="S1397">
        <v>3</v>
      </c>
      <c r="T1397">
        <v>20</v>
      </c>
      <c r="U1397">
        <v>12</v>
      </c>
      <c r="V1397">
        <v>7</v>
      </c>
      <c r="W1397" t="s">
        <v>56</v>
      </c>
      <c r="X1397" s="1" t="d">
        <v>2001-06-10</v>
      </c>
      <c r="Z1397" t="s">
        <v>39</v>
      </c>
      <c r="AA1397" t="s">
        <v>40</v>
      </c>
      <c r="AB1397">
        <v>0</v>
      </c>
      <c r="AC1397">
        <v>2</v>
      </c>
      <c r="AD1397" t="s">
        <v>32</v>
      </c>
      <c r="AE1397" t="s">
        <v>62</v>
      </c>
      <c r="AF1397" t="s">
        <v>57</v>
      </c>
    </row>
    <row r="1398" spans="1:32" x14ac:dyDescent="0.25">
      <c r="A1398">
        <v>47</v>
      </c>
      <c r="B1398" t="s">
        <v>41</v>
      </c>
      <c r="C1398" t="s">
        <v>33</v>
      </c>
      <c r="D1398" t="s">
        <v>34</v>
      </c>
      <c r="E1398">
        <v>2</v>
      </c>
      <c r="F1398" t="s">
        <v>58</v>
      </c>
      <c r="G1398">
        <v>3</v>
      </c>
      <c r="H1398">
        <v>4</v>
      </c>
      <c r="I1398" t="s">
        <v>49</v>
      </c>
      <c r="J1398">
        <v>3</v>
      </c>
      <c r="K1398" t="s">
        <v>50</v>
      </c>
      <c r="L1398">
        <v>17169</v>
      </c>
      <c r="M1398">
        <v>3</v>
      </c>
      <c r="N1398" t="s">
        <v>41</v>
      </c>
      <c r="O1398">
        <v>19</v>
      </c>
      <c r="P1398">
        <v>3</v>
      </c>
      <c r="Q1398">
        <v>2</v>
      </c>
      <c r="R1398">
        <v>26</v>
      </c>
      <c r="S1398">
        <v>2</v>
      </c>
      <c r="T1398">
        <v>20</v>
      </c>
      <c r="U1398">
        <v>5</v>
      </c>
      <c r="V1398">
        <v>6</v>
      </c>
      <c r="W1398" t="s">
        <v>56</v>
      </c>
      <c r="X1398" s="1" t="d">
        <v>2001-03-21</v>
      </c>
      <c r="Z1398" t="s">
        <v>59</v>
      </c>
      <c r="AA1398" t="s">
        <v>40</v>
      </c>
      <c r="AB1398">
        <v>2</v>
      </c>
      <c r="AC1398">
        <v>0</v>
      </c>
      <c r="AD1398" t="s">
        <v>41</v>
      </c>
      <c r="AE1398" t="s">
        <v>62</v>
      </c>
      <c r="AF1398" t="s">
        <v>48</v>
      </c>
    </row>
    <row r="1399" spans="1:32" x14ac:dyDescent="0.25">
      <c r="A1399">
        <v>44</v>
      </c>
      <c r="B1399" t="s">
        <v>41</v>
      </c>
      <c r="C1399" t="s">
        <v>33</v>
      </c>
      <c r="D1399" t="s">
        <v>34</v>
      </c>
      <c r="E1399">
        <v>28</v>
      </c>
      <c r="F1399" t="s">
        <v>35</v>
      </c>
      <c r="G1399">
        <v>3</v>
      </c>
      <c r="H1399">
        <v>4</v>
      </c>
      <c r="I1399" t="s">
        <v>49</v>
      </c>
      <c r="J1399">
        <v>1</v>
      </c>
      <c r="K1399" t="s">
        <v>50</v>
      </c>
      <c r="L1399">
        <v>16328</v>
      </c>
      <c r="M1399">
        <v>3</v>
      </c>
      <c r="N1399" t="s">
        <v>41</v>
      </c>
      <c r="O1399">
        <v>13</v>
      </c>
      <c r="P1399">
        <v>3</v>
      </c>
      <c r="Q1399">
        <v>1</v>
      </c>
      <c r="R1399">
        <v>24</v>
      </c>
      <c r="S1399">
        <v>1</v>
      </c>
      <c r="T1399">
        <v>20</v>
      </c>
      <c r="U1399">
        <v>14</v>
      </c>
      <c r="V1399">
        <v>17</v>
      </c>
      <c r="W1399" t="s">
        <v>38</v>
      </c>
      <c r="X1399" s="1" t="d">
        <v>2001-05-22</v>
      </c>
      <c r="Z1399" t="s">
        <v>39</v>
      </c>
      <c r="AA1399" t="s">
        <v>40</v>
      </c>
      <c r="AB1399">
        <v>1</v>
      </c>
      <c r="AC1399">
        <v>2</v>
      </c>
      <c r="AD1399" t="s">
        <v>32</v>
      </c>
      <c r="AE1399" t="s">
        <v>47</v>
      </c>
      <c r="AF1399" t="s">
        <v>48</v>
      </c>
    </row>
    <row r="1400" spans="1:32" x14ac:dyDescent="0.25">
      <c r="A1400">
        <v>42</v>
      </c>
      <c r="B1400" t="s">
        <v>41</v>
      </c>
      <c r="C1400" t="s">
        <v>61</v>
      </c>
      <c r="D1400" t="s">
        <v>34</v>
      </c>
      <c r="E1400">
        <v>2</v>
      </c>
      <c r="F1400" t="s">
        <v>35</v>
      </c>
      <c r="G1400">
        <v>3</v>
      </c>
      <c r="H1400">
        <v>3</v>
      </c>
      <c r="I1400" t="s">
        <v>69</v>
      </c>
      <c r="J1400">
        <v>4</v>
      </c>
      <c r="K1400" t="s">
        <v>50</v>
      </c>
      <c r="L1400">
        <v>10124</v>
      </c>
      <c r="M1400">
        <v>2</v>
      </c>
      <c r="N1400" t="s">
        <v>32</v>
      </c>
      <c r="O1400">
        <v>14</v>
      </c>
      <c r="P1400">
        <v>3</v>
      </c>
      <c r="Q1400">
        <v>1</v>
      </c>
      <c r="R1400">
        <v>24</v>
      </c>
      <c r="S1400">
        <v>3</v>
      </c>
      <c r="T1400">
        <v>20</v>
      </c>
      <c r="U1400">
        <v>13</v>
      </c>
      <c r="V1400">
        <v>9</v>
      </c>
      <c r="W1400" t="s">
        <v>38</v>
      </c>
      <c r="X1400" s="1" t="d">
        <v>2001-01-17</v>
      </c>
      <c r="Z1400" t="s">
        <v>63</v>
      </c>
      <c r="AA1400" t="s">
        <v>46</v>
      </c>
      <c r="AB1400">
        <v>3</v>
      </c>
      <c r="AC1400">
        <v>2</v>
      </c>
      <c r="AD1400" t="s">
        <v>32</v>
      </c>
      <c r="AE1400" t="s">
        <v>62</v>
      </c>
      <c r="AF1400" t="s">
        <v>43</v>
      </c>
    </row>
    <row r="1401" spans="1:32" x14ac:dyDescent="0.25">
      <c r="A1401">
        <v>38</v>
      </c>
      <c r="B1401" t="s">
        <v>41</v>
      </c>
      <c r="C1401" t="s">
        <v>61</v>
      </c>
      <c r="D1401" t="s">
        <v>34</v>
      </c>
      <c r="E1401">
        <v>8</v>
      </c>
      <c r="F1401" t="s">
        <v>58</v>
      </c>
      <c r="G1401">
        <v>2</v>
      </c>
      <c r="H1401">
        <v>2</v>
      </c>
      <c r="I1401" t="s">
        <v>44</v>
      </c>
      <c r="J1401">
        <v>2</v>
      </c>
      <c r="K1401" t="s">
        <v>55</v>
      </c>
      <c r="L1401">
        <v>2133</v>
      </c>
      <c r="M1401">
        <v>1</v>
      </c>
      <c r="N1401" t="s">
        <v>32</v>
      </c>
      <c r="O1401">
        <v>16</v>
      </c>
      <c r="P1401">
        <v>3</v>
      </c>
      <c r="Q1401">
        <v>1</v>
      </c>
      <c r="R1401">
        <v>20</v>
      </c>
      <c r="S1401">
        <v>3</v>
      </c>
      <c r="T1401">
        <v>20</v>
      </c>
      <c r="U1401">
        <v>0</v>
      </c>
      <c r="V1401">
        <v>7</v>
      </c>
      <c r="W1401" t="s">
        <v>51</v>
      </c>
      <c r="X1401" s="1" t="d">
        <v>2001-01-23</v>
      </c>
      <c r="Z1401" t="s">
        <v>52</v>
      </c>
      <c r="AA1401" t="s">
        <v>40</v>
      </c>
      <c r="AB1401">
        <v>5</v>
      </c>
      <c r="AC1401">
        <v>1</v>
      </c>
      <c r="AD1401" t="s">
        <v>32</v>
      </c>
      <c r="AE1401" t="s">
        <v>47</v>
      </c>
      <c r="AF1401" t="s">
        <v>57</v>
      </c>
    </row>
    <row r="1402" spans="1:32" x14ac:dyDescent="0.25">
      <c r="A1402">
        <v>39</v>
      </c>
      <c r="B1402" t="s">
        <v>41</v>
      </c>
      <c r="C1402" t="s">
        <v>33</v>
      </c>
      <c r="D1402" t="s">
        <v>53</v>
      </c>
      <c r="E1402">
        <v>15</v>
      </c>
      <c r="F1402" t="s">
        <v>35</v>
      </c>
      <c r="G1402">
        <v>3</v>
      </c>
      <c r="H1402">
        <v>4</v>
      </c>
      <c r="I1402" t="s">
        <v>64</v>
      </c>
      <c r="J1402">
        <v>1</v>
      </c>
      <c r="K1402" t="s">
        <v>37</v>
      </c>
      <c r="L1402">
        <v>13341</v>
      </c>
      <c r="M1402">
        <v>0</v>
      </c>
      <c r="N1402" t="s">
        <v>41</v>
      </c>
      <c r="O1402">
        <v>12</v>
      </c>
      <c r="P1402">
        <v>3</v>
      </c>
      <c r="Q1402">
        <v>0</v>
      </c>
      <c r="R1402">
        <v>21</v>
      </c>
      <c r="S1402">
        <v>3</v>
      </c>
      <c r="T1402">
        <v>20</v>
      </c>
      <c r="U1402">
        <v>11</v>
      </c>
      <c r="V1402">
        <v>10</v>
      </c>
      <c r="W1402" t="s">
        <v>38</v>
      </c>
      <c r="X1402" s="1" t="d">
        <v>2001-02-11</v>
      </c>
      <c r="Z1402" t="s">
        <v>45</v>
      </c>
      <c r="AA1402" t="s">
        <v>46</v>
      </c>
      <c r="AB1402">
        <v>2</v>
      </c>
      <c r="AC1402">
        <v>0</v>
      </c>
      <c r="AD1402" t="s">
        <v>32</v>
      </c>
      <c r="AE1402" t="s">
        <v>47</v>
      </c>
      <c r="AF1402" t="s">
        <v>43</v>
      </c>
    </row>
    <row r="1403" spans="1:32" x14ac:dyDescent="0.25">
      <c r="A1403">
        <v>42</v>
      </c>
      <c r="B1403" t="s">
        <v>41</v>
      </c>
      <c r="C1403" t="s">
        <v>68</v>
      </c>
      <c r="D1403" t="s">
        <v>34</v>
      </c>
      <c r="E1403">
        <v>23</v>
      </c>
      <c r="F1403" t="s">
        <v>35</v>
      </c>
      <c r="G1403">
        <v>2</v>
      </c>
      <c r="H1403">
        <v>2</v>
      </c>
      <c r="I1403" t="s">
        <v>44</v>
      </c>
      <c r="J1403">
        <v>3</v>
      </c>
      <c r="K1403" t="s">
        <v>37</v>
      </c>
      <c r="L1403">
        <v>4332</v>
      </c>
      <c r="M1403">
        <v>1</v>
      </c>
      <c r="N1403" t="s">
        <v>41</v>
      </c>
      <c r="O1403">
        <v>12</v>
      </c>
      <c r="P1403">
        <v>3</v>
      </c>
      <c r="Q1403">
        <v>0</v>
      </c>
      <c r="R1403">
        <v>20</v>
      </c>
      <c r="S1403">
        <v>2</v>
      </c>
      <c r="T1403">
        <v>20</v>
      </c>
      <c r="U1403">
        <v>3</v>
      </c>
      <c r="V1403">
        <v>7</v>
      </c>
      <c r="W1403" t="s">
        <v>56</v>
      </c>
      <c r="X1403" s="1" t="d">
        <v>2001-06-04</v>
      </c>
      <c r="Z1403" t="s">
        <v>59</v>
      </c>
      <c r="AA1403" t="s">
        <v>40</v>
      </c>
      <c r="AB1403">
        <v>1</v>
      </c>
      <c r="AC1403">
        <v>1</v>
      </c>
      <c r="AD1403" t="s">
        <v>32</v>
      </c>
      <c r="AE1403" t="s">
        <v>47</v>
      </c>
      <c r="AF1403" t="s">
        <v>43</v>
      </c>
    </row>
    <row r="1404" spans="1:32" x14ac:dyDescent="0.25">
      <c r="A1404">
        <v>41</v>
      </c>
      <c r="B1404" t="s">
        <v>41</v>
      </c>
      <c r="C1404" t="s">
        <v>33</v>
      </c>
      <c r="D1404" t="s">
        <v>34</v>
      </c>
      <c r="E1404">
        <v>28</v>
      </c>
      <c r="F1404" t="s">
        <v>58</v>
      </c>
      <c r="G1404">
        <v>2</v>
      </c>
      <c r="H1404">
        <v>4</v>
      </c>
      <c r="I1404" t="s">
        <v>67</v>
      </c>
      <c r="J1404">
        <v>2</v>
      </c>
      <c r="K1404" t="s">
        <v>50</v>
      </c>
      <c r="L1404">
        <v>13570</v>
      </c>
      <c r="M1404">
        <v>0</v>
      </c>
      <c r="N1404" t="s">
        <v>41</v>
      </c>
      <c r="O1404">
        <v>23</v>
      </c>
      <c r="P1404">
        <v>4</v>
      </c>
      <c r="Q1404">
        <v>1</v>
      </c>
      <c r="R1404">
        <v>21</v>
      </c>
      <c r="S1404">
        <v>3</v>
      </c>
      <c r="T1404">
        <v>20</v>
      </c>
      <c r="U1404">
        <v>0</v>
      </c>
      <c r="V1404">
        <v>10</v>
      </c>
      <c r="W1404" t="s">
        <v>51</v>
      </c>
      <c r="X1404" s="1" t="d">
        <v>2001-06-29</v>
      </c>
      <c r="Z1404" t="s">
        <v>39</v>
      </c>
      <c r="AA1404" t="s">
        <v>46</v>
      </c>
      <c r="AB1404">
        <v>0</v>
      </c>
      <c r="AC1404">
        <v>1</v>
      </c>
      <c r="AD1404" t="s">
        <v>41</v>
      </c>
      <c r="AE1404" t="s">
        <v>42</v>
      </c>
      <c r="AF1404" t="s">
        <v>43</v>
      </c>
    </row>
    <row r="1405" spans="1:32" x14ac:dyDescent="0.25">
      <c r="A1405">
        <v>39</v>
      </c>
      <c r="B1405" t="s">
        <v>41</v>
      </c>
      <c r="C1405" t="s">
        <v>33</v>
      </c>
      <c r="D1405" t="s">
        <v>53</v>
      </c>
      <c r="E1405">
        <v>24</v>
      </c>
      <c r="F1405" t="s">
        <v>58</v>
      </c>
      <c r="G1405">
        <v>2</v>
      </c>
      <c r="H1405">
        <v>4</v>
      </c>
      <c r="I1405" t="s">
        <v>64</v>
      </c>
      <c r="J1405">
        <v>4</v>
      </c>
      <c r="K1405" t="s">
        <v>50</v>
      </c>
      <c r="L1405">
        <v>12031</v>
      </c>
      <c r="M1405">
        <v>0</v>
      </c>
      <c r="N1405" t="s">
        <v>41</v>
      </c>
      <c r="O1405">
        <v>11</v>
      </c>
      <c r="P1405">
        <v>3</v>
      </c>
      <c r="Q1405">
        <v>1</v>
      </c>
      <c r="R1405">
        <v>21</v>
      </c>
      <c r="S1405">
        <v>2</v>
      </c>
      <c r="T1405">
        <v>20</v>
      </c>
      <c r="U1405">
        <v>9</v>
      </c>
      <c r="V1405">
        <v>6</v>
      </c>
      <c r="W1405" t="s">
        <v>38</v>
      </c>
      <c r="X1405" s="1" t="d">
        <v>2001-04-01</v>
      </c>
      <c r="Z1405" t="s">
        <v>63</v>
      </c>
      <c r="AA1405" t="s">
        <v>40</v>
      </c>
      <c r="AB1405">
        <v>0</v>
      </c>
      <c r="AC1405">
        <v>0</v>
      </c>
      <c r="AD1405" t="s">
        <v>32</v>
      </c>
      <c r="AE1405" t="s">
        <v>62</v>
      </c>
      <c r="AF1405" t="s">
        <v>43</v>
      </c>
    </row>
    <row r="1406" spans="1:32" x14ac:dyDescent="0.25">
      <c r="A1406">
        <v>59</v>
      </c>
      <c r="B1406" t="s">
        <v>41</v>
      </c>
      <c r="C1406" t="s">
        <v>33</v>
      </c>
      <c r="D1406" t="s">
        <v>53</v>
      </c>
      <c r="E1406">
        <v>25</v>
      </c>
      <c r="F1406" t="s">
        <v>58</v>
      </c>
      <c r="G1406">
        <v>3</v>
      </c>
      <c r="H1406">
        <v>3</v>
      </c>
      <c r="I1406" t="s">
        <v>64</v>
      </c>
      <c r="J1406">
        <v>1</v>
      </c>
      <c r="K1406" t="s">
        <v>37</v>
      </c>
      <c r="L1406">
        <v>7637</v>
      </c>
      <c r="M1406">
        <v>7</v>
      </c>
      <c r="N1406" t="s">
        <v>41</v>
      </c>
      <c r="O1406">
        <v>11</v>
      </c>
      <c r="P1406">
        <v>3</v>
      </c>
      <c r="Q1406">
        <v>0</v>
      </c>
      <c r="R1406">
        <v>28</v>
      </c>
      <c r="S1406">
        <v>3</v>
      </c>
      <c r="T1406">
        <v>21</v>
      </c>
      <c r="U1406">
        <v>7</v>
      </c>
      <c r="V1406">
        <v>9</v>
      </c>
      <c r="W1406" t="s">
        <v>65</v>
      </c>
      <c r="X1406" s="1" t="d">
        <v>2000-02-29</v>
      </c>
      <c r="Z1406" t="s">
        <v>59</v>
      </c>
      <c r="AA1406" t="s">
        <v>40</v>
      </c>
      <c r="AB1406">
        <v>2</v>
      </c>
      <c r="AC1406">
        <v>3</v>
      </c>
      <c r="AD1406" t="s">
        <v>32</v>
      </c>
      <c r="AE1406" t="s">
        <v>60</v>
      </c>
      <c r="AF1406" t="s">
        <v>48</v>
      </c>
    </row>
    <row r="1407" spans="1:32" x14ac:dyDescent="0.25">
      <c r="A1407">
        <v>40</v>
      </c>
      <c r="B1407" t="s">
        <v>41</v>
      </c>
      <c r="C1407" t="s">
        <v>33</v>
      </c>
      <c r="D1407" t="s">
        <v>34</v>
      </c>
      <c r="E1407">
        <v>2</v>
      </c>
      <c r="F1407" t="s">
        <v>35</v>
      </c>
      <c r="G1407">
        <v>3</v>
      </c>
      <c r="H1407">
        <v>5</v>
      </c>
      <c r="I1407" t="s">
        <v>49</v>
      </c>
      <c r="J1407">
        <v>3</v>
      </c>
      <c r="K1407" t="s">
        <v>55</v>
      </c>
      <c r="L1407">
        <v>19436</v>
      </c>
      <c r="M1407">
        <v>0</v>
      </c>
      <c r="N1407" t="s">
        <v>41</v>
      </c>
      <c r="O1407">
        <v>19</v>
      </c>
      <c r="P1407">
        <v>3</v>
      </c>
      <c r="Q1407">
        <v>1</v>
      </c>
      <c r="R1407">
        <v>22</v>
      </c>
      <c r="S1407">
        <v>5</v>
      </c>
      <c r="T1407">
        <v>21</v>
      </c>
      <c r="U1407">
        <v>3</v>
      </c>
      <c r="V1407">
        <v>9</v>
      </c>
      <c r="W1407" t="s">
        <v>56</v>
      </c>
      <c r="X1407" s="1" t="d">
        <v>2000-02-13</v>
      </c>
      <c r="Z1407" t="s">
        <v>52</v>
      </c>
      <c r="AA1407" t="s">
        <v>40</v>
      </c>
      <c r="AB1407">
        <v>3</v>
      </c>
      <c r="AC1407">
        <v>2</v>
      </c>
      <c r="AD1407" t="s">
        <v>41</v>
      </c>
      <c r="AE1407" t="s">
        <v>62</v>
      </c>
      <c r="AF1407" t="s">
        <v>43</v>
      </c>
    </row>
    <row r="1408" spans="1:32" x14ac:dyDescent="0.25">
      <c r="A1408">
        <v>39</v>
      </c>
      <c r="B1408" t="s">
        <v>41</v>
      </c>
      <c r="C1408" t="s">
        <v>33</v>
      </c>
      <c r="D1408" t="s">
        <v>34</v>
      </c>
      <c r="E1408">
        <v>10</v>
      </c>
      <c r="F1408" t="s">
        <v>35</v>
      </c>
      <c r="G1408">
        <v>3</v>
      </c>
      <c r="H1408">
        <v>4</v>
      </c>
      <c r="I1408" t="s">
        <v>66</v>
      </c>
      <c r="J1408">
        <v>1</v>
      </c>
      <c r="K1408" t="s">
        <v>50</v>
      </c>
      <c r="L1408">
        <v>17068</v>
      </c>
      <c r="M1408">
        <v>1</v>
      </c>
      <c r="N1408" t="s">
        <v>32</v>
      </c>
      <c r="O1408">
        <v>14</v>
      </c>
      <c r="P1408">
        <v>3</v>
      </c>
      <c r="Q1408">
        <v>0</v>
      </c>
      <c r="R1408">
        <v>21</v>
      </c>
      <c r="S1408">
        <v>3</v>
      </c>
      <c r="T1408">
        <v>21</v>
      </c>
      <c r="U1408">
        <v>11</v>
      </c>
      <c r="V1408">
        <v>10</v>
      </c>
      <c r="W1408" t="s">
        <v>56</v>
      </c>
      <c r="X1408" s="1" t="d">
        <v>2000-01-11</v>
      </c>
      <c r="Z1408" t="s">
        <v>39</v>
      </c>
      <c r="AA1408" t="s">
        <v>46</v>
      </c>
      <c r="AB1408">
        <v>4</v>
      </c>
      <c r="AC1408">
        <v>0</v>
      </c>
      <c r="AD1408" t="s">
        <v>32</v>
      </c>
      <c r="AE1408" t="s">
        <v>60</v>
      </c>
      <c r="AF1408" t="s">
        <v>43</v>
      </c>
    </row>
    <row r="1409" spans="1:32" x14ac:dyDescent="0.25">
      <c r="A1409">
        <v>39</v>
      </c>
      <c r="B1409" t="s">
        <v>41</v>
      </c>
      <c r="C1409" t="s">
        <v>61</v>
      </c>
      <c r="D1409" t="s">
        <v>34</v>
      </c>
      <c r="E1409">
        <v>7</v>
      </c>
      <c r="F1409" t="s">
        <v>35</v>
      </c>
      <c r="G1409">
        <v>2</v>
      </c>
      <c r="H1409">
        <v>5</v>
      </c>
      <c r="I1409" t="s">
        <v>66</v>
      </c>
      <c r="J1409">
        <v>4</v>
      </c>
      <c r="K1409" t="s">
        <v>50</v>
      </c>
      <c r="L1409">
        <v>19272</v>
      </c>
      <c r="M1409">
        <v>1</v>
      </c>
      <c r="N1409" t="s">
        <v>41</v>
      </c>
      <c r="O1409">
        <v>15</v>
      </c>
      <c r="P1409">
        <v>3</v>
      </c>
      <c r="Q1409">
        <v>1</v>
      </c>
      <c r="R1409">
        <v>21</v>
      </c>
      <c r="S1409">
        <v>2</v>
      </c>
      <c r="T1409">
        <v>21</v>
      </c>
      <c r="U1409">
        <v>13</v>
      </c>
      <c r="V1409">
        <v>3</v>
      </c>
      <c r="W1409" t="s">
        <v>56</v>
      </c>
      <c r="X1409" s="1" t="d">
        <v>2000-02-27</v>
      </c>
      <c r="Z1409" t="s">
        <v>52</v>
      </c>
      <c r="AA1409" t="s">
        <v>46</v>
      </c>
      <c r="AB1409">
        <v>3</v>
      </c>
      <c r="AC1409">
        <v>0</v>
      </c>
      <c r="AD1409" t="s">
        <v>41</v>
      </c>
      <c r="AE1409" t="s">
        <v>42</v>
      </c>
      <c r="AF1409" t="s">
        <v>48</v>
      </c>
    </row>
    <row r="1410" spans="1:32" x14ac:dyDescent="0.25">
      <c r="A1410">
        <v>39</v>
      </c>
      <c r="B1410" t="s">
        <v>41</v>
      </c>
      <c r="C1410" t="s">
        <v>61</v>
      </c>
      <c r="D1410" t="s">
        <v>34</v>
      </c>
      <c r="E1410">
        <v>1</v>
      </c>
      <c r="F1410" t="s">
        <v>35</v>
      </c>
      <c r="G1410">
        <v>3</v>
      </c>
      <c r="H1410">
        <v>5</v>
      </c>
      <c r="I1410" t="s">
        <v>66</v>
      </c>
      <c r="J1410">
        <v>3</v>
      </c>
      <c r="K1410" t="s">
        <v>55</v>
      </c>
      <c r="L1410">
        <v>19197</v>
      </c>
      <c r="M1410">
        <v>1</v>
      </c>
      <c r="N1410" t="s">
        <v>32</v>
      </c>
      <c r="O1410">
        <v>14</v>
      </c>
      <c r="P1410">
        <v>3</v>
      </c>
      <c r="Q1410">
        <v>1</v>
      </c>
      <c r="R1410">
        <v>21</v>
      </c>
      <c r="S1410">
        <v>3</v>
      </c>
      <c r="T1410">
        <v>21</v>
      </c>
      <c r="U1410">
        <v>1</v>
      </c>
      <c r="V1410">
        <v>6</v>
      </c>
      <c r="W1410" t="s">
        <v>38</v>
      </c>
      <c r="X1410" s="1" t="d">
        <v>2000-05-26</v>
      </c>
      <c r="Z1410" t="s">
        <v>59</v>
      </c>
      <c r="AA1410" t="s">
        <v>46</v>
      </c>
      <c r="AB1410">
        <v>2</v>
      </c>
      <c r="AC1410">
        <v>1</v>
      </c>
      <c r="AD1410" t="s">
        <v>32</v>
      </c>
      <c r="AE1410" t="s">
        <v>60</v>
      </c>
      <c r="AF1410" t="s">
        <v>57</v>
      </c>
    </row>
    <row r="1411" spans="1:32" x14ac:dyDescent="0.25">
      <c r="A1411">
        <v>41</v>
      </c>
      <c r="B1411" t="s">
        <v>41</v>
      </c>
      <c r="C1411" t="s">
        <v>33</v>
      </c>
      <c r="D1411" t="s">
        <v>70</v>
      </c>
      <c r="E1411">
        <v>10</v>
      </c>
      <c r="F1411" t="s">
        <v>35</v>
      </c>
      <c r="G1411">
        <v>2</v>
      </c>
      <c r="H1411">
        <v>5</v>
      </c>
      <c r="I1411" t="s">
        <v>66</v>
      </c>
      <c r="J1411">
        <v>4</v>
      </c>
      <c r="K1411" t="s">
        <v>55</v>
      </c>
      <c r="L1411">
        <v>19141</v>
      </c>
      <c r="M1411">
        <v>3</v>
      </c>
      <c r="N1411" t="s">
        <v>41</v>
      </c>
      <c r="O1411">
        <v>15</v>
      </c>
      <c r="P1411">
        <v>3</v>
      </c>
      <c r="Q1411">
        <v>3</v>
      </c>
      <c r="R1411">
        <v>23</v>
      </c>
      <c r="S1411">
        <v>2</v>
      </c>
      <c r="T1411">
        <v>21</v>
      </c>
      <c r="U1411">
        <v>12</v>
      </c>
      <c r="V1411">
        <v>6</v>
      </c>
      <c r="W1411" t="s">
        <v>38</v>
      </c>
      <c r="X1411" s="1" t="d">
        <v>2000-01-08</v>
      </c>
      <c r="Z1411" t="s">
        <v>52</v>
      </c>
      <c r="AA1411" t="s">
        <v>46</v>
      </c>
      <c r="AB1411">
        <v>2</v>
      </c>
      <c r="AC1411">
        <v>0</v>
      </c>
      <c r="AD1411" t="s">
        <v>41</v>
      </c>
      <c r="AE1411" t="s">
        <v>47</v>
      </c>
      <c r="AF1411" t="s">
        <v>57</v>
      </c>
    </row>
    <row r="1412" spans="1:32" x14ac:dyDescent="0.25">
      <c r="A1412">
        <v>39</v>
      </c>
      <c r="B1412" t="s">
        <v>41</v>
      </c>
      <c r="C1412" t="s">
        <v>33</v>
      </c>
      <c r="D1412" t="s">
        <v>34</v>
      </c>
      <c r="E1412">
        <v>1</v>
      </c>
      <c r="F1412" t="s">
        <v>58</v>
      </c>
      <c r="G1412">
        <v>2</v>
      </c>
      <c r="H1412">
        <v>4</v>
      </c>
      <c r="I1412" t="s">
        <v>67</v>
      </c>
      <c r="J1412">
        <v>4</v>
      </c>
      <c r="K1412" t="s">
        <v>50</v>
      </c>
      <c r="L1412">
        <v>12742</v>
      </c>
      <c r="M1412">
        <v>1</v>
      </c>
      <c r="N1412" t="s">
        <v>41</v>
      </c>
      <c r="O1412">
        <v>16</v>
      </c>
      <c r="P1412">
        <v>3</v>
      </c>
      <c r="Q1412">
        <v>1</v>
      </c>
      <c r="R1412">
        <v>21</v>
      </c>
      <c r="S1412">
        <v>3</v>
      </c>
      <c r="T1412">
        <v>21</v>
      </c>
      <c r="U1412">
        <v>11</v>
      </c>
      <c r="V1412">
        <v>8</v>
      </c>
      <c r="W1412" t="s">
        <v>56</v>
      </c>
      <c r="X1412" s="1" t="d">
        <v>2000-01-06</v>
      </c>
      <c r="Z1412" t="s">
        <v>52</v>
      </c>
      <c r="AA1412" t="s">
        <v>40</v>
      </c>
      <c r="AB1412">
        <v>3</v>
      </c>
      <c r="AC1412">
        <v>0</v>
      </c>
      <c r="AD1412" t="s">
        <v>41</v>
      </c>
      <c r="AE1412" t="s">
        <v>42</v>
      </c>
      <c r="AF1412" t="s">
        <v>48</v>
      </c>
    </row>
    <row r="1413" spans="1:32" x14ac:dyDescent="0.25">
      <c r="A1413">
        <v>41</v>
      </c>
      <c r="B1413" t="s">
        <v>41</v>
      </c>
      <c r="C1413" t="s">
        <v>68</v>
      </c>
      <c r="D1413" t="s">
        <v>34</v>
      </c>
      <c r="E1413">
        <v>7</v>
      </c>
      <c r="F1413" t="s">
        <v>58</v>
      </c>
      <c r="G1413">
        <v>1</v>
      </c>
      <c r="H1413">
        <v>5</v>
      </c>
      <c r="I1413" t="s">
        <v>49</v>
      </c>
      <c r="J1413">
        <v>3</v>
      </c>
      <c r="K1413" t="s">
        <v>55</v>
      </c>
      <c r="L1413">
        <v>19973</v>
      </c>
      <c r="M1413">
        <v>1</v>
      </c>
      <c r="N1413" t="s">
        <v>41</v>
      </c>
      <c r="O1413">
        <v>22</v>
      </c>
      <c r="P1413">
        <v>4</v>
      </c>
      <c r="Q1413">
        <v>2</v>
      </c>
      <c r="R1413">
        <v>21</v>
      </c>
      <c r="S1413">
        <v>3</v>
      </c>
      <c r="T1413">
        <v>21</v>
      </c>
      <c r="U1413">
        <v>5</v>
      </c>
      <c r="V1413">
        <v>10</v>
      </c>
      <c r="W1413" t="s">
        <v>51</v>
      </c>
      <c r="X1413" s="1" t="d">
        <v>2000-03-16</v>
      </c>
      <c r="Z1413" t="s">
        <v>63</v>
      </c>
      <c r="AA1413" t="s">
        <v>46</v>
      </c>
      <c r="AB1413">
        <v>3</v>
      </c>
      <c r="AC1413">
        <v>3</v>
      </c>
      <c r="AD1413" t="s">
        <v>41</v>
      </c>
      <c r="AE1413" t="s">
        <v>62</v>
      </c>
      <c r="AF1413" t="s">
        <v>43</v>
      </c>
    </row>
    <row r="1414" spans="1:32" x14ac:dyDescent="0.25">
      <c r="A1414">
        <v>39</v>
      </c>
      <c r="B1414" t="s">
        <v>41</v>
      </c>
      <c r="C1414" t="s">
        <v>61</v>
      </c>
      <c r="D1414" t="s">
        <v>34</v>
      </c>
      <c r="E1414">
        <v>22</v>
      </c>
      <c r="F1414" t="s">
        <v>58</v>
      </c>
      <c r="G1414">
        <v>3</v>
      </c>
      <c r="H1414">
        <v>3</v>
      </c>
      <c r="I1414" t="s">
        <v>67</v>
      </c>
      <c r="J1414">
        <v>1</v>
      </c>
      <c r="K1414" t="s">
        <v>37</v>
      </c>
      <c r="L1414">
        <v>10880</v>
      </c>
      <c r="M1414">
        <v>1</v>
      </c>
      <c r="N1414" t="s">
        <v>32</v>
      </c>
      <c r="O1414">
        <v>13</v>
      </c>
      <c r="P1414">
        <v>3</v>
      </c>
      <c r="Q1414">
        <v>0</v>
      </c>
      <c r="R1414">
        <v>21</v>
      </c>
      <c r="S1414">
        <v>2</v>
      </c>
      <c r="T1414">
        <v>21</v>
      </c>
      <c r="U1414">
        <v>2</v>
      </c>
      <c r="V1414">
        <v>8</v>
      </c>
      <c r="W1414" t="s">
        <v>51</v>
      </c>
      <c r="X1414" s="1" t="d">
        <v>2000-04-25</v>
      </c>
      <c r="Z1414" t="s">
        <v>63</v>
      </c>
      <c r="AA1414" t="s">
        <v>40</v>
      </c>
      <c r="AB1414">
        <v>2</v>
      </c>
      <c r="AC1414">
        <v>0</v>
      </c>
      <c r="AD1414" t="s">
        <v>32</v>
      </c>
      <c r="AE1414" t="s">
        <v>47</v>
      </c>
      <c r="AF1414" t="s">
        <v>43</v>
      </c>
    </row>
    <row r="1415" spans="1:32" x14ac:dyDescent="0.25">
      <c r="A1415">
        <v>42</v>
      </c>
      <c r="B1415" t="s">
        <v>32</v>
      </c>
      <c r="C1415" t="s">
        <v>61</v>
      </c>
      <c r="D1415" t="s">
        <v>53</v>
      </c>
      <c r="E1415">
        <v>12</v>
      </c>
      <c r="F1415" t="s">
        <v>35</v>
      </c>
      <c r="G1415">
        <v>3</v>
      </c>
      <c r="H1415">
        <v>4</v>
      </c>
      <c r="I1415" t="s">
        <v>64</v>
      </c>
      <c r="J1415">
        <v>1</v>
      </c>
      <c r="K1415" t="s">
        <v>37</v>
      </c>
      <c r="L1415">
        <v>13758</v>
      </c>
      <c r="M1415">
        <v>0</v>
      </c>
      <c r="N1415" t="s">
        <v>32</v>
      </c>
      <c r="O1415">
        <v>12</v>
      </c>
      <c r="P1415">
        <v>3</v>
      </c>
      <c r="Q1415">
        <v>0</v>
      </c>
      <c r="R1415">
        <v>22</v>
      </c>
      <c r="S1415">
        <v>2</v>
      </c>
      <c r="T1415">
        <v>21</v>
      </c>
      <c r="U1415">
        <v>13</v>
      </c>
      <c r="V1415">
        <v>14</v>
      </c>
      <c r="W1415" t="s">
        <v>38</v>
      </c>
      <c r="X1415" s="1" t="d">
        <v>2000-01-12</v>
      </c>
      <c r="Z1415" t="s">
        <v>63</v>
      </c>
      <c r="AA1415" t="s">
        <v>40</v>
      </c>
      <c r="AB1415">
        <v>4</v>
      </c>
      <c r="AC1415">
        <v>1</v>
      </c>
      <c r="AD1415" t="s">
        <v>41</v>
      </c>
      <c r="AE1415" t="s">
        <v>42</v>
      </c>
      <c r="AF1415" t="s">
        <v>43</v>
      </c>
    </row>
    <row r="1416" spans="1:32" x14ac:dyDescent="0.25">
      <c r="A1416">
        <v>43</v>
      </c>
      <c r="B1416" t="s">
        <v>41</v>
      </c>
      <c r="C1416" t="s">
        <v>33</v>
      </c>
      <c r="D1416" t="s">
        <v>53</v>
      </c>
      <c r="E1416">
        <v>4</v>
      </c>
      <c r="F1416" t="s">
        <v>58</v>
      </c>
      <c r="G1416">
        <v>2</v>
      </c>
      <c r="H1416">
        <v>3</v>
      </c>
      <c r="I1416" t="s">
        <v>64</v>
      </c>
      <c r="J1416">
        <v>4</v>
      </c>
      <c r="K1416" t="s">
        <v>37</v>
      </c>
      <c r="L1416">
        <v>10231</v>
      </c>
      <c r="M1416">
        <v>3</v>
      </c>
      <c r="N1416" t="s">
        <v>41</v>
      </c>
      <c r="O1416">
        <v>14</v>
      </c>
      <c r="P1416">
        <v>3</v>
      </c>
      <c r="Q1416">
        <v>0</v>
      </c>
      <c r="R1416">
        <v>23</v>
      </c>
      <c r="S1416">
        <v>3</v>
      </c>
      <c r="T1416">
        <v>21</v>
      </c>
      <c r="U1416">
        <v>15</v>
      </c>
      <c r="V1416">
        <v>17</v>
      </c>
      <c r="W1416" t="s">
        <v>38</v>
      </c>
      <c r="X1416" s="1" t="d">
        <v>2000-02-15</v>
      </c>
      <c r="Z1416" t="s">
        <v>39</v>
      </c>
      <c r="AA1416" t="s">
        <v>40</v>
      </c>
      <c r="AB1416">
        <v>3</v>
      </c>
      <c r="AC1416">
        <v>0</v>
      </c>
      <c r="AD1416" t="s">
        <v>41</v>
      </c>
      <c r="AE1416" t="s">
        <v>62</v>
      </c>
      <c r="AF1416" t="s">
        <v>57</v>
      </c>
    </row>
    <row r="1417" spans="1:32" x14ac:dyDescent="0.25">
      <c r="A1417">
        <v>40</v>
      </c>
      <c r="B1417" t="s">
        <v>41</v>
      </c>
      <c r="C1417" t="s">
        <v>33</v>
      </c>
      <c r="D1417" t="s">
        <v>70</v>
      </c>
      <c r="E1417">
        <v>6</v>
      </c>
      <c r="F1417" t="s">
        <v>35</v>
      </c>
      <c r="G1417">
        <v>3</v>
      </c>
      <c r="H1417">
        <v>4</v>
      </c>
      <c r="I1417" t="s">
        <v>66</v>
      </c>
      <c r="J1417">
        <v>4</v>
      </c>
      <c r="K1417" t="s">
        <v>37</v>
      </c>
      <c r="L1417">
        <v>16437</v>
      </c>
      <c r="M1417">
        <v>1</v>
      </c>
      <c r="N1417" t="s">
        <v>32</v>
      </c>
      <c r="O1417">
        <v>21</v>
      </c>
      <c r="P1417">
        <v>4</v>
      </c>
      <c r="Q1417">
        <v>0</v>
      </c>
      <c r="R1417">
        <v>21</v>
      </c>
      <c r="S1417">
        <v>2</v>
      </c>
      <c r="T1417">
        <v>21</v>
      </c>
      <c r="U1417">
        <v>7</v>
      </c>
      <c r="V1417">
        <v>7</v>
      </c>
      <c r="W1417" t="s">
        <v>51</v>
      </c>
      <c r="X1417" s="1" t="d">
        <v>2000-03-02</v>
      </c>
      <c r="Z1417" t="s">
        <v>63</v>
      </c>
      <c r="AA1417" t="s">
        <v>40</v>
      </c>
      <c r="AB1417">
        <v>4</v>
      </c>
      <c r="AC1417">
        <v>3</v>
      </c>
      <c r="AD1417" t="s">
        <v>41</v>
      </c>
      <c r="AE1417" t="s">
        <v>42</v>
      </c>
      <c r="AF1417" t="s">
        <v>57</v>
      </c>
    </row>
    <row r="1418" spans="1:32" x14ac:dyDescent="0.25">
      <c r="A1418">
        <v>45</v>
      </c>
      <c r="B1418" t="s">
        <v>41</v>
      </c>
      <c r="C1418" t="s">
        <v>33</v>
      </c>
      <c r="D1418" t="s">
        <v>34</v>
      </c>
      <c r="E1418">
        <v>28</v>
      </c>
      <c r="F1418" t="s">
        <v>58</v>
      </c>
      <c r="G1418">
        <v>2</v>
      </c>
      <c r="H1418">
        <v>4</v>
      </c>
      <c r="I1418" t="s">
        <v>49</v>
      </c>
      <c r="J1418">
        <v>2</v>
      </c>
      <c r="K1418" t="s">
        <v>37</v>
      </c>
      <c r="L1418">
        <v>16704</v>
      </c>
      <c r="M1418">
        <v>1</v>
      </c>
      <c r="N1418" t="s">
        <v>41</v>
      </c>
      <c r="O1418">
        <v>11</v>
      </c>
      <c r="P1418">
        <v>3</v>
      </c>
      <c r="Q1418">
        <v>0</v>
      </c>
      <c r="R1418">
        <v>21</v>
      </c>
      <c r="S1418">
        <v>2</v>
      </c>
      <c r="T1418">
        <v>21</v>
      </c>
      <c r="U1418">
        <v>8</v>
      </c>
      <c r="V1418">
        <v>6</v>
      </c>
      <c r="W1418" t="s">
        <v>65</v>
      </c>
      <c r="X1418" s="1" t="d">
        <v>2000-01-18</v>
      </c>
      <c r="Z1418" t="s">
        <v>63</v>
      </c>
      <c r="AA1418" t="s">
        <v>40</v>
      </c>
      <c r="AB1418">
        <v>4</v>
      </c>
      <c r="AC1418">
        <v>2</v>
      </c>
      <c r="AD1418" t="s">
        <v>32</v>
      </c>
      <c r="AE1418" t="s">
        <v>47</v>
      </c>
      <c r="AF1418" t="s">
        <v>43</v>
      </c>
    </row>
    <row r="1419" spans="1:32" x14ac:dyDescent="0.25">
      <c r="A1419">
        <v>40</v>
      </c>
      <c r="B1419" t="s">
        <v>41</v>
      </c>
      <c r="C1419" t="s">
        <v>33</v>
      </c>
      <c r="D1419" t="s">
        <v>53</v>
      </c>
      <c r="E1419">
        <v>7</v>
      </c>
      <c r="F1419" t="s">
        <v>35</v>
      </c>
      <c r="G1419">
        <v>3</v>
      </c>
      <c r="H1419">
        <v>5</v>
      </c>
      <c r="I1419" t="s">
        <v>66</v>
      </c>
      <c r="J1419">
        <v>2</v>
      </c>
      <c r="K1419" t="s">
        <v>37</v>
      </c>
      <c r="L1419">
        <v>19833</v>
      </c>
      <c r="M1419">
        <v>1</v>
      </c>
      <c r="N1419" t="s">
        <v>41</v>
      </c>
      <c r="O1419">
        <v>14</v>
      </c>
      <c r="P1419">
        <v>3</v>
      </c>
      <c r="Q1419">
        <v>0</v>
      </c>
      <c r="R1419">
        <v>21</v>
      </c>
      <c r="S1419">
        <v>3</v>
      </c>
      <c r="T1419">
        <v>21</v>
      </c>
      <c r="U1419">
        <v>12</v>
      </c>
      <c r="V1419">
        <v>8</v>
      </c>
      <c r="W1419" t="s">
        <v>38</v>
      </c>
      <c r="X1419" s="1" t="d">
        <v>2000-03-08</v>
      </c>
      <c r="Z1419" t="s">
        <v>63</v>
      </c>
      <c r="AA1419" t="s">
        <v>40</v>
      </c>
      <c r="AB1419">
        <v>0</v>
      </c>
      <c r="AC1419">
        <v>1</v>
      </c>
      <c r="AD1419" t="s">
        <v>41</v>
      </c>
      <c r="AE1419" t="s">
        <v>60</v>
      </c>
      <c r="AF1419" t="s">
        <v>48</v>
      </c>
    </row>
    <row r="1420" spans="1:32" x14ac:dyDescent="0.25">
      <c r="A1420">
        <v>44</v>
      </c>
      <c r="B1420" t="s">
        <v>41</v>
      </c>
      <c r="C1420" t="s">
        <v>33</v>
      </c>
      <c r="D1420" t="s">
        <v>34</v>
      </c>
      <c r="E1420">
        <v>7</v>
      </c>
      <c r="F1420" t="s">
        <v>58</v>
      </c>
      <c r="G1420">
        <v>2</v>
      </c>
      <c r="H1420">
        <v>3</v>
      </c>
      <c r="I1420" t="s">
        <v>69</v>
      </c>
      <c r="J1420">
        <v>4</v>
      </c>
      <c r="K1420" t="s">
        <v>50</v>
      </c>
      <c r="L1420">
        <v>10248</v>
      </c>
      <c r="M1420">
        <v>3</v>
      </c>
      <c r="N1420" t="s">
        <v>41</v>
      </c>
      <c r="O1420">
        <v>14</v>
      </c>
      <c r="P1420">
        <v>3</v>
      </c>
      <c r="Q1420">
        <v>1</v>
      </c>
      <c r="R1420">
        <v>24</v>
      </c>
      <c r="S1420">
        <v>4</v>
      </c>
      <c r="T1420">
        <v>22</v>
      </c>
      <c r="U1420">
        <v>5</v>
      </c>
      <c r="V1420">
        <v>17</v>
      </c>
      <c r="W1420" t="s">
        <v>65</v>
      </c>
      <c r="X1420" s="1" t="d">
        <v>1999-03-20</v>
      </c>
      <c r="Z1420" t="s">
        <v>45</v>
      </c>
      <c r="AA1420" t="s">
        <v>40</v>
      </c>
      <c r="AB1420">
        <v>4</v>
      </c>
      <c r="AC1420">
        <v>1</v>
      </c>
      <c r="AD1420" t="s">
        <v>41</v>
      </c>
      <c r="AE1420" t="s">
        <v>60</v>
      </c>
      <c r="AF1420" t="s">
        <v>43</v>
      </c>
    </row>
    <row r="1421" spans="1:32" x14ac:dyDescent="0.25">
      <c r="A1421">
        <v>41</v>
      </c>
      <c r="B1421" t="s">
        <v>32</v>
      </c>
      <c r="C1421" t="s">
        <v>33</v>
      </c>
      <c r="D1421" t="s">
        <v>34</v>
      </c>
      <c r="E1421">
        <v>12</v>
      </c>
      <c r="F1421" t="s">
        <v>58</v>
      </c>
      <c r="G1421">
        <v>3</v>
      </c>
      <c r="H1421">
        <v>5</v>
      </c>
      <c r="I1421" t="s">
        <v>49</v>
      </c>
      <c r="J1421">
        <v>3</v>
      </c>
      <c r="K1421" t="s">
        <v>50</v>
      </c>
      <c r="L1421">
        <v>19545</v>
      </c>
      <c r="M1421">
        <v>1</v>
      </c>
      <c r="N1421" t="s">
        <v>41</v>
      </c>
      <c r="O1421">
        <v>12</v>
      </c>
      <c r="P1421">
        <v>3</v>
      </c>
      <c r="Q1421">
        <v>0</v>
      </c>
      <c r="R1421">
        <v>23</v>
      </c>
      <c r="S1421">
        <v>0</v>
      </c>
      <c r="T1421">
        <v>22</v>
      </c>
      <c r="U1421">
        <v>15</v>
      </c>
      <c r="V1421">
        <v>8</v>
      </c>
      <c r="W1421" t="s">
        <v>65</v>
      </c>
      <c r="X1421" s="1" t="d">
        <v>1999-02-24</v>
      </c>
      <c r="Z1421" t="s">
        <v>39</v>
      </c>
      <c r="AA1421" t="s">
        <v>40</v>
      </c>
      <c r="AB1421">
        <v>4</v>
      </c>
      <c r="AC1421">
        <v>2</v>
      </c>
      <c r="AD1421" t="s">
        <v>32</v>
      </c>
      <c r="AE1421" t="s">
        <v>62</v>
      </c>
      <c r="AF1421" t="s">
        <v>57</v>
      </c>
    </row>
    <row r="1422" spans="1:32" x14ac:dyDescent="0.25">
      <c r="A1422">
        <v>40</v>
      </c>
      <c r="B1422" t="s">
        <v>41</v>
      </c>
      <c r="C1422" t="s">
        <v>61</v>
      </c>
      <c r="D1422" t="s">
        <v>34</v>
      </c>
      <c r="E1422">
        <v>1</v>
      </c>
      <c r="F1422" t="s">
        <v>35</v>
      </c>
      <c r="G1422">
        <v>2</v>
      </c>
      <c r="H1422">
        <v>4</v>
      </c>
      <c r="I1422" t="s">
        <v>69</v>
      </c>
      <c r="J1422">
        <v>2</v>
      </c>
      <c r="K1422" t="s">
        <v>50</v>
      </c>
      <c r="L1422">
        <v>13503</v>
      </c>
      <c r="M1422">
        <v>1</v>
      </c>
      <c r="N1422" t="s">
        <v>41</v>
      </c>
      <c r="O1422">
        <v>22</v>
      </c>
      <c r="P1422">
        <v>4</v>
      </c>
      <c r="Q1422">
        <v>1</v>
      </c>
      <c r="R1422">
        <v>22</v>
      </c>
      <c r="S1422">
        <v>3</v>
      </c>
      <c r="T1422">
        <v>22</v>
      </c>
      <c r="U1422">
        <v>11</v>
      </c>
      <c r="V1422">
        <v>11</v>
      </c>
      <c r="W1422" t="s">
        <v>51</v>
      </c>
      <c r="X1422" s="1" t="d">
        <v>1999-01-29</v>
      </c>
      <c r="Z1422" t="s">
        <v>39</v>
      </c>
      <c r="AA1422" t="s">
        <v>46</v>
      </c>
      <c r="AB1422">
        <v>2</v>
      </c>
      <c r="AC1422">
        <v>3</v>
      </c>
      <c r="AD1422" t="s">
        <v>41</v>
      </c>
      <c r="AE1422" t="s">
        <v>42</v>
      </c>
      <c r="AF1422" t="s">
        <v>43</v>
      </c>
    </row>
    <row r="1423" spans="1:32" x14ac:dyDescent="0.25">
      <c r="A1423">
        <v>42</v>
      </c>
      <c r="B1423" t="s">
        <v>41</v>
      </c>
      <c r="C1423" t="s">
        <v>33</v>
      </c>
      <c r="D1423" t="s">
        <v>34</v>
      </c>
      <c r="E1423">
        <v>4</v>
      </c>
      <c r="F1423" t="s">
        <v>35</v>
      </c>
      <c r="G1423">
        <v>3</v>
      </c>
      <c r="H1423">
        <v>5</v>
      </c>
      <c r="I1423" t="s">
        <v>66</v>
      </c>
      <c r="J1423">
        <v>4</v>
      </c>
      <c r="K1423" t="s">
        <v>50</v>
      </c>
      <c r="L1423">
        <v>19232</v>
      </c>
      <c r="M1423">
        <v>1</v>
      </c>
      <c r="N1423" t="s">
        <v>41</v>
      </c>
      <c r="O1423">
        <v>11</v>
      </c>
      <c r="P1423">
        <v>3</v>
      </c>
      <c r="Q1423">
        <v>0</v>
      </c>
      <c r="R1423">
        <v>22</v>
      </c>
      <c r="S1423">
        <v>3</v>
      </c>
      <c r="T1423">
        <v>22</v>
      </c>
      <c r="U1423">
        <v>11</v>
      </c>
      <c r="V1423">
        <v>15</v>
      </c>
      <c r="W1423" t="s">
        <v>65</v>
      </c>
      <c r="X1423" s="1" t="d">
        <v>1999-06-22</v>
      </c>
      <c r="Z1423" t="s">
        <v>45</v>
      </c>
      <c r="AA1423" t="s">
        <v>46</v>
      </c>
      <c r="AB1423">
        <v>3</v>
      </c>
      <c r="AC1423">
        <v>2</v>
      </c>
      <c r="AD1423" t="s">
        <v>41</v>
      </c>
      <c r="AE1423" t="s">
        <v>47</v>
      </c>
      <c r="AF1423" t="s">
        <v>43</v>
      </c>
    </row>
    <row r="1424" spans="1:32" x14ac:dyDescent="0.25">
      <c r="A1424">
        <v>41</v>
      </c>
      <c r="B1424" t="s">
        <v>41</v>
      </c>
      <c r="C1424" t="s">
        <v>33</v>
      </c>
      <c r="D1424" t="s">
        <v>53</v>
      </c>
      <c r="E1424">
        <v>2</v>
      </c>
      <c r="F1424" t="s">
        <v>35</v>
      </c>
      <c r="G1424">
        <v>3</v>
      </c>
      <c r="H1424">
        <v>4</v>
      </c>
      <c r="I1424" t="s">
        <v>66</v>
      </c>
      <c r="J1424">
        <v>2</v>
      </c>
      <c r="K1424" t="s">
        <v>37</v>
      </c>
      <c r="L1424">
        <v>16015</v>
      </c>
      <c r="M1424">
        <v>1</v>
      </c>
      <c r="N1424" t="s">
        <v>41</v>
      </c>
      <c r="O1424">
        <v>19</v>
      </c>
      <c r="P1424">
        <v>3</v>
      </c>
      <c r="Q1424">
        <v>0</v>
      </c>
      <c r="R1424">
        <v>22</v>
      </c>
      <c r="S1424">
        <v>2</v>
      </c>
      <c r="T1424">
        <v>22</v>
      </c>
      <c r="U1424">
        <v>0</v>
      </c>
      <c r="V1424">
        <v>4</v>
      </c>
      <c r="W1424" t="s">
        <v>65</v>
      </c>
      <c r="X1424" s="1" t="d">
        <v>1999-02-20</v>
      </c>
      <c r="Z1424" t="s">
        <v>52</v>
      </c>
      <c r="AA1424" t="s">
        <v>46</v>
      </c>
      <c r="AB1424">
        <v>1</v>
      </c>
      <c r="AC1424">
        <v>0</v>
      </c>
      <c r="AD1424" t="s">
        <v>32</v>
      </c>
      <c r="AE1424" t="s">
        <v>60</v>
      </c>
      <c r="AF1424" t="s">
        <v>57</v>
      </c>
    </row>
    <row r="1425" spans="1:32" x14ac:dyDescent="0.25">
      <c r="A1425">
        <v>41</v>
      </c>
      <c r="B1425" t="s">
        <v>41</v>
      </c>
      <c r="C1425" t="s">
        <v>33</v>
      </c>
      <c r="D1425" t="s">
        <v>70</v>
      </c>
      <c r="E1425">
        <v>1</v>
      </c>
      <c r="F1425" t="s">
        <v>35</v>
      </c>
      <c r="G1425">
        <v>2</v>
      </c>
      <c r="H1425">
        <v>5</v>
      </c>
      <c r="I1425" t="s">
        <v>66</v>
      </c>
      <c r="J1425">
        <v>3</v>
      </c>
      <c r="K1425" t="s">
        <v>50</v>
      </c>
      <c r="L1425">
        <v>19189</v>
      </c>
      <c r="M1425">
        <v>1</v>
      </c>
      <c r="N1425" t="s">
        <v>41</v>
      </c>
      <c r="O1425">
        <v>12</v>
      </c>
      <c r="P1425">
        <v>3</v>
      </c>
      <c r="Q1425">
        <v>1</v>
      </c>
      <c r="R1425">
        <v>22</v>
      </c>
      <c r="S1425">
        <v>3</v>
      </c>
      <c r="T1425">
        <v>22</v>
      </c>
      <c r="U1425">
        <v>2</v>
      </c>
      <c r="V1425">
        <v>10</v>
      </c>
      <c r="W1425" t="s">
        <v>38</v>
      </c>
      <c r="X1425" s="1" t="d">
        <v>1999-06-25</v>
      </c>
      <c r="Z1425" t="s">
        <v>52</v>
      </c>
      <c r="AA1425" t="s">
        <v>40</v>
      </c>
      <c r="AB1425">
        <v>4</v>
      </c>
      <c r="AC1425">
        <v>0</v>
      </c>
      <c r="AD1425" t="s">
        <v>32</v>
      </c>
      <c r="AE1425" t="s">
        <v>62</v>
      </c>
      <c r="AF1425" t="s">
        <v>48</v>
      </c>
    </row>
    <row r="1426" spans="1:32" x14ac:dyDescent="0.25">
      <c r="A1426">
        <v>47</v>
      </c>
      <c r="B1426" t="s">
        <v>41</v>
      </c>
      <c r="C1426" t="s">
        <v>61</v>
      </c>
      <c r="D1426" t="s">
        <v>53</v>
      </c>
      <c r="E1426">
        <v>3</v>
      </c>
      <c r="F1426" t="s">
        <v>58</v>
      </c>
      <c r="G1426">
        <v>3</v>
      </c>
      <c r="H1426">
        <v>4</v>
      </c>
      <c r="I1426" t="s">
        <v>64</v>
      </c>
      <c r="J1426">
        <v>3</v>
      </c>
      <c r="K1426" t="s">
        <v>55</v>
      </c>
      <c r="L1426">
        <v>13770</v>
      </c>
      <c r="M1426">
        <v>9</v>
      </c>
      <c r="N1426" t="s">
        <v>32</v>
      </c>
      <c r="O1426">
        <v>12</v>
      </c>
      <c r="P1426">
        <v>3</v>
      </c>
      <c r="Q1426">
        <v>2</v>
      </c>
      <c r="R1426">
        <v>28</v>
      </c>
      <c r="S1426">
        <v>2</v>
      </c>
      <c r="T1426">
        <v>22</v>
      </c>
      <c r="U1426">
        <v>11</v>
      </c>
      <c r="V1426">
        <v>13</v>
      </c>
      <c r="W1426" t="s">
        <v>65</v>
      </c>
      <c r="X1426" s="1" t="d">
        <v>1999-02-12</v>
      </c>
      <c r="Z1426" t="s">
        <v>59</v>
      </c>
      <c r="AA1426" t="s">
        <v>40</v>
      </c>
      <c r="AB1426">
        <v>4</v>
      </c>
      <c r="AC1426">
        <v>3</v>
      </c>
      <c r="AD1426" t="s">
        <v>41</v>
      </c>
      <c r="AE1426" t="s">
        <v>47</v>
      </c>
      <c r="AF1426" t="s">
        <v>43</v>
      </c>
    </row>
    <row r="1427" spans="1:32" x14ac:dyDescent="0.25">
      <c r="A1427">
        <v>42</v>
      </c>
      <c r="B1427" t="s">
        <v>41</v>
      </c>
      <c r="C1427" t="s">
        <v>33</v>
      </c>
      <c r="D1427" t="s">
        <v>34</v>
      </c>
      <c r="E1427">
        <v>2</v>
      </c>
      <c r="F1427" t="s">
        <v>35</v>
      </c>
      <c r="G1427">
        <v>3</v>
      </c>
      <c r="H1427">
        <v>4</v>
      </c>
      <c r="I1427" t="s">
        <v>66</v>
      </c>
      <c r="J1427">
        <v>1</v>
      </c>
      <c r="K1427" t="s">
        <v>50</v>
      </c>
      <c r="L1427">
        <v>17665</v>
      </c>
      <c r="M1427">
        <v>0</v>
      </c>
      <c r="N1427" t="s">
        <v>41</v>
      </c>
      <c r="O1427">
        <v>17</v>
      </c>
      <c r="P1427">
        <v>3</v>
      </c>
      <c r="Q1427">
        <v>1</v>
      </c>
      <c r="R1427">
        <v>23</v>
      </c>
      <c r="S1427">
        <v>3</v>
      </c>
      <c r="T1427">
        <v>22</v>
      </c>
      <c r="U1427">
        <v>13</v>
      </c>
      <c r="V1427">
        <v>7</v>
      </c>
      <c r="W1427" t="s">
        <v>38</v>
      </c>
      <c r="X1427" s="1" t="d">
        <v>1999-02-11</v>
      </c>
      <c r="Z1427" t="s">
        <v>52</v>
      </c>
      <c r="AA1427" t="s">
        <v>40</v>
      </c>
      <c r="AB1427">
        <v>0</v>
      </c>
      <c r="AC1427">
        <v>0</v>
      </c>
      <c r="AD1427" t="s">
        <v>32</v>
      </c>
      <c r="AE1427" t="s">
        <v>62</v>
      </c>
      <c r="AF1427" t="s">
        <v>43</v>
      </c>
    </row>
    <row r="1428" spans="1:32" x14ac:dyDescent="0.25">
      <c r="A1428">
        <v>44</v>
      </c>
      <c r="B1428" t="s">
        <v>41</v>
      </c>
      <c r="C1428" t="s">
        <v>33</v>
      </c>
      <c r="D1428" t="s">
        <v>53</v>
      </c>
      <c r="E1428">
        <v>5</v>
      </c>
      <c r="F1428" t="s">
        <v>35</v>
      </c>
      <c r="G1428">
        <v>3</v>
      </c>
      <c r="H1428">
        <v>5</v>
      </c>
      <c r="I1428" t="s">
        <v>66</v>
      </c>
      <c r="J1428">
        <v>2</v>
      </c>
      <c r="K1428" t="s">
        <v>50</v>
      </c>
      <c r="L1428">
        <v>18213</v>
      </c>
      <c r="M1428">
        <v>7</v>
      </c>
      <c r="N1428" t="s">
        <v>41</v>
      </c>
      <c r="O1428">
        <v>11</v>
      </c>
      <c r="P1428">
        <v>3</v>
      </c>
      <c r="Q1428">
        <v>1</v>
      </c>
      <c r="R1428">
        <v>26</v>
      </c>
      <c r="S1428">
        <v>5</v>
      </c>
      <c r="T1428">
        <v>22</v>
      </c>
      <c r="U1428">
        <v>3</v>
      </c>
      <c r="V1428">
        <v>10</v>
      </c>
      <c r="W1428" t="s">
        <v>65</v>
      </c>
      <c r="X1428" s="1" t="d">
        <v>1999-05-19</v>
      </c>
      <c r="Z1428" t="s">
        <v>45</v>
      </c>
      <c r="AA1428" t="s">
        <v>40</v>
      </c>
      <c r="AB1428">
        <v>4</v>
      </c>
      <c r="AC1428">
        <v>0</v>
      </c>
      <c r="AD1428" t="s">
        <v>32</v>
      </c>
      <c r="AE1428" t="s">
        <v>60</v>
      </c>
      <c r="AF1428" t="s">
        <v>48</v>
      </c>
    </row>
    <row r="1429" spans="1:32" x14ac:dyDescent="0.25">
      <c r="A1429">
        <v>44</v>
      </c>
      <c r="B1429" t="s">
        <v>41</v>
      </c>
      <c r="C1429" t="s">
        <v>33</v>
      </c>
      <c r="D1429" t="s">
        <v>34</v>
      </c>
      <c r="E1429">
        <v>7</v>
      </c>
      <c r="F1429" t="s">
        <v>58</v>
      </c>
      <c r="G1429">
        <v>3</v>
      </c>
      <c r="H1429">
        <v>5</v>
      </c>
      <c r="I1429" t="s">
        <v>49</v>
      </c>
      <c r="J1429">
        <v>4</v>
      </c>
      <c r="K1429" t="s">
        <v>55</v>
      </c>
      <c r="L1429">
        <v>19049</v>
      </c>
      <c r="M1429">
        <v>0</v>
      </c>
      <c r="N1429" t="s">
        <v>32</v>
      </c>
      <c r="O1429">
        <v>14</v>
      </c>
      <c r="P1429">
        <v>3</v>
      </c>
      <c r="Q1429">
        <v>1</v>
      </c>
      <c r="R1429">
        <v>23</v>
      </c>
      <c r="S1429">
        <v>4</v>
      </c>
      <c r="T1429">
        <v>22</v>
      </c>
      <c r="U1429">
        <v>1</v>
      </c>
      <c r="V1429">
        <v>10</v>
      </c>
      <c r="W1429" t="s">
        <v>65</v>
      </c>
      <c r="X1429" s="1" t="d">
        <v>1999-05-06</v>
      </c>
      <c r="Z1429" t="s">
        <v>59</v>
      </c>
      <c r="AA1429" t="s">
        <v>40</v>
      </c>
      <c r="AB1429">
        <v>5</v>
      </c>
      <c r="AC1429">
        <v>2</v>
      </c>
      <c r="AD1429" t="s">
        <v>41</v>
      </c>
      <c r="AE1429" t="s">
        <v>42</v>
      </c>
      <c r="AF1429" t="s">
        <v>48</v>
      </c>
    </row>
    <row r="1430" spans="1:32" x14ac:dyDescent="0.25">
      <c r="A1430">
        <v>41</v>
      </c>
      <c r="B1430" t="s">
        <v>41</v>
      </c>
      <c r="C1430" t="s">
        <v>33</v>
      </c>
      <c r="D1430" t="s">
        <v>53</v>
      </c>
      <c r="E1430">
        <v>4</v>
      </c>
      <c r="F1430" t="s">
        <v>58</v>
      </c>
      <c r="G1430">
        <v>3</v>
      </c>
      <c r="H1430">
        <v>3</v>
      </c>
      <c r="I1430" t="s">
        <v>64</v>
      </c>
      <c r="J1430">
        <v>3</v>
      </c>
      <c r="K1430" t="s">
        <v>55</v>
      </c>
      <c r="L1430">
        <v>10447</v>
      </c>
      <c r="M1430">
        <v>0</v>
      </c>
      <c r="N1430" t="s">
        <v>32</v>
      </c>
      <c r="O1430">
        <v>13</v>
      </c>
      <c r="P1430">
        <v>3</v>
      </c>
      <c r="Q1430">
        <v>1</v>
      </c>
      <c r="R1430">
        <v>23</v>
      </c>
      <c r="S1430">
        <v>3</v>
      </c>
      <c r="T1430">
        <v>22</v>
      </c>
      <c r="U1430">
        <v>13</v>
      </c>
      <c r="V1430">
        <v>5</v>
      </c>
      <c r="W1430" t="s">
        <v>65</v>
      </c>
      <c r="X1430" s="1" t="d">
        <v>1999-04-03</v>
      </c>
      <c r="Z1430" t="s">
        <v>52</v>
      </c>
      <c r="AA1430" t="s">
        <v>46</v>
      </c>
      <c r="AB1430">
        <v>3</v>
      </c>
      <c r="AC1430">
        <v>2</v>
      </c>
      <c r="AD1430" t="s">
        <v>32</v>
      </c>
      <c r="AE1430" t="s">
        <v>42</v>
      </c>
      <c r="AF1430" t="s">
        <v>48</v>
      </c>
    </row>
    <row r="1431" spans="1:32" x14ac:dyDescent="0.25">
      <c r="A1431">
        <v>47</v>
      </c>
      <c r="B1431" t="s">
        <v>41</v>
      </c>
      <c r="C1431" t="s">
        <v>33</v>
      </c>
      <c r="D1431" t="s">
        <v>34</v>
      </c>
      <c r="E1431">
        <v>4</v>
      </c>
      <c r="F1431" t="s">
        <v>58</v>
      </c>
      <c r="G1431">
        <v>2</v>
      </c>
      <c r="H1431">
        <v>3</v>
      </c>
      <c r="I1431" t="s">
        <v>67</v>
      </c>
      <c r="J1431">
        <v>2</v>
      </c>
      <c r="K1431" t="s">
        <v>55</v>
      </c>
      <c r="L1431">
        <v>10333</v>
      </c>
      <c r="M1431">
        <v>8</v>
      </c>
      <c r="N1431" t="s">
        <v>32</v>
      </c>
      <c r="O1431">
        <v>12</v>
      </c>
      <c r="P1431">
        <v>3</v>
      </c>
      <c r="Q1431">
        <v>1</v>
      </c>
      <c r="R1431">
        <v>28</v>
      </c>
      <c r="S1431">
        <v>4</v>
      </c>
      <c r="T1431">
        <v>22</v>
      </c>
      <c r="U1431">
        <v>14</v>
      </c>
      <c r="V1431">
        <v>10</v>
      </c>
      <c r="W1431" t="s">
        <v>38</v>
      </c>
      <c r="X1431" s="1" t="d">
        <v>1999-06-12</v>
      </c>
      <c r="Z1431" t="s">
        <v>59</v>
      </c>
      <c r="AA1431" t="s">
        <v>40</v>
      </c>
      <c r="AB1431">
        <v>3</v>
      </c>
      <c r="AC1431">
        <v>2</v>
      </c>
      <c r="AD1431" t="s">
        <v>41</v>
      </c>
      <c r="AE1431" t="s">
        <v>47</v>
      </c>
      <c r="AF1431" t="s">
        <v>43</v>
      </c>
    </row>
    <row r="1432" spans="1:32" x14ac:dyDescent="0.25">
      <c r="A1432">
        <v>48</v>
      </c>
      <c r="B1432" t="s">
        <v>41</v>
      </c>
      <c r="C1432" t="s">
        <v>33</v>
      </c>
      <c r="D1432" t="s">
        <v>34</v>
      </c>
      <c r="E1432">
        <v>10</v>
      </c>
      <c r="F1432" t="s">
        <v>35</v>
      </c>
      <c r="G1432">
        <v>2</v>
      </c>
      <c r="H1432">
        <v>5</v>
      </c>
      <c r="I1432" t="s">
        <v>49</v>
      </c>
      <c r="J1432">
        <v>2</v>
      </c>
      <c r="K1432" t="s">
        <v>50</v>
      </c>
      <c r="L1432">
        <v>19665</v>
      </c>
      <c r="M1432">
        <v>4</v>
      </c>
      <c r="N1432" t="s">
        <v>41</v>
      </c>
      <c r="O1432">
        <v>12</v>
      </c>
      <c r="P1432">
        <v>3</v>
      </c>
      <c r="Q1432">
        <v>0</v>
      </c>
      <c r="R1432">
        <v>29</v>
      </c>
      <c r="S1432">
        <v>3</v>
      </c>
      <c r="T1432">
        <v>22</v>
      </c>
      <c r="U1432">
        <v>12</v>
      </c>
      <c r="V1432">
        <v>9</v>
      </c>
      <c r="W1432" t="s">
        <v>56</v>
      </c>
      <c r="X1432" s="1" t="d">
        <v>1999-01-20</v>
      </c>
      <c r="Z1432" t="s">
        <v>59</v>
      </c>
      <c r="AA1432" t="s">
        <v>40</v>
      </c>
      <c r="AB1432">
        <v>1</v>
      </c>
      <c r="AC1432">
        <v>1</v>
      </c>
      <c r="AD1432" t="s">
        <v>32</v>
      </c>
      <c r="AE1432" t="s">
        <v>42</v>
      </c>
      <c r="AF1432" t="s">
        <v>48</v>
      </c>
    </row>
    <row r="1433" spans="1:32" x14ac:dyDescent="0.25">
      <c r="A1433">
        <v>48</v>
      </c>
      <c r="B1433" t="s">
        <v>41</v>
      </c>
      <c r="C1433" t="s">
        <v>61</v>
      </c>
      <c r="D1433" t="s">
        <v>34</v>
      </c>
      <c r="E1433">
        <v>22</v>
      </c>
      <c r="F1433" t="s">
        <v>58</v>
      </c>
      <c r="G1433">
        <v>3</v>
      </c>
      <c r="H1433">
        <v>4</v>
      </c>
      <c r="I1433" t="s">
        <v>66</v>
      </c>
      <c r="J1433">
        <v>4</v>
      </c>
      <c r="K1433" t="s">
        <v>55</v>
      </c>
      <c r="L1433">
        <v>17174</v>
      </c>
      <c r="M1433">
        <v>3</v>
      </c>
      <c r="N1433" t="s">
        <v>41</v>
      </c>
      <c r="O1433">
        <v>11</v>
      </c>
      <c r="P1433">
        <v>3</v>
      </c>
      <c r="Q1433">
        <v>1</v>
      </c>
      <c r="R1433">
        <v>24</v>
      </c>
      <c r="S1433">
        <v>3</v>
      </c>
      <c r="T1433">
        <v>22</v>
      </c>
      <c r="U1433">
        <v>4</v>
      </c>
      <c r="V1433">
        <v>7</v>
      </c>
      <c r="W1433" t="s">
        <v>51</v>
      </c>
      <c r="X1433" s="1" t="d">
        <v>1999-05-04</v>
      </c>
      <c r="Z1433" t="s">
        <v>39</v>
      </c>
      <c r="AA1433" t="s">
        <v>40</v>
      </c>
      <c r="AB1433">
        <v>3</v>
      </c>
      <c r="AC1433">
        <v>3</v>
      </c>
      <c r="AD1433" t="s">
        <v>41</v>
      </c>
      <c r="AE1433" t="s">
        <v>42</v>
      </c>
      <c r="AF1433" t="s">
        <v>43</v>
      </c>
    </row>
    <row r="1434" spans="1:32" x14ac:dyDescent="0.25">
      <c r="A1434">
        <v>42</v>
      </c>
      <c r="B1434" t="s">
        <v>41</v>
      </c>
      <c r="C1434" t="s">
        <v>33</v>
      </c>
      <c r="D1434" t="s">
        <v>34</v>
      </c>
      <c r="E1434">
        <v>2</v>
      </c>
      <c r="F1434" t="s">
        <v>35</v>
      </c>
      <c r="G1434">
        <v>3</v>
      </c>
      <c r="H1434">
        <v>5</v>
      </c>
      <c r="I1434" t="s">
        <v>66</v>
      </c>
      <c r="J1434">
        <v>3</v>
      </c>
      <c r="K1434" t="s">
        <v>50</v>
      </c>
      <c r="L1434">
        <v>18880</v>
      </c>
      <c r="M1434">
        <v>5</v>
      </c>
      <c r="N1434" t="s">
        <v>41</v>
      </c>
      <c r="O1434">
        <v>11</v>
      </c>
      <c r="P1434">
        <v>3</v>
      </c>
      <c r="Q1434">
        <v>0</v>
      </c>
      <c r="R1434">
        <v>24</v>
      </c>
      <c r="S1434">
        <v>2</v>
      </c>
      <c r="T1434">
        <v>22</v>
      </c>
      <c r="U1434">
        <v>4</v>
      </c>
      <c r="V1434">
        <v>14</v>
      </c>
      <c r="W1434" t="s">
        <v>56</v>
      </c>
      <c r="X1434" s="1" t="d">
        <v>1999-04-17</v>
      </c>
      <c r="Z1434" t="s">
        <v>39</v>
      </c>
      <c r="AA1434" t="s">
        <v>46</v>
      </c>
      <c r="AB1434">
        <v>4</v>
      </c>
      <c r="AC1434">
        <v>3</v>
      </c>
      <c r="AD1434" t="s">
        <v>32</v>
      </c>
      <c r="AE1434" t="s">
        <v>62</v>
      </c>
      <c r="AF1434" t="s">
        <v>48</v>
      </c>
    </row>
    <row r="1435" spans="1:32" x14ac:dyDescent="0.25">
      <c r="A1435">
        <v>45</v>
      </c>
      <c r="B1435" t="s">
        <v>41</v>
      </c>
      <c r="C1435" t="s">
        <v>68</v>
      </c>
      <c r="D1435" t="s">
        <v>34</v>
      </c>
      <c r="E1435">
        <v>1</v>
      </c>
      <c r="F1435" t="s">
        <v>35</v>
      </c>
      <c r="G1435">
        <v>2</v>
      </c>
      <c r="H1435">
        <v>3</v>
      </c>
      <c r="I1435" t="s">
        <v>69</v>
      </c>
      <c r="J1435">
        <v>3</v>
      </c>
      <c r="K1435" t="s">
        <v>50</v>
      </c>
      <c r="L1435">
        <v>10748</v>
      </c>
      <c r="M1435">
        <v>3</v>
      </c>
      <c r="N1435" t="s">
        <v>41</v>
      </c>
      <c r="O1435">
        <v>23</v>
      </c>
      <c r="P1435">
        <v>4</v>
      </c>
      <c r="Q1435">
        <v>1</v>
      </c>
      <c r="R1435">
        <v>25</v>
      </c>
      <c r="S1435">
        <v>3</v>
      </c>
      <c r="T1435">
        <v>23</v>
      </c>
      <c r="U1435">
        <v>14</v>
      </c>
      <c r="V1435">
        <v>4</v>
      </c>
      <c r="W1435" t="s">
        <v>65</v>
      </c>
      <c r="X1435" s="1" t="d">
        <v>1998-03-23</v>
      </c>
      <c r="Z1435" t="s">
        <v>59</v>
      </c>
      <c r="AA1435" t="s">
        <v>40</v>
      </c>
      <c r="AB1435">
        <v>1</v>
      </c>
      <c r="AC1435">
        <v>3</v>
      </c>
      <c r="AD1435" t="s">
        <v>32</v>
      </c>
      <c r="AE1435" t="s">
        <v>62</v>
      </c>
      <c r="AF1435" t="s">
        <v>57</v>
      </c>
    </row>
    <row r="1436" spans="1:32" x14ac:dyDescent="0.25">
      <c r="A1436">
        <v>47</v>
      </c>
      <c r="B1436" t="s">
        <v>32</v>
      </c>
      <c r="C1436" t="s">
        <v>61</v>
      </c>
      <c r="D1436" t="s">
        <v>53</v>
      </c>
      <c r="E1436">
        <v>9</v>
      </c>
      <c r="F1436" t="s">
        <v>35</v>
      </c>
      <c r="G1436">
        <v>1</v>
      </c>
      <c r="H1436">
        <v>4</v>
      </c>
      <c r="I1436" t="s">
        <v>64</v>
      </c>
      <c r="J1436">
        <v>3</v>
      </c>
      <c r="K1436" t="s">
        <v>50</v>
      </c>
      <c r="L1436">
        <v>12936</v>
      </c>
      <c r="M1436">
        <v>7</v>
      </c>
      <c r="N1436" t="s">
        <v>41</v>
      </c>
      <c r="O1436">
        <v>11</v>
      </c>
      <c r="P1436">
        <v>3</v>
      </c>
      <c r="Q1436">
        <v>0</v>
      </c>
      <c r="R1436">
        <v>25</v>
      </c>
      <c r="S1436">
        <v>3</v>
      </c>
      <c r="T1436">
        <v>23</v>
      </c>
      <c r="U1436">
        <v>14</v>
      </c>
      <c r="V1436">
        <v>10</v>
      </c>
      <c r="W1436" t="s">
        <v>56</v>
      </c>
      <c r="X1436" s="1" t="d">
        <v>1998-05-18</v>
      </c>
      <c r="Z1436" t="s">
        <v>39</v>
      </c>
      <c r="AA1436" t="s">
        <v>46</v>
      </c>
      <c r="AB1436">
        <v>1</v>
      </c>
      <c r="AC1436">
        <v>1</v>
      </c>
      <c r="AD1436" t="s">
        <v>41</v>
      </c>
      <c r="AE1436" t="s">
        <v>47</v>
      </c>
      <c r="AF1436" t="s">
        <v>43</v>
      </c>
    </row>
    <row r="1437" spans="1:32" x14ac:dyDescent="0.25">
      <c r="A1437">
        <v>46</v>
      </c>
      <c r="B1437" t="s">
        <v>41</v>
      </c>
      <c r="C1437" t="s">
        <v>33</v>
      </c>
      <c r="D1437" t="s">
        <v>53</v>
      </c>
      <c r="E1437">
        <v>1</v>
      </c>
      <c r="F1437" t="s">
        <v>58</v>
      </c>
      <c r="G1437">
        <v>3</v>
      </c>
      <c r="H1437">
        <v>3</v>
      </c>
      <c r="I1437" t="s">
        <v>64</v>
      </c>
      <c r="J1437">
        <v>1</v>
      </c>
      <c r="K1437" t="s">
        <v>55</v>
      </c>
      <c r="L1437">
        <v>10453</v>
      </c>
      <c r="M1437">
        <v>1</v>
      </c>
      <c r="N1437" t="s">
        <v>41</v>
      </c>
      <c r="O1437">
        <v>25</v>
      </c>
      <c r="P1437">
        <v>4</v>
      </c>
      <c r="Q1437">
        <v>3</v>
      </c>
      <c r="R1437">
        <v>24</v>
      </c>
      <c r="S1437">
        <v>2</v>
      </c>
      <c r="T1437">
        <v>24</v>
      </c>
      <c r="U1437">
        <v>15</v>
      </c>
      <c r="V1437">
        <v>7</v>
      </c>
      <c r="W1437" t="s">
        <v>51</v>
      </c>
      <c r="X1437" s="1" t="d">
        <v>1997-05-23</v>
      </c>
      <c r="Z1437" t="s">
        <v>59</v>
      </c>
      <c r="AA1437" t="s">
        <v>46</v>
      </c>
      <c r="AB1437">
        <v>0</v>
      </c>
      <c r="AC1437">
        <v>2</v>
      </c>
      <c r="AD1437" t="s">
        <v>32</v>
      </c>
      <c r="AE1437" t="s">
        <v>62</v>
      </c>
      <c r="AF1437" t="s">
        <v>48</v>
      </c>
    </row>
    <row r="1438" spans="1:32" x14ac:dyDescent="0.25">
      <c r="A1438">
        <v>55</v>
      </c>
      <c r="B1438" t="s">
        <v>41</v>
      </c>
      <c r="C1438" t="s">
        <v>33</v>
      </c>
      <c r="D1438" t="s">
        <v>34</v>
      </c>
      <c r="E1438">
        <v>14</v>
      </c>
      <c r="F1438" t="s">
        <v>35</v>
      </c>
      <c r="G1438">
        <v>4</v>
      </c>
      <c r="H1438">
        <v>5</v>
      </c>
      <c r="I1438" t="s">
        <v>49</v>
      </c>
      <c r="J1438">
        <v>2</v>
      </c>
      <c r="K1438" t="s">
        <v>37</v>
      </c>
      <c r="L1438">
        <v>18722</v>
      </c>
      <c r="M1438">
        <v>8</v>
      </c>
      <c r="N1438" t="s">
        <v>41</v>
      </c>
      <c r="O1438">
        <v>11</v>
      </c>
      <c r="P1438">
        <v>3</v>
      </c>
      <c r="Q1438">
        <v>0</v>
      </c>
      <c r="R1438">
        <v>36</v>
      </c>
      <c r="S1438">
        <v>3</v>
      </c>
      <c r="T1438">
        <v>24</v>
      </c>
      <c r="U1438">
        <v>2</v>
      </c>
      <c r="V1438">
        <v>15</v>
      </c>
      <c r="W1438" t="s">
        <v>56</v>
      </c>
      <c r="X1438" s="1" t="d">
        <v>1997-05-30</v>
      </c>
      <c r="Z1438" t="s">
        <v>63</v>
      </c>
      <c r="AA1438" t="s">
        <v>46</v>
      </c>
      <c r="AB1438">
        <v>0</v>
      </c>
      <c r="AC1438">
        <v>2</v>
      </c>
      <c r="AD1438" t="s">
        <v>32</v>
      </c>
      <c r="AE1438" t="s">
        <v>60</v>
      </c>
      <c r="AF1438" t="s">
        <v>43</v>
      </c>
    </row>
    <row r="1439" spans="1:32" x14ac:dyDescent="0.25">
      <c r="A1439">
        <v>45</v>
      </c>
      <c r="B1439" t="s">
        <v>41</v>
      </c>
      <c r="C1439" t="s">
        <v>33</v>
      </c>
      <c r="D1439" t="s">
        <v>34</v>
      </c>
      <c r="E1439">
        <v>1</v>
      </c>
      <c r="F1439" t="s">
        <v>35</v>
      </c>
      <c r="G1439">
        <v>4</v>
      </c>
      <c r="H1439">
        <v>5</v>
      </c>
      <c r="I1439" t="s">
        <v>66</v>
      </c>
      <c r="J1439">
        <v>4</v>
      </c>
      <c r="K1439" t="s">
        <v>50</v>
      </c>
      <c r="L1439">
        <v>19202</v>
      </c>
      <c r="M1439">
        <v>0</v>
      </c>
      <c r="N1439" t="s">
        <v>41</v>
      </c>
      <c r="O1439">
        <v>11</v>
      </c>
      <c r="P1439">
        <v>3</v>
      </c>
      <c r="Q1439">
        <v>1</v>
      </c>
      <c r="R1439">
        <v>25</v>
      </c>
      <c r="S1439">
        <v>2</v>
      </c>
      <c r="T1439">
        <v>24</v>
      </c>
      <c r="U1439">
        <v>1</v>
      </c>
      <c r="V1439">
        <v>7</v>
      </c>
      <c r="W1439" t="s">
        <v>51</v>
      </c>
      <c r="X1439" s="1" t="d">
        <v>1997-04-16</v>
      </c>
      <c r="Z1439" t="s">
        <v>59</v>
      </c>
      <c r="AA1439" t="s">
        <v>46</v>
      </c>
      <c r="AB1439">
        <v>3</v>
      </c>
      <c r="AC1439">
        <v>1</v>
      </c>
      <c r="AD1439" t="s">
        <v>32</v>
      </c>
      <c r="AE1439" t="s">
        <v>47</v>
      </c>
      <c r="AF1439" t="s">
        <v>43</v>
      </c>
    </row>
    <row r="1440" spans="1:32" x14ac:dyDescent="0.25">
      <c r="A1440">
        <v>45</v>
      </c>
      <c r="B1440" t="s">
        <v>41</v>
      </c>
      <c r="C1440" t="s">
        <v>61</v>
      </c>
      <c r="D1440" t="s">
        <v>34</v>
      </c>
      <c r="E1440">
        <v>7</v>
      </c>
      <c r="F1440" t="s">
        <v>35</v>
      </c>
      <c r="G1440">
        <v>3</v>
      </c>
      <c r="H1440">
        <v>3</v>
      </c>
      <c r="I1440" t="s">
        <v>36</v>
      </c>
      <c r="J1440">
        <v>1</v>
      </c>
      <c r="K1440" t="s">
        <v>55</v>
      </c>
      <c r="L1440">
        <v>5210</v>
      </c>
      <c r="M1440">
        <v>1</v>
      </c>
      <c r="N1440" t="s">
        <v>41</v>
      </c>
      <c r="O1440">
        <v>18</v>
      </c>
      <c r="P1440">
        <v>3</v>
      </c>
      <c r="Q1440">
        <v>1</v>
      </c>
      <c r="R1440">
        <v>24</v>
      </c>
      <c r="S1440">
        <v>2</v>
      </c>
      <c r="T1440">
        <v>24</v>
      </c>
      <c r="U1440">
        <v>9</v>
      </c>
      <c r="V1440">
        <v>11</v>
      </c>
      <c r="W1440" t="s">
        <v>65</v>
      </c>
      <c r="X1440" s="1" t="d">
        <v>1997-02-20</v>
      </c>
      <c r="Z1440" t="s">
        <v>52</v>
      </c>
      <c r="AA1440" t="s">
        <v>40</v>
      </c>
      <c r="AB1440">
        <v>5</v>
      </c>
      <c r="AC1440">
        <v>2</v>
      </c>
      <c r="AD1440" t="s">
        <v>41</v>
      </c>
      <c r="AE1440" t="s">
        <v>42</v>
      </c>
      <c r="AF1440" t="s">
        <v>48</v>
      </c>
    </row>
    <row r="1441" spans="1:32" x14ac:dyDescent="0.25">
      <c r="A1441">
        <v>42</v>
      </c>
      <c r="B1441" t="s">
        <v>41</v>
      </c>
      <c r="C1441" t="s">
        <v>61</v>
      </c>
      <c r="D1441" t="s">
        <v>34</v>
      </c>
      <c r="E1441">
        <v>8</v>
      </c>
      <c r="F1441" t="s">
        <v>35</v>
      </c>
      <c r="G1441">
        <v>3</v>
      </c>
      <c r="H1441">
        <v>5</v>
      </c>
      <c r="I1441" t="s">
        <v>66</v>
      </c>
      <c r="J1441">
        <v>4</v>
      </c>
      <c r="K1441" t="s">
        <v>55</v>
      </c>
      <c r="L1441">
        <v>18430</v>
      </c>
      <c r="M1441">
        <v>1</v>
      </c>
      <c r="N1441" t="s">
        <v>41</v>
      </c>
      <c r="O1441">
        <v>13</v>
      </c>
      <c r="P1441">
        <v>3</v>
      </c>
      <c r="Q1441">
        <v>1</v>
      </c>
      <c r="R1441">
        <v>24</v>
      </c>
      <c r="S1441">
        <v>4</v>
      </c>
      <c r="T1441">
        <v>24</v>
      </c>
      <c r="U1441">
        <v>14</v>
      </c>
      <c r="V1441">
        <v>9</v>
      </c>
      <c r="W1441" t="s">
        <v>38</v>
      </c>
      <c r="X1441" s="1" t="d">
        <v>1997-03-30</v>
      </c>
      <c r="Z1441" t="s">
        <v>59</v>
      </c>
      <c r="AA1441" t="s">
        <v>40</v>
      </c>
      <c r="AB1441">
        <v>1</v>
      </c>
      <c r="AC1441">
        <v>3</v>
      </c>
      <c r="AD1441" t="s">
        <v>32</v>
      </c>
      <c r="AE1441" t="s">
        <v>60</v>
      </c>
      <c r="AF1441" t="s">
        <v>43</v>
      </c>
    </row>
    <row r="1442" spans="1:32" x14ac:dyDescent="0.25">
      <c r="A1442">
        <v>45</v>
      </c>
      <c r="B1442" t="s">
        <v>32</v>
      </c>
      <c r="C1442" t="s">
        <v>33</v>
      </c>
      <c r="D1442" t="s">
        <v>53</v>
      </c>
      <c r="E1442">
        <v>2</v>
      </c>
      <c r="F1442" t="s">
        <v>58</v>
      </c>
      <c r="G1442">
        <v>1</v>
      </c>
      <c r="H1442">
        <v>5</v>
      </c>
      <c r="I1442" t="s">
        <v>66</v>
      </c>
      <c r="J1442">
        <v>2</v>
      </c>
      <c r="K1442" t="s">
        <v>37</v>
      </c>
      <c r="L1442">
        <v>18824</v>
      </c>
      <c r="M1442">
        <v>2</v>
      </c>
      <c r="N1442" t="s">
        <v>32</v>
      </c>
      <c r="O1442">
        <v>16</v>
      </c>
      <c r="P1442">
        <v>3</v>
      </c>
      <c r="Q1442">
        <v>0</v>
      </c>
      <c r="R1442">
        <v>26</v>
      </c>
      <c r="S1442">
        <v>2</v>
      </c>
      <c r="T1442">
        <v>24</v>
      </c>
      <c r="U1442">
        <v>1</v>
      </c>
      <c r="V1442">
        <v>11</v>
      </c>
      <c r="W1442" t="s">
        <v>65</v>
      </c>
      <c r="X1442" s="1" t="d">
        <v>1997-05-13</v>
      </c>
      <c r="Z1442" t="s">
        <v>59</v>
      </c>
      <c r="AA1442" t="s">
        <v>40</v>
      </c>
      <c r="AB1442">
        <v>2</v>
      </c>
      <c r="AC1442">
        <v>3</v>
      </c>
      <c r="AD1442" t="s">
        <v>32</v>
      </c>
      <c r="AE1442" t="s">
        <v>60</v>
      </c>
      <c r="AF1442" t="s">
        <v>43</v>
      </c>
    </row>
    <row r="1443" spans="1:32" x14ac:dyDescent="0.25">
      <c r="A1443">
        <v>53</v>
      </c>
      <c r="B1443" t="s">
        <v>41</v>
      </c>
      <c r="C1443" t="s">
        <v>33</v>
      </c>
      <c r="D1443" t="s">
        <v>53</v>
      </c>
      <c r="E1443">
        <v>2</v>
      </c>
      <c r="F1443" t="s">
        <v>58</v>
      </c>
      <c r="G1443">
        <v>2</v>
      </c>
      <c r="H1443">
        <v>4</v>
      </c>
      <c r="I1443" t="s">
        <v>66</v>
      </c>
      <c r="J1443">
        <v>4</v>
      </c>
      <c r="K1443" t="s">
        <v>50</v>
      </c>
      <c r="L1443">
        <v>15427</v>
      </c>
      <c r="M1443">
        <v>2</v>
      </c>
      <c r="N1443" t="s">
        <v>41</v>
      </c>
      <c r="O1443">
        <v>16</v>
      </c>
      <c r="P1443">
        <v>3</v>
      </c>
      <c r="Q1443">
        <v>0</v>
      </c>
      <c r="R1443">
        <v>31</v>
      </c>
      <c r="S1443">
        <v>3</v>
      </c>
      <c r="T1443">
        <v>25</v>
      </c>
      <c r="U1443">
        <v>3</v>
      </c>
      <c r="V1443">
        <v>7</v>
      </c>
      <c r="W1443" t="s">
        <v>38</v>
      </c>
      <c r="X1443" s="1" t="d">
        <v>1996-02-12</v>
      </c>
      <c r="Z1443" t="s">
        <v>59</v>
      </c>
      <c r="AA1443" t="s">
        <v>46</v>
      </c>
      <c r="AB1443">
        <v>5</v>
      </c>
      <c r="AC1443">
        <v>3</v>
      </c>
      <c r="AD1443" t="s">
        <v>32</v>
      </c>
      <c r="AE1443" t="s">
        <v>42</v>
      </c>
      <c r="AF1443" t="s">
        <v>57</v>
      </c>
    </row>
    <row r="1444" spans="1:32" x14ac:dyDescent="0.25">
      <c r="A1444">
        <v>43</v>
      </c>
      <c r="B1444" t="s">
        <v>41</v>
      </c>
      <c r="C1444" t="s">
        <v>61</v>
      </c>
      <c r="D1444" t="s">
        <v>53</v>
      </c>
      <c r="E1444">
        <v>26</v>
      </c>
      <c r="F1444" t="s">
        <v>35</v>
      </c>
      <c r="G1444">
        <v>3</v>
      </c>
      <c r="H1444">
        <v>4</v>
      </c>
      <c r="I1444" t="s">
        <v>66</v>
      </c>
      <c r="J1444">
        <v>4</v>
      </c>
      <c r="K1444" t="s">
        <v>50</v>
      </c>
      <c r="L1444">
        <v>16959</v>
      </c>
      <c r="M1444">
        <v>1</v>
      </c>
      <c r="N1444" t="s">
        <v>32</v>
      </c>
      <c r="O1444">
        <v>12</v>
      </c>
      <c r="P1444">
        <v>3</v>
      </c>
      <c r="Q1444">
        <v>2</v>
      </c>
      <c r="R1444">
        <v>25</v>
      </c>
      <c r="S1444">
        <v>3</v>
      </c>
      <c r="T1444">
        <v>25</v>
      </c>
      <c r="U1444">
        <v>4</v>
      </c>
      <c r="V1444">
        <v>12</v>
      </c>
      <c r="W1444" t="s">
        <v>38</v>
      </c>
      <c r="X1444" s="1" t="d">
        <v>1996-05-03</v>
      </c>
      <c r="Z1444" t="s">
        <v>59</v>
      </c>
      <c r="AA1444" t="s">
        <v>40</v>
      </c>
      <c r="AB1444">
        <v>2</v>
      </c>
      <c r="AC1444">
        <v>1</v>
      </c>
      <c r="AD1444" t="s">
        <v>32</v>
      </c>
      <c r="AE1444" t="s">
        <v>62</v>
      </c>
      <c r="AF1444" t="s">
        <v>43</v>
      </c>
    </row>
    <row r="1445" spans="1:32" x14ac:dyDescent="0.25">
      <c r="A1445">
        <v>43</v>
      </c>
      <c r="B1445" t="s">
        <v>41</v>
      </c>
      <c r="C1445" t="s">
        <v>33</v>
      </c>
      <c r="D1445" t="s">
        <v>34</v>
      </c>
      <c r="E1445">
        <v>12</v>
      </c>
      <c r="F1445" t="s">
        <v>35</v>
      </c>
      <c r="G1445">
        <v>2</v>
      </c>
      <c r="H1445">
        <v>4</v>
      </c>
      <c r="I1445" t="s">
        <v>49</v>
      </c>
      <c r="J1445">
        <v>2</v>
      </c>
      <c r="K1445" t="s">
        <v>55</v>
      </c>
      <c r="L1445">
        <v>14336</v>
      </c>
      <c r="M1445">
        <v>1</v>
      </c>
      <c r="N1445" t="s">
        <v>41</v>
      </c>
      <c r="O1445">
        <v>11</v>
      </c>
      <c r="P1445">
        <v>3</v>
      </c>
      <c r="Q1445">
        <v>1</v>
      </c>
      <c r="R1445">
        <v>25</v>
      </c>
      <c r="S1445">
        <v>3</v>
      </c>
      <c r="T1445">
        <v>25</v>
      </c>
      <c r="U1445">
        <v>3</v>
      </c>
      <c r="V1445">
        <v>9</v>
      </c>
      <c r="W1445" t="s">
        <v>51</v>
      </c>
      <c r="X1445" s="1" t="d">
        <v>1969-06-19</v>
      </c>
      <c r="Z1445" t="s">
        <v>59</v>
      </c>
      <c r="AA1445" t="s">
        <v>40</v>
      </c>
      <c r="AB1445">
        <v>2</v>
      </c>
      <c r="AC1445">
        <v>1</v>
      </c>
      <c r="AD1445" t="s">
        <v>32</v>
      </c>
      <c r="AE1445" t="s">
        <v>60</v>
      </c>
      <c r="AF1445" t="s">
        <v>48</v>
      </c>
    </row>
    <row r="1446" spans="1:32" x14ac:dyDescent="0.25">
      <c r="A1446">
        <v>44</v>
      </c>
      <c r="B1446" t="s">
        <v>41</v>
      </c>
      <c r="C1446" t="s">
        <v>33</v>
      </c>
      <c r="D1446" t="s">
        <v>34</v>
      </c>
      <c r="E1446">
        <v>4</v>
      </c>
      <c r="F1446" t="s">
        <v>35</v>
      </c>
      <c r="G1446">
        <v>4</v>
      </c>
      <c r="H1446">
        <v>5</v>
      </c>
      <c r="I1446" t="s">
        <v>66</v>
      </c>
      <c r="J1446">
        <v>1</v>
      </c>
      <c r="K1446" t="s">
        <v>55</v>
      </c>
      <c r="L1446">
        <v>19190</v>
      </c>
      <c r="M1446">
        <v>1</v>
      </c>
      <c r="N1446" t="s">
        <v>41</v>
      </c>
      <c r="O1446">
        <v>14</v>
      </c>
      <c r="P1446">
        <v>3</v>
      </c>
      <c r="Q1446">
        <v>2</v>
      </c>
      <c r="R1446">
        <v>26</v>
      </c>
      <c r="S1446">
        <v>4</v>
      </c>
      <c r="T1446">
        <v>25</v>
      </c>
      <c r="U1446">
        <v>14</v>
      </c>
      <c r="V1446">
        <v>13</v>
      </c>
      <c r="W1446" t="s">
        <v>51</v>
      </c>
      <c r="X1446" s="1" t="d">
        <v>1996-04-02</v>
      </c>
      <c r="Z1446" t="s">
        <v>39</v>
      </c>
      <c r="AA1446" t="s">
        <v>46</v>
      </c>
      <c r="AB1446">
        <v>4</v>
      </c>
      <c r="AC1446">
        <v>1</v>
      </c>
      <c r="AD1446" t="s">
        <v>32</v>
      </c>
      <c r="AE1446" t="s">
        <v>60</v>
      </c>
      <c r="AF1446" t="s">
        <v>57</v>
      </c>
    </row>
    <row r="1447" spans="1:32" x14ac:dyDescent="0.25">
      <c r="A1447">
        <v>47</v>
      </c>
      <c r="B1447" t="s">
        <v>41</v>
      </c>
      <c r="C1447" t="s">
        <v>33</v>
      </c>
      <c r="D1447" t="s">
        <v>34</v>
      </c>
      <c r="E1447">
        <v>2</v>
      </c>
      <c r="F1447" t="s">
        <v>58</v>
      </c>
      <c r="G1447">
        <v>3</v>
      </c>
      <c r="H1447">
        <v>4</v>
      </c>
      <c r="I1447" t="s">
        <v>66</v>
      </c>
      <c r="J1447">
        <v>4</v>
      </c>
      <c r="K1447" t="s">
        <v>50</v>
      </c>
      <c r="L1447">
        <v>16752</v>
      </c>
      <c r="M1447">
        <v>1</v>
      </c>
      <c r="N1447" t="s">
        <v>32</v>
      </c>
      <c r="O1447">
        <v>11</v>
      </c>
      <c r="P1447">
        <v>3</v>
      </c>
      <c r="Q1447">
        <v>1</v>
      </c>
      <c r="R1447">
        <v>26</v>
      </c>
      <c r="S1447">
        <v>3</v>
      </c>
      <c r="T1447">
        <v>26</v>
      </c>
      <c r="U1447">
        <v>3</v>
      </c>
      <c r="V1447">
        <v>0</v>
      </c>
      <c r="W1447" t="s">
        <v>38</v>
      </c>
      <c r="X1447" s="1" t="d">
        <v>1995-04-13</v>
      </c>
      <c r="Z1447" t="s">
        <v>63</v>
      </c>
      <c r="AA1447" t="s">
        <v>46</v>
      </c>
      <c r="AB1447">
        <v>3</v>
      </c>
      <c r="AC1447">
        <v>0</v>
      </c>
      <c r="AD1447" t="s">
        <v>41</v>
      </c>
      <c r="AE1447" t="s">
        <v>47</v>
      </c>
      <c r="AF1447" t="s">
        <v>48</v>
      </c>
    </row>
    <row r="1448" spans="1:32" x14ac:dyDescent="0.25">
      <c r="A1448">
        <v>49</v>
      </c>
      <c r="B1448" t="s">
        <v>41</v>
      </c>
      <c r="C1448" t="s">
        <v>33</v>
      </c>
      <c r="D1448" t="s">
        <v>34</v>
      </c>
      <c r="E1448">
        <v>8</v>
      </c>
      <c r="F1448" t="s">
        <v>58</v>
      </c>
      <c r="G1448">
        <v>3</v>
      </c>
      <c r="H1448">
        <v>3</v>
      </c>
      <c r="I1448" t="s">
        <v>36</v>
      </c>
      <c r="J1448">
        <v>2</v>
      </c>
      <c r="K1448" t="s">
        <v>50</v>
      </c>
      <c r="L1448">
        <v>7403</v>
      </c>
      <c r="M1448">
        <v>4</v>
      </c>
      <c r="N1448" t="s">
        <v>41</v>
      </c>
      <c r="O1448">
        <v>11</v>
      </c>
      <c r="P1448">
        <v>3</v>
      </c>
      <c r="Q1448">
        <v>1</v>
      </c>
      <c r="R1448">
        <v>29</v>
      </c>
      <c r="S1448">
        <v>3</v>
      </c>
      <c r="T1448">
        <v>26</v>
      </c>
      <c r="U1448">
        <v>1</v>
      </c>
      <c r="V1448">
        <v>7</v>
      </c>
      <c r="W1448" t="s">
        <v>56</v>
      </c>
      <c r="X1448" s="1" t="d">
        <v>1995-02-27</v>
      </c>
      <c r="Z1448" t="s">
        <v>59</v>
      </c>
      <c r="AA1448" t="s">
        <v>46</v>
      </c>
      <c r="AB1448">
        <v>4</v>
      </c>
      <c r="AC1448">
        <v>0</v>
      </c>
      <c r="AD1448" t="s">
        <v>32</v>
      </c>
      <c r="AE1448" t="s">
        <v>42</v>
      </c>
      <c r="AF1448" t="s">
        <v>48</v>
      </c>
    </row>
    <row r="1449" spans="1:32" x14ac:dyDescent="0.25">
      <c r="A1449">
        <v>46</v>
      </c>
      <c r="B1449" t="s">
        <v>41</v>
      </c>
      <c r="C1449" t="s">
        <v>33</v>
      </c>
      <c r="D1449" t="s">
        <v>53</v>
      </c>
      <c r="E1449">
        <v>2</v>
      </c>
      <c r="F1449" t="s">
        <v>58</v>
      </c>
      <c r="G1449">
        <v>3</v>
      </c>
      <c r="H1449">
        <v>4</v>
      </c>
      <c r="I1449" t="s">
        <v>66</v>
      </c>
      <c r="J1449">
        <v>1</v>
      </c>
      <c r="K1449" t="s">
        <v>50</v>
      </c>
      <c r="L1449">
        <v>17048</v>
      </c>
      <c r="M1449">
        <v>8</v>
      </c>
      <c r="N1449" t="s">
        <v>41</v>
      </c>
      <c r="O1449">
        <v>23</v>
      </c>
      <c r="P1449">
        <v>4</v>
      </c>
      <c r="Q1449">
        <v>0</v>
      </c>
      <c r="R1449">
        <v>28</v>
      </c>
      <c r="S1449">
        <v>2</v>
      </c>
      <c r="T1449">
        <v>26</v>
      </c>
      <c r="U1449">
        <v>15</v>
      </c>
      <c r="V1449">
        <v>9</v>
      </c>
      <c r="W1449" t="s">
        <v>56</v>
      </c>
      <c r="X1449" s="1" t="d">
        <v>1995-06-10</v>
      </c>
      <c r="Z1449" t="s">
        <v>45</v>
      </c>
      <c r="AA1449" t="s">
        <v>46</v>
      </c>
      <c r="AB1449">
        <v>4</v>
      </c>
      <c r="AC1449">
        <v>1</v>
      </c>
      <c r="AD1449" t="s">
        <v>32</v>
      </c>
      <c r="AE1449" t="s">
        <v>47</v>
      </c>
      <c r="AF1449" t="s">
        <v>57</v>
      </c>
    </row>
    <row r="1450" spans="1:32" x14ac:dyDescent="0.25">
      <c r="A1450">
        <v>46</v>
      </c>
      <c r="B1450" t="s">
        <v>41</v>
      </c>
      <c r="C1450" t="s">
        <v>33</v>
      </c>
      <c r="D1450" t="s">
        <v>53</v>
      </c>
      <c r="E1450">
        <v>1</v>
      </c>
      <c r="F1450" t="s">
        <v>35</v>
      </c>
      <c r="G1450">
        <v>4</v>
      </c>
      <c r="H1450">
        <v>4</v>
      </c>
      <c r="I1450" t="s">
        <v>66</v>
      </c>
      <c r="J1450">
        <v>1</v>
      </c>
      <c r="K1450" t="s">
        <v>37</v>
      </c>
      <c r="L1450">
        <v>17567</v>
      </c>
      <c r="M1450">
        <v>1</v>
      </c>
      <c r="N1450" t="s">
        <v>41</v>
      </c>
      <c r="O1450">
        <v>15</v>
      </c>
      <c r="P1450">
        <v>3</v>
      </c>
      <c r="Q1450">
        <v>0</v>
      </c>
      <c r="R1450">
        <v>27</v>
      </c>
      <c r="S1450">
        <v>5</v>
      </c>
      <c r="T1450">
        <v>26</v>
      </c>
      <c r="U1450">
        <v>0</v>
      </c>
      <c r="V1450">
        <v>12</v>
      </c>
      <c r="W1450" t="s">
        <v>51</v>
      </c>
      <c r="X1450" s="1" t="d">
        <v>1995-06-19</v>
      </c>
      <c r="Z1450" t="s">
        <v>39</v>
      </c>
      <c r="AA1450" t="s">
        <v>40</v>
      </c>
      <c r="AB1450">
        <v>3</v>
      </c>
      <c r="AC1450">
        <v>3</v>
      </c>
      <c r="AD1450" t="s">
        <v>32</v>
      </c>
      <c r="AE1450" t="s">
        <v>47</v>
      </c>
      <c r="AF1450" t="s">
        <v>57</v>
      </c>
    </row>
    <row r="1451" spans="1:32" x14ac:dyDescent="0.25">
      <c r="A1451">
        <v>50</v>
      </c>
      <c r="B1451" t="s">
        <v>41</v>
      </c>
      <c r="C1451" t="s">
        <v>33</v>
      </c>
      <c r="D1451" t="s">
        <v>34</v>
      </c>
      <c r="E1451">
        <v>7</v>
      </c>
      <c r="F1451" t="s">
        <v>58</v>
      </c>
      <c r="G1451">
        <v>2</v>
      </c>
      <c r="H1451">
        <v>5</v>
      </c>
      <c r="I1451" t="s">
        <v>49</v>
      </c>
      <c r="J1451">
        <v>3</v>
      </c>
      <c r="K1451" t="s">
        <v>55</v>
      </c>
      <c r="L1451">
        <v>18740</v>
      </c>
      <c r="M1451">
        <v>5</v>
      </c>
      <c r="N1451" t="s">
        <v>32</v>
      </c>
      <c r="O1451">
        <v>12</v>
      </c>
      <c r="P1451">
        <v>3</v>
      </c>
      <c r="Q1451">
        <v>1</v>
      </c>
      <c r="R1451">
        <v>29</v>
      </c>
      <c r="S1451">
        <v>2</v>
      </c>
      <c r="T1451">
        <v>27</v>
      </c>
      <c r="U1451">
        <v>13</v>
      </c>
      <c r="V1451">
        <v>8</v>
      </c>
      <c r="W1451" t="s">
        <v>65</v>
      </c>
      <c r="X1451" s="1" t="d">
        <v>1994-06-29</v>
      </c>
      <c r="Z1451" t="s">
        <v>39</v>
      </c>
      <c r="AA1451" t="s">
        <v>46</v>
      </c>
      <c r="AB1451">
        <v>2</v>
      </c>
      <c r="AC1451">
        <v>2</v>
      </c>
      <c r="AD1451" t="s">
        <v>32</v>
      </c>
      <c r="AE1451" t="s">
        <v>60</v>
      </c>
      <c r="AF1451" t="s">
        <v>48</v>
      </c>
    </row>
    <row r="1452" spans="1:32" x14ac:dyDescent="0.25">
      <c r="A1452">
        <v>50</v>
      </c>
      <c r="B1452" t="s">
        <v>41</v>
      </c>
      <c r="C1452" t="s">
        <v>33</v>
      </c>
      <c r="D1452" t="s">
        <v>34</v>
      </c>
      <c r="E1452">
        <v>29</v>
      </c>
      <c r="F1452" t="s">
        <v>35</v>
      </c>
      <c r="G1452">
        <v>2</v>
      </c>
      <c r="H1452">
        <v>4</v>
      </c>
      <c r="I1452" t="s">
        <v>66</v>
      </c>
      <c r="J1452">
        <v>3</v>
      </c>
      <c r="K1452" t="s">
        <v>50</v>
      </c>
      <c r="L1452">
        <v>17046</v>
      </c>
      <c r="M1452">
        <v>0</v>
      </c>
      <c r="N1452" t="s">
        <v>41</v>
      </c>
      <c r="O1452">
        <v>15</v>
      </c>
      <c r="P1452">
        <v>3</v>
      </c>
      <c r="Q1452">
        <v>1</v>
      </c>
      <c r="R1452">
        <v>28</v>
      </c>
      <c r="S1452">
        <v>2</v>
      </c>
      <c r="T1452">
        <v>27</v>
      </c>
      <c r="U1452">
        <v>15</v>
      </c>
      <c r="V1452">
        <v>7</v>
      </c>
      <c r="W1452" t="s">
        <v>51</v>
      </c>
      <c r="X1452" s="1" t="d">
        <v>1994-04-30</v>
      </c>
      <c r="Z1452" t="s">
        <v>39</v>
      </c>
      <c r="AA1452" t="s">
        <v>46</v>
      </c>
      <c r="AB1452">
        <v>4</v>
      </c>
      <c r="AC1452">
        <v>1</v>
      </c>
      <c r="AD1452" t="s">
        <v>32</v>
      </c>
      <c r="AE1452" t="s">
        <v>60</v>
      </c>
      <c r="AF1452" t="s">
        <v>48</v>
      </c>
    </row>
    <row r="1453" spans="1:32" x14ac:dyDescent="0.25">
      <c r="A1453">
        <v>60</v>
      </c>
      <c r="B1453" t="s">
        <v>41</v>
      </c>
      <c r="C1453" t="s">
        <v>33</v>
      </c>
      <c r="D1453" t="s">
        <v>34</v>
      </c>
      <c r="E1453">
        <v>7</v>
      </c>
      <c r="F1453" t="s">
        <v>58</v>
      </c>
      <c r="G1453">
        <v>3</v>
      </c>
      <c r="H1453">
        <v>5</v>
      </c>
      <c r="I1453" t="s">
        <v>66</v>
      </c>
      <c r="J1453">
        <v>1</v>
      </c>
      <c r="K1453" t="s">
        <v>50</v>
      </c>
      <c r="L1453">
        <v>19566</v>
      </c>
      <c r="M1453">
        <v>5</v>
      </c>
      <c r="N1453" t="s">
        <v>41</v>
      </c>
      <c r="O1453">
        <v>11</v>
      </c>
      <c r="P1453">
        <v>3</v>
      </c>
      <c r="Q1453">
        <v>0</v>
      </c>
      <c r="R1453">
        <v>33</v>
      </c>
      <c r="S1453">
        <v>5</v>
      </c>
      <c r="T1453">
        <v>29</v>
      </c>
      <c r="U1453">
        <v>11</v>
      </c>
      <c r="V1453">
        <v>10</v>
      </c>
      <c r="W1453" t="s">
        <v>38</v>
      </c>
      <c r="X1453" s="1" t="d">
        <v>1992-02-29</v>
      </c>
      <c r="Z1453" t="s">
        <v>63</v>
      </c>
      <c r="AA1453" t="s">
        <v>40</v>
      </c>
      <c r="AB1453">
        <v>2</v>
      </c>
      <c r="AC1453">
        <v>0</v>
      </c>
      <c r="AD1453" t="s">
        <v>41</v>
      </c>
      <c r="AE1453" t="s">
        <v>47</v>
      </c>
      <c r="AF1453" t="s">
        <v>57</v>
      </c>
    </row>
    <row r="1454" spans="1:32" x14ac:dyDescent="0.25">
      <c r="A1454">
        <v>51</v>
      </c>
      <c r="B1454" t="s">
        <v>41</v>
      </c>
      <c r="C1454" t="s">
        <v>61</v>
      </c>
      <c r="D1454" t="s">
        <v>53</v>
      </c>
      <c r="E1454">
        <v>9</v>
      </c>
      <c r="F1454" t="s">
        <v>35</v>
      </c>
      <c r="G1454">
        <v>3</v>
      </c>
      <c r="H1454">
        <v>5</v>
      </c>
      <c r="I1454" t="s">
        <v>66</v>
      </c>
      <c r="J1454">
        <v>2</v>
      </c>
      <c r="K1454" t="s">
        <v>55</v>
      </c>
      <c r="L1454">
        <v>19847</v>
      </c>
      <c r="M1454">
        <v>4</v>
      </c>
      <c r="N1454" t="s">
        <v>32</v>
      </c>
      <c r="O1454">
        <v>24</v>
      </c>
      <c r="P1454">
        <v>4</v>
      </c>
      <c r="Q1454">
        <v>1</v>
      </c>
      <c r="R1454">
        <v>31</v>
      </c>
      <c r="S1454">
        <v>5</v>
      </c>
      <c r="T1454">
        <v>29</v>
      </c>
      <c r="U1454">
        <v>11</v>
      </c>
      <c r="V1454">
        <v>10</v>
      </c>
      <c r="W1454" t="s">
        <v>51</v>
      </c>
      <c r="X1454" s="1" t="d">
        <v>1992-03-31</v>
      </c>
      <c r="Z1454" t="s">
        <v>52</v>
      </c>
      <c r="AA1454" t="s">
        <v>46</v>
      </c>
      <c r="AB1454">
        <v>0</v>
      </c>
      <c r="AC1454">
        <v>1</v>
      </c>
      <c r="AD1454" t="s">
        <v>41</v>
      </c>
      <c r="AE1454" t="s">
        <v>47</v>
      </c>
      <c r="AF1454" t="s">
        <v>43</v>
      </c>
    </row>
    <row r="1455" spans="1:32" x14ac:dyDescent="0.25">
      <c r="A1455">
        <v>50</v>
      </c>
      <c r="B1455" t="s">
        <v>41</v>
      </c>
      <c r="C1455" t="s">
        <v>61</v>
      </c>
      <c r="D1455" t="s">
        <v>34</v>
      </c>
      <c r="E1455">
        <v>20</v>
      </c>
      <c r="F1455" t="s">
        <v>35</v>
      </c>
      <c r="G1455">
        <v>3</v>
      </c>
      <c r="H1455">
        <v>4</v>
      </c>
      <c r="I1455" t="s">
        <v>69</v>
      </c>
      <c r="J1455">
        <v>3</v>
      </c>
      <c r="K1455" t="s">
        <v>50</v>
      </c>
      <c r="L1455">
        <v>11245</v>
      </c>
      <c r="M1455">
        <v>2</v>
      </c>
      <c r="N1455" t="s">
        <v>32</v>
      </c>
      <c r="O1455">
        <v>15</v>
      </c>
      <c r="P1455">
        <v>3</v>
      </c>
      <c r="Q1455">
        <v>1</v>
      </c>
      <c r="R1455">
        <v>32</v>
      </c>
      <c r="S1455">
        <v>3</v>
      </c>
      <c r="T1455">
        <v>30</v>
      </c>
      <c r="U1455">
        <v>12</v>
      </c>
      <c r="V1455">
        <v>13</v>
      </c>
      <c r="W1455" t="s">
        <v>51</v>
      </c>
      <c r="X1455" s="1" t="d">
        <v>1991-06-01</v>
      </c>
      <c r="Z1455" t="s">
        <v>59</v>
      </c>
      <c r="AA1455" t="s">
        <v>46</v>
      </c>
      <c r="AB1455">
        <v>1</v>
      </c>
      <c r="AC1455">
        <v>0</v>
      </c>
      <c r="AD1455" t="s">
        <v>32</v>
      </c>
      <c r="AE1455" t="s">
        <v>60</v>
      </c>
      <c r="AF1455" t="s">
        <v>57</v>
      </c>
    </row>
    <row r="1456" spans="1:32" x14ac:dyDescent="0.25">
      <c r="A1456">
        <v>49</v>
      </c>
      <c r="B1456" t="s">
        <v>41</v>
      </c>
      <c r="C1456" t="s">
        <v>33</v>
      </c>
      <c r="D1456" t="s">
        <v>34</v>
      </c>
      <c r="E1456">
        <v>18</v>
      </c>
      <c r="F1456" t="s">
        <v>35</v>
      </c>
      <c r="G1456">
        <v>2</v>
      </c>
      <c r="H1456">
        <v>5</v>
      </c>
      <c r="I1456" t="s">
        <v>49</v>
      </c>
      <c r="J1456">
        <v>3</v>
      </c>
      <c r="K1456" t="s">
        <v>55</v>
      </c>
      <c r="L1456">
        <v>19502</v>
      </c>
      <c r="M1456">
        <v>1</v>
      </c>
      <c r="N1456" t="s">
        <v>32</v>
      </c>
      <c r="O1456">
        <v>17</v>
      </c>
      <c r="P1456">
        <v>3</v>
      </c>
      <c r="Q1456">
        <v>1</v>
      </c>
      <c r="R1456">
        <v>31</v>
      </c>
      <c r="S1456">
        <v>5</v>
      </c>
      <c r="T1456">
        <v>31</v>
      </c>
      <c r="U1456">
        <v>0</v>
      </c>
      <c r="V1456">
        <v>9</v>
      </c>
      <c r="W1456" t="s">
        <v>56</v>
      </c>
      <c r="X1456" s="1" t="d">
        <v>1990-05-13</v>
      </c>
      <c r="Z1456" t="s">
        <v>45</v>
      </c>
      <c r="AA1456" t="s">
        <v>40</v>
      </c>
      <c r="AB1456">
        <v>3</v>
      </c>
      <c r="AC1456">
        <v>3</v>
      </c>
      <c r="AD1456" t="s">
        <v>32</v>
      </c>
      <c r="AE1456" t="s">
        <v>60</v>
      </c>
      <c r="AF1456" t="s">
        <v>57</v>
      </c>
    </row>
    <row r="1457" spans="1:32" x14ac:dyDescent="0.25">
      <c r="A1457">
        <v>58</v>
      </c>
      <c r="B1457" t="s">
        <v>32</v>
      </c>
      <c r="C1457" t="s">
        <v>33</v>
      </c>
      <c r="D1457" t="s">
        <v>34</v>
      </c>
      <c r="E1457">
        <v>2</v>
      </c>
      <c r="F1457" t="s">
        <v>35</v>
      </c>
      <c r="G1457">
        <v>3</v>
      </c>
      <c r="H1457">
        <v>5</v>
      </c>
      <c r="I1457" t="s">
        <v>49</v>
      </c>
      <c r="J1457">
        <v>2</v>
      </c>
      <c r="K1457" t="s">
        <v>37</v>
      </c>
      <c r="L1457">
        <v>19246</v>
      </c>
      <c r="M1457">
        <v>7</v>
      </c>
      <c r="N1457" t="s">
        <v>32</v>
      </c>
      <c r="O1457">
        <v>12</v>
      </c>
      <c r="P1457">
        <v>3</v>
      </c>
      <c r="Q1457">
        <v>0</v>
      </c>
      <c r="R1457">
        <v>40</v>
      </c>
      <c r="S1457">
        <v>2</v>
      </c>
      <c r="T1457">
        <v>31</v>
      </c>
      <c r="U1457">
        <v>13</v>
      </c>
      <c r="V1457">
        <v>8</v>
      </c>
      <c r="W1457" t="s">
        <v>51</v>
      </c>
      <c r="X1457" s="1" t="d">
        <v>1990-04-13</v>
      </c>
      <c r="Z1457" t="s">
        <v>63</v>
      </c>
      <c r="AA1457" t="s">
        <v>46</v>
      </c>
      <c r="AB1457">
        <v>3</v>
      </c>
      <c r="AC1457">
        <v>1</v>
      </c>
      <c r="AD1457" t="s">
        <v>41</v>
      </c>
      <c r="AE1457" t="s">
        <v>47</v>
      </c>
      <c r="AF1457" t="s">
        <v>57</v>
      </c>
    </row>
    <row r="1458" spans="1:32" x14ac:dyDescent="0.25">
      <c r="A1458">
        <v>50</v>
      </c>
      <c r="B1458" t="s">
        <v>41</v>
      </c>
      <c r="C1458" t="s">
        <v>68</v>
      </c>
      <c r="D1458" t="s">
        <v>34</v>
      </c>
      <c r="E1458">
        <v>2</v>
      </c>
      <c r="F1458" t="s">
        <v>35</v>
      </c>
      <c r="G1458">
        <v>3</v>
      </c>
      <c r="H1458">
        <v>4</v>
      </c>
      <c r="I1458" t="s">
        <v>66</v>
      </c>
      <c r="J1458">
        <v>1</v>
      </c>
      <c r="K1458" t="s">
        <v>55</v>
      </c>
      <c r="L1458">
        <v>17924</v>
      </c>
      <c r="M1458">
        <v>1</v>
      </c>
      <c r="N1458" t="s">
        <v>41</v>
      </c>
      <c r="O1458">
        <v>11</v>
      </c>
      <c r="P1458">
        <v>3</v>
      </c>
      <c r="Q1458">
        <v>1</v>
      </c>
      <c r="R1458">
        <v>31</v>
      </c>
      <c r="S1458">
        <v>3</v>
      </c>
      <c r="T1458">
        <v>31</v>
      </c>
      <c r="U1458">
        <v>14</v>
      </c>
      <c r="V1458">
        <v>7</v>
      </c>
      <c r="W1458" t="s">
        <v>38</v>
      </c>
      <c r="X1458" s="1" t="d">
        <v>1990-01-06</v>
      </c>
      <c r="Z1458" t="s">
        <v>52</v>
      </c>
      <c r="AA1458" t="s">
        <v>46</v>
      </c>
      <c r="AB1458">
        <v>4</v>
      </c>
      <c r="AC1458">
        <v>2</v>
      </c>
      <c r="AD1458" t="s">
        <v>41</v>
      </c>
      <c r="AE1458" t="s">
        <v>42</v>
      </c>
      <c r="AF1458" t="s">
        <v>57</v>
      </c>
    </row>
    <row r="1459" spans="1:32" x14ac:dyDescent="0.25">
      <c r="A1459">
        <v>50</v>
      </c>
      <c r="B1459" t="s">
        <v>41</v>
      </c>
      <c r="C1459" t="s">
        <v>61</v>
      </c>
      <c r="D1459" t="s">
        <v>70</v>
      </c>
      <c r="E1459">
        <v>3</v>
      </c>
      <c r="F1459" t="s">
        <v>35</v>
      </c>
      <c r="G1459">
        <v>3</v>
      </c>
      <c r="H1459">
        <v>5</v>
      </c>
      <c r="I1459" t="s">
        <v>66</v>
      </c>
      <c r="J1459">
        <v>2</v>
      </c>
      <c r="K1459" t="s">
        <v>50</v>
      </c>
      <c r="L1459">
        <v>18200</v>
      </c>
      <c r="M1459">
        <v>1</v>
      </c>
      <c r="N1459" t="s">
        <v>41</v>
      </c>
      <c r="O1459">
        <v>11</v>
      </c>
      <c r="P1459">
        <v>3</v>
      </c>
      <c r="Q1459">
        <v>1</v>
      </c>
      <c r="R1459">
        <v>32</v>
      </c>
      <c r="S1459">
        <v>2</v>
      </c>
      <c r="T1459">
        <v>32</v>
      </c>
      <c r="U1459">
        <v>10</v>
      </c>
      <c r="V1459">
        <v>7</v>
      </c>
      <c r="W1459" t="s">
        <v>51</v>
      </c>
      <c r="X1459" s="1" t="d">
        <v>1989-06-19</v>
      </c>
      <c r="Z1459" t="s">
        <v>39</v>
      </c>
      <c r="AA1459" t="s">
        <v>46</v>
      </c>
      <c r="AB1459">
        <v>4</v>
      </c>
      <c r="AC1459">
        <v>3</v>
      </c>
      <c r="AD1459" t="s">
        <v>32</v>
      </c>
      <c r="AE1459" t="s">
        <v>62</v>
      </c>
      <c r="AF1459" t="s">
        <v>43</v>
      </c>
    </row>
    <row r="1460" spans="1:32" x14ac:dyDescent="0.25">
      <c r="A1460">
        <v>52</v>
      </c>
      <c r="B1460" t="s">
        <v>32</v>
      </c>
      <c r="C1460" t="s">
        <v>33</v>
      </c>
      <c r="D1460" t="s">
        <v>53</v>
      </c>
      <c r="E1460">
        <v>2</v>
      </c>
      <c r="F1460" t="s">
        <v>58</v>
      </c>
      <c r="G1460">
        <v>1</v>
      </c>
      <c r="H1460">
        <v>5</v>
      </c>
      <c r="I1460" t="s">
        <v>66</v>
      </c>
      <c r="J1460">
        <v>4</v>
      </c>
      <c r="K1460" t="s">
        <v>50</v>
      </c>
      <c r="L1460">
        <v>19845</v>
      </c>
      <c r="M1460">
        <v>1</v>
      </c>
      <c r="N1460" t="s">
        <v>41</v>
      </c>
      <c r="O1460">
        <v>15</v>
      </c>
      <c r="P1460">
        <v>3</v>
      </c>
      <c r="Q1460">
        <v>1</v>
      </c>
      <c r="R1460">
        <v>33</v>
      </c>
      <c r="S1460">
        <v>3</v>
      </c>
      <c r="T1460">
        <v>32</v>
      </c>
      <c r="U1460">
        <v>6</v>
      </c>
      <c r="V1460">
        <v>9</v>
      </c>
      <c r="W1460" t="s">
        <v>65</v>
      </c>
      <c r="X1460" s="1" t="d">
        <v>1989-05-17</v>
      </c>
      <c r="Z1460" t="s">
        <v>59</v>
      </c>
      <c r="AA1460" t="s">
        <v>40</v>
      </c>
      <c r="AB1460">
        <v>3</v>
      </c>
      <c r="AC1460">
        <v>2</v>
      </c>
      <c r="AD1460" t="s">
        <v>41</v>
      </c>
      <c r="AE1460" t="s">
        <v>42</v>
      </c>
      <c r="AF1460" t="s">
        <v>57</v>
      </c>
    </row>
    <row r="1461" spans="1:32" x14ac:dyDescent="0.25">
      <c r="A1461">
        <v>50</v>
      </c>
      <c r="B1461" t="s">
        <v>41</v>
      </c>
      <c r="C1461" t="s">
        <v>61</v>
      </c>
      <c r="D1461" t="s">
        <v>34</v>
      </c>
      <c r="E1461">
        <v>22</v>
      </c>
      <c r="F1461" t="s">
        <v>35</v>
      </c>
      <c r="G1461">
        <v>1</v>
      </c>
      <c r="H1461">
        <v>4</v>
      </c>
      <c r="I1461" t="s">
        <v>49</v>
      </c>
      <c r="J1461">
        <v>4</v>
      </c>
      <c r="K1461" t="s">
        <v>37</v>
      </c>
      <c r="L1461">
        <v>14411</v>
      </c>
      <c r="M1461">
        <v>1</v>
      </c>
      <c r="N1461" t="s">
        <v>32</v>
      </c>
      <c r="O1461">
        <v>13</v>
      </c>
      <c r="P1461">
        <v>3</v>
      </c>
      <c r="Q1461">
        <v>0</v>
      </c>
      <c r="R1461">
        <v>32</v>
      </c>
      <c r="S1461">
        <v>2</v>
      </c>
      <c r="T1461">
        <v>32</v>
      </c>
      <c r="U1461">
        <v>13</v>
      </c>
      <c r="V1461">
        <v>9</v>
      </c>
      <c r="W1461" t="s">
        <v>56</v>
      </c>
      <c r="X1461" s="1" t="d">
        <v>1989-03-30</v>
      </c>
      <c r="Z1461" t="s">
        <v>52</v>
      </c>
      <c r="AA1461" t="s">
        <v>46</v>
      </c>
      <c r="AB1461">
        <v>2</v>
      </c>
      <c r="AC1461">
        <v>1</v>
      </c>
      <c r="AD1461" t="s">
        <v>32</v>
      </c>
      <c r="AE1461" t="s">
        <v>47</v>
      </c>
      <c r="AF1461" t="s">
        <v>48</v>
      </c>
    </row>
    <row r="1462" spans="1:32" x14ac:dyDescent="0.25">
      <c r="A1462">
        <v>52</v>
      </c>
      <c r="B1462" t="s">
        <v>41</v>
      </c>
      <c r="C1462" t="s">
        <v>33</v>
      </c>
      <c r="D1462" t="s">
        <v>34</v>
      </c>
      <c r="E1462">
        <v>1</v>
      </c>
      <c r="F1462" t="s">
        <v>35</v>
      </c>
      <c r="G1462">
        <v>2</v>
      </c>
      <c r="H1462">
        <v>5</v>
      </c>
      <c r="I1462" t="s">
        <v>66</v>
      </c>
      <c r="J1462">
        <v>3</v>
      </c>
      <c r="K1462" t="s">
        <v>50</v>
      </c>
      <c r="L1462">
        <v>19999</v>
      </c>
      <c r="M1462">
        <v>0</v>
      </c>
      <c r="N1462" t="s">
        <v>41</v>
      </c>
      <c r="O1462">
        <v>14</v>
      </c>
      <c r="P1462">
        <v>3</v>
      </c>
      <c r="Q1462">
        <v>1</v>
      </c>
      <c r="R1462">
        <v>34</v>
      </c>
      <c r="S1462">
        <v>5</v>
      </c>
      <c r="T1462">
        <v>33</v>
      </c>
      <c r="U1462">
        <v>11</v>
      </c>
      <c r="V1462">
        <v>9</v>
      </c>
      <c r="W1462" t="s">
        <v>56</v>
      </c>
      <c r="X1462" s="1" t="d">
        <v>1988-03-14</v>
      </c>
      <c r="Z1462" t="s">
        <v>59</v>
      </c>
      <c r="AA1462" t="s">
        <v>46</v>
      </c>
      <c r="AB1462">
        <v>5</v>
      </c>
      <c r="AC1462">
        <v>0</v>
      </c>
      <c r="AD1462" t="s">
        <v>41</v>
      </c>
      <c r="AE1462" t="s">
        <v>47</v>
      </c>
      <c r="AF1462" t="s">
        <v>57</v>
      </c>
    </row>
    <row r="1463" spans="1:32" x14ac:dyDescent="0.25">
      <c r="A1463">
        <v>52</v>
      </c>
      <c r="B1463" t="s">
        <v>41</v>
      </c>
      <c r="C1463" t="s">
        <v>68</v>
      </c>
      <c r="D1463" t="s">
        <v>53</v>
      </c>
      <c r="E1463">
        <v>2</v>
      </c>
      <c r="F1463" t="s">
        <v>35</v>
      </c>
      <c r="G1463">
        <v>2</v>
      </c>
      <c r="H1463">
        <v>5</v>
      </c>
      <c r="I1463" t="s">
        <v>66</v>
      </c>
      <c r="J1463">
        <v>3</v>
      </c>
      <c r="K1463" t="s">
        <v>37</v>
      </c>
      <c r="L1463">
        <v>19068</v>
      </c>
      <c r="M1463">
        <v>1</v>
      </c>
      <c r="N1463" t="s">
        <v>32</v>
      </c>
      <c r="O1463">
        <v>18</v>
      </c>
      <c r="P1463">
        <v>3</v>
      </c>
      <c r="Q1463">
        <v>0</v>
      </c>
      <c r="R1463">
        <v>33</v>
      </c>
      <c r="S1463">
        <v>2</v>
      </c>
      <c r="T1463">
        <v>33</v>
      </c>
      <c r="U1463">
        <v>15</v>
      </c>
      <c r="V1463">
        <v>12</v>
      </c>
      <c r="W1463" t="s">
        <v>38</v>
      </c>
      <c r="X1463" s="1" t="d">
        <v>1988-05-12</v>
      </c>
      <c r="Z1463" t="s">
        <v>39</v>
      </c>
      <c r="AA1463" t="s">
        <v>46</v>
      </c>
      <c r="AB1463">
        <v>4</v>
      </c>
      <c r="AC1463">
        <v>3</v>
      </c>
      <c r="AD1463" t="s">
        <v>32</v>
      </c>
      <c r="AE1463" t="s">
        <v>42</v>
      </c>
      <c r="AF1463" t="s">
        <v>48</v>
      </c>
    </row>
    <row r="1464" spans="1:32" x14ac:dyDescent="0.25">
      <c r="A1464">
        <v>55</v>
      </c>
      <c r="B1464" t="s">
        <v>41</v>
      </c>
      <c r="C1464" t="s">
        <v>68</v>
      </c>
      <c r="D1464" t="s">
        <v>34</v>
      </c>
      <c r="E1464">
        <v>8</v>
      </c>
      <c r="F1464" t="s">
        <v>35</v>
      </c>
      <c r="G1464">
        <v>2</v>
      </c>
      <c r="H1464">
        <v>4</v>
      </c>
      <c r="I1464" t="s">
        <v>69</v>
      </c>
      <c r="J1464">
        <v>2</v>
      </c>
      <c r="K1464" t="s">
        <v>55</v>
      </c>
      <c r="L1464">
        <v>13577</v>
      </c>
      <c r="M1464">
        <v>1</v>
      </c>
      <c r="N1464" t="s">
        <v>32</v>
      </c>
      <c r="O1464">
        <v>15</v>
      </c>
      <c r="P1464">
        <v>3</v>
      </c>
      <c r="Q1464">
        <v>1</v>
      </c>
      <c r="R1464">
        <v>34</v>
      </c>
      <c r="S1464">
        <v>3</v>
      </c>
      <c r="T1464">
        <v>33</v>
      </c>
      <c r="U1464">
        <v>15</v>
      </c>
      <c r="V1464">
        <v>0</v>
      </c>
      <c r="W1464" t="s">
        <v>65</v>
      </c>
      <c r="X1464" s="1" t="d">
        <v>1988-04-09</v>
      </c>
      <c r="Z1464" t="s">
        <v>39</v>
      </c>
      <c r="AA1464" t="s">
        <v>46</v>
      </c>
      <c r="AB1464">
        <v>3</v>
      </c>
      <c r="AC1464">
        <v>1</v>
      </c>
      <c r="AD1464" t="s">
        <v>41</v>
      </c>
      <c r="AE1464" t="s">
        <v>62</v>
      </c>
      <c r="AF1464" t="s">
        <v>48</v>
      </c>
    </row>
    <row r="1465" spans="1:32" x14ac:dyDescent="0.25">
      <c r="A1465">
        <v>51</v>
      </c>
      <c r="B1465" t="s">
        <v>41</v>
      </c>
      <c r="C1465" t="s">
        <v>33</v>
      </c>
      <c r="D1465" t="s">
        <v>70</v>
      </c>
      <c r="E1465">
        <v>5</v>
      </c>
      <c r="F1465" t="s">
        <v>35</v>
      </c>
      <c r="G1465">
        <v>3</v>
      </c>
      <c r="H1465">
        <v>4</v>
      </c>
      <c r="I1465" t="s">
        <v>66</v>
      </c>
      <c r="J1465">
        <v>2</v>
      </c>
      <c r="K1465" t="s">
        <v>55</v>
      </c>
      <c r="L1465">
        <v>14026</v>
      </c>
      <c r="M1465">
        <v>1</v>
      </c>
      <c r="N1465" t="s">
        <v>32</v>
      </c>
      <c r="O1465">
        <v>11</v>
      </c>
      <c r="P1465">
        <v>3</v>
      </c>
      <c r="Q1465">
        <v>1</v>
      </c>
      <c r="R1465">
        <v>33</v>
      </c>
      <c r="S1465">
        <v>2</v>
      </c>
      <c r="T1465">
        <v>33</v>
      </c>
      <c r="U1465">
        <v>0</v>
      </c>
      <c r="V1465">
        <v>10</v>
      </c>
      <c r="W1465" t="s">
        <v>51</v>
      </c>
      <c r="X1465" s="1" t="d">
        <v>1988-04-04</v>
      </c>
      <c r="Z1465" t="s">
        <v>59</v>
      </c>
      <c r="AA1465" t="s">
        <v>40</v>
      </c>
      <c r="AB1465">
        <v>4</v>
      </c>
      <c r="AC1465">
        <v>1</v>
      </c>
      <c r="AD1465" t="s">
        <v>32</v>
      </c>
      <c r="AE1465" t="s">
        <v>60</v>
      </c>
      <c r="AF1465" t="s">
        <v>43</v>
      </c>
    </row>
    <row r="1466" spans="1:32" x14ac:dyDescent="0.25">
      <c r="A1466">
        <v>53</v>
      </c>
      <c r="B1466" t="s">
        <v>32</v>
      </c>
      <c r="C1466" t="s">
        <v>33</v>
      </c>
      <c r="D1466" t="s">
        <v>34</v>
      </c>
      <c r="E1466">
        <v>2</v>
      </c>
      <c r="F1466" t="s">
        <v>58</v>
      </c>
      <c r="G1466">
        <v>2</v>
      </c>
      <c r="H1466">
        <v>3</v>
      </c>
      <c r="I1466" t="s">
        <v>67</v>
      </c>
      <c r="J1466">
        <v>4</v>
      </c>
      <c r="K1466" t="s">
        <v>50</v>
      </c>
      <c r="L1466">
        <v>10169</v>
      </c>
      <c r="M1466">
        <v>0</v>
      </c>
      <c r="N1466" t="s">
        <v>41</v>
      </c>
      <c r="O1466">
        <v>16</v>
      </c>
      <c r="P1466">
        <v>3</v>
      </c>
      <c r="Q1466">
        <v>1</v>
      </c>
      <c r="R1466">
        <v>34</v>
      </c>
      <c r="S1466">
        <v>4</v>
      </c>
      <c r="T1466">
        <v>33</v>
      </c>
      <c r="U1466">
        <v>1</v>
      </c>
      <c r="V1466">
        <v>9</v>
      </c>
      <c r="W1466" t="s">
        <v>51</v>
      </c>
      <c r="X1466" s="1" t="d">
        <v>1988-06-20</v>
      </c>
      <c r="Z1466" t="s">
        <v>45</v>
      </c>
      <c r="AA1466" t="s">
        <v>46</v>
      </c>
      <c r="AB1466">
        <v>4</v>
      </c>
      <c r="AC1466">
        <v>0</v>
      </c>
      <c r="AD1466" t="s">
        <v>32</v>
      </c>
      <c r="AE1466" t="s">
        <v>47</v>
      </c>
      <c r="AF1466" t="s">
        <v>43</v>
      </c>
    </row>
    <row r="1467" spans="1:32" x14ac:dyDescent="0.25">
      <c r="A1467">
        <v>52</v>
      </c>
      <c r="B1467" t="s">
        <v>41</v>
      </c>
      <c r="C1467" t="s">
        <v>33</v>
      </c>
      <c r="D1467" t="s">
        <v>53</v>
      </c>
      <c r="E1467">
        <v>3</v>
      </c>
      <c r="F1467" t="s">
        <v>35</v>
      </c>
      <c r="G1467">
        <v>2</v>
      </c>
      <c r="H1467">
        <v>4</v>
      </c>
      <c r="I1467" t="s">
        <v>66</v>
      </c>
      <c r="J1467">
        <v>1</v>
      </c>
      <c r="K1467" t="s">
        <v>50</v>
      </c>
      <c r="L1467">
        <v>16856</v>
      </c>
      <c r="M1467">
        <v>1</v>
      </c>
      <c r="N1467" t="s">
        <v>41</v>
      </c>
      <c r="O1467">
        <v>11</v>
      </c>
      <c r="P1467">
        <v>3</v>
      </c>
      <c r="Q1467">
        <v>0</v>
      </c>
      <c r="R1467">
        <v>34</v>
      </c>
      <c r="S1467">
        <v>3</v>
      </c>
      <c r="T1467">
        <v>34</v>
      </c>
      <c r="U1467">
        <v>1</v>
      </c>
      <c r="V1467">
        <v>16</v>
      </c>
      <c r="W1467" t="s">
        <v>51</v>
      </c>
      <c r="X1467" s="1" t="d">
        <v>1987-06-05</v>
      </c>
      <c r="Z1467" t="s">
        <v>39</v>
      </c>
      <c r="AA1467" t="s">
        <v>40</v>
      </c>
      <c r="AB1467">
        <v>3</v>
      </c>
      <c r="AC1467">
        <v>2</v>
      </c>
      <c r="AD1467" t="s">
        <v>41</v>
      </c>
      <c r="AE1467" t="s">
        <v>60</v>
      </c>
      <c r="AF1467" t="s">
        <v>48</v>
      </c>
    </row>
    <row r="1468" spans="1:32" x14ac:dyDescent="0.25">
      <c r="A1468">
        <v>55</v>
      </c>
      <c r="B1468" t="s">
        <v>41</v>
      </c>
      <c r="C1468" t="s">
        <v>33</v>
      </c>
      <c r="D1468" t="s">
        <v>34</v>
      </c>
      <c r="E1468">
        <v>1</v>
      </c>
      <c r="F1468" t="s">
        <v>35</v>
      </c>
      <c r="G1468">
        <v>3</v>
      </c>
      <c r="H1468">
        <v>5</v>
      </c>
      <c r="I1468" t="s">
        <v>66</v>
      </c>
      <c r="J1468">
        <v>1</v>
      </c>
      <c r="K1468" t="s">
        <v>37</v>
      </c>
      <c r="L1468">
        <v>19045</v>
      </c>
      <c r="M1468">
        <v>0</v>
      </c>
      <c r="N1468" t="s">
        <v>32</v>
      </c>
      <c r="O1468">
        <v>14</v>
      </c>
      <c r="P1468">
        <v>3</v>
      </c>
      <c r="Q1468">
        <v>0</v>
      </c>
      <c r="R1468">
        <v>37</v>
      </c>
      <c r="S1468">
        <v>2</v>
      </c>
      <c r="T1468">
        <v>36</v>
      </c>
      <c r="U1468">
        <v>4</v>
      </c>
      <c r="V1468">
        <v>13</v>
      </c>
      <c r="W1468" t="s">
        <v>51</v>
      </c>
      <c r="X1468" s="1" t="d">
        <v>1985-01-20</v>
      </c>
      <c r="Z1468" t="s">
        <v>45</v>
      </c>
      <c r="AA1468" t="s">
        <v>46</v>
      </c>
      <c r="AB1468">
        <v>1</v>
      </c>
      <c r="AC1468">
        <v>1</v>
      </c>
      <c r="AD1468" t="s">
        <v>41</v>
      </c>
      <c r="AE1468" t="s">
        <v>62</v>
      </c>
      <c r="AF1468" t="s">
        <v>57</v>
      </c>
    </row>
    <row r="1469" spans="1:32" x14ac:dyDescent="0.25">
      <c r="A1469">
        <v>55</v>
      </c>
      <c r="B1469" t="s">
        <v>41</v>
      </c>
      <c r="C1469" t="s">
        <v>33</v>
      </c>
      <c r="D1469" t="s">
        <v>53</v>
      </c>
      <c r="E1469">
        <v>26</v>
      </c>
      <c r="F1469" t="s">
        <v>35</v>
      </c>
      <c r="G1469">
        <v>2</v>
      </c>
      <c r="H1469">
        <v>5</v>
      </c>
      <c r="I1469" t="s">
        <v>66</v>
      </c>
      <c r="J1469">
        <v>4</v>
      </c>
      <c r="K1469" t="s">
        <v>50</v>
      </c>
      <c r="L1469">
        <v>19586</v>
      </c>
      <c r="M1469">
        <v>1</v>
      </c>
      <c r="N1469" t="s">
        <v>41</v>
      </c>
      <c r="O1469">
        <v>21</v>
      </c>
      <c r="P1469">
        <v>4</v>
      </c>
      <c r="Q1469">
        <v>1</v>
      </c>
      <c r="R1469">
        <v>36</v>
      </c>
      <c r="S1469">
        <v>3</v>
      </c>
      <c r="T1469">
        <v>36</v>
      </c>
      <c r="U1469">
        <v>2</v>
      </c>
      <c r="V1469">
        <v>13</v>
      </c>
      <c r="W1469" t="s">
        <v>51</v>
      </c>
      <c r="X1469" s="1" t="d">
        <v>1985-02-17</v>
      </c>
      <c r="Z1469" t="s">
        <v>45</v>
      </c>
      <c r="AA1469" t="s">
        <v>40</v>
      </c>
      <c r="AB1469">
        <v>2</v>
      </c>
      <c r="AC1469">
        <v>1</v>
      </c>
      <c r="AD1469" t="s">
        <v>41</v>
      </c>
      <c r="AE1469" t="s">
        <v>47</v>
      </c>
      <c r="AF1469" t="s">
        <v>48</v>
      </c>
    </row>
    <row r="1470" spans="1:32" x14ac:dyDescent="0.25">
      <c r="A1470">
        <v>58</v>
      </c>
      <c r="B1470" t="s">
        <v>41</v>
      </c>
      <c r="C1470" t="s">
        <v>33</v>
      </c>
      <c r="D1470" t="s">
        <v>53</v>
      </c>
      <c r="E1470">
        <v>10</v>
      </c>
      <c r="F1470" t="s">
        <v>35</v>
      </c>
      <c r="G1470">
        <v>3</v>
      </c>
      <c r="H1470">
        <v>4</v>
      </c>
      <c r="I1470" t="s">
        <v>64</v>
      </c>
      <c r="J1470">
        <v>3</v>
      </c>
      <c r="K1470" t="s">
        <v>37</v>
      </c>
      <c r="L1470">
        <v>13872</v>
      </c>
      <c r="M1470">
        <v>0</v>
      </c>
      <c r="N1470" t="s">
        <v>41</v>
      </c>
      <c r="O1470">
        <v>13</v>
      </c>
      <c r="P1470">
        <v>3</v>
      </c>
      <c r="Q1470">
        <v>0</v>
      </c>
      <c r="R1470">
        <v>38</v>
      </c>
      <c r="S1470">
        <v>1</v>
      </c>
      <c r="T1470">
        <v>37</v>
      </c>
      <c r="U1470">
        <v>1</v>
      </c>
      <c r="V1470">
        <v>8</v>
      </c>
      <c r="W1470" t="s">
        <v>56</v>
      </c>
      <c r="X1470" s="1" t="d">
        <v>1984-06-29</v>
      </c>
      <c r="Z1470" t="s">
        <v>63</v>
      </c>
      <c r="AA1470" t="s">
        <v>46</v>
      </c>
      <c r="AB1470">
        <v>2</v>
      </c>
      <c r="AC1470">
        <v>2</v>
      </c>
      <c r="AD1470" t="s">
        <v>32</v>
      </c>
      <c r="AE1470" t="s">
        <v>42</v>
      </c>
      <c r="AF1470" t="s">
        <v>48</v>
      </c>
    </row>
    <row r="1471" spans="1:32" x14ac:dyDescent="0.25">
      <c r="A1471">
        <v>58</v>
      </c>
      <c r="B1471" t="s">
        <v>32</v>
      </c>
      <c r="C1471" t="s">
        <v>33</v>
      </c>
      <c r="D1471" t="s">
        <v>34</v>
      </c>
      <c r="E1471">
        <v>23</v>
      </c>
      <c r="F1471" t="s">
        <v>58</v>
      </c>
      <c r="G1471">
        <v>3</v>
      </c>
      <c r="H1471">
        <v>3</v>
      </c>
      <c r="I1471" t="s">
        <v>69</v>
      </c>
      <c r="J1471">
        <v>4</v>
      </c>
      <c r="K1471" t="s">
        <v>50</v>
      </c>
      <c r="L1471">
        <v>10312</v>
      </c>
      <c r="M1471">
        <v>1</v>
      </c>
      <c r="N1471" t="s">
        <v>41</v>
      </c>
      <c r="O1471">
        <v>12</v>
      </c>
      <c r="P1471">
        <v>3</v>
      </c>
      <c r="Q1471">
        <v>1</v>
      </c>
      <c r="R1471">
        <v>40</v>
      </c>
      <c r="S1471">
        <v>3</v>
      </c>
      <c r="T1471">
        <v>40</v>
      </c>
      <c r="U1471">
        <v>15</v>
      </c>
      <c r="V1471">
        <v>6</v>
      </c>
      <c r="W1471" t="s">
        <v>65</v>
      </c>
      <c r="X1471" s="1" t="d">
        <v>1981-02-08</v>
      </c>
      <c r="Z1471" t="s">
        <v>63</v>
      </c>
      <c r="AA1471" t="s">
        <v>46</v>
      </c>
      <c r="AB1471">
        <v>4</v>
      </c>
      <c r="AC1471">
        <v>3</v>
      </c>
      <c r="AD1471" t="s">
        <v>32</v>
      </c>
      <c r="AE1471" t="s">
        <v>60</v>
      </c>
      <c r="AF1471" t="s">
        <v>57</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HR_Dashboard</vt:lpstr>
      <vt:lpstr>KPI_Analysis</vt:lpstr>
      <vt:lpstr>Dept_Attrition</vt:lpstr>
      <vt:lpstr>JobRole_Attrition</vt:lpstr>
      <vt:lpstr>Category_Attrition</vt:lpstr>
      <vt:lpstr>Income_Attrition</vt:lpstr>
      <vt:lpstr>Experience_Attrition</vt:lpstr>
      <vt:lpstr>Lookup_Tables</vt:lpstr>
      <vt:lpstr>Final_dataset_Attrition</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aadi chauhan</dc:creator>
  <cp:lastModifiedBy>HP</cp:lastModifiedBy>
  <dcterms:created xsi:type="dcterms:W3CDTF">2025-12-16T06:33:40Z</dcterms:created>
  <dcterms:modified xsi:type="dcterms:W3CDTF">2025-12-17T15:26:21Z</dcterms:modified>
</cp:coreProperties>
</file>